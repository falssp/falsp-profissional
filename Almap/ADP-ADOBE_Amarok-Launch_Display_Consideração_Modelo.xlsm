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J:\MIDIA\2020 Planning\Produto\03. Nivus\07. ADP\04. Lançamento\ORCA\02. Consideracao\"/>
    </mc:Choice>
  </mc:AlternateContent>
  <xr:revisionPtr revIDLastSave="0" documentId="13_ncr:1_{09991014-1088-4281-B705-2351AC83E8D9}" xr6:coauthVersionLast="44" xr6:coauthVersionMax="45" xr10:uidLastSave="{00000000-0000-0000-0000-000000000000}"/>
  <bookViews>
    <workbookView xWindow="-120" yWindow="-120" windowWidth="20730" windowHeight="11160" activeTab="1" xr2:uid="{5C905383-3BE9-4CDF-A385-B91C6C7CBA37}"/>
  </bookViews>
  <sheets>
    <sheet name="Campanha" sheetId="1" r:id="rId1"/>
    <sheet name="ADP" sheetId="2" r:id="rId2"/>
    <sheet name="ID's" sheetId="6" r:id="rId3"/>
    <sheet name="Contadores" sheetId="5" r:id="rId4"/>
    <sheet name="All Codes" sheetId="4" r:id="rId5"/>
  </sheets>
  <functionGroups builtInGroupCount="19"/>
  <externalReferences>
    <externalReference r:id="rId6"/>
  </externalReferences>
  <definedNames>
    <definedName name="_xlnm._FilterDatabase" localSheetId="1" hidden="1">ADP!$B$4:$BI$359</definedName>
    <definedName name="_xlnm._FilterDatabase" localSheetId="4" hidden="1">'All Codes'!$BF$2:$BG$280</definedName>
    <definedName name="_xlnm._FilterDatabase" localSheetId="3" hidden="1">Contadores!$A$1:$B$1</definedName>
    <definedName name="_xlnm._FilterDatabase" localSheetId="2" hidden="1">'ID''s'!$A$1:$B$148</definedName>
    <definedName name="_Key1" hidden="1">#REF!</definedName>
    <definedName name="_Key2" hidden="1">#REF!</definedName>
    <definedName name="_Order1" hidden="1">255</definedName>
    <definedName name="_Order2" hidden="1">0</definedName>
    <definedName name="_Sort" hidden="1">#REF!</definedName>
    <definedName name="adchan">ADP!$AT:$AT</definedName>
    <definedName name="adcr">ADP!$BA:$BA</definedName>
    <definedName name="adpay">ADP!$BF:$BF</definedName>
    <definedName name="adpl">ADP!$AW:$AW</definedName>
    <definedName name="adplt">ADP!$AY:$AY</definedName>
    <definedName name="campaign">ADP!$AX:$AX</definedName>
    <definedName name="cel_campaing">Campanha!$B$14</definedName>
    <definedName name="cel_country">Campanha!$B$6</definedName>
    <definedName name="cel_freefield">Campanha!$B$16</definedName>
    <definedName name="cel_idcampaign">Campanha!$B$2</definedName>
    <definedName name="cel_idcampaignname">Campanha!$B$15</definedName>
    <definedName name="cel_mediachannel">Campanha!$B$8</definedName>
    <definedName name="cel_modelvariant">Campanha!$B$13</definedName>
    <definedName name="cel_name">Campanha!$B$3</definedName>
    <definedName name="cel_planningprinciple">Campanha!$B$7</definedName>
    <definedName name="cel_structurename">Campanha!$B$4</definedName>
    <definedName name="col_adlid">ADP!$BD:$BD</definedName>
    <definedName name="col_adname">ADP!$AJ:$AJ</definedName>
    <definedName name="col_buyingmetric">ADP!$N:$N</definedName>
    <definedName name="col_buyingtype">ADP!$M:$M</definedName>
    <definedName name="col_campanhaanunciante">ADP!$BL:$BL</definedName>
    <definedName name="col_device">ADP!$R:$R</definedName>
    <definedName name="col_grupoanunciante">ADP!$BM:$BM</definedName>
    <definedName name="col_keyword">ADP!$AR:$AR</definedName>
    <definedName name="col_linhacriativa2">ADP!$U:$U</definedName>
    <definedName name="col_localfreetype">ADP!$T:$T</definedName>
    <definedName name="col_objetivo">ADP!$S:$S</definedName>
    <definedName name="col_paidvsav">ADP!$X:$X</definedName>
    <definedName name="col_parametrizacao">ADP!$I:$I</definedName>
    <definedName name="col_placement">ADP!$AI:$AI</definedName>
    <definedName name="col_segmentacao">ADP!$V:$V</definedName>
    <definedName name="col_segmentacaodeanun">ADP!$W:$W</definedName>
    <definedName name="col_servidopor">ADP!$G:$G</definedName>
    <definedName name="col_sitesection">ADP!$Q:$Q</definedName>
    <definedName name="col_size">ADP!$Y:$Y</definedName>
    <definedName name="col_submediachannel">ADP!$L:$L</definedName>
    <definedName name="col_supplier">ADP!$J:$J</definedName>
    <definedName name="col_trackingtype">ADP!$O:$O</definedName>
    <definedName name="col_unitname">ADP!$P:$P</definedName>
    <definedName name="col_url">ADP!$H:$H</definedName>
    <definedName name="col_utmcampaign">ADP!$AP:$AP</definedName>
    <definedName name="col_utmcontent">ADP!$AQ:$AQ</definedName>
    <definedName name="col_utmmedium">ADP!$AO:$AO</definedName>
    <definedName name="col_utmsource">ADP!$AN:$AN</definedName>
    <definedName name="country">ADP!$AU:$AU</definedName>
    <definedName name="format">ADP!$AZ:$AZ</definedName>
    <definedName name="id_placement">'ID''s'!$A:$B</definedName>
    <definedName name="language">ADP!$BE:$BE</definedName>
    <definedName name="list_brand">'All Codes'!$B$3:$B$4</definedName>
    <definedName name="list_buyingmetric">'All Codes'!$E$3:$E$9</definedName>
    <definedName name="list_buyingtype">'All Codes'!$H$3:$H$5</definedName>
    <definedName name="list_campaigncategory">'All Codes'!$K$3:$K$7</definedName>
    <definedName name="list_campaigntype">'All Codes'!$O$3:$O$6</definedName>
    <definedName name="list_country">'All Codes'!$R$3:$R$34</definedName>
    <definedName name="list_date">'All Codes'!$U$3:$U$26</definedName>
    <definedName name="list_device">'All Codes'!$Y$3:$Y$7</definedName>
    <definedName name="list_mediachannel">'All Codes'!$AD$3:$AD$8</definedName>
    <definedName name="list_model">'All Codes'!$AH$3:$AH$51</definedName>
    <definedName name="list_modelvariant">'All Codes'!$AL$3:$AL$96</definedName>
    <definedName name="list_paidvsav">'All Codes'!$AP$3:$AP$7</definedName>
    <definedName name="list_planningprinciple">'All Codes'!$AS$3:$AS$6</definedName>
    <definedName name="list_servidopor">'All Codes'!$AW$3:$AW$7</definedName>
    <definedName name="list_site">'All Codes'!$AZ$3:$AZ$82</definedName>
    <definedName name="list_sitesection">'All Codes'!$BC$3:$BC$7</definedName>
    <definedName name="list_size">'All Codes'!$BF$3:$BF$285</definedName>
    <definedName name="list_strategyphase">'All Codes'!$BI$3:$BI$11</definedName>
    <definedName name="list_submediachannel">'All Codes'!$BM$3:$BM$10</definedName>
    <definedName name="list_trackingtype">'All Codes'!$BQ$3:$BQ$10</definedName>
    <definedName name="list_type">'All Codes'!$BT$3:$BT$5</definedName>
    <definedName name="list_unitname">'All Codes'!$BX$3:$BX$10</definedName>
    <definedName name="publisher">ADP!$AV:$AV</definedName>
    <definedName name="tab_buyingmetric">'All Codes'!$E:$F</definedName>
    <definedName name="tab_buyingtype">'All Codes'!$H:$I</definedName>
    <definedName name="tab_campaigncategory">'All Codes'!$K:$M</definedName>
    <definedName name="tab_campaigntype">'All Codes'!$O:$P</definedName>
    <definedName name="tab_contadores" localSheetId="2">'ID''s'!$A:$B</definedName>
    <definedName name="tab_contadores">Contadores!$A:$B</definedName>
    <definedName name="tab_country">'All Codes'!$R:$S</definedName>
    <definedName name="tab_date">'All Codes'!$U:$W</definedName>
    <definedName name="tab_device">'All Codes'!$Y:$Z</definedName>
    <definedName name="tab_mediachannel">'All Codes'!$AD:$AF</definedName>
    <definedName name="tab_model">'All Codes'!$AH:$AI</definedName>
    <definedName name="tab_modelvariant">'All Codes'!$AL:$AN</definedName>
    <definedName name="tab_objetivo">'All Codes'!$CA$3:$CA$18</definedName>
    <definedName name="tab_paidvsav">'All Codes'!$AP:$AQ</definedName>
    <definedName name="tab_parametrizacao">'All Codes'!$AB$3:$AB$6</definedName>
    <definedName name="tab_planningprinciple">'All Codes'!$AS:$AU</definedName>
    <definedName name="tab_sitesection">'All Codes'!$BC:$BD</definedName>
    <definedName name="tab_strategyphase">'All Codes'!$BI:$BK</definedName>
    <definedName name="tab_submediachannel">'All Codes'!$BM:$BN</definedName>
    <definedName name="tab_trackingtype">'All Codes'!$BQ:$BR</definedName>
    <definedName name="tab_type">'All Codes'!$BT:$BV</definedName>
    <definedName name="tab_unitname">'All Codes'!$BX:$BY</definedName>
    <definedName name="url_adobe">ADP!$BI:$BI</definedName>
    <definedName name="url_ga">ADP!$AS:$AS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6" i="2" l="1"/>
  <c r="AN6" i="2"/>
  <c r="AO6" i="2"/>
  <c r="AT6" i="2"/>
  <c r="AU6" i="2"/>
  <c r="AV6" i="2"/>
  <c r="AW6" i="2"/>
  <c r="AX6" i="2"/>
  <c r="AZ6" i="2"/>
  <c r="BA6" i="2"/>
  <c r="BE6" i="2"/>
  <c r="BF6" i="2"/>
  <c r="BM6" i="2"/>
  <c r="AM7" i="2"/>
  <c r="AN7" i="2"/>
  <c r="AO7" i="2"/>
  <c r="AT7" i="2"/>
  <c r="AU7" i="2"/>
  <c r="AV7" i="2"/>
  <c r="AW7" i="2"/>
  <c r="AX7" i="2"/>
  <c r="AZ7" i="2"/>
  <c r="BA7" i="2"/>
  <c r="BE7" i="2"/>
  <c r="BF7" i="2"/>
  <c r="BM7" i="2"/>
  <c r="AM8" i="2"/>
  <c r="AN8" i="2"/>
  <c r="AO8" i="2"/>
  <c r="AT8" i="2"/>
  <c r="AU8" i="2"/>
  <c r="AV8" i="2"/>
  <c r="AW8" i="2"/>
  <c r="AX8" i="2"/>
  <c r="AZ8" i="2"/>
  <c r="BA8" i="2"/>
  <c r="BE8" i="2"/>
  <c r="BF8" i="2"/>
  <c r="BM8" i="2"/>
  <c r="AM9" i="2"/>
  <c r="AN9" i="2"/>
  <c r="AO9" i="2"/>
  <c r="AT9" i="2"/>
  <c r="AU9" i="2"/>
  <c r="AV9" i="2"/>
  <c r="AW9" i="2"/>
  <c r="AX9" i="2"/>
  <c r="AZ9" i="2"/>
  <c r="BA9" i="2"/>
  <c r="BE9" i="2"/>
  <c r="BF9" i="2"/>
  <c r="BM9" i="2"/>
  <c r="AM10" i="2"/>
  <c r="AN10" i="2"/>
  <c r="AO10" i="2"/>
  <c r="AT10" i="2"/>
  <c r="AU10" i="2"/>
  <c r="AV10" i="2"/>
  <c r="AW10" i="2"/>
  <c r="AX10" i="2"/>
  <c r="AZ10" i="2"/>
  <c r="BA10" i="2"/>
  <c r="BE10" i="2"/>
  <c r="BF10" i="2"/>
  <c r="BM10" i="2"/>
  <c r="AM11" i="2"/>
  <c r="AN11" i="2"/>
  <c r="AO11" i="2"/>
  <c r="AT11" i="2"/>
  <c r="AU11" i="2"/>
  <c r="AV11" i="2"/>
  <c r="AW11" i="2"/>
  <c r="AX11" i="2"/>
  <c r="AZ11" i="2"/>
  <c r="BA11" i="2"/>
  <c r="BE11" i="2"/>
  <c r="BF11" i="2"/>
  <c r="BM11" i="2"/>
  <c r="AM12" i="2"/>
  <c r="AN12" i="2"/>
  <c r="AO12" i="2"/>
  <c r="AT12" i="2"/>
  <c r="AU12" i="2"/>
  <c r="AV12" i="2"/>
  <c r="AW12" i="2"/>
  <c r="AX12" i="2"/>
  <c r="AZ12" i="2"/>
  <c r="BA12" i="2"/>
  <c r="BE12" i="2"/>
  <c r="BF12" i="2"/>
  <c r="BM12" i="2"/>
  <c r="AM13" i="2"/>
  <c r="AN13" i="2"/>
  <c r="AO13" i="2"/>
  <c r="AT13" i="2"/>
  <c r="AU13" i="2"/>
  <c r="AV13" i="2"/>
  <c r="AW13" i="2"/>
  <c r="AX13" i="2"/>
  <c r="AZ13" i="2"/>
  <c r="BA13" i="2"/>
  <c r="BE13" i="2"/>
  <c r="BF13" i="2"/>
  <c r="BM13" i="2"/>
  <c r="AM14" i="2"/>
  <c r="AN14" i="2"/>
  <c r="AO14" i="2"/>
  <c r="AT14" i="2"/>
  <c r="AU14" i="2"/>
  <c r="AV14" i="2"/>
  <c r="AW14" i="2"/>
  <c r="AX14" i="2"/>
  <c r="AZ14" i="2"/>
  <c r="BA14" i="2"/>
  <c r="BE14" i="2"/>
  <c r="BF14" i="2"/>
  <c r="BM14" i="2"/>
  <c r="AM15" i="2"/>
  <c r="AN15" i="2"/>
  <c r="AO15" i="2"/>
  <c r="AT15" i="2"/>
  <c r="AU15" i="2"/>
  <c r="AV15" i="2"/>
  <c r="AW15" i="2"/>
  <c r="AX15" i="2"/>
  <c r="AZ15" i="2"/>
  <c r="BA15" i="2"/>
  <c r="BE15" i="2"/>
  <c r="BF15" i="2"/>
  <c r="BM15" i="2"/>
  <c r="AM16" i="2"/>
  <c r="AN16" i="2"/>
  <c r="AO16" i="2"/>
  <c r="AT16" i="2"/>
  <c r="AU16" i="2"/>
  <c r="AV16" i="2"/>
  <c r="AW16" i="2"/>
  <c r="AX16" i="2"/>
  <c r="AZ16" i="2"/>
  <c r="BA16" i="2"/>
  <c r="BE16" i="2"/>
  <c r="BF16" i="2"/>
  <c r="BM16" i="2"/>
  <c r="AM17" i="2"/>
  <c r="AN17" i="2"/>
  <c r="AO17" i="2"/>
  <c r="AT17" i="2"/>
  <c r="AU17" i="2"/>
  <c r="BE17" i="2" s="1"/>
  <c r="AV17" i="2"/>
  <c r="AW17" i="2"/>
  <c r="AX17" i="2"/>
  <c r="AZ17" i="2"/>
  <c r="BA17" i="2"/>
  <c r="BF17" i="2"/>
  <c r="BM17" i="2"/>
  <c r="AM18" i="2"/>
  <c r="AN18" i="2"/>
  <c r="AO18" i="2"/>
  <c r="AT18" i="2"/>
  <c r="AU18" i="2"/>
  <c r="AV18" i="2"/>
  <c r="AW18" i="2"/>
  <c r="AX18" i="2"/>
  <c r="AZ18" i="2"/>
  <c r="BA18" i="2"/>
  <c r="BE18" i="2"/>
  <c r="BF18" i="2"/>
  <c r="BM18" i="2"/>
  <c r="AM19" i="2"/>
  <c r="AN19" i="2"/>
  <c r="AO19" i="2"/>
  <c r="AT19" i="2"/>
  <c r="AU19" i="2"/>
  <c r="AV19" i="2"/>
  <c r="AW19" i="2"/>
  <c r="AX19" i="2"/>
  <c r="AZ19" i="2"/>
  <c r="BA19" i="2"/>
  <c r="BE19" i="2"/>
  <c r="BF19" i="2"/>
  <c r="BM19" i="2"/>
  <c r="AM20" i="2"/>
  <c r="AN20" i="2"/>
  <c r="AO20" i="2"/>
  <c r="AT20" i="2"/>
  <c r="AU20" i="2"/>
  <c r="AV20" i="2"/>
  <c r="AW20" i="2"/>
  <c r="AX20" i="2"/>
  <c r="AZ20" i="2"/>
  <c r="BA20" i="2"/>
  <c r="BE20" i="2"/>
  <c r="BF20" i="2"/>
  <c r="BM20" i="2"/>
  <c r="AM21" i="2"/>
  <c r="AN21" i="2"/>
  <c r="AO21" i="2"/>
  <c r="AT21" i="2"/>
  <c r="AU21" i="2"/>
  <c r="AV21" i="2"/>
  <c r="AW21" i="2"/>
  <c r="AX21" i="2"/>
  <c r="AZ21" i="2"/>
  <c r="BA21" i="2"/>
  <c r="BE21" i="2"/>
  <c r="BF21" i="2"/>
  <c r="BM21" i="2"/>
  <c r="AM22" i="2"/>
  <c r="AN22" i="2"/>
  <c r="AO22" i="2"/>
  <c r="AT22" i="2"/>
  <c r="AU22" i="2"/>
  <c r="AV22" i="2"/>
  <c r="AW22" i="2"/>
  <c r="AX22" i="2"/>
  <c r="AZ22" i="2"/>
  <c r="BA22" i="2"/>
  <c r="BE22" i="2"/>
  <c r="BF22" i="2"/>
  <c r="BM22" i="2"/>
  <c r="AM23" i="2"/>
  <c r="AN23" i="2"/>
  <c r="AO23" i="2"/>
  <c r="AT23" i="2"/>
  <c r="AU23" i="2"/>
  <c r="AV23" i="2"/>
  <c r="AW23" i="2"/>
  <c r="AX23" i="2"/>
  <c r="AZ23" i="2"/>
  <c r="BA23" i="2"/>
  <c r="BE23" i="2"/>
  <c r="BF23" i="2"/>
  <c r="BM23" i="2"/>
  <c r="AM24" i="2"/>
  <c r="AN24" i="2"/>
  <c r="AO24" i="2"/>
  <c r="AT24" i="2"/>
  <c r="AU24" i="2"/>
  <c r="AV24" i="2"/>
  <c r="AW24" i="2"/>
  <c r="AX24" i="2"/>
  <c r="AZ24" i="2"/>
  <c r="BA24" i="2"/>
  <c r="BE24" i="2"/>
  <c r="BF24" i="2"/>
  <c r="BM24" i="2"/>
  <c r="AM25" i="2"/>
  <c r="AN25" i="2"/>
  <c r="AO25" i="2"/>
  <c r="AT25" i="2"/>
  <c r="AU25" i="2"/>
  <c r="AV25" i="2"/>
  <c r="AW25" i="2"/>
  <c r="AX25" i="2"/>
  <c r="AZ25" i="2"/>
  <c r="BA25" i="2"/>
  <c r="BE25" i="2"/>
  <c r="BF25" i="2"/>
  <c r="BM25" i="2"/>
  <c r="AM26" i="2"/>
  <c r="AN26" i="2"/>
  <c r="AO26" i="2"/>
  <c r="AT26" i="2"/>
  <c r="AU26" i="2"/>
  <c r="AV26" i="2"/>
  <c r="AW26" i="2"/>
  <c r="AX26" i="2"/>
  <c r="AZ26" i="2"/>
  <c r="BA26" i="2"/>
  <c r="BE26" i="2"/>
  <c r="BF26" i="2"/>
  <c r="BM26" i="2"/>
  <c r="AM27" i="2"/>
  <c r="AN27" i="2"/>
  <c r="AO27" i="2"/>
  <c r="AT27" i="2"/>
  <c r="AU27" i="2"/>
  <c r="AV27" i="2"/>
  <c r="AW27" i="2"/>
  <c r="AX27" i="2"/>
  <c r="AZ27" i="2"/>
  <c r="BA27" i="2"/>
  <c r="BE27" i="2"/>
  <c r="BF27" i="2"/>
  <c r="BM27" i="2"/>
  <c r="AM28" i="2"/>
  <c r="AN28" i="2"/>
  <c r="AO28" i="2"/>
  <c r="AT28" i="2"/>
  <c r="AU28" i="2"/>
  <c r="AV28" i="2"/>
  <c r="AW28" i="2"/>
  <c r="AX28" i="2"/>
  <c r="AZ28" i="2"/>
  <c r="BA28" i="2"/>
  <c r="BE28" i="2"/>
  <c r="BF28" i="2"/>
  <c r="BM28" i="2"/>
  <c r="AM29" i="2"/>
  <c r="AN29" i="2"/>
  <c r="AO29" i="2"/>
  <c r="AT29" i="2"/>
  <c r="AU29" i="2"/>
  <c r="AV29" i="2"/>
  <c r="AW29" i="2"/>
  <c r="AX29" i="2"/>
  <c r="AZ29" i="2"/>
  <c r="BA29" i="2"/>
  <c r="BE29" i="2"/>
  <c r="BF29" i="2"/>
  <c r="BM29" i="2"/>
  <c r="AM30" i="2"/>
  <c r="AN30" i="2"/>
  <c r="AO30" i="2"/>
  <c r="AT30" i="2"/>
  <c r="AU30" i="2"/>
  <c r="AV30" i="2"/>
  <c r="AW30" i="2"/>
  <c r="AX30" i="2"/>
  <c r="AZ30" i="2"/>
  <c r="BA30" i="2"/>
  <c r="BE30" i="2"/>
  <c r="BF30" i="2"/>
  <c r="BM30" i="2"/>
  <c r="AM31" i="2"/>
  <c r="AN31" i="2"/>
  <c r="AO31" i="2"/>
  <c r="AT31" i="2"/>
  <c r="AU31" i="2"/>
  <c r="AV31" i="2"/>
  <c r="AW31" i="2"/>
  <c r="AX31" i="2"/>
  <c r="AZ31" i="2"/>
  <c r="BA31" i="2"/>
  <c r="BE31" i="2"/>
  <c r="BF31" i="2"/>
  <c r="BM31" i="2"/>
  <c r="AM32" i="2"/>
  <c r="AN32" i="2"/>
  <c r="AO32" i="2"/>
  <c r="AT32" i="2"/>
  <c r="AU32" i="2"/>
  <c r="AV32" i="2"/>
  <c r="AW32" i="2"/>
  <c r="AX32" i="2"/>
  <c r="AZ32" i="2"/>
  <c r="BA32" i="2"/>
  <c r="BE32" i="2"/>
  <c r="BF32" i="2"/>
  <c r="BM32" i="2"/>
  <c r="AM33" i="2"/>
  <c r="AN33" i="2"/>
  <c r="AO33" i="2"/>
  <c r="AT33" i="2"/>
  <c r="AU33" i="2"/>
  <c r="BE33" i="2" s="1"/>
  <c r="AV33" i="2"/>
  <c r="AW33" i="2"/>
  <c r="AX33" i="2"/>
  <c r="AZ33" i="2"/>
  <c r="BA33" i="2"/>
  <c r="BF33" i="2"/>
  <c r="BM33" i="2"/>
  <c r="AM34" i="2"/>
  <c r="AN34" i="2"/>
  <c r="AO34" i="2"/>
  <c r="AT34" i="2"/>
  <c r="AU34" i="2"/>
  <c r="AV34" i="2"/>
  <c r="AW34" i="2"/>
  <c r="AX34" i="2"/>
  <c r="AZ34" i="2"/>
  <c r="BA34" i="2"/>
  <c r="BE34" i="2"/>
  <c r="BF34" i="2"/>
  <c r="BM34" i="2"/>
  <c r="AM35" i="2"/>
  <c r="AN35" i="2"/>
  <c r="AO35" i="2"/>
  <c r="AT35" i="2"/>
  <c r="AU35" i="2"/>
  <c r="AV35" i="2"/>
  <c r="AW35" i="2"/>
  <c r="AX35" i="2"/>
  <c r="AZ35" i="2"/>
  <c r="BA35" i="2"/>
  <c r="BE35" i="2"/>
  <c r="BF35" i="2"/>
  <c r="BM35" i="2"/>
  <c r="AM36" i="2"/>
  <c r="AN36" i="2"/>
  <c r="AO36" i="2"/>
  <c r="AT36" i="2"/>
  <c r="AU36" i="2"/>
  <c r="AV36" i="2"/>
  <c r="AW36" i="2"/>
  <c r="AX36" i="2"/>
  <c r="AZ36" i="2"/>
  <c r="BA36" i="2"/>
  <c r="BE36" i="2"/>
  <c r="BF36" i="2"/>
  <c r="BM36" i="2"/>
  <c r="AM37" i="2"/>
  <c r="AN37" i="2"/>
  <c r="AO37" i="2"/>
  <c r="AT37" i="2"/>
  <c r="AU37" i="2"/>
  <c r="AV37" i="2"/>
  <c r="AW37" i="2"/>
  <c r="AX37" i="2"/>
  <c r="AZ37" i="2"/>
  <c r="BA37" i="2"/>
  <c r="BE37" i="2"/>
  <c r="BF37" i="2"/>
  <c r="BM37" i="2"/>
  <c r="AM38" i="2"/>
  <c r="AN38" i="2"/>
  <c r="AO38" i="2"/>
  <c r="AT38" i="2"/>
  <c r="AU38" i="2"/>
  <c r="AV38" i="2"/>
  <c r="AW38" i="2"/>
  <c r="AX38" i="2"/>
  <c r="AZ38" i="2"/>
  <c r="BA38" i="2"/>
  <c r="BE38" i="2"/>
  <c r="BF38" i="2"/>
  <c r="BM38" i="2"/>
  <c r="AM39" i="2"/>
  <c r="AN39" i="2"/>
  <c r="AO39" i="2"/>
  <c r="AT39" i="2"/>
  <c r="AU39" i="2"/>
  <c r="AV39" i="2"/>
  <c r="AW39" i="2"/>
  <c r="AX39" i="2"/>
  <c r="AZ39" i="2"/>
  <c r="BA39" i="2"/>
  <c r="BE39" i="2"/>
  <c r="BF39" i="2"/>
  <c r="BM39" i="2"/>
  <c r="AM40" i="2"/>
  <c r="AN40" i="2"/>
  <c r="AO40" i="2"/>
  <c r="AT40" i="2"/>
  <c r="AU40" i="2"/>
  <c r="AV40" i="2"/>
  <c r="AW40" i="2"/>
  <c r="AX40" i="2"/>
  <c r="AZ40" i="2"/>
  <c r="BA40" i="2"/>
  <c r="BE40" i="2"/>
  <c r="BF40" i="2"/>
  <c r="BM40" i="2"/>
  <c r="AM41" i="2"/>
  <c r="AN41" i="2"/>
  <c r="AO41" i="2"/>
  <c r="AT41" i="2"/>
  <c r="AU41" i="2"/>
  <c r="AV41" i="2"/>
  <c r="AW41" i="2"/>
  <c r="AX41" i="2"/>
  <c r="AZ41" i="2"/>
  <c r="BA41" i="2"/>
  <c r="BE41" i="2"/>
  <c r="BF41" i="2"/>
  <c r="BM41" i="2"/>
  <c r="AM42" i="2"/>
  <c r="AN42" i="2"/>
  <c r="AO42" i="2"/>
  <c r="AT42" i="2"/>
  <c r="AU42" i="2"/>
  <c r="AV42" i="2"/>
  <c r="AW42" i="2"/>
  <c r="AX42" i="2"/>
  <c r="AZ42" i="2"/>
  <c r="BA42" i="2"/>
  <c r="BE42" i="2"/>
  <c r="BF42" i="2"/>
  <c r="BM42" i="2"/>
  <c r="AM43" i="2"/>
  <c r="AN43" i="2"/>
  <c r="AO43" i="2"/>
  <c r="AT43" i="2"/>
  <c r="AU43" i="2"/>
  <c r="AV43" i="2"/>
  <c r="AW43" i="2"/>
  <c r="AX43" i="2"/>
  <c r="AZ43" i="2"/>
  <c r="BA43" i="2"/>
  <c r="BE43" i="2"/>
  <c r="BF43" i="2"/>
  <c r="BM43" i="2"/>
  <c r="AM44" i="2"/>
  <c r="AN44" i="2"/>
  <c r="AO44" i="2"/>
  <c r="AT44" i="2"/>
  <c r="AU44" i="2"/>
  <c r="AV44" i="2"/>
  <c r="AW44" i="2"/>
  <c r="AX44" i="2"/>
  <c r="AZ44" i="2"/>
  <c r="BA44" i="2"/>
  <c r="BE44" i="2"/>
  <c r="BF44" i="2"/>
  <c r="BM44" i="2"/>
  <c r="AM45" i="2"/>
  <c r="AN45" i="2"/>
  <c r="AO45" i="2"/>
  <c r="AT45" i="2"/>
  <c r="AU45" i="2"/>
  <c r="AV45" i="2"/>
  <c r="AW45" i="2"/>
  <c r="AX45" i="2"/>
  <c r="AZ45" i="2"/>
  <c r="BA45" i="2"/>
  <c r="BE45" i="2"/>
  <c r="BF45" i="2"/>
  <c r="BM45" i="2"/>
  <c r="AM46" i="2"/>
  <c r="AN46" i="2"/>
  <c r="AO46" i="2"/>
  <c r="AT46" i="2"/>
  <c r="AU46" i="2"/>
  <c r="AV46" i="2"/>
  <c r="AW46" i="2"/>
  <c r="AX46" i="2"/>
  <c r="AZ46" i="2"/>
  <c r="BA46" i="2"/>
  <c r="BE46" i="2"/>
  <c r="BF46" i="2"/>
  <c r="BM46" i="2"/>
  <c r="AM47" i="2"/>
  <c r="AN47" i="2"/>
  <c r="AO47" i="2"/>
  <c r="AT47" i="2"/>
  <c r="AU47" i="2"/>
  <c r="AV47" i="2"/>
  <c r="AW47" i="2"/>
  <c r="AX47" i="2"/>
  <c r="AZ47" i="2"/>
  <c r="BA47" i="2"/>
  <c r="BE47" i="2"/>
  <c r="BF47" i="2"/>
  <c r="BM47" i="2"/>
  <c r="AM48" i="2"/>
  <c r="AN48" i="2"/>
  <c r="AO48" i="2"/>
  <c r="AT48" i="2"/>
  <c r="AU48" i="2"/>
  <c r="AV48" i="2"/>
  <c r="AW48" i="2"/>
  <c r="AX48" i="2"/>
  <c r="AZ48" i="2"/>
  <c r="BA48" i="2"/>
  <c r="BE48" i="2"/>
  <c r="BF48" i="2"/>
  <c r="BM48" i="2"/>
  <c r="AM49" i="2"/>
  <c r="AN49" i="2"/>
  <c r="AO49" i="2"/>
  <c r="AT49" i="2"/>
  <c r="AU49" i="2"/>
  <c r="AV49" i="2"/>
  <c r="AW49" i="2"/>
  <c r="AX49" i="2"/>
  <c r="AZ49" i="2"/>
  <c r="BA49" i="2"/>
  <c r="BE49" i="2"/>
  <c r="BF49" i="2"/>
  <c r="BM49" i="2"/>
  <c r="AM50" i="2"/>
  <c r="AN50" i="2"/>
  <c r="AO50" i="2"/>
  <c r="AT50" i="2"/>
  <c r="AU50" i="2"/>
  <c r="AV50" i="2"/>
  <c r="AW50" i="2"/>
  <c r="AX50" i="2"/>
  <c r="AZ50" i="2"/>
  <c r="BA50" i="2"/>
  <c r="BE50" i="2"/>
  <c r="BF50" i="2"/>
  <c r="BM50" i="2"/>
  <c r="AM51" i="2"/>
  <c r="AN51" i="2"/>
  <c r="AO51" i="2"/>
  <c r="AT51" i="2"/>
  <c r="AU51" i="2"/>
  <c r="AV51" i="2"/>
  <c r="AW51" i="2"/>
  <c r="AX51" i="2"/>
  <c r="AZ51" i="2"/>
  <c r="BA51" i="2"/>
  <c r="BE51" i="2"/>
  <c r="BF51" i="2"/>
  <c r="BM51" i="2"/>
  <c r="AM52" i="2"/>
  <c r="AN52" i="2"/>
  <c r="AO52" i="2"/>
  <c r="AT52" i="2"/>
  <c r="AU52" i="2"/>
  <c r="AV52" i="2"/>
  <c r="AW52" i="2"/>
  <c r="AX52" i="2"/>
  <c r="AZ52" i="2"/>
  <c r="BA52" i="2"/>
  <c r="BE52" i="2"/>
  <c r="BF52" i="2"/>
  <c r="BM52" i="2"/>
  <c r="AM53" i="2"/>
  <c r="AN53" i="2"/>
  <c r="AO53" i="2"/>
  <c r="AT53" i="2"/>
  <c r="AU53" i="2"/>
  <c r="AV53" i="2"/>
  <c r="AW53" i="2"/>
  <c r="AX53" i="2"/>
  <c r="AZ53" i="2"/>
  <c r="BA53" i="2"/>
  <c r="BE53" i="2"/>
  <c r="BF53" i="2"/>
  <c r="BM53" i="2"/>
  <c r="AM54" i="2"/>
  <c r="AN54" i="2"/>
  <c r="AO54" i="2"/>
  <c r="AT54" i="2"/>
  <c r="AU54" i="2"/>
  <c r="BE54" i="2" s="1"/>
  <c r="AV54" i="2"/>
  <c r="AW54" i="2"/>
  <c r="AX54" i="2"/>
  <c r="AZ54" i="2"/>
  <c r="BA54" i="2"/>
  <c r="BF54" i="2"/>
  <c r="BM54" i="2"/>
  <c r="AM55" i="2"/>
  <c r="AN55" i="2"/>
  <c r="AO55" i="2"/>
  <c r="AT55" i="2"/>
  <c r="AU55" i="2"/>
  <c r="AV55" i="2"/>
  <c r="AW55" i="2"/>
  <c r="AX55" i="2"/>
  <c r="AZ55" i="2"/>
  <c r="BA55" i="2"/>
  <c r="BE55" i="2"/>
  <c r="BF55" i="2"/>
  <c r="BM55" i="2"/>
  <c r="AM56" i="2"/>
  <c r="AN56" i="2"/>
  <c r="AO56" i="2"/>
  <c r="AT56" i="2"/>
  <c r="AU56" i="2"/>
  <c r="AV56" i="2"/>
  <c r="AW56" i="2"/>
  <c r="AX56" i="2"/>
  <c r="AZ56" i="2"/>
  <c r="BA56" i="2"/>
  <c r="BE56" i="2"/>
  <c r="BF56" i="2"/>
  <c r="BM56" i="2"/>
  <c r="AM57" i="2"/>
  <c r="AN57" i="2"/>
  <c r="AO57" i="2"/>
  <c r="AT57" i="2"/>
  <c r="AU57" i="2"/>
  <c r="AV57" i="2"/>
  <c r="AW57" i="2"/>
  <c r="AX57" i="2"/>
  <c r="AZ57" i="2"/>
  <c r="BA57" i="2"/>
  <c r="BE57" i="2"/>
  <c r="BF57" i="2"/>
  <c r="BM57" i="2"/>
  <c r="AM58" i="2"/>
  <c r="AN58" i="2"/>
  <c r="AO58" i="2"/>
  <c r="AT58" i="2"/>
  <c r="AU58" i="2"/>
  <c r="AV58" i="2"/>
  <c r="AW58" i="2"/>
  <c r="AX58" i="2"/>
  <c r="AZ58" i="2"/>
  <c r="BA58" i="2"/>
  <c r="BE58" i="2"/>
  <c r="BF58" i="2"/>
  <c r="BM58" i="2"/>
  <c r="AM59" i="2"/>
  <c r="AN59" i="2"/>
  <c r="AO59" i="2"/>
  <c r="AT59" i="2"/>
  <c r="AU59" i="2"/>
  <c r="AV59" i="2"/>
  <c r="AW59" i="2"/>
  <c r="AX59" i="2"/>
  <c r="AZ59" i="2"/>
  <c r="BA59" i="2"/>
  <c r="BE59" i="2"/>
  <c r="BF59" i="2"/>
  <c r="BM59" i="2"/>
  <c r="AM60" i="2"/>
  <c r="AN60" i="2"/>
  <c r="AO60" i="2"/>
  <c r="AT60" i="2"/>
  <c r="AU60" i="2"/>
  <c r="AV60" i="2"/>
  <c r="AW60" i="2"/>
  <c r="AX60" i="2"/>
  <c r="AZ60" i="2"/>
  <c r="BA60" i="2"/>
  <c r="BE60" i="2"/>
  <c r="BF60" i="2"/>
  <c r="BM60" i="2"/>
  <c r="AM61" i="2"/>
  <c r="AN61" i="2"/>
  <c r="AO61" i="2"/>
  <c r="AT61" i="2"/>
  <c r="AU61" i="2"/>
  <c r="AV61" i="2"/>
  <c r="AW61" i="2"/>
  <c r="AX61" i="2"/>
  <c r="AZ61" i="2"/>
  <c r="BA61" i="2"/>
  <c r="BE61" i="2"/>
  <c r="BF61" i="2"/>
  <c r="BM61" i="2"/>
  <c r="AM62" i="2"/>
  <c r="AN62" i="2"/>
  <c r="AO62" i="2"/>
  <c r="AT62" i="2"/>
  <c r="AU62" i="2"/>
  <c r="AV62" i="2"/>
  <c r="AW62" i="2"/>
  <c r="AX62" i="2"/>
  <c r="AZ62" i="2"/>
  <c r="BA62" i="2"/>
  <c r="BE62" i="2"/>
  <c r="BF62" i="2"/>
  <c r="BM62" i="2"/>
  <c r="AM63" i="2"/>
  <c r="AN63" i="2"/>
  <c r="AO63" i="2"/>
  <c r="AT63" i="2"/>
  <c r="AU63" i="2"/>
  <c r="AV63" i="2"/>
  <c r="AW63" i="2"/>
  <c r="AX63" i="2"/>
  <c r="AZ63" i="2"/>
  <c r="BA63" i="2"/>
  <c r="BE63" i="2"/>
  <c r="BF63" i="2"/>
  <c r="BM63" i="2"/>
  <c r="AM64" i="2"/>
  <c r="AN64" i="2"/>
  <c r="AO64" i="2"/>
  <c r="AT64" i="2"/>
  <c r="AU64" i="2"/>
  <c r="AV64" i="2"/>
  <c r="AW64" i="2"/>
  <c r="AX64" i="2"/>
  <c r="AZ64" i="2"/>
  <c r="BA64" i="2"/>
  <c r="BE64" i="2"/>
  <c r="BF64" i="2"/>
  <c r="BM64" i="2"/>
  <c r="AM65" i="2"/>
  <c r="AN65" i="2"/>
  <c r="AO65" i="2"/>
  <c r="AT65" i="2"/>
  <c r="AU65" i="2"/>
  <c r="AV65" i="2"/>
  <c r="AW65" i="2"/>
  <c r="AX65" i="2"/>
  <c r="AZ65" i="2"/>
  <c r="BA65" i="2"/>
  <c r="BE65" i="2"/>
  <c r="BF65" i="2"/>
  <c r="BM65" i="2"/>
  <c r="AM66" i="2"/>
  <c r="AN66" i="2"/>
  <c r="AO66" i="2"/>
  <c r="AT66" i="2"/>
  <c r="AU66" i="2"/>
  <c r="AV66" i="2"/>
  <c r="AW66" i="2"/>
  <c r="AX66" i="2"/>
  <c r="AZ66" i="2"/>
  <c r="BA66" i="2"/>
  <c r="BE66" i="2"/>
  <c r="BF66" i="2"/>
  <c r="BM66" i="2"/>
  <c r="AM67" i="2"/>
  <c r="AN67" i="2"/>
  <c r="AO67" i="2"/>
  <c r="AT67" i="2"/>
  <c r="AU67" i="2"/>
  <c r="AV67" i="2"/>
  <c r="AW67" i="2"/>
  <c r="AX67" i="2"/>
  <c r="AZ67" i="2"/>
  <c r="BA67" i="2"/>
  <c r="BE67" i="2"/>
  <c r="BF67" i="2"/>
  <c r="BM67" i="2"/>
  <c r="AM68" i="2"/>
  <c r="AN68" i="2"/>
  <c r="AO68" i="2"/>
  <c r="AT68" i="2"/>
  <c r="AU68" i="2"/>
  <c r="BE68" i="2" s="1"/>
  <c r="AV68" i="2"/>
  <c r="AW68" i="2"/>
  <c r="AX68" i="2"/>
  <c r="AZ68" i="2"/>
  <c r="BA68" i="2"/>
  <c r="BF68" i="2"/>
  <c r="BM68" i="2"/>
  <c r="AM69" i="2"/>
  <c r="AN69" i="2"/>
  <c r="AO69" i="2"/>
  <c r="AT69" i="2"/>
  <c r="AU69" i="2"/>
  <c r="AV69" i="2"/>
  <c r="AW69" i="2"/>
  <c r="AX69" i="2"/>
  <c r="AZ69" i="2"/>
  <c r="BA69" i="2"/>
  <c r="BE69" i="2"/>
  <c r="BF69" i="2"/>
  <c r="BM69" i="2"/>
  <c r="AM70" i="2"/>
  <c r="AN70" i="2"/>
  <c r="AO70" i="2"/>
  <c r="AT70" i="2"/>
  <c r="AU70" i="2"/>
  <c r="AV70" i="2"/>
  <c r="AW70" i="2"/>
  <c r="AX70" i="2"/>
  <c r="AZ70" i="2"/>
  <c r="BA70" i="2"/>
  <c r="BE70" i="2"/>
  <c r="BF70" i="2"/>
  <c r="BM70" i="2"/>
  <c r="AM71" i="2"/>
  <c r="AN71" i="2"/>
  <c r="AO71" i="2"/>
  <c r="AT71" i="2"/>
  <c r="AU71" i="2"/>
  <c r="AV71" i="2"/>
  <c r="AW71" i="2"/>
  <c r="AX71" i="2"/>
  <c r="AZ71" i="2"/>
  <c r="BA71" i="2"/>
  <c r="BE71" i="2"/>
  <c r="BF71" i="2"/>
  <c r="BM71" i="2"/>
  <c r="AM72" i="2"/>
  <c r="AN72" i="2"/>
  <c r="AO72" i="2"/>
  <c r="AT72" i="2"/>
  <c r="AU72" i="2"/>
  <c r="AV72" i="2"/>
  <c r="AW72" i="2"/>
  <c r="AX72" i="2"/>
  <c r="AZ72" i="2"/>
  <c r="BA72" i="2"/>
  <c r="BE72" i="2"/>
  <c r="BF72" i="2"/>
  <c r="BM72" i="2"/>
  <c r="AM73" i="2"/>
  <c r="AN73" i="2"/>
  <c r="AO73" i="2"/>
  <c r="AT73" i="2"/>
  <c r="AU73" i="2"/>
  <c r="AV73" i="2"/>
  <c r="AW73" i="2"/>
  <c r="AX73" i="2"/>
  <c r="AZ73" i="2"/>
  <c r="BA73" i="2"/>
  <c r="BE73" i="2"/>
  <c r="BF73" i="2"/>
  <c r="BM73" i="2"/>
  <c r="AM74" i="2"/>
  <c r="AN74" i="2"/>
  <c r="AO74" i="2"/>
  <c r="AT74" i="2"/>
  <c r="AU74" i="2"/>
  <c r="AV74" i="2"/>
  <c r="AW74" i="2"/>
  <c r="AX74" i="2"/>
  <c r="AZ74" i="2"/>
  <c r="BA74" i="2"/>
  <c r="BE74" i="2"/>
  <c r="BF74" i="2"/>
  <c r="BM74" i="2"/>
  <c r="AM75" i="2"/>
  <c r="AN75" i="2"/>
  <c r="AO75" i="2"/>
  <c r="AT75" i="2"/>
  <c r="AU75" i="2"/>
  <c r="AV75" i="2"/>
  <c r="AW75" i="2"/>
  <c r="AX75" i="2"/>
  <c r="AZ75" i="2"/>
  <c r="BA75" i="2"/>
  <c r="BE75" i="2"/>
  <c r="BF75" i="2"/>
  <c r="BM75" i="2"/>
  <c r="AM76" i="2"/>
  <c r="AN76" i="2"/>
  <c r="AO76" i="2"/>
  <c r="AT76" i="2"/>
  <c r="AU76" i="2"/>
  <c r="AV76" i="2"/>
  <c r="AW76" i="2"/>
  <c r="AX76" i="2"/>
  <c r="AZ76" i="2"/>
  <c r="BA76" i="2"/>
  <c r="BE76" i="2"/>
  <c r="BF76" i="2"/>
  <c r="BM76" i="2"/>
  <c r="AM77" i="2"/>
  <c r="AN77" i="2"/>
  <c r="AO77" i="2"/>
  <c r="AT77" i="2"/>
  <c r="AU77" i="2"/>
  <c r="AV77" i="2"/>
  <c r="AW77" i="2"/>
  <c r="AX77" i="2"/>
  <c r="AZ77" i="2"/>
  <c r="BA77" i="2"/>
  <c r="BE77" i="2"/>
  <c r="BF77" i="2"/>
  <c r="BM77" i="2"/>
  <c r="AM78" i="2"/>
  <c r="AN78" i="2"/>
  <c r="AO78" i="2"/>
  <c r="AT78" i="2"/>
  <c r="AU78" i="2"/>
  <c r="AV78" i="2"/>
  <c r="AW78" i="2"/>
  <c r="AX78" i="2"/>
  <c r="AZ78" i="2"/>
  <c r="BA78" i="2"/>
  <c r="BE78" i="2"/>
  <c r="BF78" i="2"/>
  <c r="BM78" i="2"/>
  <c r="AM79" i="2"/>
  <c r="AN79" i="2"/>
  <c r="AO79" i="2"/>
  <c r="AT79" i="2"/>
  <c r="AU79" i="2"/>
  <c r="BE79" i="2" s="1"/>
  <c r="AV79" i="2"/>
  <c r="AW79" i="2"/>
  <c r="AX79" i="2"/>
  <c r="AZ79" i="2"/>
  <c r="BA79" i="2"/>
  <c r="BF79" i="2"/>
  <c r="BM79" i="2"/>
  <c r="AM80" i="2"/>
  <c r="AN80" i="2"/>
  <c r="AO80" i="2"/>
  <c r="AT80" i="2"/>
  <c r="AU80" i="2"/>
  <c r="AV80" i="2"/>
  <c r="AW80" i="2"/>
  <c r="AX80" i="2"/>
  <c r="AZ80" i="2"/>
  <c r="BA80" i="2"/>
  <c r="BE80" i="2"/>
  <c r="BF80" i="2"/>
  <c r="BM80" i="2"/>
  <c r="AM81" i="2"/>
  <c r="AN81" i="2"/>
  <c r="AO81" i="2"/>
  <c r="AT81" i="2"/>
  <c r="AU81" i="2"/>
  <c r="AV81" i="2"/>
  <c r="AW81" i="2"/>
  <c r="AX81" i="2"/>
  <c r="AZ81" i="2"/>
  <c r="BA81" i="2"/>
  <c r="BE81" i="2"/>
  <c r="BF81" i="2"/>
  <c r="BM81" i="2"/>
  <c r="AM82" i="2"/>
  <c r="AN82" i="2"/>
  <c r="AO82" i="2"/>
  <c r="AT82" i="2"/>
  <c r="AU82" i="2"/>
  <c r="AV82" i="2"/>
  <c r="AW82" i="2"/>
  <c r="AX82" i="2"/>
  <c r="AZ82" i="2"/>
  <c r="BA82" i="2"/>
  <c r="BE82" i="2"/>
  <c r="BF82" i="2"/>
  <c r="BM82" i="2"/>
  <c r="AM83" i="2"/>
  <c r="AN83" i="2"/>
  <c r="AO83" i="2"/>
  <c r="AT83" i="2"/>
  <c r="AU83" i="2"/>
  <c r="AV83" i="2"/>
  <c r="AW83" i="2"/>
  <c r="AX83" i="2"/>
  <c r="AZ83" i="2"/>
  <c r="BA83" i="2"/>
  <c r="BE83" i="2"/>
  <c r="BF83" i="2"/>
  <c r="BM83" i="2"/>
  <c r="AM84" i="2"/>
  <c r="AN84" i="2"/>
  <c r="AO84" i="2"/>
  <c r="AT84" i="2"/>
  <c r="AU84" i="2"/>
  <c r="AV84" i="2"/>
  <c r="AW84" i="2"/>
  <c r="AX84" i="2"/>
  <c r="AZ84" i="2"/>
  <c r="BA84" i="2"/>
  <c r="BE84" i="2"/>
  <c r="BF84" i="2"/>
  <c r="BM84" i="2"/>
  <c r="AM85" i="2"/>
  <c r="AN85" i="2"/>
  <c r="AO85" i="2"/>
  <c r="AT85" i="2"/>
  <c r="AU85" i="2"/>
  <c r="AV85" i="2"/>
  <c r="AW85" i="2"/>
  <c r="AX85" i="2"/>
  <c r="AZ85" i="2"/>
  <c r="BA85" i="2"/>
  <c r="BE85" i="2"/>
  <c r="BF85" i="2"/>
  <c r="BM85" i="2"/>
  <c r="AM86" i="2"/>
  <c r="AN86" i="2"/>
  <c r="AO86" i="2"/>
  <c r="AT86" i="2"/>
  <c r="AU86" i="2"/>
  <c r="AV86" i="2"/>
  <c r="AW86" i="2"/>
  <c r="AX86" i="2"/>
  <c r="AZ86" i="2"/>
  <c r="BA86" i="2"/>
  <c r="BE86" i="2"/>
  <c r="BF86" i="2"/>
  <c r="BM86" i="2"/>
  <c r="AM87" i="2"/>
  <c r="AN87" i="2"/>
  <c r="AO87" i="2"/>
  <c r="AT87" i="2"/>
  <c r="AU87" i="2"/>
  <c r="AV87" i="2"/>
  <c r="AW87" i="2"/>
  <c r="AX87" i="2"/>
  <c r="AZ87" i="2"/>
  <c r="BA87" i="2"/>
  <c r="BE87" i="2"/>
  <c r="BF87" i="2"/>
  <c r="BM87" i="2"/>
  <c r="AM88" i="2"/>
  <c r="AN88" i="2"/>
  <c r="AO88" i="2"/>
  <c r="AT88" i="2"/>
  <c r="AU88" i="2"/>
  <c r="AV88" i="2"/>
  <c r="AW88" i="2"/>
  <c r="AX88" i="2"/>
  <c r="AZ88" i="2"/>
  <c r="BA88" i="2"/>
  <c r="BE88" i="2"/>
  <c r="BF88" i="2"/>
  <c r="BM88" i="2"/>
  <c r="AM89" i="2"/>
  <c r="AN89" i="2"/>
  <c r="AO89" i="2"/>
  <c r="AT89" i="2"/>
  <c r="AU89" i="2"/>
  <c r="AV89" i="2"/>
  <c r="AW89" i="2"/>
  <c r="AX89" i="2"/>
  <c r="AZ89" i="2"/>
  <c r="BA89" i="2"/>
  <c r="BE89" i="2"/>
  <c r="BF89" i="2"/>
  <c r="BM89" i="2"/>
  <c r="AM90" i="2"/>
  <c r="AN90" i="2"/>
  <c r="AO90" i="2"/>
  <c r="AT90" i="2"/>
  <c r="AU90" i="2"/>
  <c r="BE90" i="2" s="1"/>
  <c r="AV90" i="2"/>
  <c r="AW90" i="2"/>
  <c r="AX90" i="2"/>
  <c r="AZ90" i="2"/>
  <c r="BA90" i="2"/>
  <c r="BF90" i="2"/>
  <c r="BM90" i="2"/>
  <c r="AM91" i="2"/>
  <c r="AN91" i="2"/>
  <c r="AO91" i="2"/>
  <c r="AT91" i="2"/>
  <c r="AU91" i="2"/>
  <c r="AV91" i="2"/>
  <c r="AW91" i="2"/>
  <c r="AX91" i="2"/>
  <c r="AZ91" i="2"/>
  <c r="BA91" i="2"/>
  <c r="BE91" i="2"/>
  <c r="BF91" i="2"/>
  <c r="BM91" i="2"/>
  <c r="AM92" i="2"/>
  <c r="AN92" i="2"/>
  <c r="AO92" i="2"/>
  <c r="AT92" i="2"/>
  <c r="AU92" i="2"/>
  <c r="AV92" i="2"/>
  <c r="AW92" i="2"/>
  <c r="AX92" i="2"/>
  <c r="AZ92" i="2"/>
  <c r="BA92" i="2"/>
  <c r="BE92" i="2"/>
  <c r="BF92" i="2"/>
  <c r="BM92" i="2"/>
  <c r="AM93" i="2"/>
  <c r="AN93" i="2"/>
  <c r="AO93" i="2"/>
  <c r="AT93" i="2"/>
  <c r="AU93" i="2"/>
  <c r="BE93" i="2" s="1"/>
  <c r="AV93" i="2"/>
  <c r="AW93" i="2"/>
  <c r="AX93" i="2"/>
  <c r="AZ93" i="2"/>
  <c r="BA93" i="2"/>
  <c r="BF93" i="2"/>
  <c r="BM93" i="2"/>
  <c r="AM94" i="2"/>
  <c r="AN94" i="2"/>
  <c r="AO94" i="2"/>
  <c r="AT94" i="2"/>
  <c r="AU94" i="2"/>
  <c r="AV94" i="2"/>
  <c r="AW94" i="2"/>
  <c r="AX94" i="2"/>
  <c r="AZ94" i="2"/>
  <c r="BA94" i="2"/>
  <c r="BE94" i="2"/>
  <c r="BF94" i="2"/>
  <c r="BM94" i="2"/>
  <c r="AM95" i="2"/>
  <c r="AN95" i="2"/>
  <c r="AO95" i="2"/>
  <c r="AT95" i="2"/>
  <c r="AU95" i="2"/>
  <c r="BE95" i="2" s="1"/>
  <c r="AV95" i="2"/>
  <c r="AW95" i="2"/>
  <c r="AX95" i="2"/>
  <c r="AZ95" i="2"/>
  <c r="BA95" i="2"/>
  <c r="BF95" i="2"/>
  <c r="BM95" i="2"/>
  <c r="AM96" i="2"/>
  <c r="AN96" i="2"/>
  <c r="AO96" i="2"/>
  <c r="AT96" i="2"/>
  <c r="AU96" i="2"/>
  <c r="AV96" i="2"/>
  <c r="AW96" i="2"/>
  <c r="AX96" i="2"/>
  <c r="AZ96" i="2"/>
  <c r="BA96" i="2"/>
  <c r="BE96" i="2"/>
  <c r="BF96" i="2"/>
  <c r="BM96" i="2"/>
  <c r="AM97" i="2"/>
  <c r="AN97" i="2"/>
  <c r="AO97" i="2"/>
  <c r="AT97" i="2"/>
  <c r="AU97" i="2"/>
  <c r="AV97" i="2"/>
  <c r="AW97" i="2"/>
  <c r="AX97" i="2"/>
  <c r="AZ97" i="2"/>
  <c r="BA97" i="2"/>
  <c r="BE97" i="2"/>
  <c r="BF97" i="2"/>
  <c r="BM97" i="2"/>
  <c r="AM98" i="2"/>
  <c r="AN98" i="2"/>
  <c r="AO98" i="2"/>
  <c r="AT98" i="2"/>
  <c r="AU98" i="2"/>
  <c r="AV98" i="2"/>
  <c r="AW98" i="2"/>
  <c r="AX98" i="2"/>
  <c r="AZ98" i="2"/>
  <c r="BA98" i="2"/>
  <c r="BE98" i="2"/>
  <c r="BF98" i="2"/>
  <c r="BM98" i="2"/>
  <c r="AM99" i="2"/>
  <c r="AN99" i="2"/>
  <c r="AO99" i="2"/>
  <c r="AT99" i="2"/>
  <c r="AU99" i="2"/>
  <c r="AV99" i="2"/>
  <c r="AW99" i="2"/>
  <c r="AX99" i="2"/>
  <c r="AZ99" i="2"/>
  <c r="BA99" i="2"/>
  <c r="BE99" i="2"/>
  <c r="BF99" i="2"/>
  <c r="BM99" i="2"/>
  <c r="AM100" i="2"/>
  <c r="AN100" i="2"/>
  <c r="AO100" i="2"/>
  <c r="AT100" i="2"/>
  <c r="AU100" i="2"/>
  <c r="AV100" i="2"/>
  <c r="AW100" i="2"/>
  <c r="AX100" i="2"/>
  <c r="AZ100" i="2"/>
  <c r="BA100" i="2"/>
  <c r="BE100" i="2"/>
  <c r="BF100" i="2"/>
  <c r="BM100" i="2"/>
  <c r="AM101" i="2"/>
  <c r="AN101" i="2"/>
  <c r="AO101" i="2"/>
  <c r="AT101" i="2"/>
  <c r="AU101" i="2"/>
  <c r="BE101" i="2" s="1"/>
  <c r="AV101" i="2"/>
  <c r="AW101" i="2"/>
  <c r="AX101" i="2"/>
  <c r="AZ101" i="2"/>
  <c r="BA101" i="2"/>
  <c r="BF101" i="2"/>
  <c r="BM101" i="2"/>
  <c r="AM102" i="2"/>
  <c r="AN102" i="2"/>
  <c r="AO102" i="2"/>
  <c r="AT102" i="2"/>
  <c r="AU102" i="2"/>
  <c r="AV102" i="2"/>
  <c r="AW102" i="2"/>
  <c r="AX102" i="2"/>
  <c r="AZ102" i="2"/>
  <c r="BA102" i="2"/>
  <c r="BE102" i="2"/>
  <c r="BF102" i="2"/>
  <c r="BM102" i="2"/>
  <c r="AM103" i="2"/>
  <c r="AN103" i="2"/>
  <c r="AO103" i="2"/>
  <c r="AT103" i="2"/>
  <c r="AU103" i="2"/>
  <c r="BE103" i="2" s="1"/>
  <c r="AV103" i="2"/>
  <c r="AW103" i="2"/>
  <c r="AX103" i="2"/>
  <c r="AZ103" i="2"/>
  <c r="BA103" i="2"/>
  <c r="BF103" i="2"/>
  <c r="BM103" i="2"/>
  <c r="AM104" i="2"/>
  <c r="AN104" i="2"/>
  <c r="AO104" i="2"/>
  <c r="AT104" i="2"/>
  <c r="AU104" i="2"/>
  <c r="AV104" i="2"/>
  <c r="AW104" i="2"/>
  <c r="AX104" i="2"/>
  <c r="AZ104" i="2"/>
  <c r="BA104" i="2"/>
  <c r="BE104" i="2"/>
  <c r="BF104" i="2"/>
  <c r="BM104" i="2"/>
  <c r="AM105" i="2"/>
  <c r="AN105" i="2"/>
  <c r="AO105" i="2"/>
  <c r="AT105" i="2"/>
  <c r="AU105" i="2"/>
  <c r="AV105" i="2"/>
  <c r="AW105" i="2"/>
  <c r="AX105" i="2"/>
  <c r="AZ105" i="2"/>
  <c r="BA105" i="2"/>
  <c r="BE105" i="2"/>
  <c r="BF105" i="2"/>
  <c r="BM105" i="2"/>
  <c r="AM106" i="2"/>
  <c r="AN106" i="2"/>
  <c r="AO106" i="2"/>
  <c r="AT106" i="2"/>
  <c r="AU106" i="2"/>
  <c r="BE106" i="2" s="1"/>
  <c r="AV106" i="2"/>
  <c r="AW106" i="2"/>
  <c r="AX106" i="2"/>
  <c r="AZ106" i="2"/>
  <c r="BA106" i="2"/>
  <c r="BF106" i="2"/>
  <c r="BM106" i="2"/>
  <c r="AM107" i="2"/>
  <c r="AN107" i="2"/>
  <c r="AO107" i="2"/>
  <c r="AT107" i="2"/>
  <c r="AU107" i="2"/>
  <c r="AV107" i="2"/>
  <c r="AW107" i="2"/>
  <c r="AX107" i="2"/>
  <c r="AZ107" i="2"/>
  <c r="BA107" i="2"/>
  <c r="BE107" i="2"/>
  <c r="BF107" i="2"/>
  <c r="BM107" i="2"/>
  <c r="AM108" i="2"/>
  <c r="AN108" i="2"/>
  <c r="AO108" i="2"/>
  <c r="AT108" i="2"/>
  <c r="AU108" i="2"/>
  <c r="AV108" i="2"/>
  <c r="AW108" i="2"/>
  <c r="AX108" i="2"/>
  <c r="AZ108" i="2"/>
  <c r="BA108" i="2"/>
  <c r="BE108" i="2"/>
  <c r="BF108" i="2"/>
  <c r="BM108" i="2"/>
  <c r="AM109" i="2"/>
  <c r="AN109" i="2"/>
  <c r="AO109" i="2"/>
  <c r="AT109" i="2"/>
  <c r="AU109" i="2"/>
  <c r="AV109" i="2"/>
  <c r="AW109" i="2"/>
  <c r="AX109" i="2"/>
  <c r="AZ109" i="2"/>
  <c r="BA109" i="2"/>
  <c r="BE109" i="2"/>
  <c r="BF109" i="2"/>
  <c r="BM109" i="2"/>
  <c r="AM110" i="2"/>
  <c r="AN110" i="2"/>
  <c r="AO110" i="2"/>
  <c r="AT110" i="2"/>
  <c r="AU110" i="2"/>
  <c r="AV110" i="2"/>
  <c r="AW110" i="2"/>
  <c r="AX110" i="2"/>
  <c r="AZ110" i="2"/>
  <c r="BA110" i="2"/>
  <c r="BE110" i="2"/>
  <c r="BF110" i="2"/>
  <c r="BM110" i="2"/>
  <c r="AM111" i="2"/>
  <c r="AN111" i="2"/>
  <c r="AO111" i="2"/>
  <c r="AT111" i="2"/>
  <c r="AU111" i="2"/>
  <c r="AV111" i="2"/>
  <c r="AW111" i="2"/>
  <c r="AX111" i="2"/>
  <c r="AZ111" i="2"/>
  <c r="BA111" i="2"/>
  <c r="BE111" i="2"/>
  <c r="BF111" i="2"/>
  <c r="BM111" i="2"/>
  <c r="AM112" i="2"/>
  <c r="AN112" i="2"/>
  <c r="AO112" i="2"/>
  <c r="AT112" i="2"/>
  <c r="AU112" i="2"/>
  <c r="AV112" i="2"/>
  <c r="AW112" i="2"/>
  <c r="AX112" i="2"/>
  <c r="AZ112" i="2"/>
  <c r="BA112" i="2"/>
  <c r="BE112" i="2"/>
  <c r="BF112" i="2"/>
  <c r="BM112" i="2"/>
  <c r="AM113" i="2"/>
  <c r="AN113" i="2"/>
  <c r="AO113" i="2"/>
  <c r="AT113" i="2"/>
  <c r="AU113" i="2"/>
  <c r="AV113" i="2"/>
  <c r="AW113" i="2"/>
  <c r="AX113" i="2"/>
  <c r="AZ113" i="2"/>
  <c r="BA113" i="2"/>
  <c r="BE113" i="2"/>
  <c r="BF113" i="2"/>
  <c r="BM113" i="2"/>
  <c r="AM114" i="2"/>
  <c r="AN114" i="2"/>
  <c r="AO114" i="2"/>
  <c r="AT114" i="2"/>
  <c r="AU114" i="2"/>
  <c r="AV114" i="2"/>
  <c r="AW114" i="2"/>
  <c r="AX114" i="2"/>
  <c r="AZ114" i="2"/>
  <c r="BA114" i="2"/>
  <c r="BE114" i="2"/>
  <c r="BF114" i="2"/>
  <c r="BM114" i="2"/>
  <c r="AM115" i="2"/>
  <c r="AN115" i="2"/>
  <c r="AO115" i="2"/>
  <c r="AT115" i="2"/>
  <c r="AU115" i="2"/>
  <c r="AV115" i="2"/>
  <c r="AW115" i="2"/>
  <c r="AX115" i="2"/>
  <c r="AZ115" i="2"/>
  <c r="BA115" i="2"/>
  <c r="BE115" i="2"/>
  <c r="BF115" i="2"/>
  <c r="BM115" i="2"/>
  <c r="AM116" i="2"/>
  <c r="AN116" i="2"/>
  <c r="AO116" i="2"/>
  <c r="AT116" i="2"/>
  <c r="AU116" i="2"/>
  <c r="AV116" i="2"/>
  <c r="AW116" i="2"/>
  <c r="AX116" i="2"/>
  <c r="AZ116" i="2"/>
  <c r="BA116" i="2"/>
  <c r="BE116" i="2"/>
  <c r="BF116" i="2"/>
  <c r="BM116" i="2"/>
  <c r="AM117" i="2"/>
  <c r="AN117" i="2"/>
  <c r="AO117" i="2"/>
  <c r="AT117" i="2"/>
  <c r="AU117" i="2"/>
  <c r="AV117" i="2"/>
  <c r="AW117" i="2"/>
  <c r="AX117" i="2"/>
  <c r="AZ117" i="2"/>
  <c r="BA117" i="2"/>
  <c r="BE117" i="2"/>
  <c r="BF117" i="2"/>
  <c r="BM117" i="2"/>
  <c r="AM118" i="2"/>
  <c r="AN118" i="2"/>
  <c r="AO118" i="2"/>
  <c r="AT118" i="2"/>
  <c r="AU118" i="2"/>
  <c r="AV118" i="2"/>
  <c r="AW118" i="2"/>
  <c r="AX118" i="2"/>
  <c r="AZ118" i="2"/>
  <c r="BA118" i="2"/>
  <c r="BE118" i="2"/>
  <c r="BF118" i="2"/>
  <c r="BM118" i="2"/>
  <c r="AM119" i="2"/>
  <c r="AN119" i="2"/>
  <c r="AO119" i="2"/>
  <c r="AT119" i="2"/>
  <c r="AU119" i="2"/>
  <c r="AV119" i="2"/>
  <c r="AW119" i="2"/>
  <c r="AX119" i="2"/>
  <c r="AZ119" i="2"/>
  <c r="BA119" i="2"/>
  <c r="BE119" i="2"/>
  <c r="BF119" i="2"/>
  <c r="BM119" i="2"/>
  <c r="AM120" i="2"/>
  <c r="AN120" i="2"/>
  <c r="AO120" i="2"/>
  <c r="AT120" i="2"/>
  <c r="AU120" i="2"/>
  <c r="AV120" i="2"/>
  <c r="AW120" i="2"/>
  <c r="AX120" i="2"/>
  <c r="AZ120" i="2"/>
  <c r="BA120" i="2"/>
  <c r="BE120" i="2"/>
  <c r="BF120" i="2"/>
  <c r="BM120" i="2"/>
  <c r="AM121" i="2"/>
  <c r="AN121" i="2"/>
  <c r="AO121" i="2"/>
  <c r="AT121" i="2"/>
  <c r="AU121" i="2"/>
  <c r="AV121" i="2"/>
  <c r="AW121" i="2"/>
  <c r="AX121" i="2"/>
  <c r="AZ121" i="2"/>
  <c r="BA121" i="2"/>
  <c r="BE121" i="2"/>
  <c r="BF121" i="2"/>
  <c r="BM121" i="2"/>
  <c r="AM122" i="2"/>
  <c r="AN122" i="2"/>
  <c r="AO122" i="2"/>
  <c r="AT122" i="2"/>
  <c r="AU122" i="2"/>
  <c r="AV122" i="2"/>
  <c r="AW122" i="2"/>
  <c r="AX122" i="2"/>
  <c r="AZ122" i="2"/>
  <c r="BA122" i="2"/>
  <c r="BE122" i="2"/>
  <c r="BF122" i="2"/>
  <c r="BM122" i="2"/>
  <c r="AM123" i="2"/>
  <c r="AN123" i="2"/>
  <c r="AO123" i="2"/>
  <c r="AT123" i="2"/>
  <c r="AU123" i="2"/>
  <c r="AV123" i="2"/>
  <c r="AW123" i="2"/>
  <c r="AX123" i="2"/>
  <c r="AZ123" i="2"/>
  <c r="BA123" i="2"/>
  <c r="BE123" i="2"/>
  <c r="BF123" i="2"/>
  <c r="BM123" i="2"/>
  <c r="AM124" i="2"/>
  <c r="AN124" i="2"/>
  <c r="AO124" i="2"/>
  <c r="AT124" i="2"/>
  <c r="AU124" i="2"/>
  <c r="AV124" i="2"/>
  <c r="AW124" i="2"/>
  <c r="AX124" i="2"/>
  <c r="AZ124" i="2"/>
  <c r="BA124" i="2"/>
  <c r="BE124" i="2"/>
  <c r="BF124" i="2"/>
  <c r="BM124" i="2"/>
  <c r="AM125" i="2"/>
  <c r="AN125" i="2"/>
  <c r="AO125" i="2"/>
  <c r="AT125" i="2"/>
  <c r="AU125" i="2"/>
  <c r="AV125" i="2"/>
  <c r="AW125" i="2"/>
  <c r="AX125" i="2"/>
  <c r="AZ125" i="2"/>
  <c r="BA125" i="2"/>
  <c r="BE125" i="2"/>
  <c r="BF125" i="2"/>
  <c r="BM125" i="2"/>
  <c r="AM126" i="2"/>
  <c r="AN126" i="2"/>
  <c r="AO126" i="2"/>
  <c r="AT126" i="2"/>
  <c r="AU126" i="2"/>
  <c r="AV126" i="2"/>
  <c r="AW126" i="2"/>
  <c r="AX126" i="2"/>
  <c r="AZ126" i="2"/>
  <c r="BA126" i="2"/>
  <c r="BE126" i="2"/>
  <c r="BF126" i="2"/>
  <c r="BM126" i="2"/>
  <c r="AM127" i="2"/>
  <c r="AN127" i="2"/>
  <c r="AO127" i="2"/>
  <c r="AT127" i="2"/>
  <c r="AU127" i="2"/>
  <c r="AV127" i="2"/>
  <c r="AW127" i="2"/>
  <c r="AX127" i="2"/>
  <c r="AZ127" i="2"/>
  <c r="BA127" i="2"/>
  <c r="BE127" i="2"/>
  <c r="BF127" i="2"/>
  <c r="BM127" i="2"/>
  <c r="AM128" i="2"/>
  <c r="AN128" i="2"/>
  <c r="AO128" i="2"/>
  <c r="AT128" i="2"/>
  <c r="AU128" i="2"/>
  <c r="AV128" i="2"/>
  <c r="AW128" i="2"/>
  <c r="AX128" i="2"/>
  <c r="AZ128" i="2"/>
  <c r="BA128" i="2"/>
  <c r="BE128" i="2"/>
  <c r="BF128" i="2"/>
  <c r="BM128" i="2"/>
  <c r="AM129" i="2"/>
  <c r="AN129" i="2"/>
  <c r="AO129" i="2"/>
  <c r="AT129" i="2"/>
  <c r="AU129" i="2"/>
  <c r="AV129" i="2"/>
  <c r="AW129" i="2"/>
  <c r="AX129" i="2"/>
  <c r="AZ129" i="2"/>
  <c r="BA129" i="2"/>
  <c r="BE129" i="2"/>
  <c r="BF129" i="2"/>
  <c r="BM129" i="2"/>
  <c r="AM130" i="2"/>
  <c r="AN130" i="2"/>
  <c r="AO130" i="2"/>
  <c r="AT130" i="2"/>
  <c r="AU130" i="2"/>
  <c r="AV130" i="2"/>
  <c r="AW130" i="2"/>
  <c r="AX130" i="2"/>
  <c r="AZ130" i="2"/>
  <c r="BA130" i="2"/>
  <c r="BE130" i="2"/>
  <c r="BF130" i="2"/>
  <c r="BM130" i="2"/>
  <c r="AM131" i="2"/>
  <c r="AN131" i="2"/>
  <c r="AO131" i="2"/>
  <c r="AT131" i="2"/>
  <c r="AU131" i="2"/>
  <c r="AV131" i="2"/>
  <c r="AW131" i="2"/>
  <c r="AX131" i="2"/>
  <c r="AZ131" i="2"/>
  <c r="BA131" i="2"/>
  <c r="BE131" i="2"/>
  <c r="BF131" i="2"/>
  <c r="BM131" i="2"/>
  <c r="AM132" i="2"/>
  <c r="AN132" i="2"/>
  <c r="AO132" i="2"/>
  <c r="AT132" i="2"/>
  <c r="AU132" i="2"/>
  <c r="BE132" i="2" s="1"/>
  <c r="AV132" i="2"/>
  <c r="AW132" i="2"/>
  <c r="AX132" i="2"/>
  <c r="AZ132" i="2"/>
  <c r="BA132" i="2"/>
  <c r="BF132" i="2"/>
  <c r="BM132" i="2"/>
  <c r="AM133" i="2"/>
  <c r="AN133" i="2"/>
  <c r="AO133" i="2"/>
  <c r="AT133" i="2"/>
  <c r="AU133" i="2"/>
  <c r="AV133" i="2"/>
  <c r="AW133" i="2"/>
  <c r="AX133" i="2"/>
  <c r="AZ133" i="2"/>
  <c r="BA133" i="2"/>
  <c r="BE133" i="2"/>
  <c r="BF133" i="2"/>
  <c r="BM133" i="2"/>
  <c r="AM134" i="2"/>
  <c r="AN134" i="2"/>
  <c r="AO134" i="2"/>
  <c r="AT134" i="2"/>
  <c r="AU134" i="2"/>
  <c r="AV134" i="2"/>
  <c r="AW134" i="2"/>
  <c r="AX134" i="2"/>
  <c r="AZ134" i="2"/>
  <c r="BA134" i="2"/>
  <c r="BE134" i="2"/>
  <c r="BF134" i="2"/>
  <c r="BM134" i="2"/>
  <c r="AM135" i="2"/>
  <c r="AN135" i="2"/>
  <c r="AO135" i="2"/>
  <c r="AT135" i="2"/>
  <c r="AU135" i="2"/>
  <c r="BE135" i="2" s="1"/>
  <c r="AV135" i="2"/>
  <c r="AW135" i="2"/>
  <c r="AX135" i="2"/>
  <c r="AZ135" i="2"/>
  <c r="BA135" i="2"/>
  <c r="BF135" i="2"/>
  <c r="BM135" i="2"/>
  <c r="AM136" i="2"/>
  <c r="AN136" i="2"/>
  <c r="AO136" i="2"/>
  <c r="AT136" i="2"/>
  <c r="AU136" i="2"/>
  <c r="AV136" i="2"/>
  <c r="AW136" i="2"/>
  <c r="AX136" i="2"/>
  <c r="AZ136" i="2"/>
  <c r="BA136" i="2"/>
  <c r="BE136" i="2"/>
  <c r="BF136" i="2"/>
  <c r="BM136" i="2"/>
  <c r="AM137" i="2"/>
  <c r="AN137" i="2"/>
  <c r="AO137" i="2"/>
  <c r="AT137" i="2"/>
  <c r="AU137" i="2"/>
  <c r="AV137" i="2"/>
  <c r="AW137" i="2"/>
  <c r="AX137" i="2"/>
  <c r="AZ137" i="2"/>
  <c r="BA137" i="2"/>
  <c r="BE137" i="2"/>
  <c r="BF137" i="2"/>
  <c r="BM137" i="2"/>
  <c r="AM138" i="2"/>
  <c r="AN138" i="2"/>
  <c r="AO138" i="2"/>
  <c r="AT138" i="2"/>
  <c r="AU138" i="2"/>
  <c r="AV138" i="2"/>
  <c r="AW138" i="2"/>
  <c r="AX138" i="2"/>
  <c r="AZ138" i="2"/>
  <c r="BA138" i="2"/>
  <c r="BE138" i="2"/>
  <c r="BF138" i="2"/>
  <c r="BM138" i="2"/>
  <c r="AM139" i="2"/>
  <c r="AN139" i="2"/>
  <c r="AO139" i="2"/>
  <c r="AT139" i="2"/>
  <c r="AU139" i="2"/>
  <c r="AV139" i="2"/>
  <c r="AW139" i="2"/>
  <c r="AX139" i="2"/>
  <c r="AZ139" i="2"/>
  <c r="BA139" i="2"/>
  <c r="BE139" i="2"/>
  <c r="BF139" i="2"/>
  <c r="BM139" i="2"/>
  <c r="AM140" i="2"/>
  <c r="AN140" i="2"/>
  <c r="AO140" i="2"/>
  <c r="AT140" i="2"/>
  <c r="AU140" i="2"/>
  <c r="BE140" i="2" s="1"/>
  <c r="AV140" i="2"/>
  <c r="AW140" i="2"/>
  <c r="AX140" i="2"/>
  <c r="AZ140" i="2"/>
  <c r="BA140" i="2"/>
  <c r="BF140" i="2"/>
  <c r="BM140" i="2"/>
  <c r="AM141" i="2"/>
  <c r="AN141" i="2"/>
  <c r="AO141" i="2"/>
  <c r="AT141" i="2"/>
  <c r="AU141" i="2"/>
  <c r="BE141" i="2" s="1"/>
  <c r="AV141" i="2"/>
  <c r="AW141" i="2"/>
  <c r="AX141" i="2"/>
  <c r="AZ141" i="2"/>
  <c r="BA141" i="2"/>
  <c r="BF141" i="2"/>
  <c r="BM141" i="2"/>
  <c r="AM142" i="2"/>
  <c r="AN142" i="2"/>
  <c r="AO142" i="2"/>
  <c r="AT142" i="2"/>
  <c r="AU142" i="2"/>
  <c r="AV142" i="2"/>
  <c r="AW142" i="2"/>
  <c r="AX142" i="2"/>
  <c r="AZ142" i="2"/>
  <c r="BA142" i="2"/>
  <c r="BE142" i="2"/>
  <c r="BF142" i="2"/>
  <c r="BM142" i="2"/>
  <c r="AM143" i="2"/>
  <c r="AN143" i="2"/>
  <c r="AO143" i="2"/>
  <c r="AT143" i="2"/>
  <c r="AU143" i="2"/>
  <c r="BE143" i="2" s="1"/>
  <c r="AV143" i="2"/>
  <c r="AW143" i="2"/>
  <c r="AX143" i="2"/>
  <c r="AZ143" i="2"/>
  <c r="BA143" i="2"/>
  <c r="BF143" i="2"/>
  <c r="BM143" i="2"/>
  <c r="AM144" i="2"/>
  <c r="AN144" i="2"/>
  <c r="AO144" i="2"/>
  <c r="AT144" i="2"/>
  <c r="AU144" i="2"/>
  <c r="AV144" i="2"/>
  <c r="AW144" i="2"/>
  <c r="AX144" i="2"/>
  <c r="AZ144" i="2"/>
  <c r="BA144" i="2"/>
  <c r="BE144" i="2"/>
  <c r="BF144" i="2"/>
  <c r="BM144" i="2"/>
  <c r="AM145" i="2"/>
  <c r="AN145" i="2"/>
  <c r="AO145" i="2"/>
  <c r="AT145" i="2"/>
  <c r="AU145" i="2"/>
  <c r="AV145" i="2"/>
  <c r="AW145" i="2"/>
  <c r="AX145" i="2"/>
  <c r="AZ145" i="2"/>
  <c r="BA145" i="2"/>
  <c r="BE145" i="2"/>
  <c r="BF145" i="2"/>
  <c r="BM145" i="2"/>
  <c r="AM146" i="2"/>
  <c r="AN146" i="2"/>
  <c r="AO146" i="2"/>
  <c r="AT146" i="2"/>
  <c r="AU146" i="2"/>
  <c r="AV146" i="2"/>
  <c r="AW146" i="2"/>
  <c r="AX146" i="2"/>
  <c r="AZ146" i="2"/>
  <c r="BA146" i="2"/>
  <c r="BE146" i="2"/>
  <c r="BF146" i="2"/>
  <c r="BM146" i="2"/>
  <c r="AM147" i="2"/>
  <c r="AN147" i="2"/>
  <c r="AO147" i="2"/>
  <c r="AT147" i="2"/>
  <c r="AU147" i="2"/>
  <c r="AV147" i="2"/>
  <c r="AW147" i="2"/>
  <c r="AX147" i="2"/>
  <c r="AZ147" i="2"/>
  <c r="BA147" i="2"/>
  <c r="BE147" i="2"/>
  <c r="BF147" i="2"/>
  <c r="BM147" i="2"/>
  <c r="AM148" i="2"/>
  <c r="AN148" i="2"/>
  <c r="AO148" i="2"/>
  <c r="AT148" i="2"/>
  <c r="AU148" i="2"/>
  <c r="BE148" i="2" s="1"/>
  <c r="AV148" i="2"/>
  <c r="AW148" i="2"/>
  <c r="AX148" i="2"/>
  <c r="AZ148" i="2"/>
  <c r="BA148" i="2"/>
  <c r="BF148" i="2"/>
  <c r="BM148" i="2"/>
  <c r="AM149" i="2"/>
  <c r="AN149" i="2"/>
  <c r="AO149" i="2"/>
  <c r="AT149" i="2"/>
  <c r="AU149" i="2"/>
  <c r="AV149" i="2"/>
  <c r="AW149" i="2"/>
  <c r="AX149" i="2"/>
  <c r="AZ149" i="2"/>
  <c r="BA149" i="2"/>
  <c r="BE149" i="2"/>
  <c r="BF149" i="2"/>
  <c r="BM149" i="2"/>
  <c r="AM150" i="2"/>
  <c r="AN150" i="2"/>
  <c r="AO150" i="2"/>
  <c r="AT150" i="2"/>
  <c r="AU150" i="2"/>
  <c r="AV150" i="2"/>
  <c r="AW150" i="2"/>
  <c r="AX150" i="2"/>
  <c r="AZ150" i="2"/>
  <c r="BA150" i="2"/>
  <c r="BE150" i="2"/>
  <c r="BF150" i="2"/>
  <c r="BM150" i="2"/>
  <c r="AM151" i="2"/>
  <c r="AN151" i="2"/>
  <c r="AO151" i="2"/>
  <c r="AT151" i="2"/>
  <c r="AU151" i="2"/>
  <c r="AV151" i="2"/>
  <c r="AW151" i="2"/>
  <c r="AX151" i="2"/>
  <c r="AZ151" i="2"/>
  <c r="BA151" i="2"/>
  <c r="BE151" i="2"/>
  <c r="BF151" i="2"/>
  <c r="BM151" i="2"/>
  <c r="AM152" i="2"/>
  <c r="AN152" i="2"/>
  <c r="AO152" i="2"/>
  <c r="AT152" i="2"/>
  <c r="AU152" i="2"/>
  <c r="AV152" i="2"/>
  <c r="AW152" i="2"/>
  <c r="AX152" i="2"/>
  <c r="AZ152" i="2"/>
  <c r="BA152" i="2"/>
  <c r="BE152" i="2"/>
  <c r="BF152" i="2"/>
  <c r="BM152" i="2"/>
  <c r="AM153" i="2"/>
  <c r="AN153" i="2"/>
  <c r="AO153" i="2"/>
  <c r="AT153" i="2"/>
  <c r="AU153" i="2"/>
  <c r="AV153" i="2"/>
  <c r="AW153" i="2"/>
  <c r="AX153" i="2"/>
  <c r="AZ153" i="2"/>
  <c r="BA153" i="2"/>
  <c r="BE153" i="2"/>
  <c r="BF153" i="2"/>
  <c r="BM153" i="2"/>
  <c r="AM154" i="2"/>
  <c r="AN154" i="2"/>
  <c r="AO154" i="2"/>
  <c r="AT154" i="2"/>
  <c r="AU154" i="2"/>
  <c r="AV154" i="2"/>
  <c r="AW154" i="2"/>
  <c r="AX154" i="2"/>
  <c r="AZ154" i="2"/>
  <c r="BA154" i="2"/>
  <c r="BE154" i="2"/>
  <c r="BF154" i="2"/>
  <c r="BM154" i="2"/>
  <c r="AM155" i="2"/>
  <c r="AN155" i="2"/>
  <c r="AO155" i="2"/>
  <c r="AT155" i="2"/>
  <c r="AU155" i="2"/>
  <c r="AV155" i="2"/>
  <c r="AW155" i="2"/>
  <c r="AX155" i="2"/>
  <c r="AZ155" i="2"/>
  <c r="BA155" i="2"/>
  <c r="BE155" i="2"/>
  <c r="BF155" i="2"/>
  <c r="BM155" i="2"/>
  <c r="AM156" i="2"/>
  <c r="AN156" i="2"/>
  <c r="AO156" i="2"/>
  <c r="AT156" i="2"/>
  <c r="AU156" i="2"/>
  <c r="AV156" i="2"/>
  <c r="AW156" i="2"/>
  <c r="AX156" i="2"/>
  <c r="AZ156" i="2"/>
  <c r="BA156" i="2"/>
  <c r="BE156" i="2"/>
  <c r="BF156" i="2"/>
  <c r="BM156" i="2"/>
  <c r="AM157" i="2"/>
  <c r="AN157" i="2"/>
  <c r="AO157" i="2"/>
  <c r="AT157" i="2"/>
  <c r="AU157" i="2"/>
  <c r="AV157" i="2"/>
  <c r="AW157" i="2"/>
  <c r="AX157" i="2"/>
  <c r="AZ157" i="2"/>
  <c r="BA157" i="2"/>
  <c r="BE157" i="2"/>
  <c r="BF157" i="2"/>
  <c r="BM157" i="2"/>
  <c r="AM158" i="2"/>
  <c r="AN158" i="2"/>
  <c r="AO158" i="2"/>
  <c r="AT158" i="2"/>
  <c r="AU158" i="2"/>
  <c r="AV158" i="2"/>
  <c r="AW158" i="2"/>
  <c r="AX158" i="2"/>
  <c r="AZ158" i="2"/>
  <c r="BA158" i="2"/>
  <c r="BE158" i="2"/>
  <c r="BF158" i="2"/>
  <c r="BM158" i="2"/>
  <c r="AM159" i="2"/>
  <c r="AN159" i="2"/>
  <c r="AO159" i="2"/>
  <c r="AT159" i="2"/>
  <c r="AU159" i="2"/>
  <c r="AV159" i="2"/>
  <c r="AW159" i="2"/>
  <c r="AX159" i="2"/>
  <c r="AZ159" i="2"/>
  <c r="BA159" i="2"/>
  <c r="BE159" i="2"/>
  <c r="BF159" i="2"/>
  <c r="BM159" i="2"/>
  <c r="AM160" i="2"/>
  <c r="AN160" i="2"/>
  <c r="AO160" i="2"/>
  <c r="AT160" i="2"/>
  <c r="AU160" i="2"/>
  <c r="AV160" i="2"/>
  <c r="AW160" i="2"/>
  <c r="AX160" i="2"/>
  <c r="AZ160" i="2"/>
  <c r="BA160" i="2"/>
  <c r="BE160" i="2"/>
  <c r="BF160" i="2"/>
  <c r="BM160" i="2"/>
  <c r="AM161" i="2"/>
  <c r="AN161" i="2"/>
  <c r="AO161" i="2"/>
  <c r="AT161" i="2"/>
  <c r="AU161" i="2"/>
  <c r="AV161" i="2"/>
  <c r="AW161" i="2"/>
  <c r="AX161" i="2"/>
  <c r="AZ161" i="2"/>
  <c r="BA161" i="2"/>
  <c r="BE161" i="2"/>
  <c r="BF161" i="2"/>
  <c r="BM161" i="2"/>
  <c r="AM162" i="2"/>
  <c r="AN162" i="2"/>
  <c r="AO162" i="2"/>
  <c r="AT162" i="2"/>
  <c r="AU162" i="2"/>
  <c r="AV162" i="2"/>
  <c r="AW162" i="2"/>
  <c r="AX162" i="2"/>
  <c r="AZ162" i="2"/>
  <c r="BA162" i="2"/>
  <c r="BE162" i="2"/>
  <c r="BF162" i="2"/>
  <c r="BM162" i="2"/>
  <c r="AM163" i="2"/>
  <c r="AN163" i="2"/>
  <c r="AO163" i="2"/>
  <c r="AT163" i="2"/>
  <c r="AU163" i="2"/>
  <c r="AV163" i="2"/>
  <c r="AW163" i="2"/>
  <c r="AX163" i="2"/>
  <c r="AZ163" i="2"/>
  <c r="BA163" i="2"/>
  <c r="BE163" i="2"/>
  <c r="BF163" i="2"/>
  <c r="BM163" i="2"/>
  <c r="AM164" i="2"/>
  <c r="AN164" i="2"/>
  <c r="AO164" i="2"/>
  <c r="AT164" i="2"/>
  <c r="AU164" i="2"/>
  <c r="BE164" i="2" s="1"/>
  <c r="AV164" i="2"/>
  <c r="AW164" i="2"/>
  <c r="AX164" i="2"/>
  <c r="AZ164" i="2"/>
  <c r="BA164" i="2"/>
  <c r="BF164" i="2"/>
  <c r="BM164" i="2"/>
  <c r="AM165" i="2"/>
  <c r="AN165" i="2"/>
  <c r="AO165" i="2"/>
  <c r="AT165" i="2"/>
  <c r="AU165" i="2"/>
  <c r="AV165" i="2"/>
  <c r="AW165" i="2"/>
  <c r="AX165" i="2"/>
  <c r="AZ165" i="2"/>
  <c r="BA165" i="2"/>
  <c r="BE165" i="2"/>
  <c r="BF165" i="2"/>
  <c r="BM165" i="2"/>
  <c r="AM166" i="2"/>
  <c r="AN166" i="2"/>
  <c r="AO166" i="2"/>
  <c r="AT166" i="2"/>
  <c r="AU166" i="2"/>
  <c r="AV166" i="2"/>
  <c r="AW166" i="2"/>
  <c r="AX166" i="2"/>
  <c r="AZ166" i="2"/>
  <c r="BA166" i="2"/>
  <c r="BE166" i="2"/>
  <c r="BF166" i="2"/>
  <c r="BM166" i="2"/>
  <c r="AM167" i="2"/>
  <c r="AN167" i="2"/>
  <c r="AO167" i="2"/>
  <c r="AT167" i="2"/>
  <c r="AU167" i="2"/>
  <c r="AV167" i="2"/>
  <c r="AW167" i="2"/>
  <c r="AX167" i="2"/>
  <c r="AZ167" i="2"/>
  <c r="BA167" i="2"/>
  <c r="BE167" i="2"/>
  <c r="BF167" i="2"/>
  <c r="BM167" i="2"/>
  <c r="AM168" i="2"/>
  <c r="AN168" i="2"/>
  <c r="AO168" i="2"/>
  <c r="AT168" i="2"/>
  <c r="AU168" i="2"/>
  <c r="BE168" i="2" s="1"/>
  <c r="AV168" i="2"/>
  <c r="AW168" i="2"/>
  <c r="AX168" i="2"/>
  <c r="AZ168" i="2"/>
  <c r="BA168" i="2"/>
  <c r="BF168" i="2"/>
  <c r="BM168" i="2"/>
  <c r="AM169" i="2"/>
  <c r="AN169" i="2"/>
  <c r="AO169" i="2"/>
  <c r="AT169" i="2"/>
  <c r="AU169" i="2"/>
  <c r="AV169" i="2"/>
  <c r="AW169" i="2"/>
  <c r="AX169" i="2"/>
  <c r="AZ169" i="2"/>
  <c r="BA169" i="2"/>
  <c r="BE169" i="2"/>
  <c r="BF169" i="2"/>
  <c r="BM169" i="2"/>
  <c r="AM170" i="2"/>
  <c r="AN170" i="2"/>
  <c r="AO170" i="2"/>
  <c r="AT170" i="2"/>
  <c r="AU170" i="2"/>
  <c r="AV170" i="2"/>
  <c r="AW170" i="2"/>
  <c r="AX170" i="2"/>
  <c r="AZ170" i="2"/>
  <c r="BA170" i="2"/>
  <c r="BE170" i="2"/>
  <c r="BF170" i="2"/>
  <c r="BM170" i="2"/>
  <c r="AM171" i="2"/>
  <c r="AN171" i="2"/>
  <c r="AO171" i="2"/>
  <c r="AT171" i="2"/>
  <c r="AU171" i="2"/>
  <c r="AV171" i="2"/>
  <c r="AW171" i="2"/>
  <c r="AX171" i="2"/>
  <c r="AZ171" i="2"/>
  <c r="BA171" i="2"/>
  <c r="BE171" i="2"/>
  <c r="BF171" i="2"/>
  <c r="BM171" i="2"/>
  <c r="AM172" i="2"/>
  <c r="AN172" i="2"/>
  <c r="AO172" i="2"/>
  <c r="AT172" i="2"/>
  <c r="AU172" i="2"/>
  <c r="AV172" i="2"/>
  <c r="AW172" i="2"/>
  <c r="AX172" i="2"/>
  <c r="AZ172" i="2"/>
  <c r="BA172" i="2"/>
  <c r="BE172" i="2"/>
  <c r="BF172" i="2"/>
  <c r="BM172" i="2"/>
  <c r="AM173" i="2"/>
  <c r="AN173" i="2"/>
  <c r="AO173" i="2"/>
  <c r="AT173" i="2"/>
  <c r="AU173" i="2"/>
  <c r="BE173" i="2" s="1"/>
  <c r="AV173" i="2"/>
  <c r="AW173" i="2"/>
  <c r="AX173" i="2"/>
  <c r="AZ173" i="2"/>
  <c r="BA173" i="2"/>
  <c r="BF173" i="2"/>
  <c r="BM173" i="2"/>
  <c r="AM174" i="2"/>
  <c r="AN174" i="2"/>
  <c r="AO174" i="2"/>
  <c r="AT174" i="2"/>
  <c r="AU174" i="2"/>
  <c r="AV174" i="2"/>
  <c r="AW174" i="2"/>
  <c r="AX174" i="2"/>
  <c r="AZ174" i="2"/>
  <c r="BA174" i="2"/>
  <c r="BE174" i="2"/>
  <c r="BF174" i="2"/>
  <c r="BM174" i="2"/>
  <c r="AM175" i="2"/>
  <c r="AN175" i="2"/>
  <c r="AO175" i="2"/>
  <c r="AT175" i="2"/>
  <c r="AU175" i="2"/>
  <c r="AV175" i="2"/>
  <c r="AW175" i="2"/>
  <c r="AX175" i="2"/>
  <c r="AZ175" i="2"/>
  <c r="BA175" i="2"/>
  <c r="BE175" i="2"/>
  <c r="BF175" i="2"/>
  <c r="BM175" i="2"/>
  <c r="AM176" i="2"/>
  <c r="AN176" i="2"/>
  <c r="AO176" i="2"/>
  <c r="AT176" i="2"/>
  <c r="AU176" i="2"/>
  <c r="AV176" i="2"/>
  <c r="AW176" i="2"/>
  <c r="AX176" i="2"/>
  <c r="AZ176" i="2"/>
  <c r="BA176" i="2"/>
  <c r="BE176" i="2"/>
  <c r="BF176" i="2"/>
  <c r="BM176" i="2"/>
  <c r="AM177" i="2"/>
  <c r="AN177" i="2"/>
  <c r="AO177" i="2"/>
  <c r="AT177" i="2"/>
  <c r="AU177" i="2"/>
  <c r="AV177" i="2"/>
  <c r="AW177" i="2"/>
  <c r="AX177" i="2"/>
  <c r="AZ177" i="2"/>
  <c r="BA177" i="2"/>
  <c r="BE177" i="2"/>
  <c r="BF177" i="2"/>
  <c r="BM177" i="2"/>
  <c r="AM178" i="2"/>
  <c r="AN178" i="2"/>
  <c r="AO178" i="2"/>
  <c r="AT178" i="2"/>
  <c r="AU178" i="2"/>
  <c r="AV178" i="2"/>
  <c r="AW178" i="2"/>
  <c r="AX178" i="2"/>
  <c r="AZ178" i="2"/>
  <c r="BA178" i="2"/>
  <c r="BE178" i="2"/>
  <c r="BF178" i="2"/>
  <c r="BM178" i="2"/>
  <c r="AM179" i="2"/>
  <c r="AN179" i="2"/>
  <c r="AO179" i="2"/>
  <c r="AT179" i="2"/>
  <c r="AU179" i="2"/>
  <c r="BE179" i="2" s="1"/>
  <c r="AV179" i="2"/>
  <c r="AW179" i="2"/>
  <c r="AX179" i="2"/>
  <c r="AZ179" i="2"/>
  <c r="BA179" i="2"/>
  <c r="BF179" i="2"/>
  <c r="BM179" i="2"/>
  <c r="AM180" i="2"/>
  <c r="AN180" i="2"/>
  <c r="AO180" i="2"/>
  <c r="AT180" i="2"/>
  <c r="AU180" i="2"/>
  <c r="AV180" i="2"/>
  <c r="AW180" i="2"/>
  <c r="AX180" i="2"/>
  <c r="AZ180" i="2"/>
  <c r="BA180" i="2"/>
  <c r="BE180" i="2"/>
  <c r="BF180" i="2"/>
  <c r="BM180" i="2"/>
  <c r="AM181" i="2"/>
  <c r="AN181" i="2"/>
  <c r="AO181" i="2"/>
  <c r="AT181" i="2"/>
  <c r="AU181" i="2"/>
  <c r="BE181" i="2" s="1"/>
  <c r="AV181" i="2"/>
  <c r="AW181" i="2"/>
  <c r="AX181" i="2"/>
  <c r="AZ181" i="2"/>
  <c r="BA181" i="2"/>
  <c r="BF181" i="2"/>
  <c r="BM181" i="2"/>
  <c r="AM182" i="2"/>
  <c r="AN182" i="2"/>
  <c r="AO182" i="2"/>
  <c r="AT182" i="2"/>
  <c r="AU182" i="2"/>
  <c r="BE182" i="2" s="1"/>
  <c r="AV182" i="2"/>
  <c r="AW182" i="2"/>
  <c r="AX182" i="2"/>
  <c r="AZ182" i="2"/>
  <c r="BA182" i="2"/>
  <c r="BF182" i="2"/>
  <c r="BM182" i="2"/>
  <c r="AM183" i="2"/>
  <c r="AN183" i="2"/>
  <c r="AO183" i="2"/>
  <c r="AT183" i="2"/>
  <c r="AU183" i="2"/>
  <c r="AV183" i="2"/>
  <c r="AW183" i="2"/>
  <c r="AX183" i="2"/>
  <c r="AZ183" i="2"/>
  <c r="BA183" i="2"/>
  <c r="BE183" i="2"/>
  <c r="BF183" i="2"/>
  <c r="BM183" i="2"/>
  <c r="AM184" i="2"/>
  <c r="AN184" i="2"/>
  <c r="AO184" i="2"/>
  <c r="AT184" i="2"/>
  <c r="AU184" i="2"/>
  <c r="AV184" i="2"/>
  <c r="AW184" i="2"/>
  <c r="AX184" i="2"/>
  <c r="AZ184" i="2"/>
  <c r="BA184" i="2"/>
  <c r="BE184" i="2"/>
  <c r="BF184" i="2"/>
  <c r="BM184" i="2"/>
  <c r="AM185" i="2"/>
  <c r="AN185" i="2"/>
  <c r="AO185" i="2"/>
  <c r="AT185" i="2"/>
  <c r="AU185" i="2"/>
  <c r="AV185" i="2"/>
  <c r="AW185" i="2"/>
  <c r="AX185" i="2"/>
  <c r="AZ185" i="2"/>
  <c r="BA185" i="2"/>
  <c r="BE185" i="2"/>
  <c r="BF185" i="2"/>
  <c r="BM185" i="2"/>
  <c r="AM186" i="2"/>
  <c r="AN186" i="2"/>
  <c r="AO186" i="2"/>
  <c r="AT186" i="2"/>
  <c r="AU186" i="2"/>
  <c r="AV186" i="2"/>
  <c r="AW186" i="2"/>
  <c r="AX186" i="2"/>
  <c r="AZ186" i="2"/>
  <c r="BA186" i="2"/>
  <c r="BE186" i="2"/>
  <c r="BF186" i="2"/>
  <c r="BM186" i="2"/>
  <c r="AM187" i="2"/>
  <c r="AN187" i="2"/>
  <c r="AO187" i="2"/>
  <c r="AT187" i="2"/>
  <c r="AU187" i="2"/>
  <c r="BE187" i="2" s="1"/>
  <c r="AV187" i="2"/>
  <c r="AW187" i="2"/>
  <c r="AX187" i="2"/>
  <c r="AZ187" i="2"/>
  <c r="BA187" i="2"/>
  <c r="BF187" i="2"/>
  <c r="BM187" i="2"/>
  <c r="AM188" i="2"/>
  <c r="AN188" i="2"/>
  <c r="AO188" i="2"/>
  <c r="AT188" i="2"/>
  <c r="AU188" i="2"/>
  <c r="AV188" i="2"/>
  <c r="AW188" i="2"/>
  <c r="AX188" i="2"/>
  <c r="AZ188" i="2"/>
  <c r="BA188" i="2"/>
  <c r="BE188" i="2"/>
  <c r="BF188" i="2"/>
  <c r="BM188" i="2"/>
  <c r="AM189" i="2"/>
  <c r="AN189" i="2"/>
  <c r="AO189" i="2"/>
  <c r="AT189" i="2"/>
  <c r="AU189" i="2"/>
  <c r="BE189" i="2" s="1"/>
  <c r="AV189" i="2"/>
  <c r="AW189" i="2"/>
  <c r="AX189" i="2"/>
  <c r="AZ189" i="2"/>
  <c r="BA189" i="2"/>
  <c r="BF189" i="2"/>
  <c r="BM189" i="2"/>
  <c r="AM190" i="2"/>
  <c r="AN190" i="2"/>
  <c r="AO190" i="2"/>
  <c r="AT190" i="2"/>
  <c r="AU190" i="2"/>
  <c r="BE190" i="2" s="1"/>
  <c r="AV190" i="2"/>
  <c r="AW190" i="2"/>
  <c r="AX190" i="2"/>
  <c r="AZ190" i="2"/>
  <c r="BA190" i="2"/>
  <c r="BF190" i="2"/>
  <c r="BM190" i="2"/>
  <c r="AM191" i="2"/>
  <c r="AN191" i="2"/>
  <c r="AO191" i="2"/>
  <c r="AT191" i="2"/>
  <c r="AU191" i="2"/>
  <c r="AV191" i="2"/>
  <c r="AW191" i="2"/>
  <c r="AX191" i="2"/>
  <c r="AZ191" i="2"/>
  <c r="BA191" i="2"/>
  <c r="BE191" i="2"/>
  <c r="BF191" i="2"/>
  <c r="BM191" i="2"/>
  <c r="AM192" i="2"/>
  <c r="AN192" i="2"/>
  <c r="AO192" i="2"/>
  <c r="AT192" i="2"/>
  <c r="AU192" i="2"/>
  <c r="AV192" i="2"/>
  <c r="AW192" i="2"/>
  <c r="AX192" i="2"/>
  <c r="AZ192" i="2"/>
  <c r="BA192" i="2"/>
  <c r="BE192" i="2"/>
  <c r="BF192" i="2"/>
  <c r="BM192" i="2"/>
  <c r="AM193" i="2"/>
  <c r="AN193" i="2"/>
  <c r="AO193" i="2"/>
  <c r="AT193" i="2"/>
  <c r="AU193" i="2"/>
  <c r="AV193" i="2"/>
  <c r="AW193" i="2"/>
  <c r="AX193" i="2"/>
  <c r="AZ193" i="2"/>
  <c r="BA193" i="2"/>
  <c r="BE193" i="2"/>
  <c r="BF193" i="2"/>
  <c r="BM193" i="2"/>
  <c r="AM194" i="2"/>
  <c r="AN194" i="2"/>
  <c r="AO194" i="2"/>
  <c r="AT194" i="2"/>
  <c r="AU194" i="2"/>
  <c r="AV194" i="2"/>
  <c r="AW194" i="2"/>
  <c r="AX194" i="2"/>
  <c r="AZ194" i="2"/>
  <c r="BA194" i="2"/>
  <c r="BE194" i="2"/>
  <c r="BF194" i="2"/>
  <c r="BM194" i="2"/>
  <c r="AM195" i="2"/>
  <c r="AN195" i="2"/>
  <c r="AO195" i="2"/>
  <c r="AT195" i="2"/>
  <c r="AU195" i="2"/>
  <c r="BE195" i="2" s="1"/>
  <c r="AV195" i="2"/>
  <c r="AW195" i="2"/>
  <c r="AX195" i="2"/>
  <c r="AZ195" i="2"/>
  <c r="BA195" i="2"/>
  <c r="BF195" i="2"/>
  <c r="BM195" i="2"/>
  <c r="AM196" i="2"/>
  <c r="AN196" i="2"/>
  <c r="AO196" i="2"/>
  <c r="AT196" i="2"/>
  <c r="AU196" i="2"/>
  <c r="AV196" i="2"/>
  <c r="AW196" i="2"/>
  <c r="AX196" i="2"/>
  <c r="AZ196" i="2"/>
  <c r="BA196" i="2"/>
  <c r="BE196" i="2"/>
  <c r="BF196" i="2"/>
  <c r="BM196" i="2"/>
  <c r="AM197" i="2"/>
  <c r="AN197" i="2"/>
  <c r="AO197" i="2"/>
  <c r="AT197" i="2"/>
  <c r="AU197" i="2"/>
  <c r="BE197" i="2" s="1"/>
  <c r="AV197" i="2"/>
  <c r="AW197" i="2"/>
  <c r="AX197" i="2"/>
  <c r="AZ197" i="2"/>
  <c r="BA197" i="2"/>
  <c r="BF197" i="2"/>
  <c r="BM197" i="2"/>
  <c r="AM198" i="2"/>
  <c r="AN198" i="2"/>
  <c r="AO198" i="2"/>
  <c r="AT198" i="2"/>
  <c r="AU198" i="2"/>
  <c r="BE198" i="2" s="1"/>
  <c r="AV198" i="2"/>
  <c r="AW198" i="2"/>
  <c r="AX198" i="2"/>
  <c r="AZ198" i="2"/>
  <c r="BA198" i="2"/>
  <c r="BF198" i="2"/>
  <c r="BM198" i="2"/>
  <c r="AM199" i="2"/>
  <c r="AN199" i="2"/>
  <c r="AO199" i="2"/>
  <c r="AT199" i="2"/>
  <c r="AU199" i="2"/>
  <c r="AV199" i="2"/>
  <c r="AW199" i="2"/>
  <c r="AX199" i="2"/>
  <c r="AZ199" i="2"/>
  <c r="BA199" i="2"/>
  <c r="BE199" i="2"/>
  <c r="BF199" i="2"/>
  <c r="BM199" i="2"/>
  <c r="AM200" i="2"/>
  <c r="AN200" i="2"/>
  <c r="AO200" i="2"/>
  <c r="AT200" i="2"/>
  <c r="AU200" i="2"/>
  <c r="AV200" i="2"/>
  <c r="AW200" i="2"/>
  <c r="AX200" i="2"/>
  <c r="AZ200" i="2"/>
  <c r="BA200" i="2"/>
  <c r="BE200" i="2"/>
  <c r="BF200" i="2"/>
  <c r="BM200" i="2"/>
  <c r="AM201" i="2"/>
  <c r="AN201" i="2"/>
  <c r="AO201" i="2"/>
  <c r="AT201" i="2"/>
  <c r="AU201" i="2"/>
  <c r="AV201" i="2"/>
  <c r="AW201" i="2"/>
  <c r="AX201" i="2"/>
  <c r="AZ201" i="2"/>
  <c r="BA201" i="2"/>
  <c r="BE201" i="2"/>
  <c r="BF201" i="2"/>
  <c r="BM201" i="2"/>
  <c r="AM202" i="2"/>
  <c r="AN202" i="2"/>
  <c r="AO202" i="2"/>
  <c r="AT202" i="2"/>
  <c r="AU202" i="2"/>
  <c r="AV202" i="2"/>
  <c r="AW202" i="2"/>
  <c r="AX202" i="2"/>
  <c r="AZ202" i="2"/>
  <c r="BA202" i="2"/>
  <c r="BE202" i="2"/>
  <c r="BF202" i="2"/>
  <c r="BM202" i="2"/>
  <c r="AM203" i="2"/>
  <c r="AN203" i="2"/>
  <c r="AO203" i="2"/>
  <c r="AT203" i="2"/>
  <c r="AU203" i="2"/>
  <c r="AV203" i="2"/>
  <c r="AW203" i="2"/>
  <c r="AX203" i="2"/>
  <c r="AZ203" i="2"/>
  <c r="BA203" i="2"/>
  <c r="BE203" i="2"/>
  <c r="BF203" i="2"/>
  <c r="BM203" i="2"/>
  <c r="AM204" i="2"/>
  <c r="AN204" i="2"/>
  <c r="AO204" i="2"/>
  <c r="AT204" i="2"/>
  <c r="AU204" i="2"/>
  <c r="BE204" i="2" s="1"/>
  <c r="AV204" i="2"/>
  <c r="AW204" i="2"/>
  <c r="AX204" i="2"/>
  <c r="AZ204" i="2"/>
  <c r="BA204" i="2"/>
  <c r="BF204" i="2"/>
  <c r="BM204" i="2"/>
  <c r="AM205" i="2"/>
  <c r="AN205" i="2"/>
  <c r="AO205" i="2"/>
  <c r="AT205" i="2"/>
  <c r="AU205" i="2"/>
  <c r="AV205" i="2"/>
  <c r="AW205" i="2"/>
  <c r="AX205" i="2"/>
  <c r="AZ205" i="2"/>
  <c r="BA205" i="2"/>
  <c r="BE205" i="2"/>
  <c r="BF205" i="2"/>
  <c r="BM205" i="2"/>
  <c r="AM206" i="2"/>
  <c r="AN206" i="2"/>
  <c r="AO206" i="2"/>
  <c r="AT206" i="2"/>
  <c r="AU206" i="2"/>
  <c r="AV206" i="2"/>
  <c r="AW206" i="2"/>
  <c r="AX206" i="2"/>
  <c r="AZ206" i="2"/>
  <c r="BA206" i="2"/>
  <c r="BE206" i="2"/>
  <c r="BF206" i="2"/>
  <c r="BM206" i="2"/>
  <c r="AM207" i="2"/>
  <c r="AN207" i="2"/>
  <c r="AO207" i="2"/>
  <c r="AT207" i="2"/>
  <c r="AU207" i="2"/>
  <c r="AV207" i="2"/>
  <c r="AW207" i="2"/>
  <c r="AX207" i="2"/>
  <c r="AZ207" i="2"/>
  <c r="BA207" i="2"/>
  <c r="BE207" i="2"/>
  <c r="BF207" i="2"/>
  <c r="BM207" i="2"/>
  <c r="AM208" i="2"/>
  <c r="AN208" i="2"/>
  <c r="AO208" i="2"/>
  <c r="AT208" i="2"/>
  <c r="AU208" i="2"/>
  <c r="AV208" i="2"/>
  <c r="AW208" i="2"/>
  <c r="AX208" i="2"/>
  <c r="AZ208" i="2"/>
  <c r="BA208" i="2"/>
  <c r="BE208" i="2"/>
  <c r="BF208" i="2"/>
  <c r="BM208" i="2"/>
  <c r="AM209" i="2"/>
  <c r="AN209" i="2"/>
  <c r="AO209" i="2"/>
  <c r="AT209" i="2"/>
  <c r="AU209" i="2"/>
  <c r="AV209" i="2"/>
  <c r="AW209" i="2"/>
  <c r="AX209" i="2"/>
  <c r="AZ209" i="2"/>
  <c r="BA209" i="2"/>
  <c r="BE209" i="2"/>
  <c r="BF209" i="2"/>
  <c r="BM209" i="2"/>
  <c r="AM210" i="2"/>
  <c r="AN210" i="2"/>
  <c r="AO210" i="2"/>
  <c r="AT210" i="2"/>
  <c r="AU210" i="2"/>
  <c r="AV210" i="2"/>
  <c r="AW210" i="2"/>
  <c r="AX210" i="2"/>
  <c r="AZ210" i="2"/>
  <c r="BA210" i="2"/>
  <c r="BE210" i="2"/>
  <c r="BF210" i="2"/>
  <c r="BM210" i="2"/>
  <c r="AM211" i="2"/>
  <c r="AN211" i="2"/>
  <c r="AO211" i="2"/>
  <c r="AT211" i="2"/>
  <c r="AU211" i="2"/>
  <c r="AV211" i="2"/>
  <c r="AW211" i="2"/>
  <c r="AX211" i="2"/>
  <c r="AZ211" i="2"/>
  <c r="BA211" i="2"/>
  <c r="BE211" i="2"/>
  <c r="BF211" i="2"/>
  <c r="BM211" i="2"/>
  <c r="AM212" i="2"/>
  <c r="AN212" i="2"/>
  <c r="AO212" i="2"/>
  <c r="AT212" i="2"/>
  <c r="AU212" i="2"/>
  <c r="BE212" i="2" s="1"/>
  <c r="AV212" i="2"/>
  <c r="AW212" i="2"/>
  <c r="AX212" i="2"/>
  <c r="AZ212" i="2"/>
  <c r="BA212" i="2"/>
  <c r="BF212" i="2"/>
  <c r="BM212" i="2"/>
  <c r="AM213" i="2"/>
  <c r="AN213" i="2"/>
  <c r="AO213" i="2"/>
  <c r="AT213" i="2"/>
  <c r="AU213" i="2"/>
  <c r="AV213" i="2"/>
  <c r="AW213" i="2"/>
  <c r="AX213" i="2"/>
  <c r="AZ213" i="2"/>
  <c r="BA213" i="2"/>
  <c r="BE213" i="2"/>
  <c r="BF213" i="2"/>
  <c r="BM213" i="2"/>
  <c r="AM214" i="2"/>
  <c r="AN214" i="2"/>
  <c r="AO214" i="2"/>
  <c r="AT214" i="2"/>
  <c r="AU214" i="2"/>
  <c r="AV214" i="2"/>
  <c r="AW214" i="2"/>
  <c r="AX214" i="2"/>
  <c r="AZ214" i="2"/>
  <c r="BA214" i="2"/>
  <c r="BE214" i="2"/>
  <c r="BF214" i="2"/>
  <c r="BM214" i="2"/>
  <c r="AM215" i="2"/>
  <c r="AN215" i="2"/>
  <c r="AO215" i="2"/>
  <c r="AT215" i="2"/>
  <c r="AU215" i="2"/>
  <c r="AV215" i="2"/>
  <c r="AW215" i="2"/>
  <c r="AX215" i="2"/>
  <c r="AZ215" i="2"/>
  <c r="BA215" i="2"/>
  <c r="BE215" i="2"/>
  <c r="BF215" i="2"/>
  <c r="BM215" i="2"/>
  <c r="AM216" i="2"/>
  <c r="AN216" i="2"/>
  <c r="AO216" i="2"/>
  <c r="AT216" i="2"/>
  <c r="AU216" i="2"/>
  <c r="AV216" i="2"/>
  <c r="AW216" i="2"/>
  <c r="AX216" i="2"/>
  <c r="AZ216" i="2"/>
  <c r="BA216" i="2"/>
  <c r="BE216" i="2"/>
  <c r="BF216" i="2"/>
  <c r="BM216" i="2"/>
  <c r="AM217" i="2"/>
  <c r="AN217" i="2"/>
  <c r="AO217" i="2"/>
  <c r="AT217" i="2"/>
  <c r="AU217" i="2"/>
  <c r="AV217" i="2"/>
  <c r="AW217" i="2"/>
  <c r="AX217" i="2"/>
  <c r="AZ217" i="2"/>
  <c r="BA217" i="2"/>
  <c r="BE217" i="2"/>
  <c r="BF217" i="2"/>
  <c r="BM217" i="2"/>
  <c r="AM218" i="2"/>
  <c r="AN218" i="2"/>
  <c r="AO218" i="2"/>
  <c r="AT218" i="2"/>
  <c r="AU218" i="2"/>
  <c r="AV218" i="2"/>
  <c r="AW218" i="2"/>
  <c r="AX218" i="2"/>
  <c r="AZ218" i="2"/>
  <c r="BA218" i="2"/>
  <c r="BE218" i="2"/>
  <c r="BF218" i="2"/>
  <c r="BM218" i="2"/>
  <c r="AM219" i="2"/>
  <c r="AN219" i="2"/>
  <c r="AO219" i="2"/>
  <c r="AT219" i="2"/>
  <c r="AU219" i="2"/>
  <c r="AV219" i="2"/>
  <c r="AW219" i="2"/>
  <c r="AX219" i="2"/>
  <c r="AZ219" i="2"/>
  <c r="BA219" i="2"/>
  <c r="BE219" i="2"/>
  <c r="BF219" i="2"/>
  <c r="BM219" i="2"/>
  <c r="AM220" i="2"/>
  <c r="AN220" i="2"/>
  <c r="AO220" i="2"/>
  <c r="AT220" i="2"/>
  <c r="AU220" i="2"/>
  <c r="AV220" i="2"/>
  <c r="AW220" i="2"/>
  <c r="AX220" i="2"/>
  <c r="AZ220" i="2"/>
  <c r="BA220" i="2"/>
  <c r="BE220" i="2"/>
  <c r="BF220" i="2"/>
  <c r="BM220" i="2"/>
  <c r="AM221" i="2"/>
  <c r="AN221" i="2"/>
  <c r="AO221" i="2"/>
  <c r="AT221" i="2"/>
  <c r="AU221" i="2"/>
  <c r="AV221" i="2"/>
  <c r="AW221" i="2"/>
  <c r="AX221" i="2"/>
  <c r="AZ221" i="2"/>
  <c r="BA221" i="2"/>
  <c r="BE221" i="2"/>
  <c r="BF221" i="2"/>
  <c r="BM221" i="2"/>
  <c r="AM222" i="2"/>
  <c r="AN222" i="2"/>
  <c r="AO222" i="2"/>
  <c r="AT222" i="2"/>
  <c r="AU222" i="2"/>
  <c r="AV222" i="2"/>
  <c r="AW222" i="2"/>
  <c r="AX222" i="2"/>
  <c r="AZ222" i="2"/>
  <c r="BA222" i="2"/>
  <c r="BE222" i="2"/>
  <c r="BF222" i="2"/>
  <c r="BM222" i="2"/>
  <c r="AM223" i="2"/>
  <c r="AN223" i="2"/>
  <c r="AO223" i="2"/>
  <c r="AT223" i="2"/>
  <c r="AU223" i="2"/>
  <c r="AV223" i="2"/>
  <c r="AW223" i="2"/>
  <c r="AX223" i="2"/>
  <c r="AZ223" i="2"/>
  <c r="BA223" i="2"/>
  <c r="BE223" i="2"/>
  <c r="BF223" i="2"/>
  <c r="BM223" i="2"/>
  <c r="AM224" i="2"/>
  <c r="AN224" i="2"/>
  <c r="AO224" i="2"/>
  <c r="AT224" i="2"/>
  <c r="AU224" i="2"/>
  <c r="AV224" i="2"/>
  <c r="AW224" i="2"/>
  <c r="AX224" i="2"/>
  <c r="AZ224" i="2"/>
  <c r="BA224" i="2"/>
  <c r="BE224" i="2"/>
  <c r="BF224" i="2"/>
  <c r="BM224" i="2"/>
  <c r="AM225" i="2"/>
  <c r="AN225" i="2"/>
  <c r="AO225" i="2"/>
  <c r="AT225" i="2"/>
  <c r="AU225" i="2"/>
  <c r="AV225" i="2"/>
  <c r="AW225" i="2"/>
  <c r="AX225" i="2"/>
  <c r="AZ225" i="2"/>
  <c r="BA225" i="2"/>
  <c r="BE225" i="2"/>
  <c r="BF225" i="2"/>
  <c r="BM225" i="2"/>
  <c r="AM226" i="2"/>
  <c r="AN226" i="2"/>
  <c r="AO226" i="2"/>
  <c r="AT226" i="2"/>
  <c r="AU226" i="2"/>
  <c r="AV226" i="2"/>
  <c r="AW226" i="2"/>
  <c r="AX226" i="2"/>
  <c r="AZ226" i="2"/>
  <c r="BA226" i="2"/>
  <c r="BE226" i="2"/>
  <c r="BF226" i="2"/>
  <c r="BM226" i="2"/>
  <c r="AM227" i="2"/>
  <c r="AN227" i="2"/>
  <c r="AO227" i="2"/>
  <c r="AT227" i="2"/>
  <c r="AU227" i="2"/>
  <c r="AV227" i="2"/>
  <c r="AW227" i="2"/>
  <c r="AX227" i="2"/>
  <c r="AZ227" i="2"/>
  <c r="BA227" i="2"/>
  <c r="BE227" i="2"/>
  <c r="BF227" i="2"/>
  <c r="BM227" i="2"/>
  <c r="AM228" i="2"/>
  <c r="AN228" i="2"/>
  <c r="AO228" i="2"/>
  <c r="AT228" i="2"/>
  <c r="AU228" i="2"/>
  <c r="AV228" i="2"/>
  <c r="AW228" i="2"/>
  <c r="AX228" i="2"/>
  <c r="AZ228" i="2"/>
  <c r="BA228" i="2"/>
  <c r="BE228" i="2"/>
  <c r="BF228" i="2"/>
  <c r="BM228" i="2"/>
  <c r="AM229" i="2"/>
  <c r="AN229" i="2"/>
  <c r="AO229" i="2"/>
  <c r="AT229" i="2"/>
  <c r="AU229" i="2"/>
  <c r="AV229" i="2"/>
  <c r="AW229" i="2"/>
  <c r="AX229" i="2"/>
  <c r="AZ229" i="2"/>
  <c r="BA229" i="2"/>
  <c r="BE229" i="2"/>
  <c r="BF229" i="2"/>
  <c r="BM229" i="2"/>
  <c r="AM230" i="2"/>
  <c r="AN230" i="2"/>
  <c r="AO230" i="2"/>
  <c r="AT230" i="2"/>
  <c r="AU230" i="2"/>
  <c r="AV230" i="2"/>
  <c r="AW230" i="2"/>
  <c r="AX230" i="2"/>
  <c r="AZ230" i="2"/>
  <c r="BA230" i="2"/>
  <c r="BE230" i="2"/>
  <c r="BF230" i="2"/>
  <c r="BM230" i="2"/>
  <c r="AM231" i="2"/>
  <c r="AN231" i="2"/>
  <c r="AO231" i="2"/>
  <c r="AT231" i="2"/>
  <c r="AU231" i="2"/>
  <c r="AV231" i="2"/>
  <c r="AW231" i="2"/>
  <c r="AX231" i="2"/>
  <c r="AZ231" i="2"/>
  <c r="BA231" i="2"/>
  <c r="BE231" i="2"/>
  <c r="BF231" i="2"/>
  <c r="BM231" i="2"/>
  <c r="AM232" i="2"/>
  <c r="AN232" i="2"/>
  <c r="AO232" i="2"/>
  <c r="AT232" i="2"/>
  <c r="AU232" i="2"/>
  <c r="AV232" i="2"/>
  <c r="AW232" i="2"/>
  <c r="AX232" i="2"/>
  <c r="AZ232" i="2"/>
  <c r="BA232" i="2"/>
  <c r="BE232" i="2"/>
  <c r="BF232" i="2"/>
  <c r="BM232" i="2"/>
  <c r="AM233" i="2"/>
  <c r="AN233" i="2"/>
  <c r="AO233" i="2"/>
  <c r="AT233" i="2"/>
  <c r="AU233" i="2"/>
  <c r="AV233" i="2"/>
  <c r="AW233" i="2"/>
  <c r="AX233" i="2"/>
  <c r="AZ233" i="2"/>
  <c r="BA233" i="2"/>
  <c r="BE233" i="2"/>
  <c r="BF233" i="2"/>
  <c r="BM233" i="2"/>
  <c r="AM234" i="2"/>
  <c r="AN234" i="2"/>
  <c r="AO234" i="2"/>
  <c r="AT234" i="2"/>
  <c r="AU234" i="2"/>
  <c r="AV234" i="2"/>
  <c r="AW234" i="2"/>
  <c r="AX234" i="2"/>
  <c r="AZ234" i="2"/>
  <c r="BA234" i="2"/>
  <c r="BE234" i="2"/>
  <c r="BF234" i="2"/>
  <c r="BM234" i="2"/>
  <c r="AM235" i="2"/>
  <c r="AN235" i="2"/>
  <c r="AO235" i="2"/>
  <c r="AT235" i="2"/>
  <c r="AU235" i="2"/>
  <c r="AV235" i="2"/>
  <c r="AW235" i="2"/>
  <c r="AX235" i="2"/>
  <c r="AZ235" i="2"/>
  <c r="BA235" i="2"/>
  <c r="BE235" i="2"/>
  <c r="BF235" i="2"/>
  <c r="BM235" i="2"/>
  <c r="AM236" i="2"/>
  <c r="AN236" i="2"/>
  <c r="AO236" i="2"/>
  <c r="AT236" i="2"/>
  <c r="AU236" i="2"/>
  <c r="AV236" i="2"/>
  <c r="AW236" i="2"/>
  <c r="AX236" i="2"/>
  <c r="AZ236" i="2"/>
  <c r="BA236" i="2"/>
  <c r="BE236" i="2"/>
  <c r="BF236" i="2"/>
  <c r="BM236" i="2"/>
  <c r="AM237" i="2"/>
  <c r="AN237" i="2"/>
  <c r="AO237" i="2"/>
  <c r="AT237" i="2"/>
  <c r="AU237" i="2"/>
  <c r="AV237" i="2"/>
  <c r="AW237" i="2"/>
  <c r="AX237" i="2"/>
  <c r="AZ237" i="2"/>
  <c r="BA237" i="2"/>
  <c r="BE237" i="2"/>
  <c r="BF237" i="2"/>
  <c r="BM237" i="2"/>
  <c r="AM238" i="2"/>
  <c r="AN238" i="2"/>
  <c r="AO238" i="2"/>
  <c r="AT238" i="2"/>
  <c r="AU238" i="2"/>
  <c r="AV238" i="2"/>
  <c r="AW238" i="2"/>
  <c r="AX238" i="2"/>
  <c r="AZ238" i="2"/>
  <c r="BA238" i="2"/>
  <c r="BE238" i="2"/>
  <c r="BF238" i="2"/>
  <c r="BM238" i="2"/>
  <c r="AM239" i="2"/>
  <c r="AN239" i="2"/>
  <c r="AO239" i="2"/>
  <c r="AT239" i="2"/>
  <c r="AU239" i="2"/>
  <c r="AV239" i="2"/>
  <c r="AW239" i="2"/>
  <c r="AX239" i="2"/>
  <c r="AZ239" i="2"/>
  <c r="BA239" i="2"/>
  <c r="BE239" i="2"/>
  <c r="BF239" i="2"/>
  <c r="BM239" i="2"/>
  <c r="AM240" i="2"/>
  <c r="AN240" i="2"/>
  <c r="AO240" i="2"/>
  <c r="AT240" i="2"/>
  <c r="AU240" i="2"/>
  <c r="AV240" i="2"/>
  <c r="AW240" i="2"/>
  <c r="AX240" i="2"/>
  <c r="AZ240" i="2"/>
  <c r="BA240" i="2"/>
  <c r="BE240" i="2"/>
  <c r="BF240" i="2"/>
  <c r="BM240" i="2"/>
  <c r="AM241" i="2"/>
  <c r="AN241" i="2"/>
  <c r="AO241" i="2"/>
  <c r="AT241" i="2"/>
  <c r="AU241" i="2"/>
  <c r="AV241" i="2"/>
  <c r="AW241" i="2"/>
  <c r="AX241" i="2"/>
  <c r="AZ241" i="2"/>
  <c r="BA241" i="2"/>
  <c r="BE241" i="2"/>
  <c r="BF241" i="2"/>
  <c r="BM241" i="2"/>
  <c r="AM242" i="2"/>
  <c r="AN242" i="2"/>
  <c r="AO242" i="2"/>
  <c r="AT242" i="2"/>
  <c r="AU242" i="2"/>
  <c r="AV242" i="2"/>
  <c r="AW242" i="2"/>
  <c r="AX242" i="2"/>
  <c r="AZ242" i="2"/>
  <c r="BA242" i="2"/>
  <c r="BE242" i="2"/>
  <c r="BF242" i="2"/>
  <c r="BM242" i="2"/>
  <c r="AM243" i="2"/>
  <c r="AN243" i="2"/>
  <c r="AO243" i="2"/>
  <c r="AT243" i="2"/>
  <c r="AU243" i="2"/>
  <c r="AV243" i="2"/>
  <c r="AW243" i="2"/>
  <c r="AX243" i="2"/>
  <c r="AZ243" i="2"/>
  <c r="BA243" i="2"/>
  <c r="BE243" i="2"/>
  <c r="BF243" i="2"/>
  <c r="BM243" i="2"/>
  <c r="AM244" i="2"/>
  <c r="AN244" i="2"/>
  <c r="AO244" i="2"/>
  <c r="AT244" i="2"/>
  <c r="AU244" i="2"/>
  <c r="AV244" i="2"/>
  <c r="AW244" i="2"/>
  <c r="AX244" i="2"/>
  <c r="AZ244" i="2"/>
  <c r="BA244" i="2"/>
  <c r="BE244" i="2"/>
  <c r="BF244" i="2"/>
  <c r="BM244" i="2"/>
  <c r="AM245" i="2"/>
  <c r="AN245" i="2"/>
  <c r="AO245" i="2"/>
  <c r="AT245" i="2"/>
  <c r="AU245" i="2"/>
  <c r="AV245" i="2"/>
  <c r="AW245" i="2"/>
  <c r="AX245" i="2"/>
  <c r="AZ245" i="2"/>
  <c r="BA245" i="2"/>
  <c r="BE245" i="2"/>
  <c r="BF245" i="2"/>
  <c r="BM245" i="2"/>
  <c r="AM246" i="2"/>
  <c r="AN246" i="2"/>
  <c r="AO246" i="2"/>
  <c r="AT246" i="2"/>
  <c r="AU246" i="2"/>
  <c r="AV246" i="2"/>
  <c r="AW246" i="2"/>
  <c r="AX246" i="2"/>
  <c r="AZ246" i="2"/>
  <c r="BA246" i="2"/>
  <c r="BE246" i="2"/>
  <c r="BF246" i="2"/>
  <c r="BM246" i="2"/>
  <c r="AM247" i="2"/>
  <c r="AN247" i="2"/>
  <c r="AO247" i="2"/>
  <c r="AT247" i="2"/>
  <c r="AU247" i="2"/>
  <c r="AV247" i="2"/>
  <c r="AW247" i="2"/>
  <c r="AX247" i="2"/>
  <c r="AZ247" i="2"/>
  <c r="BA247" i="2"/>
  <c r="BE247" i="2"/>
  <c r="BF247" i="2"/>
  <c r="BM247" i="2"/>
  <c r="AM248" i="2"/>
  <c r="AN248" i="2"/>
  <c r="AO248" i="2"/>
  <c r="AT248" i="2"/>
  <c r="AU248" i="2"/>
  <c r="AV248" i="2"/>
  <c r="AW248" i="2"/>
  <c r="AX248" i="2"/>
  <c r="AZ248" i="2"/>
  <c r="BA248" i="2"/>
  <c r="BE248" i="2"/>
  <c r="BF248" i="2"/>
  <c r="BM248" i="2"/>
  <c r="AM249" i="2"/>
  <c r="AN249" i="2"/>
  <c r="AO249" i="2"/>
  <c r="AT249" i="2"/>
  <c r="AU249" i="2"/>
  <c r="AV249" i="2"/>
  <c r="AW249" i="2"/>
  <c r="AX249" i="2"/>
  <c r="AZ249" i="2"/>
  <c r="BA249" i="2"/>
  <c r="BE249" i="2"/>
  <c r="BF249" i="2"/>
  <c r="BM249" i="2"/>
  <c r="AM250" i="2"/>
  <c r="AN250" i="2"/>
  <c r="AO250" i="2"/>
  <c r="AT250" i="2"/>
  <c r="AU250" i="2"/>
  <c r="AV250" i="2"/>
  <c r="AW250" i="2"/>
  <c r="AX250" i="2"/>
  <c r="AZ250" i="2"/>
  <c r="BA250" i="2"/>
  <c r="BE250" i="2"/>
  <c r="BF250" i="2"/>
  <c r="BM250" i="2"/>
  <c r="AM251" i="2"/>
  <c r="AN251" i="2"/>
  <c r="AO251" i="2"/>
  <c r="AT251" i="2"/>
  <c r="AU251" i="2"/>
  <c r="AV251" i="2"/>
  <c r="AW251" i="2"/>
  <c r="AX251" i="2"/>
  <c r="AZ251" i="2"/>
  <c r="BA251" i="2"/>
  <c r="BE251" i="2"/>
  <c r="BF251" i="2"/>
  <c r="BM251" i="2"/>
  <c r="AM252" i="2"/>
  <c r="AN252" i="2"/>
  <c r="AO252" i="2"/>
  <c r="AT252" i="2"/>
  <c r="AU252" i="2"/>
  <c r="AV252" i="2"/>
  <c r="AW252" i="2"/>
  <c r="AX252" i="2"/>
  <c r="AZ252" i="2"/>
  <c r="BA252" i="2"/>
  <c r="BE252" i="2"/>
  <c r="BF252" i="2"/>
  <c r="BM252" i="2"/>
  <c r="AM253" i="2"/>
  <c r="AN253" i="2"/>
  <c r="AO253" i="2"/>
  <c r="AT253" i="2"/>
  <c r="AU253" i="2"/>
  <c r="AV253" i="2"/>
  <c r="AW253" i="2"/>
  <c r="AX253" i="2"/>
  <c r="AZ253" i="2"/>
  <c r="BA253" i="2"/>
  <c r="BE253" i="2"/>
  <c r="BF253" i="2"/>
  <c r="BM253" i="2"/>
  <c r="AM254" i="2"/>
  <c r="AN254" i="2"/>
  <c r="AO254" i="2"/>
  <c r="AT254" i="2"/>
  <c r="AU254" i="2"/>
  <c r="AV254" i="2"/>
  <c r="AW254" i="2"/>
  <c r="AX254" i="2"/>
  <c r="AZ254" i="2"/>
  <c r="BA254" i="2"/>
  <c r="BE254" i="2"/>
  <c r="BF254" i="2"/>
  <c r="BM254" i="2"/>
  <c r="AM255" i="2"/>
  <c r="AN255" i="2"/>
  <c r="AO255" i="2"/>
  <c r="AT255" i="2"/>
  <c r="AU255" i="2"/>
  <c r="AV255" i="2"/>
  <c r="AW255" i="2"/>
  <c r="AX255" i="2"/>
  <c r="AZ255" i="2"/>
  <c r="BA255" i="2"/>
  <c r="BE255" i="2"/>
  <c r="BF255" i="2"/>
  <c r="BM255" i="2"/>
  <c r="AM256" i="2"/>
  <c r="AN256" i="2"/>
  <c r="AO256" i="2"/>
  <c r="AT256" i="2"/>
  <c r="AU256" i="2"/>
  <c r="AV256" i="2"/>
  <c r="AW256" i="2"/>
  <c r="AX256" i="2"/>
  <c r="AZ256" i="2"/>
  <c r="BA256" i="2"/>
  <c r="BE256" i="2"/>
  <c r="BF256" i="2"/>
  <c r="BM256" i="2"/>
  <c r="AM257" i="2"/>
  <c r="AN257" i="2"/>
  <c r="AO257" i="2"/>
  <c r="AT257" i="2"/>
  <c r="AU257" i="2"/>
  <c r="AV257" i="2"/>
  <c r="AW257" i="2"/>
  <c r="AX257" i="2"/>
  <c r="AZ257" i="2"/>
  <c r="BA257" i="2"/>
  <c r="BE257" i="2"/>
  <c r="BF257" i="2"/>
  <c r="BM257" i="2"/>
  <c r="AM258" i="2"/>
  <c r="AN258" i="2"/>
  <c r="AO258" i="2"/>
  <c r="AT258" i="2"/>
  <c r="AU258" i="2"/>
  <c r="AV258" i="2"/>
  <c r="AW258" i="2"/>
  <c r="AX258" i="2"/>
  <c r="AZ258" i="2"/>
  <c r="BA258" i="2"/>
  <c r="BE258" i="2"/>
  <c r="BF258" i="2"/>
  <c r="BM258" i="2"/>
  <c r="AM259" i="2"/>
  <c r="AN259" i="2"/>
  <c r="AO259" i="2"/>
  <c r="AT259" i="2"/>
  <c r="AU259" i="2"/>
  <c r="AV259" i="2"/>
  <c r="AW259" i="2"/>
  <c r="AX259" i="2"/>
  <c r="AZ259" i="2"/>
  <c r="BA259" i="2"/>
  <c r="BE259" i="2"/>
  <c r="BF259" i="2"/>
  <c r="BM259" i="2"/>
  <c r="AM260" i="2"/>
  <c r="AN260" i="2"/>
  <c r="AO260" i="2"/>
  <c r="AT260" i="2"/>
  <c r="AU260" i="2"/>
  <c r="AV260" i="2"/>
  <c r="AW260" i="2"/>
  <c r="AX260" i="2"/>
  <c r="AZ260" i="2"/>
  <c r="BA260" i="2"/>
  <c r="BE260" i="2"/>
  <c r="BF260" i="2"/>
  <c r="BM260" i="2"/>
  <c r="AM261" i="2"/>
  <c r="AN261" i="2"/>
  <c r="AO261" i="2"/>
  <c r="AT261" i="2"/>
  <c r="AU261" i="2"/>
  <c r="AV261" i="2"/>
  <c r="AW261" i="2"/>
  <c r="AX261" i="2"/>
  <c r="AZ261" i="2"/>
  <c r="BA261" i="2"/>
  <c r="BE261" i="2"/>
  <c r="BF261" i="2"/>
  <c r="BM261" i="2"/>
  <c r="AM262" i="2"/>
  <c r="AN262" i="2"/>
  <c r="AO262" i="2"/>
  <c r="AT262" i="2"/>
  <c r="AU262" i="2"/>
  <c r="AV262" i="2"/>
  <c r="AW262" i="2"/>
  <c r="AX262" i="2"/>
  <c r="AZ262" i="2"/>
  <c r="BA262" i="2"/>
  <c r="BE262" i="2"/>
  <c r="BF262" i="2"/>
  <c r="BM262" i="2"/>
  <c r="AM263" i="2"/>
  <c r="AN263" i="2"/>
  <c r="AO263" i="2"/>
  <c r="AT263" i="2"/>
  <c r="AU263" i="2"/>
  <c r="AV263" i="2"/>
  <c r="AW263" i="2"/>
  <c r="AX263" i="2"/>
  <c r="AZ263" i="2"/>
  <c r="BA263" i="2"/>
  <c r="BE263" i="2"/>
  <c r="BF263" i="2"/>
  <c r="BM263" i="2"/>
  <c r="AM264" i="2"/>
  <c r="AN264" i="2"/>
  <c r="AO264" i="2"/>
  <c r="AT264" i="2"/>
  <c r="AU264" i="2"/>
  <c r="AV264" i="2"/>
  <c r="AW264" i="2"/>
  <c r="AX264" i="2"/>
  <c r="AZ264" i="2"/>
  <c r="BA264" i="2"/>
  <c r="BE264" i="2"/>
  <c r="BF264" i="2"/>
  <c r="BM264" i="2"/>
  <c r="AM265" i="2"/>
  <c r="AN265" i="2"/>
  <c r="AO265" i="2"/>
  <c r="AT265" i="2"/>
  <c r="AU265" i="2"/>
  <c r="AV265" i="2"/>
  <c r="AW265" i="2"/>
  <c r="AX265" i="2"/>
  <c r="AZ265" i="2"/>
  <c r="BA265" i="2"/>
  <c r="BE265" i="2"/>
  <c r="BF265" i="2"/>
  <c r="BM265" i="2"/>
  <c r="AM266" i="2"/>
  <c r="AN266" i="2"/>
  <c r="AO266" i="2"/>
  <c r="AT266" i="2"/>
  <c r="AU266" i="2"/>
  <c r="AV266" i="2"/>
  <c r="AW266" i="2"/>
  <c r="AX266" i="2"/>
  <c r="AZ266" i="2"/>
  <c r="BA266" i="2"/>
  <c r="BE266" i="2"/>
  <c r="BF266" i="2"/>
  <c r="BM266" i="2"/>
  <c r="AM267" i="2"/>
  <c r="AN267" i="2"/>
  <c r="AO267" i="2"/>
  <c r="AT267" i="2"/>
  <c r="AU267" i="2"/>
  <c r="AV267" i="2"/>
  <c r="AW267" i="2"/>
  <c r="AX267" i="2"/>
  <c r="AZ267" i="2"/>
  <c r="BA267" i="2"/>
  <c r="BE267" i="2"/>
  <c r="BF267" i="2"/>
  <c r="BM267" i="2"/>
  <c r="AM268" i="2"/>
  <c r="AN268" i="2"/>
  <c r="AO268" i="2"/>
  <c r="AT268" i="2"/>
  <c r="AU268" i="2"/>
  <c r="AV268" i="2"/>
  <c r="AW268" i="2"/>
  <c r="AX268" i="2"/>
  <c r="AZ268" i="2"/>
  <c r="BA268" i="2"/>
  <c r="BE268" i="2"/>
  <c r="BF268" i="2"/>
  <c r="BM268" i="2"/>
  <c r="AM269" i="2"/>
  <c r="AN269" i="2"/>
  <c r="AO269" i="2"/>
  <c r="AT269" i="2"/>
  <c r="AU269" i="2"/>
  <c r="AV269" i="2"/>
  <c r="AW269" i="2"/>
  <c r="AX269" i="2"/>
  <c r="AZ269" i="2"/>
  <c r="BA269" i="2"/>
  <c r="BE269" i="2"/>
  <c r="BF269" i="2"/>
  <c r="BM269" i="2"/>
  <c r="AM270" i="2"/>
  <c r="AN270" i="2"/>
  <c r="AO270" i="2"/>
  <c r="AT270" i="2"/>
  <c r="AU270" i="2"/>
  <c r="AV270" i="2"/>
  <c r="AW270" i="2"/>
  <c r="AX270" i="2"/>
  <c r="AZ270" i="2"/>
  <c r="BA270" i="2"/>
  <c r="BE270" i="2"/>
  <c r="BF270" i="2"/>
  <c r="BM270" i="2"/>
  <c r="AM271" i="2"/>
  <c r="AN271" i="2"/>
  <c r="AO271" i="2"/>
  <c r="AT271" i="2"/>
  <c r="AU271" i="2"/>
  <c r="AV271" i="2"/>
  <c r="AW271" i="2"/>
  <c r="AX271" i="2"/>
  <c r="AZ271" i="2"/>
  <c r="BA271" i="2"/>
  <c r="BE271" i="2"/>
  <c r="BF271" i="2"/>
  <c r="BM271" i="2"/>
  <c r="AM272" i="2"/>
  <c r="AN272" i="2"/>
  <c r="AO272" i="2"/>
  <c r="AT272" i="2"/>
  <c r="AU272" i="2"/>
  <c r="AV272" i="2"/>
  <c r="AW272" i="2"/>
  <c r="AX272" i="2"/>
  <c r="AZ272" i="2"/>
  <c r="BA272" i="2"/>
  <c r="BE272" i="2"/>
  <c r="BF272" i="2"/>
  <c r="BM272" i="2"/>
  <c r="AM273" i="2"/>
  <c r="AN273" i="2"/>
  <c r="AO273" i="2"/>
  <c r="AT273" i="2"/>
  <c r="AU273" i="2"/>
  <c r="AV273" i="2"/>
  <c r="AW273" i="2"/>
  <c r="AX273" i="2"/>
  <c r="AZ273" i="2"/>
  <c r="BA273" i="2"/>
  <c r="BE273" i="2"/>
  <c r="BF273" i="2"/>
  <c r="BM273" i="2"/>
  <c r="AM274" i="2"/>
  <c r="AN274" i="2"/>
  <c r="AO274" i="2"/>
  <c r="AT274" i="2"/>
  <c r="AU274" i="2"/>
  <c r="AV274" i="2"/>
  <c r="AW274" i="2"/>
  <c r="AX274" i="2"/>
  <c r="AZ274" i="2"/>
  <c r="BA274" i="2"/>
  <c r="BE274" i="2"/>
  <c r="BF274" i="2"/>
  <c r="BM274" i="2"/>
  <c r="AM275" i="2"/>
  <c r="AN275" i="2"/>
  <c r="AO275" i="2"/>
  <c r="AT275" i="2"/>
  <c r="AU275" i="2"/>
  <c r="AV275" i="2"/>
  <c r="AW275" i="2"/>
  <c r="AX275" i="2"/>
  <c r="AZ275" i="2"/>
  <c r="BA275" i="2"/>
  <c r="BE275" i="2"/>
  <c r="BF275" i="2"/>
  <c r="BM275" i="2"/>
  <c r="AM276" i="2"/>
  <c r="AN276" i="2"/>
  <c r="AO276" i="2"/>
  <c r="AT276" i="2"/>
  <c r="AU276" i="2"/>
  <c r="AV276" i="2"/>
  <c r="AW276" i="2"/>
  <c r="AX276" i="2"/>
  <c r="AZ276" i="2"/>
  <c r="BA276" i="2"/>
  <c r="BE276" i="2"/>
  <c r="BF276" i="2"/>
  <c r="BM276" i="2"/>
  <c r="AM277" i="2"/>
  <c r="AN277" i="2"/>
  <c r="AO277" i="2"/>
  <c r="AT277" i="2"/>
  <c r="AU277" i="2"/>
  <c r="AV277" i="2"/>
  <c r="AW277" i="2"/>
  <c r="AX277" i="2"/>
  <c r="AZ277" i="2"/>
  <c r="BA277" i="2"/>
  <c r="BE277" i="2"/>
  <c r="BF277" i="2"/>
  <c r="BM277" i="2"/>
  <c r="AM278" i="2"/>
  <c r="AN278" i="2"/>
  <c r="AO278" i="2"/>
  <c r="AT278" i="2"/>
  <c r="AU278" i="2"/>
  <c r="BE278" i="2" s="1"/>
  <c r="AV278" i="2"/>
  <c r="AW278" i="2"/>
  <c r="AX278" i="2"/>
  <c r="AZ278" i="2"/>
  <c r="BA278" i="2"/>
  <c r="BF278" i="2"/>
  <c r="BM278" i="2"/>
  <c r="AM279" i="2"/>
  <c r="AN279" i="2"/>
  <c r="AO279" i="2"/>
  <c r="AT279" i="2"/>
  <c r="AU279" i="2"/>
  <c r="AV279" i="2"/>
  <c r="AW279" i="2"/>
  <c r="AX279" i="2"/>
  <c r="AZ279" i="2"/>
  <c r="BA279" i="2"/>
  <c r="BE279" i="2"/>
  <c r="BF279" i="2"/>
  <c r="BM279" i="2"/>
  <c r="AM280" i="2"/>
  <c r="AN280" i="2"/>
  <c r="AO280" i="2"/>
  <c r="AT280" i="2"/>
  <c r="AU280" i="2"/>
  <c r="AV280" i="2"/>
  <c r="AW280" i="2"/>
  <c r="AX280" i="2"/>
  <c r="AZ280" i="2"/>
  <c r="BA280" i="2"/>
  <c r="BE280" i="2"/>
  <c r="BF280" i="2"/>
  <c r="BM280" i="2"/>
  <c r="P7" i="2"/>
  <c r="P158" i="2"/>
  <c r="P157" i="2"/>
  <c r="P156" i="2"/>
  <c r="P155" i="2"/>
  <c r="P154" i="2"/>
  <c r="P153" i="2"/>
  <c r="P152" i="2"/>
  <c r="AK76" i="2"/>
  <c r="AK19" i="2"/>
  <c r="AK20" i="2"/>
  <c r="AK55" i="2"/>
  <c r="AK114" i="2"/>
  <c r="AK15" i="2"/>
  <c r="AK115" i="2"/>
  <c r="AK85" i="2"/>
  <c r="AK170" i="2"/>
  <c r="AK27" i="2"/>
  <c r="AK148" i="2"/>
  <c r="AK7" i="2"/>
  <c r="AK38" i="2"/>
  <c r="AK22" i="2"/>
  <c r="AK150" i="2"/>
  <c r="AK215" i="2"/>
  <c r="AK220" i="2"/>
  <c r="AK146" i="2"/>
  <c r="AK238" i="2"/>
  <c r="AK9" i="2"/>
  <c r="AK249" i="2"/>
  <c r="AK200" i="2"/>
  <c r="AK149" i="2"/>
  <c r="AK227" i="2"/>
  <c r="AK186" i="2"/>
  <c r="AK201" i="2"/>
  <c r="AK61" i="2"/>
  <c r="AK100" i="2"/>
  <c r="AK84" i="2"/>
  <c r="AK88" i="2"/>
  <c r="AK116" i="2"/>
  <c r="AK86" i="2"/>
  <c r="AK124" i="2"/>
  <c r="AK77" i="2"/>
  <c r="AK171" i="2"/>
  <c r="AK87" i="2"/>
  <c r="AK117" i="2"/>
  <c r="AK34" i="2"/>
  <c r="AK40" i="2"/>
  <c r="AK82" i="2"/>
  <c r="AK193" i="2"/>
  <c r="AK231" i="2"/>
  <c r="AK245" i="2"/>
  <c r="AK181" i="2"/>
  <c r="AK167" i="2"/>
  <c r="AK271" i="2"/>
  <c r="AK132" i="2"/>
  <c r="AK128" i="2"/>
  <c r="AK205" i="2"/>
  <c r="AK106" i="2"/>
  <c r="AK216" i="2"/>
  <c r="AK251" i="2"/>
  <c r="AK196" i="2"/>
  <c r="AK162" i="2"/>
  <c r="AK232" i="2"/>
  <c r="AK182" i="2"/>
  <c r="AK126" i="2"/>
  <c r="AK94" i="2"/>
  <c r="AK279" i="2"/>
  <c r="AK71" i="2"/>
  <c r="AK222" i="2"/>
  <c r="AK184" i="2"/>
  <c r="AK166" i="2"/>
  <c r="AK276" i="2"/>
  <c r="AK112" i="2"/>
  <c r="AK183" i="2"/>
  <c r="AK269" i="2"/>
  <c r="AK164" i="2"/>
  <c r="AK202" i="2"/>
  <c r="AK237" i="2"/>
  <c r="AK46" i="2"/>
  <c r="AK153" i="2"/>
  <c r="AK6" i="2"/>
  <c r="AK97" i="2"/>
  <c r="AK28" i="2"/>
  <c r="AK23" i="2"/>
  <c r="AK36" i="2"/>
  <c r="AK80" i="2"/>
  <c r="AK52" i="2"/>
  <c r="AK51" i="2"/>
  <c r="AK110" i="2"/>
  <c r="AK95" i="2"/>
  <c r="AK41" i="2"/>
  <c r="AK107" i="2"/>
  <c r="AK210" i="2"/>
  <c r="AK265" i="2"/>
  <c r="AK218" i="2"/>
  <c r="AK240" i="2"/>
  <c r="AK142" i="2"/>
  <c r="AK250" i="2"/>
  <c r="AK79" i="2"/>
  <c r="AK195" i="2"/>
  <c r="AK190" i="2"/>
  <c r="AK48" i="2"/>
  <c r="AK113" i="2"/>
  <c r="AK54" i="2"/>
  <c r="AK90" i="2"/>
  <c r="AK13" i="2"/>
  <c r="AK98" i="2"/>
  <c r="AK44" i="2"/>
  <c r="AK135" i="2"/>
  <c r="AK37" i="2"/>
  <c r="AK81" i="2"/>
  <c r="AK178" i="2"/>
  <c r="AK58" i="2"/>
  <c r="AK31" i="2"/>
  <c r="AK105" i="2"/>
  <c r="AK228" i="2"/>
  <c r="AK275" i="2"/>
  <c r="AK8" i="2"/>
  <c r="AK169" i="2"/>
  <c r="AK273" i="2"/>
  <c r="AK174" i="2"/>
  <c r="AK152" i="2"/>
  <c r="AK278" i="2"/>
  <c r="AK109" i="2"/>
  <c r="AK179" i="2"/>
  <c r="AK234" i="2"/>
  <c r="AK83" i="2"/>
  <c r="AK266" i="2"/>
  <c r="AK120" i="2"/>
  <c r="AK199" i="2"/>
  <c r="AK272" i="2"/>
  <c r="AK226" i="2"/>
  <c r="AK177" i="2"/>
  <c r="AK213" i="2"/>
  <c r="AK125" i="2"/>
  <c r="AK246" i="2"/>
  <c r="AK158" i="2"/>
  <c r="AK137" i="2"/>
  <c r="AK211" i="2"/>
  <c r="AK204" i="2"/>
  <c r="AK18" i="2"/>
  <c r="AK188" i="2"/>
  <c r="AK157" i="2"/>
  <c r="AK49" i="2"/>
  <c r="AK163" i="2"/>
  <c r="AK56" i="2"/>
  <c r="AK26" i="2"/>
  <c r="AK14" i="2"/>
  <c r="AK74" i="2"/>
  <c r="AK29" i="2"/>
  <c r="AK121" i="2"/>
  <c r="AK30" i="2"/>
  <c r="AK143" i="2"/>
  <c r="AK60" i="2"/>
  <c r="AK42" i="2"/>
  <c r="AK43" i="2"/>
  <c r="AK91" i="2"/>
  <c r="AK260" i="2"/>
  <c r="AK230" i="2"/>
  <c r="AK39" i="2"/>
  <c r="AK175" i="2"/>
  <c r="AK241" i="2"/>
  <c r="AK221" i="2"/>
  <c r="AK189" i="2"/>
  <c r="AK235" i="2"/>
  <c r="AK261" i="2"/>
  <c r="AK101" i="2"/>
  <c r="AK259" i="2"/>
  <c r="AK191" i="2"/>
  <c r="AK72" i="2"/>
  <c r="AK102" i="2"/>
  <c r="AK57" i="2"/>
  <c r="AK59" i="2"/>
  <c r="AK62" i="2"/>
  <c r="AK119" i="2"/>
  <c r="AK16" i="2"/>
  <c r="AK138" i="2"/>
  <c r="AK24" i="2"/>
  <c r="AK69" i="2"/>
  <c r="AK45" i="2"/>
  <c r="AK11" i="2"/>
  <c r="AK103" i="2"/>
  <c r="AK144" i="2"/>
  <c r="AK270" i="2"/>
  <c r="AK214" i="2"/>
  <c r="AK92" i="2"/>
  <c r="AK154" i="2"/>
  <c r="AK223" i="2"/>
  <c r="AK264" i="2"/>
  <c r="AK192" i="2"/>
  <c r="AK219" i="2"/>
  <c r="AK239" i="2"/>
  <c r="AK197" i="2"/>
  <c r="AK254" i="2"/>
  <c r="AK123" i="2"/>
  <c r="AK35" i="2"/>
  <c r="AK66" i="2"/>
  <c r="AK236" i="2"/>
  <c r="AK207" i="2"/>
  <c r="AK47" i="2"/>
  <c r="AK203" i="2"/>
  <c r="AK247" i="2"/>
  <c r="AK168" i="2"/>
  <c r="AK136" i="2"/>
  <c r="AK185" i="2"/>
  <c r="AK118" i="2"/>
  <c r="AK160" i="2"/>
  <c r="AK127" i="2"/>
  <c r="AK277" i="2"/>
  <c r="AK151" i="2"/>
  <c r="AK280" i="2"/>
  <c r="AK141" i="2"/>
  <c r="AK159" i="2"/>
  <c r="AK67" i="2"/>
  <c r="AK75" i="2"/>
  <c r="AK50" i="2"/>
  <c r="AK104" i="2"/>
  <c r="AK64" i="2"/>
  <c r="AK111" i="2"/>
  <c r="AK17" i="2"/>
  <c r="AK131" i="2"/>
  <c r="AK25" i="2"/>
  <c r="AK129" i="2"/>
  <c r="AK32" i="2"/>
  <c r="AK68" i="2"/>
  <c r="AK70" i="2"/>
  <c r="AK173" i="2"/>
  <c r="AK253" i="2"/>
  <c r="AK229" i="2"/>
  <c r="AK130" i="2"/>
  <c r="AK209" i="2"/>
  <c r="AK198" i="2"/>
  <c r="AK217" i="2"/>
  <c r="AK248" i="2"/>
  <c r="AK256" i="2"/>
  <c r="AK156" i="2"/>
  <c r="AK21" i="2"/>
  <c r="AK212" i="2"/>
  <c r="AK267" i="2"/>
  <c r="AK12" i="2"/>
  <c r="AK89" i="2"/>
  <c r="AK172" i="2"/>
  <c r="AK78" i="2"/>
  <c r="AK108" i="2"/>
  <c r="AK65" i="2"/>
  <c r="AK122" i="2"/>
  <c r="AK10" i="2"/>
  <c r="AK140" i="2"/>
  <c r="AK93" i="2"/>
  <c r="AK139" i="2"/>
  <c r="AK33" i="2"/>
  <c r="AK53" i="2"/>
  <c r="AK63" i="2"/>
  <c r="AK176" i="2"/>
  <c r="AK233" i="2"/>
  <c r="AK161" i="2"/>
  <c r="AK99" i="2"/>
  <c r="AK268" i="2"/>
  <c r="AK242" i="2"/>
  <c r="AK257" i="2"/>
  <c r="AK180" i="2"/>
  <c r="AK258" i="2"/>
  <c r="AK225" i="2"/>
  <c r="AK134" i="2"/>
  <c r="AK224" i="2"/>
  <c r="AK187" i="2"/>
  <c r="AK145" i="2"/>
  <c r="AK96" i="2"/>
  <c r="AK263" i="2"/>
  <c r="AK194" i="2"/>
  <c r="AK155" i="2"/>
  <c r="AK244" i="2"/>
  <c r="AK274" i="2"/>
  <c r="AK252" i="2"/>
  <c r="AK243" i="2"/>
  <c r="AK208" i="2"/>
  <c r="AK73" i="2"/>
  <c r="AK255" i="2"/>
  <c r="AK147" i="2"/>
  <c r="AK206" i="2"/>
  <c r="AK133" i="2"/>
  <c r="AK262" i="2"/>
  <c r="AK165" i="2"/>
  <c r="P6" i="2" l="1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5" i="2"/>
  <c r="P151" i="2" l="1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41" i="2" l="1"/>
  <c r="P39" i="2"/>
  <c r="P38" i="2"/>
  <c r="P37" i="2"/>
  <c r="P36" i="2"/>
  <c r="P35" i="2"/>
  <c r="P34" i="2"/>
  <c r="P33" i="2"/>
  <c r="P32" i="2"/>
  <c r="P79" i="2"/>
  <c r="P78" i="2"/>
  <c r="P77" i="2"/>
  <c r="P76" i="2"/>
  <c r="P75" i="2"/>
  <c r="P74" i="2"/>
  <c r="P73" i="2"/>
  <c r="P72" i="2"/>
  <c r="P71" i="2"/>
  <c r="P70" i="2"/>
  <c r="P69" i="2"/>
  <c r="P68" i="2"/>
  <c r="P88" i="2"/>
  <c r="P87" i="2"/>
  <c r="P86" i="2"/>
  <c r="P85" i="2"/>
  <c r="P84" i="2"/>
  <c r="P83" i="2"/>
  <c r="P82" i="2"/>
  <c r="P81" i="2"/>
  <c r="P80" i="2"/>
  <c r="P14" i="2"/>
  <c r="P13" i="2"/>
  <c r="P12" i="2"/>
  <c r="P11" i="2"/>
  <c r="P10" i="2"/>
  <c r="P9" i="2"/>
  <c r="P8" i="2"/>
  <c r="BM5" i="2"/>
  <c r="BF5" i="2"/>
  <c r="BA5" i="2"/>
  <c r="AZ5" i="2"/>
  <c r="AX5" i="2"/>
  <c r="AW5" i="2"/>
  <c r="AV5" i="2"/>
  <c r="AU5" i="2"/>
  <c r="BE5" i="2" s="1"/>
  <c r="AT5" i="2"/>
  <c r="AO5" i="2"/>
  <c r="AN5" i="2"/>
  <c r="AM5" i="2"/>
  <c r="P31" i="2"/>
  <c r="P30" i="2"/>
  <c r="P29" i="2"/>
  <c r="P28" i="2"/>
  <c r="P27" i="2"/>
  <c r="P26" i="2"/>
  <c r="P25" i="2"/>
  <c r="P24" i="2"/>
  <c r="P23" i="2"/>
  <c r="P67" i="2"/>
  <c r="P66" i="2"/>
  <c r="P65" i="2"/>
  <c r="P64" i="2"/>
  <c r="P63" i="2"/>
  <c r="P62" i="2"/>
  <c r="P61" i="2"/>
  <c r="P60" i="2"/>
  <c r="P59" i="2"/>
  <c r="P58" i="2"/>
  <c r="P57" i="2"/>
  <c r="P55" i="2"/>
  <c r="P54" i="2"/>
  <c r="P53" i="2"/>
  <c r="P52" i="2"/>
  <c r="P51" i="2"/>
  <c r="P50" i="2"/>
  <c r="AK5" i="2"/>
  <c r="P95" i="2" l="1"/>
  <c r="P94" i="2"/>
  <c r="P93" i="2"/>
  <c r="P92" i="2"/>
  <c r="P91" i="2"/>
  <c r="P90" i="2"/>
  <c r="P89" i="2"/>
  <c r="AM281" i="2" l="1"/>
  <c r="AN281" i="2"/>
  <c r="AO281" i="2"/>
  <c r="AT281" i="2"/>
  <c r="AU281" i="2"/>
  <c r="BE281" i="2" s="1"/>
  <c r="AV281" i="2"/>
  <c r="AW281" i="2"/>
  <c r="AX281" i="2"/>
  <c r="AZ281" i="2"/>
  <c r="BA281" i="2"/>
  <c r="BF281" i="2"/>
  <c r="AM282" i="2"/>
  <c r="AN282" i="2"/>
  <c r="AO282" i="2"/>
  <c r="AT282" i="2"/>
  <c r="AU282" i="2"/>
  <c r="BE282" i="2" s="1"/>
  <c r="AV282" i="2"/>
  <c r="AW282" i="2"/>
  <c r="AX282" i="2"/>
  <c r="AZ282" i="2"/>
  <c r="BA282" i="2"/>
  <c r="BF282" i="2"/>
  <c r="AM283" i="2"/>
  <c r="AN283" i="2"/>
  <c r="AO283" i="2"/>
  <c r="AT283" i="2"/>
  <c r="AU283" i="2"/>
  <c r="BE283" i="2" s="1"/>
  <c r="AV283" i="2"/>
  <c r="AW283" i="2"/>
  <c r="AX283" i="2"/>
  <c r="AZ283" i="2"/>
  <c r="BA283" i="2"/>
  <c r="BF283" i="2"/>
  <c r="AM284" i="2"/>
  <c r="AN284" i="2"/>
  <c r="AO284" i="2"/>
  <c r="AT284" i="2"/>
  <c r="AU284" i="2"/>
  <c r="BE284" i="2" s="1"/>
  <c r="AV284" i="2"/>
  <c r="AW284" i="2"/>
  <c r="AX284" i="2"/>
  <c r="AZ284" i="2"/>
  <c r="BA284" i="2"/>
  <c r="BF284" i="2"/>
  <c r="AM285" i="2"/>
  <c r="AN285" i="2"/>
  <c r="AO285" i="2"/>
  <c r="AT285" i="2"/>
  <c r="AU285" i="2"/>
  <c r="BE285" i="2" s="1"/>
  <c r="AV285" i="2"/>
  <c r="AW285" i="2"/>
  <c r="AX285" i="2"/>
  <c r="AZ285" i="2"/>
  <c r="BA285" i="2"/>
  <c r="BF285" i="2"/>
  <c r="AM286" i="2"/>
  <c r="AN286" i="2"/>
  <c r="AO286" i="2"/>
  <c r="AT286" i="2"/>
  <c r="AU286" i="2"/>
  <c r="BE286" i="2" s="1"/>
  <c r="AV286" i="2"/>
  <c r="AW286" i="2"/>
  <c r="AX286" i="2"/>
  <c r="AZ286" i="2"/>
  <c r="BA286" i="2"/>
  <c r="BF286" i="2"/>
  <c r="AM287" i="2"/>
  <c r="AN287" i="2"/>
  <c r="AO287" i="2"/>
  <c r="AT287" i="2"/>
  <c r="AU287" i="2"/>
  <c r="BE287" i="2" s="1"/>
  <c r="AV287" i="2"/>
  <c r="AW287" i="2"/>
  <c r="AX287" i="2"/>
  <c r="AZ287" i="2"/>
  <c r="BA287" i="2"/>
  <c r="BF287" i="2"/>
  <c r="AM288" i="2"/>
  <c r="AN288" i="2"/>
  <c r="AO288" i="2"/>
  <c r="AT288" i="2"/>
  <c r="AU288" i="2"/>
  <c r="BE288" i="2" s="1"/>
  <c r="AV288" i="2"/>
  <c r="AW288" i="2"/>
  <c r="AX288" i="2"/>
  <c r="AZ288" i="2"/>
  <c r="BA288" i="2"/>
  <c r="BF288" i="2"/>
  <c r="AM289" i="2"/>
  <c r="AN289" i="2"/>
  <c r="AO289" i="2"/>
  <c r="AT289" i="2"/>
  <c r="AU289" i="2"/>
  <c r="BE289" i="2" s="1"/>
  <c r="AV289" i="2"/>
  <c r="AW289" i="2"/>
  <c r="AX289" i="2"/>
  <c r="AZ289" i="2"/>
  <c r="BA289" i="2"/>
  <c r="BF289" i="2"/>
  <c r="AM290" i="2"/>
  <c r="AN290" i="2"/>
  <c r="AO290" i="2"/>
  <c r="AT290" i="2"/>
  <c r="AU290" i="2"/>
  <c r="BE290" i="2" s="1"/>
  <c r="AV290" i="2"/>
  <c r="AW290" i="2"/>
  <c r="AX290" i="2"/>
  <c r="AZ290" i="2"/>
  <c r="BA290" i="2"/>
  <c r="BF290" i="2"/>
  <c r="AM291" i="2"/>
  <c r="AN291" i="2"/>
  <c r="AO291" i="2"/>
  <c r="AT291" i="2"/>
  <c r="AU291" i="2"/>
  <c r="BE291" i="2" s="1"/>
  <c r="AV291" i="2"/>
  <c r="AW291" i="2"/>
  <c r="AX291" i="2"/>
  <c r="AZ291" i="2"/>
  <c r="BA291" i="2"/>
  <c r="BF291" i="2"/>
  <c r="AM292" i="2"/>
  <c r="AN292" i="2"/>
  <c r="AO292" i="2"/>
  <c r="AT292" i="2"/>
  <c r="AU292" i="2"/>
  <c r="BE292" i="2" s="1"/>
  <c r="AV292" i="2"/>
  <c r="AW292" i="2"/>
  <c r="AX292" i="2"/>
  <c r="AZ292" i="2"/>
  <c r="BA292" i="2"/>
  <c r="BF292" i="2"/>
  <c r="AM293" i="2"/>
  <c r="AN293" i="2"/>
  <c r="AO293" i="2"/>
  <c r="AT293" i="2"/>
  <c r="AU293" i="2"/>
  <c r="BE293" i="2" s="1"/>
  <c r="AV293" i="2"/>
  <c r="AW293" i="2"/>
  <c r="AX293" i="2"/>
  <c r="AZ293" i="2"/>
  <c r="BA293" i="2"/>
  <c r="BF293" i="2"/>
  <c r="AM294" i="2"/>
  <c r="AN294" i="2"/>
  <c r="AO294" i="2"/>
  <c r="AT294" i="2"/>
  <c r="AU294" i="2"/>
  <c r="BE294" i="2" s="1"/>
  <c r="AV294" i="2"/>
  <c r="AW294" i="2"/>
  <c r="AX294" i="2"/>
  <c r="AZ294" i="2"/>
  <c r="BA294" i="2"/>
  <c r="BF294" i="2"/>
  <c r="AM295" i="2"/>
  <c r="AN295" i="2"/>
  <c r="AO295" i="2"/>
  <c r="AT295" i="2"/>
  <c r="AU295" i="2"/>
  <c r="BE295" i="2" s="1"/>
  <c r="AV295" i="2"/>
  <c r="AW295" i="2"/>
  <c r="AX295" i="2"/>
  <c r="AZ295" i="2"/>
  <c r="BA295" i="2"/>
  <c r="BF295" i="2"/>
  <c r="AM296" i="2"/>
  <c r="AN296" i="2"/>
  <c r="AO296" i="2"/>
  <c r="AT296" i="2"/>
  <c r="AU296" i="2"/>
  <c r="BE296" i="2" s="1"/>
  <c r="AV296" i="2"/>
  <c r="AW296" i="2"/>
  <c r="AX296" i="2"/>
  <c r="AZ296" i="2"/>
  <c r="BA296" i="2"/>
  <c r="BF296" i="2"/>
  <c r="AM297" i="2"/>
  <c r="AN297" i="2"/>
  <c r="AO297" i="2"/>
  <c r="AT297" i="2"/>
  <c r="AU297" i="2"/>
  <c r="BE297" i="2" s="1"/>
  <c r="AV297" i="2"/>
  <c r="AW297" i="2"/>
  <c r="AX297" i="2"/>
  <c r="AZ297" i="2"/>
  <c r="BA297" i="2"/>
  <c r="BF297" i="2"/>
  <c r="AM298" i="2"/>
  <c r="AN298" i="2"/>
  <c r="AO298" i="2"/>
  <c r="AT298" i="2"/>
  <c r="AU298" i="2"/>
  <c r="BE298" i="2" s="1"/>
  <c r="AV298" i="2"/>
  <c r="AW298" i="2"/>
  <c r="AX298" i="2"/>
  <c r="AZ298" i="2"/>
  <c r="BA298" i="2"/>
  <c r="BF298" i="2"/>
  <c r="AM299" i="2"/>
  <c r="AN299" i="2"/>
  <c r="AO299" i="2"/>
  <c r="AT299" i="2"/>
  <c r="AU299" i="2"/>
  <c r="BE299" i="2" s="1"/>
  <c r="AV299" i="2"/>
  <c r="AW299" i="2"/>
  <c r="AX299" i="2"/>
  <c r="AZ299" i="2"/>
  <c r="BA299" i="2"/>
  <c r="BF299" i="2"/>
  <c r="AM300" i="2"/>
  <c r="AN300" i="2"/>
  <c r="AO300" i="2"/>
  <c r="AT300" i="2"/>
  <c r="AU300" i="2"/>
  <c r="BE300" i="2" s="1"/>
  <c r="AV300" i="2"/>
  <c r="AW300" i="2"/>
  <c r="AX300" i="2"/>
  <c r="AZ300" i="2"/>
  <c r="BA300" i="2"/>
  <c r="BF300" i="2"/>
  <c r="AM301" i="2"/>
  <c r="AN301" i="2"/>
  <c r="AO301" i="2"/>
  <c r="AT301" i="2"/>
  <c r="AU301" i="2"/>
  <c r="BE301" i="2" s="1"/>
  <c r="AV301" i="2"/>
  <c r="AW301" i="2"/>
  <c r="AX301" i="2"/>
  <c r="AZ301" i="2"/>
  <c r="BA301" i="2"/>
  <c r="BF301" i="2"/>
  <c r="AM302" i="2"/>
  <c r="AN302" i="2"/>
  <c r="AO302" i="2"/>
  <c r="AT302" i="2"/>
  <c r="AU302" i="2"/>
  <c r="BE302" i="2" s="1"/>
  <c r="AV302" i="2"/>
  <c r="AW302" i="2"/>
  <c r="AX302" i="2"/>
  <c r="AZ302" i="2"/>
  <c r="BA302" i="2"/>
  <c r="BF302" i="2"/>
  <c r="AM303" i="2"/>
  <c r="AN303" i="2"/>
  <c r="AO303" i="2"/>
  <c r="AT303" i="2"/>
  <c r="AU303" i="2"/>
  <c r="BE303" i="2" s="1"/>
  <c r="AV303" i="2"/>
  <c r="AW303" i="2"/>
  <c r="AX303" i="2"/>
  <c r="AZ303" i="2"/>
  <c r="BA303" i="2"/>
  <c r="BF303" i="2"/>
  <c r="AM304" i="2"/>
  <c r="AN304" i="2"/>
  <c r="AO304" i="2"/>
  <c r="AT304" i="2"/>
  <c r="AU304" i="2"/>
  <c r="BE304" i="2" s="1"/>
  <c r="AV304" i="2"/>
  <c r="AW304" i="2"/>
  <c r="AX304" i="2"/>
  <c r="AZ304" i="2"/>
  <c r="BA304" i="2"/>
  <c r="BF304" i="2"/>
  <c r="AM305" i="2"/>
  <c r="AN305" i="2"/>
  <c r="AO305" i="2"/>
  <c r="AT305" i="2"/>
  <c r="AU305" i="2"/>
  <c r="BE305" i="2" s="1"/>
  <c r="AV305" i="2"/>
  <c r="AW305" i="2"/>
  <c r="AX305" i="2"/>
  <c r="AZ305" i="2"/>
  <c r="BA305" i="2"/>
  <c r="BF305" i="2"/>
  <c r="AM306" i="2"/>
  <c r="AN306" i="2"/>
  <c r="AO306" i="2"/>
  <c r="AT306" i="2"/>
  <c r="AU306" i="2"/>
  <c r="BE306" i="2" s="1"/>
  <c r="AV306" i="2"/>
  <c r="AW306" i="2"/>
  <c r="AX306" i="2"/>
  <c r="AZ306" i="2"/>
  <c r="BA306" i="2"/>
  <c r="BF306" i="2"/>
  <c r="AM307" i="2"/>
  <c r="AN307" i="2"/>
  <c r="AO307" i="2"/>
  <c r="AT307" i="2"/>
  <c r="AU307" i="2"/>
  <c r="BE307" i="2" s="1"/>
  <c r="AV307" i="2"/>
  <c r="AW307" i="2"/>
  <c r="AX307" i="2"/>
  <c r="AZ307" i="2"/>
  <c r="BA307" i="2"/>
  <c r="BF307" i="2"/>
  <c r="AM308" i="2"/>
  <c r="AN308" i="2"/>
  <c r="AO308" i="2"/>
  <c r="AT308" i="2"/>
  <c r="AU308" i="2"/>
  <c r="BE308" i="2" s="1"/>
  <c r="AV308" i="2"/>
  <c r="AW308" i="2"/>
  <c r="AX308" i="2"/>
  <c r="AZ308" i="2"/>
  <c r="BA308" i="2"/>
  <c r="BF308" i="2"/>
  <c r="AM309" i="2"/>
  <c r="AN309" i="2"/>
  <c r="AO309" i="2"/>
  <c r="AT309" i="2"/>
  <c r="AU309" i="2"/>
  <c r="BE309" i="2" s="1"/>
  <c r="AV309" i="2"/>
  <c r="AW309" i="2"/>
  <c r="AX309" i="2"/>
  <c r="AZ309" i="2"/>
  <c r="BA309" i="2"/>
  <c r="BF309" i="2"/>
  <c r="AM310" i="2"/>
  <c r="AN310" i="2"/>
  <c r="AO310" i="2"/>
  <c r="AT310" i="2"/>
  <c r="AU310" i="2"/>
  <c r="BE310" i="2" s="1"/>
  <c r="AV310" i="2"/>
  <c r="AW310" i="2"/>
  <c r="AX310" i="2"/>
  <c r="AZ310" i="2"/>
  <c r="BA310" i="2"/>
  <c r="BF310" i="2"/>
  <c r="AM311" i="2"/>
  <c r="AN311" i="2"/>
  <c r="AO311" i="2"/>
  <c r="AT311" i="2"/>
  <c r="AU311" i="2"/>
  <c r="BE311" i="2" s="1"/>
  <c r="AV311" i="2"/>
  <c r="AW311" i="2"/>
  <c r="AX311" i="2"/>
  <c r="AZ311" i="2"/>
  <c r="BA311" i="2"/>
  <c r="BF311" i="2"/>
  <c r="AM312" i="2"/>
  <c r="AN312" i="2"/>
  <c r="AO312" i="2"/>
  <c r="AT312" i="2"/>
  <c r="AU312" i="2"/>
  <c r="BE312" i="2" s="1"/>
  <c r="AV312" i="2"/>
  <c r="AW312" i="2"/>
  <c r="AX312" i="2"/>
  <c r="AZ312" i="2"/>
  <c r="BA312" i="2"/>
  <c r="BF312" i="2"/>
  <c r="AM313" i="2"/>
  <c r="AN313" i="2"/>
  <c r="AO313" i="2"/>
  <c r="AT313" i="2"/>
  <c r="AU313" i="2"/>
  <c r="BE313" i="2" s="1"/>
  <c r="AV313" i="2"/>
  <c r="AW313" i="2"/>
  <c r="AX313" i="2"/>
  <c r="AZ313" i="2"/>
  <c r="BA313" i="2"/>
  <c r="BF313" i="2"/>
  <c r="AM314" i="2"/>
  <c r="AN314" i="2"/>
  <c r="AO314" i="2"/>
  <c r="AT314" i="2"/>
  <c r="AU314" i="2"/>
  <c r="BE314" i="2" s="1"/>
  <c r="AV314" i="2"/>
  <c r="AW314" i="2"/>
  <c r="AX314" i="2"/>
  <c r="AZ314" i="2"/>
  <c r="BA314" i="2"/>
  <c r="BF314" i="2"/>
  <c r="AM315" i="2"/>
  <c r="AN315" i="2"/>
  <c r="AO315" i="2"/>
  <c r="AT315" i="2"/>
  <c r="AU315" i="2"/>
  <c r="BE315" i="2" s="1"/>
  <c r="AV315" i="2"/>
  <c r="AW315" i="2"/>
  <c r="AX315" i="2"/>
  <c r="AZ315" i="2"/>
  <c r="BA315" i="2"/>
  <c r="BF315" i="2"/>
  <c r="AM316" i="2"/>
  <c r="AN316" i="2"/>
  <c r="AO316" i="2"/>
  <c r="AT316" i="2"/>
  <c r="AU316" i="2"/>
  <c r="BE316" i="2" s="1"/>
  <c r="AV316" i="2"/>
  <c r="AW316" i="2"/>
  <c r="AX316" i="2"/>
  <c r="AZ316" i="2"/>
  <c r="BA316" i="2"/>
  <c r="BF316" i="2"/>
  <c r="AM317" i="2"/>
  <c r="AN317" i="2"/>
  <c r="AO317" i="2"/>
  <c r="AT317" i="2"/>
  <c r="AU317" i="2"/>
  <c r="BE317" i="2" s="1"/>
  <c r="AV317" i="2"/>
  <c r="AW317" i="2"/>
  <c r="AX317" i="2"/>
  <c r="AZ317" i="2"/>
  <c r="BA317" i="2"/>
  <c r="BF317" i="2"/>
  <c r="AM318" i="2"/>
  <c r="AN318" i="2"/>
  <c r="AO318" i="2"/>
  <c r="AT318" i="2"/>
  <c r="AU318" i="2"/>
  <c r="BE318" i="2" s="1"/>
  <c r="AV318" i="2"/>
  <c r="AW318" i="2"/>
  <c r="AX318" i="2"/>
  <c r="AZ318" i="2"/>
  <c r="BA318" i="2"/>
  <c r="BF318" i="2"/>
  <c r="AM319" i="2"/>
  <c r="AN319" i="2"/>
  <c r="AO319" i="2"/>
  <c r="AT319" i="2"/>
  <c r="AU319" i="2"/>
  <c r="BE319" i="2" s="1"/>
  <c r="AV319" i="2"/>
  <c r="AW319" i="2"/>
  <c r="AX319" i="2"/>
  <c r="AZ319" i="2"/>
  <c r="BA319" i="2"/>
  <c r="BF319" i="2"/>
  <c r="AM320" i="2"/>
  <c r="AN320" i="2"/>
  <c r="AO320" i="2"/>
  <c r="AT320" i="2"/>
  <c r="AU320" i="2"/>
  <c r="BE320" i="2" s="1"/>
  <c r="AV320" i="2"/>
  <c r="AW320" i="2"/>
  <c r="AX320" i="2"/>
  <c r="AZ320" i="2"/>
  <c r="BA320" i="2"/>
  <c r="BF320" i="2"/>
  <c r="AM321" i="2"/>
  <c r="AN321" i="2"/>
  <c r="AO321" i="2"/>
  <c r="AT321" i="2"/>
  <c r="AU321" i="2"/>
  <c r="BE321" i="2" s="1"/>
  <c r="AV321" i="2"/>
  <c r="AW321" i="2"/>
  <c r="AX321" i="2"/>
  <c r="AZ321" i="2"/>
  <c r="BA321" i="2"/>
  <c r="BF321" i="2"/>
  <c r="AM322" i="2"/>
  <c r="AN322" i="2"/>
  <c r="AO322" i="2"/>
  <c r="AT322" i="2"/>
  <c r="AU322" i="2"/>
  <c r="BE322" i="2" s="1"/>
  <c r="AV322" i="2"/>
  <c r="AW322" i="2"/>
  <c r="AX322" i="2"/>
  <c r="AZ322" i="2"/>
  <c r="BA322" i="2"/>
  <c r="BF322" i="2"/>
  <c r="AM323" i="2"/>
  <c r="AN323" i="2"/>
  <c r="AO323" i="2"/>
  <c r="AT323" i="2"/>
  <c r="AU323" i="2"/>
  <c r="BE323" i="2" s="1"/>
  <c r="AV323" i="2"/>
  <c r="AW323" i="2"/>
  <c r="AX323" i="2"/>
  <c r="AZ323" i="2"/>
  <c r="BA323" i="2"/>
  <c r="BF323" i="2"/>
  <c r="AM324" i="2"/>
  <c r="AN324" i="2"/>
  <c r="AO324" i="2"/>
  <c r="AT324" i="2"/>
  <c r="AU324" i="2"/>
  <c r="BE324" i="2" s="1"/>
  <c r="AV324" i="2"/>
  <c r="AW324" i="2"/>
  <c r="AX324" i="2"/>
  <c r="AZ324" i="2"/>
  <c r="BA324" i="2"/>
  <c r="BF324" i="2"/>
  <c r="AM325" i="2"/>
  <c r="AN325" i="2"/>
  <c r="AO325" i="2"/>
  <c r="AT325" i="2"/>
  <c r="AU325" i="2"/>
  <c r="BE325" i="2" s="1"/>
  <c r="AV325" i="2"/>
  <c r="AW325" i="2"/>
  <c r="AX325" i="2"/>
  <c r="AZ325" i="2"/>
  <c r="BA325" i="2"/>
  <c r="BF325" i="2"/>
  <c r="AM326" i="2"/>
  <c r="AN326" i="2"/>
  <c r="AO326" i="2"/>
  <c r="AT326" i="2"/>
  <c r="AU326" i="2"/>
  <c r="BE326" i="2" s="1"/>
  <c r="AV326" i="2"/>
  <c r="AW326" i="2"/>
  <c r="AX326" i="2"/>
  <c r="AZ326" i="2"/>
  <c r="BA326" i="2"/>
  <c r="BF326" i="2"/>
  <c r="AM327" i="2"/>
  <c r="AN327" i="2"/>
  <c r="AO327" i="2"/>
  <c r="AT327" i="2"/>
  <c r="AU327" i="2"/>
  <c r="BE327" i="2" s="1"/>
  <c r="AV327" i="2"/>
  <c r="AW327" i="2"/>
  <c r="AX327" i="2"/>
  <c r="AZ327" i="2"/>
  <c r="BA327" i="2"/>
  <c r="BF327" i="2"/>
  <c r="AM328" i="2"/>
  <c r="AN328" i="2"/>
  <c r="AO328" i="2"/>
  <c r="AT328" i="2"/>
  <c r="AU328" i="2"/>
  <c r="BE328" i="2" s="1"/>
  <c r="AV328" i="2"/>
  <c r="AW328" i="2"/>
  <c r="AX328" i="2"/>
  <c r="AZ328" i="2"/>
  <c r="BA328" i="2"/>
  <c r="BF328" i="2"/>
  <c r="AM329" i="2"/>
  <c r="AN329" i="2"/>
  <c r="AO329" i="2"/>
  <c r="AT329" i="2"/>
  <c r="AU329" i="2"/>
  <c r="BE329" i="2" s="1"/>
  <c r="AV329" i="2"/>
  <c r="AW329" i="2"/>
  <c r="AX329" i="2"/>
  <c r="AZ329" i="2"/>
  <c r="BA329" i="2"/>
  <c r="BF329" i="2"/>
  <c r="AM330" i="2"/>
  <c r="AN330" i="2"/>
  <c r="AO330" i="2"/>
  <c r="AT330" i="2"/>
  <c r="AU330" i="2"/>
  <c r="BE330" i="2" s="1"/>
  <c r="AV330" i="2"/>
  <c r="AW330" i="2"/>
  <c r="AX330" i="2"/>
  <c r="AZ330" i="2"/>
  <c r="BA330" i="2"/>
  <c r="BF330" i="2"/>
  <c r="AM331" i="2"/>
  <c r="AN331" i="2"/>
  <c r="AO331" i="2"/>
  <c r="AT331" i="2"/>
  <c r="AU331" i="2"/>
  <c r="BE331" i="2" s="1"/>
  <c r="AV331" i="2"/>
  <c r="AW331" i="2"/>
  <c r="AX331" i="2"/>
  <c r="AZ331" i="2"/>
  <c r="BA331" i="2"/>
  <c r="BF331" i="2"/>
  <c r="AM332" i="2"/>
  <c r="AN332" i="2"/>
  <c r="AO332" i="2"/>
  <c r="AT332" i="2"/>
  <c r="AU332" i="2"/>
  <c r="BE332" i="2" s="1"/>
  <c r="AV332" i="2"/>
  <c r="AW332" i="2"/>
  <c r="AX332" i="2"/>
  <c r="AZ332" i="2"/>
  <c r="BA332" i="2"/>
  <c r="BF332" i="2"/>
  <c r="AM333" i="2"/>
  <c r="AN333" i="2"/>
  <c r="AO333" i="2"/>
  <c r="AT333" i="2"/>
  <c r="AU333" i="2"/>
  <c r="BE333" i="2" s="1"/>
  <c r="AV333" i="2"/>
  <c r="AW333" i="2"/>
  <c r="AX333" i="2"/>
  <c r="AZ333" i="2"/>
  <c r="BA333" i="2"/>
  <c r="BF333" i="2"/>
  <c r="AM334" i="2"/>
  <c r="AN334" i="2"/>
  <c r="AO334" i="2"/>
  <c r="AT334" i="2"/>
  <c r="AU334" i="2"/>
  <c r="BE334" i="2" s="1"/>
  <c r="AV334" i="2"/>
  <c r="AW334" i="2"/>
  <c r="AX334" i="2"/>
  <c r="AZ334" i="2"/>
  <c r="BA334" i="2"/>
  <c r="BF334" i="2"/>
  <c r="AM335" i="2"/>
  <c r="AN335" i="2"/>
  <c r="AO335" i="2"/>
  <c r="AT335" i="2"/>
  <c r="AU335" i="2"/>
  <c r="BE335" i="2" s="1"/>
  <c r="AV335" i="2"/>
  <c r="AW335" i="2"/>
  <c r="AX335" i="2"/>
  <c r="AZ335" i="2"/>
  <c r="BA335" i="2"/>
  <c r="BF335" i="2"/>
  <c r="AM336" i="2"/>
  <c r="AN336" i="2"/>
  <c r="AO336" i="2"/>
  <c r="AT336" i="2"/>
  <c r="AU336" i="2"/>
  <c r="BE336" i="2" s="1"/>
  <c r="AV336" i="2"/>
  <c r="AW336" i="2"/>
  <c r="AX336" i="2"/>
  <c r="AZ336" i="2"/>
  <c r="BA336" i="2"/>
  <c r="BF336" i="2"/>
  <c r="AM337" i="2"/>
  <c r="AN337" i="2"/>
  <c r="AO337" i="2"/>
  <c r="AT337" i="2"/>
  <c r="AU337" i="2"/>
  <c r="BE337" i="2" s="1"/>
  <c r="AV337" i="2"/>
  <c r="AW337" i="2"/>
  <c r="AX337" i="2"/>
  <c r="AZ337" i="2"/>
  <c r="BA337" i="2"/>
  <c r="BF337" i="2"/>
  <c r="AM338" i="2"/>
  <c r="AN338" i="2"/>
  <c r="AO338" i="2"/>
  <c r="AT338" i="2"/>
  <c r="AU338" i="2"/>
  <c r="BE338" i="2" s="1"/>
  <c r="AV338" i="2"/>
  <c r="AW338" i="2"/>
  <c r="AX338" i="2"/>
  <c r="AZ338" i="2"/>
  <c r="BA338" i="2"/>
  <c r="BF338" i="2"/>
  <c r="AM339" i="2"/>
  <c r="AN339" i="2"/>
  <c r="AO339" i="2"/>
  <c r="AT339" i="2"/>
  <c r="AU339" i="2"/>
  <c r="BE339" i="2" s="1"/>
  <c r="AV339" i="2"/>
  <c r="AW339" i="2"/>
  <c r="AX339" i="2"/>
  <c r="AZ339" i="2"/>
  <c r="BA339" i="2"/>
  <c r="BF339" i="2"/>
  <c r="AM340" i="2"/>
  <c r="AN340" i="2"/>
  <c r="AO340" i="2"/>
  <c r="AT340" i="2"/>
  <c r="AU340" i="2"/>
  <c r="BE340" i="2" s="1"/>
  <c r="AV340" i="2"/>
  <c r="AW340" i="2"/>
  <c r="AX340" i="2"/>
  <c r="AZ340" i="2"/>
  <c r="BA340" i="2"/>
  <c r="BF340" i="2"/>
  <c r="AM341" i="2"/>
  <c r="AN341" i="2"/>
  <c r="AO341" i="2"/>
  <c r="AT341" i="2"/>
  <c r="AU341" i="2"/>
  <c r="BE341" i="2" s="1"/>
  <c r="AV341" i="2"/>
  <c r="AW341" i="2"/>
  <c r="AX341" i="2"/>
  <c r="AZ341" i="2"/>
  <c r="BA341" i="2"/>
  <c r="BF341" i="2"/>
  <c r="AM342" i="2"/>
  <c r="AN342" i="2"/>
  <c r="AO342" i="2"/>
  <c r="AT342" i="2"/>
  <c r="AU342" i="2"/>
  <c r="BE342" i="2" s="1"/>
  <c r="AV342" i="2"/>
  <c r="AW342" i="2"/>
  <c r="AX342" i="2"/>
  <c r="AZ342" i="2"/>
  <c r="BA342" i="2"/>
  <c r="BF342" i="2"/>
  <c r="AM343" i="2"/>
  <c r="AN343" i="2"/>
  <c r="AO343" i="2"/>
  <c r="AT343" i="2"/>
  <c r="AU343" i="2"/>
  <c r="BE343" i="2" s="1"/>
  <c r="AV343" i="2"/>
  <c r="AW343" i="2"/>
  <c r="AX343" i="2"/>
  <c r="AZ343" i="2"/>
  <c r="BA343" i="2"/>
  <c r="BF343" i="2"/>
  <c r="AM344" i="2"/>
  <c r="AN344" i="2"/>
  <c r="AO344" i="2"/>
  <c r="AT344" i="2"/>
  <c r="AU344" i="2"/>
  <c r="BE344" i="2" s="1"/>
  <c r="AV344" i="2"/>
  <c r="AW344" i="2"/>
  <c r="AX344" i="2"/>
  <c r="AZ344" i="2"/>
  <c r="BA344" i="2"/>
  <c r="BF344" i="2"/>
  <c r="AM345" i="2"/>
  <c r="AN345" i="2"/>
  <c r="AO345" i="2"/>
  <c r="AT345" i="2"/>
  <c r="AU345" i="2"/>
  <c r="BE345" i="2" s="1"/>
  <c r="AV345" i="2"/>
  <c r="AW345" i="2"/>
  <c r="AX345" i="2"/>
  <c r="AZ345" i="2"/>
  <c r="BA345" i="2"/>
  <c r="BF345" i="2"/>
  <c r="AM346" i="2"/>
  <c r="AN346" i="2"/>
  <c r="AO346" i="2"/>
  <c r="AT346" i="2"/>
  <c r="AU346" i="2"/>
  <c r="BE346" i="2" s="1"/>
  <c r="AV346" i="2"/>
  <c r="AW346" i="2"/>
  <c r="AX346" i="2"/>
  <c r="AZ346" i="2"/>
  <c r="BA346" i="2"/>
  <c r="BF346" i="2"/>
  <c r="AM347" i="2"/>
  <c r="AN347" i="2"/>
  <c r="AO347" i="2"/>
  <c r="AT347" i="2"/>
  <c r="AU347" i="2"/>
  <c r="BE347" i="2" s="1"/>
  <c r="AV347" i="2"/>
  <c r="AW347" i="2"/>
  <c r="AX347" i="2"/>
  <c r="AZ347" i="2"/>
  <c r="BA347" i="2"/>
  <c r="BF347" i="2"/>
  <c r="AM348" i="2"/>
  <c r="AN348" i="2"/>
  <c r="AO348" i="2"/>
  <c r="AT348" i="2"/>
  <c r="AU348" i="2"/>
  <c r="BE348" i="2" s="1"/>
  <c r="AV348" i="2"/>
  <c r="AW348" i="2"/>
  <c r="AX348" i="2"/>
  <c r="AZ348" i="2"/>
  <c r="BA348" i="2"/>
  <c r="BF348" i="2"/>
  <c r="AM349" i="2"/>
  <c r="AN349" i="2"/>
  <c r="AO349" i="2"/>
  <c r="AT349" i="2"/>
  <c r="AU349" i="2"/>
  <c r="BE349" i="2" s="1"/>
  <c r="AV349" i="2"/>
  <c r="AW349" i="2"/>
  <c r="AX349" i="2"/>
  <c r="AZ349" i="2"/>
  <c r="BA349" i="2"/>
  <c r="BF349" i="2"/>
  <c r="AM350" i="2"/>
  <c r="AN350" i="2"/>
  <c r="AO350" i="2"/>
  <c r="AT350" i="2"/>
  <c r="AU350" i="2"/>
  <c r="BE350" i="2" s="1"/>
  <c r="AV350" i="2"/>
  <c r="AW350" i="2"/>
  <c r="AX350" i="2"/>
  <c r="AZ350" i="2"/>
  <c r="BA350" i="2"/>
  <c r="BF350" i="2"/>
  <c r="AM351" i="2"/>
  <c r="AN351" i="2"/>
  <c r="AO351" i="2"/>
  <c r="AT351" i="2"/>
  <c r="AU351" i="2"/>
  <c r="BE351" i="2" s="1"/>
  <c r="AV351" i="2"/>
  <c r="AW351" i="2"/>
  <c r="AX351" i="2"/>
  <c r="AZ351" i="2"/>
  <c r="BA351" i="2"/>
  <c r="BF351" i="2"/>
  <c r="AM352" i="2"/>
  <c r="AN352" i="2"/>
  <c r="AO352" i="2"/>
  <c r="AT352" i="2"/>
  <c r="AU352" i="2"/>
  <c r="BE352" i="2" s="1"/>
  <c r="AV352" i="2"/>
  <c r="AW352" i="2"/>
  <c r="AX352" i="2"/>
  <c r="AZ352" i="2"/>
  <c r="BA352" i="2"/>
  <c r="BF352" i="2"/>
  <c r="AM353" i="2"/>
  <c r="AN353" i="2"/>
  <c r="AO353" i="2"/>
  <c r="AT353" i="2"/>
  <c r="AU353" i="2"/>
  <c r="BE353" i="2" s="1"/>
  <c r="AV353" i="2"/>
  <c r="AW353" i="2"/>
  <c r="AX353" i="2"/>
  <c r="AZ353" i="2"/>
  <c r="BA353" i="2"/>
  <c r="BF353" i="2"/>
  <c r="AM354" i="2"/>
  <c r="AN354" i="2"/>
  <c r="AO354" i="2"/>
  <c r="AT354" i="2"/>
  <c r="AU354" i="2"/>
  <c r="BE354" i="2" s="1"/>
  <c r="AV354" i="2"/>
  <c r="AW354" i="2"/>
  <c r="AX354" i="2"/>
  <c r="AZ354" i="2"/>
  <c r="BA354" i="2"/>
  <c r="BF354" i="2"/>
  <c r="AM355" i="2"/>
  <c r="AN355" i="2"/>
  <c r="AO355" i="2"/>
  <c r="AT355" i="2"/>
  <c r="AU355" i="2"/>
  <c r="BE355" i="2" s="1"/>
  <c r="AV355" i="2"/>
  <c r="AW355" i="2"/>
  <c r="AX355" i="2"/>
  <c r="AZ355" i="2"/>
  <c r="BA355" i="2"/>
  <c r="BF355" i="2"/>
  <c r="AM356" i="2"/>
  <c r="AN356" i="2"/>
  <c r="AO356" i="2"/>
  <c r="AT356" i="2"/>
  <c r="AU356" i="2"/>
  <c r="BE356" i="2" s="1"/>
  <c r="AV356" i="2"/>
  <c r="AW356" i="2"/>
  <c r="AX356" i="2"/>
  <c r="AZ356" i="2"/>
  <c r="BA356" i="2"/>
  <c r="BF356" i="2"/>
  <c r="AM357" i="2"/>
  <c r="AN357" i="2"/>
  <c r="AO357" i="2"/>
  <c r="AT357" i="2"/>
  <c r="AU357" i="2"/>
  <c r="BE357" i="2" s="1"/>
  <c r="AV357" i="2"/>
  <c r="AW357" i="2"/>
  <c r="AX357" i="2"/>
  <c r="AZ357" i="2"/>
  <c r="BA357" i="2"/>
  <c r="BF357" i="2"/>
  <c r="AM358" i="2"/>
  <c r="AN358" i="2"/>
  <c r="AO358" i="2"/>
  <c r="AT358" i="2"/>
  <c r="AU358" i="2"/>
  <c r="BE358" i="2" s="1"/>
  <c r="AV358" i="2"/>
  <c r="AW358" i="2"/>
  <c r="AX358" i="2"/>
  <c r="AZ358" i="2"/>
  <c r="BA358" i="2"/>
  <c r="BF358" i="2"/>
  <c r="AM359" i="2"/>
  <c r="AN359" i="2"/>
  <c r="AO359" i="2"/>
  <c r="AT359" i="2"/>
  <c r="AU359" i="2"/>
  <c r="BE359" i="2" s="1"/>
  <c r="AV359" i="2"/>
  <c r="AW359" i="2"/>
  <c r="AX359" i="2"/>
  <c r="AZ359" i="2"/>
  <c r="BA359" i="2"/>
  <c r="BF359" i="2"/>
  <c r="B4" i="1"/>
  <c r="BL12" i="2" l="1"/>
  <c r="BL21" i="2"/>
  <c r="BL22" i="2"/>
  <c r="BL23" i="2"/>
  <c r="BL29" i="2"/>
  <c r="BL30" i="2"/>
  <c r="BL31" i="2"/>
  <c r="BL40" i="2"/>
  <c r="BL51" i="2"/>
  <c r="BL65" i="2"/>
  <c r="BL66" i="2"/>
  <c r="BL67" i="2"/>
  <c r="BL90" i="2"/>
  <c r="BL91" i="2"/>
  <c r="BL119" i="2"/>
  <c r="BL120" i="2"/>
  <c r="BL41" i="2"/>
  <c r="BL42" i="2"/>
  <c r="BL43" i="2"/>
  <c r="BL54" i="2"/>
  <c r="BL55" i="2"/>
  <c r="BL68" i="2"/>
  <c r="BL69" i="2"/>
  <c r="BL70" i="2"/>
  <c r="BL88" i="2"/>
  <c r="BL89" i="2"/>
  <c r="BL92" i="2"/>
  <c r="BL93" i="2"/>
  <c r="BL94" i="2"/>
  <c r="BL95" i="2"/>
  <c r="BL101" i="2"/>
  <c r="BL102" i="2"/>
  <c r="BL121" i="2"/>
  <c r="BL150" i="2"/>
  <c r="BL151" i="2"/>
  <c r="BL152" i="2"/>
  <c r="BL153" i="2"/>
  <c r="BL154" i="2"/>
  <c r="BL155" i="2"/>
  <c r="BL165" i="2"/>
  <c r="BL166" i="2"/>
  <c r="BL167" i="2"/>
  <c r="BL13" i="2"/>
  <c r="BL14" i="2"/>
  <c r="BL15" i="2"/>
  <c r="BL24" i="2"/>
  <c r="BL32" i="2"/>
  <c r="BL33" i="2"/>
  <c r="BL34" i="2"/>
  <c r="BL35" i="2"/>
  <c r="BL52" i="2"/>
  <c r="BL53" i="2"/>
  <c r="BL56" i="2"/>
  <c r="BL71" i="2"/>
  <c r="BL72" i="2"/>
  <c r="BL6" i="2"/>
  <c r="BL7" i="2"/>
  <c r="BL8" i="2"/>
  <c r="BL45" i="2"/>
  <c r="BL77" i="2"/>
  <c r="BL11" i="2"/>
  <c r="BL17" i="2"/>
  <c r="BL27" i="2"/>
  <c r="BL82" i="2"/>
  <c r="BL103" i="2"/>
  <c r="BL109" i="2"/>
  <c r="BL156" i="2"/>
  <c r="BL157" i="2"/>
  <c r="BL161" i="2"/>
  <c r="BL168" i="2"/>
  <c r="BL170" i="2"/>
  <c r="BL173" i="2"/>
  <c r="BL174" i="2"/>
  <c r="BL175" i="2"/>
  <c r="BL176" i="2"/>
  <c r="BL177" i="2"/>
  <c r="BL178" i="2"/>
  <c r="BL179" i="2"/>
  <c r="BL180" i="2"/>
  <c r="BL265" i="2"/>
  <c r="BL266" i="2"/>
  <c r="BL267" i="2"/>
  <c r="BL26" i="2"/>
  <c r="BL44" i="2"/>
  <c r="BL76" i="2"/>
  <c r="BL81" i="2"/>
  <c r="BL83" i="2"/>
  <c r="BL106" i="2"/>
  <c r="BL107" i="2"/>
  <c r="BL108" i="2"/>
  <c r="BL10" i="2"/>
  <c r="BL16" i="2"/>
  <c r="BL48" i="2"/>
  <c r="BL79" i="2"/>
  <c r="BL80" i="2"/>
  <c r="BL84" i="2"/>
  <c r="BL85" i="2"/>
  <c r="BL86" i="2"/>
  <c r="BL87" i="2"/>
  <c r="BL162" i="2"/>
  <c r="BL163" i="2"/>
  <c r="BL164" i="2"/>
  <c r="BL25" i="2"/>
  <c r="BL28" i="2"/>
  <c r="BL36" i="2"/>
  <c r="BL47" i="2"/>
  <c r="BL59" i="2"/>
  <c r="BL75" i="2"/>
  <c r="BL133" i="2"/>
  <c r="BL141" i="2"/>
  <c r="BL9" i="2"/>
  <c r="BL19" i="2"/>
  <c r="BL49" i="2"/>
  <c r="BL50" i="2"/>
  <c r="BL58" i="2"/>
  <c r="BL96" i="2"/>
  <c r="BL97" i="2"/>
  <c r="BL98" i="2"/>
  <c r="BL99" i="2"/>
  <c r="BL100" i="2"/>
  <c r="BL105" i="2"/>
  <c r="BL134" i="2"/>
  <c r="BL140" i="2"/>
  <c r="BL142" i="2"/>
  <c r="BL143" i="2"/>
  <c r="BL144" i="2"/>
  <c r="BL145" i="2"/>
  <c r="BL146" i="2"/>
  <c r="BL147" i="2"/>
  <c r="BL148" i="2"/>
  <c r="BL149" i="2"/>
  <c r="BL182" i="2"/>
  <c r="BL183" i="2"/>
  <c r="BL195" i="2"/>
  <c r="BL196" i="2"/>
  <c r="BL209" i="2"/>
  <c r="BL210" i="2"/>
  <c r="BL211" i="2"/>
  <c r="BL212" i="2"/>
  <c r="BL213" i="2"/>
  <c r="BL214" i="2"/>
  <c r="BL215" i="2"/>
  <c r="BL228" i="2"/>
  <c r="BL229" i="2"/>
  <c r="BL230" i="2"/>
  <c r="BL249" i="2"/>
  <c r="BL250" i="2"/>
  <c r="BL251" i="2"/>
  <c r="BL252" i="2"/>
  <c r="BL253" i="2"/>
  <c r="BL254" i="2"/>
  <c r="BL255" i="2"/>
  <c r="BL256" i="2"/>
  <c r="BL257" i="2"/>
  <c r="BL258" i="2"/>
  <c r="BL259" i="2"/>
  <c r="BL18" i="2"/>
  <c r="BL38" i="2"/>
  <c r="BL61" i="2"/>
  <c r="BL78" i="2"/>
  <c r="BL132" i="2"/>
  <c r="BL184" i="2"/>
  <c r="BL185" i="2"/>
  <c r="BL189" i="2"/>
  <c r="BL198" i="2"/>
  <c r="BL199" i="2"/>
  <c r="BL203" i="2"/>
  <c r="BL226" i="2"/>
  <c r="BL112" i="2"/>
  <c r="BL116" i="2"/>
  <c r="BL123" i="2"/>
  <c r="BL128" i="2"/>
  <c r="BL135" i="2"/>
  <c r="BL139" i="2"/>
  <c r="BL193" i="2"/>
  <c r="BL207" i="2"/>
  <c r="BL241" i="2"/>
  <c r="BL242" i="2"/>
  <c r="BL243" i="2"/>
  <c r="BL268" i="2"/>
  <c r="BL269" i="2"/>
  <c r="BL270" i="2"/>
  <c r="BL271" i="2"/>
  <c r="BL272" i="2"/>
  <c r="BL37" i="2"/>
  <c r="BL46" i="2"/>
  <c r="BL60" i="2"/>
  <c r="BL64" i="2"/>
  <c r="BL127" i="2"/>
  <c r="BL202" i="2"/>
  <c r="BL216" i="2"/>
  <c r="BL225" i="2"/>
  <c r="BL244" i="2"/>
  <c r="BL264" i="2"/>
  <c r="BL273" i="2"/>
  <c r="BL274" i="2"/>
  <c r="BL275" i="2"/>
  <c r="BL74" i="2"/>
  <c r="BL104" i="2"/>
  <c r="BL111" i="2"/>
  <c r="BL115" i="2"/>
  <c r="BL122" i="2"/>
  <c r="BL126" i="2"/>
  <c r="BL131" i="2"/>
  <c r="BL138" i="2"/>
  <c r="BL181" i="2"/>
  <c r="BL187" i="2"/>
  <c r="BL188" i="2"/>
  <c r="BL192" i="2"/>
  <c r="BL197" i="2"/>
  <c r="BL206" i="2"/>
  <c r="BL217" i="2"/>
  <c r="BL218" i="2"/>
  <c r="BL219" i="2"/>
  <c r="BL260" i="2"/>
  <c r="BL261" i="2"/>
  <c r="BL262" i="2"/>
  <c r="BL263" i="2"/>
  <c r="BL20" i="2"/>
  <c r="BL63" i="2"/>
  <c r="BL201" i="2"/>
  <c r="BL224" i="2"/>
  <c r="BL236" i="2"/>
  <c r="BL245" i="2"/>
  <c r="BL246" i="2"/>
  <c r="BL247" i="2"/>
  <c r="BL248" i="2"/>
  <c r="BL276" i="2"/>
  <c r="BL278" i="2"/>
  <c r="BL279" i="2"/>
  <c r="BL73" i="2"/>
  <c r="BL110" i="2"/>
  <c r="BL114" i="2"/>
  <c r="BL118" i="2"/>
  <c r="BL125" i="2"/>
  <c r="BL130" i="2"/>
  <c r="BL137" i="2"/>
  <c r="BL158" i="2"/>
  <c r="BL159" i="2"/>
  <c r="BL160" i="2"/>
  <c r="BL169" i="2"/>
  <c r="BL171" i="2"/>
  <c r="BL172" i="2"/>
  <c r="BL191" i="2"/>
  <c r="BL204" i="2"/>
  <c r="BL205" i="2"/>
  <c r="BL220" i="2"/>
  <c r="BL221" i="2"/>
  <c r="BL222" i="2"/>
  <c r="BL223" i="2"/>
  <c r="BL231" i="2"/>
  <c r="BL232" i="2"/>
  <c r="BL277" i="2"/>
  <c r="BL39" i="2"/>
  <c r="BL62" i="2"/>
  <c r="BL186" i="2"/>
  <c r="BL200" i="2"/>
  <c r="BL227" i="2"/>
  <c r="BL233" i="2"/>
  <c r="BL234" i="2"/>
  <c r="BL235" i="2"/>
  <c r="BL280" i="2"/>
  <c r="BL57" i="2"/>
  <c r="BL113" i="2"/>
  <c r="BL117" i="2"/>
  <c r="BL124" i="2"/>
  <c r="BL129" i="2"/>
  <c r="BL136" i="2"/>
  <c r="BL190" i="2"/>
  <c r="BL194" i="2"/>
  <c r="BL208" i="2"/>
  <c r="BL237" i="2"/>
  <c r="BL238" i="2"/>
  <c r="BL239" i="2"/>
  <c r="BL240" i="2"/>
  <c r="BL5" i="2"/>
  <c r="P18" i="2"/>
  <c r="P19" i="2"/>
  <c r="P20" i="2"/>
  <c r="P21" i="2"/>
  <c r="P22" i="2"/>
  <c r="P40" i="2"/>
  <c r="P42" i="2"/>
  <c r="P43" i="2"/>
  <c r="P44" i="2"/>
  <c r="P45" i="2"/>
  <c r="P46" i="2"/>
  <c r="P47" i="2"/>
  <c r="P48" i="2"/>
  <c r="P49" i="2"/>
  <c r="P56" i="2"/>
  <c r="AK306" i="2"/>
  <c r="AK359" i="2"/>
  <c r="AK317" i="2"/>
  <c r="AK346" i="2"/>
  <c r="AK333" i="2"/>
  <c r="AK339" i="2"/>
  <c r="AK284" i="2"/>
  <c r="AK337" i="2"/>
  <c r="AK303" i="2"/>
  <c r="AK342" i="2"/>
  <c r="AK311" i="2"/>
  <c r="AK301" i="2"/>
  <c r="AK307" i="2"/>
  <c r="AK304" i="2"/>
  <c r="AK348" i="2"/>
  <c r="AK345" i="2"/>
  <c r="AK312" i="2"/>
  <c r="AK310" i="2"/>
  <c r="AK297" i="2"/>
  <c r="AK289" i="2"/>
  <c r="AK302" i="2"/>
  <c r="AK299" i="2"/>
  <c r="AK300" i="2"/>
  <c r="AK316" i="2"/>
  <c r="AK343" i="2"/>
  <c r="AK352" i="2"/>
  <c r="AK309" i="2"/>
  <c r="AK324" i="2"/>
  <c r="AK283" i="2"/>
  <c r="AK328" i="2"/>
  <c r="AK356" i="2"/>
  <c r="AK281" i="2"/>
  <c r="AK338" i="2"/>
  <c r="AK358" i="2"/>
  <c r="AK329" i="2"/>
  <c r="AK355" i="2"/>
  <c r="AK323" i="2"/>
  <c r="AK291" i="2"/>
  <c r="AK314" i="2"/>
  <c r="AK286" i="2"/>
  <c r="AK313" i="2"/>
  <c r="AK295" i="2"/>
  <c r="AK305" i="2"/>
  <c r="B2" i="1"/>
  <c r="AK294" i="2"/>
  <c r="AK293" i="2"/>
  <c r="AK336" i="2"/>
  <c r="AK327" i="2"/>
  <c r="AK322" i="2"/>
  <c r="AK347" i="2"/>
  <c r="AK320" i="2"/>
  <c r="AK357" i="2"/>
  <c r="AK282" i="2"/>
  <c r="AK319" i="2"/>
  <c r="AK296" i="2"/>
  <c r="AK285" i="2"/>
  <c r="AK325" i="2"/>
  <c r="AK335" i="2"/>
  <c r="AK318" i="2"/>
  <c r="AK332" i="2"/>
  <c r="AK292" i="2"/>
  <c r="AK353" i="2"/>
  <c r="AK354" i="2"/>
  <c r="AK287" i="2"/>
  <c r="AK351" i="2"/>
  <c r="AK288" i="2"/>
  <c r="AK341" i="2"/>
  <c r="AK321" i="2"/>
  <c r="AK349" i="2"/>
  <c r="AK290" i="2"/>
  <c r="AK315" i="2"/>
  <c r="AK331" i="2"/>
  <c r="AK340" i="2"/>
  <c r="AK298" i="2"/>
  <c r="AK334" i="2"/>
  <c r="AK350" i="2"/>
  <c r="AK308" i="2"/>
  <c r="AK330" i="2"/>
  <c r="AK344" i="2"/>
  <c r="AK326" i="2"/>
  <c r="BD16" i="2" l="1"/>
  <c r="BD18" i="2"/>
  <c r="BD19" i="2"/>
  <c r="BD25" i="2"/>
  <c r="BD26" i="2"/>
  <c r="BD33" i="2"/>
  <c r="BD57" i="2"/>
  <c r="BD58" i="2"/>
  <c r="BD74" i="2"/>
  <c r="BD75" i="2"/>
  <c r="BD76" i="2"/>
  <c r="BD77" i="2"/>
  <c r="BD78" i="2"/>
  <c r="BD79" i="2"/>
  <c r="BD81" i="2"/>
  <c r="BD104" i="2"/>
  <c r="BD105" i="2"/>
  <c r="BD106" i="2"/>
  <c r="BD109" i="2"/>
  <c r="BD110" i="2"/>
  <c r="BD6" i="2"/>
  <c r="BD7" i="2"/>
  <c r="BD17" i="2"/>
  <c r="BD27" i="2"/>
  <c r="BD44" i="2"/>
  <c r="BD45" i="2"/>
  <c r="BD46" i="2"/>
  <c r="BD47" i="2"/>
  <c r="BD59" i="2"/>
  <c r="BD82" i="2"/>
  <c r="BD103" i="2"/>
  <c r="BD111" i="2"/>
  <c r="BD127" i="2"/>
  <c r="BD133" i="2"/>
  <c r="BD161" i="2"/>
  <c r="BD168" i="2"/>
  <c r="BD169" i="2"/>
  <c r="BD182" i="2"/>
  <c r="BD191" i="2"/>
  <c r="BD192" i="2"/>
  <c r="BD193" i="2"/>
  <c r="BD194" i="2"/>
  <c r="BD8" i="2"/>
  <c r="BD36" i="2"/>
  <c r="BD48" i="2"/>
  <c r="BD9" i="2"/>
  <c r="BD10" i="2"/>
  <c r="BD11" i="2"/>
  <c r="BD12" i="2"/>
  <c r="BD30" i="2"/>
  <c r="BD43" i="2"/>
  <c r="BD54" i="2"/>
  <c r="BD80" i="2"/>
  <c r="BD84" i="2"/>
  <c r="BD85" i="2"/>
  <c r="BD86" i="2"/>
  <c r="BD87" i="2"/>
  <c r="BD89" i="2"/>
  <c r="BD102" i="2"/>
  <c r="BD28" i="2"/>
  <c r="BD29" i="2"/>
  <c r="BD42" i="2"/>
  <c r="BD53" i="2"/>
  <c r="BD67" i="2"/>
  <c r="BD68" i="2"/>
  <c r="BD88" i="2"/>
  <c r="BD152" i="2"/>
  <c r="BD164" i="2"/>
  <c r="BD165" i="2"/>
  <c r="BD198" i="2"/>
  <c r="BD200" i="2"/>
  <c r="BD201" i="2"/>
  <c r="BD202" i="2"/>
  <c r="BD203" i="2"/>
  <c r="BD204" i="2"/>
  <c r="BD206" i="2"/>
  <c r="BD207" i="2"/>
  <c r="BD208" i="2"/>
  <c r="BD224" i="2"/>
  <c r="BD225" i="2"/>
  <c r="BD226" i="2"/>
  <c r="BD227" i="2"/>
  <c r="BD15" i="2"/>
  <c r="BD35" i="2"/>
  <c r="BD41" i="2"/>
  <c r="BD49" i="2"/>
  <c r="BD50" i="2"/>
  <c r="BD51" i="2"/>
  <c r="BD52" i="2"/>
  <c r="BD66" i="2"/>
  <c r="BD96" i="2"/>
  <c r="BD97" i="2"/>
  <c r="BD98" i="2"/>
  <c r="BD99" i="2"/>
  <c r="AI99" i="2" s="1"/>
  <c r="AY99" i="2" s="1"/>
  <c r="BD100" i="2"/>
  <c r="BD101" i="2"/>
  <c r="BD134" i="2"/>
  <c r="BD141" i="2"/>
  <c r="BD142" i="2"/>
  <c r="BD144" i="2"/>
  <c r="BD145" i="2"/>
  <c r="BD146" i="2"/>
  <c r="BD147" i="2"/>
  <c r="BD149" i="2"/>
  <c r="BD151" i="2"/>
  <c r="BD14" i="2"/>
  <c r="BD23" i="2"/>
  <c r="BD24" i="2"/>
  <c r="BD34" i="2"/>
  <c r="BD37" i="2"/>
  <c r="BD38" i="2"/>
  <c r="BD39" i="2"/>
  <c r="BD40" i="2"/>
  <c r="BD60" i="2"/>
  <c r="BD61" i="2"/>
  <c r="BD62" i="2"/>
  <c r="BD63" i="2"/>
  <c r="BD64" i="2"/>
  <c r="BD65" i="2"/>
  <c r="BD94" i="2"/>
  <c r="BD95" i="2"/>
  <c r="BD120" i="2"/>
  <c r="AJ120" i="2" s="1"/>
  <c r="AQ120" i="2" s="1"/>
  <c r="BD121" i="2"/>
  <c r="BD122" i="2"/>
  <c r="BD123" i="2"/>
  <c r="BD124" i="2"/>
  <c r="BD125" i="2"/>
  <c r="BD126" i="2"/>
  <c r="BD136" i="2"/>
  <c r="BD137" i="2"/>
  <c r="BD138" i="2"/>
  <c r="BD139" i="2"/>
  <c r="BD140" i="2"/>
  <c r="BD143" i="2"/>
  <c r="BD148" i="2"/>
  <c r="BD150" i="2"/>
  <c r="BD13" i="2"/>
  <c r="BD20" i="2"/>
  <c r="BD22" i="2"/>
  <c r="BD73" i="2"/>
  <c r="BD112" i="2"/>
  <c r="BD113" i="2"/>
  <c r="BD114" i="2"/>
  <c r="AJ114" i="2" s="1"/>
  <c r="AQ114" i="2" s="1"/>
  <c r="BD115" i="2"/>
  <c r="BD116" i="2"/>
  <c r="BD117" i="2"/>
  <c r="BD118" i="2"/>
  <c r="BD119" i="2"/>
  <c r="BD128" i="2"/>
  <c r="BD129" i="2"/>
  <c r="BD130" i="2"/>
  <c r="BD131" i="2"/>
  <c r="BD132" i="2"/>
  <c r="BD135" i="2"/>
  <c r="BD21" i="2"/>
  <c r="BD72" i="2"/>
  <c r="BD91" i="2"/>
  <c r="BD92" i="2"/>
  <c r="BD93" i="2"/>
  <c r="BD186" i="2"/>
  <c r="BD187" i="2"/>
  <c r="BD189" i="2"/>
  <c r="BD236" i="2"/>
  <c r="BD264" i="2"/>
  <c r="BD55" i="2"/>
  <c r="BD71" i="2"/>
  <c r="BD83" i="2"/>
  <c r="AJ83" i="2" s="1"/>
  <c r="AQ83" i="2" s="1"/>
  <c r="BD108" i="2"/>
  <c r="BD162" i="2"/>
  <c r="BD166" i="2"/>
  <c r="BD174" i="2"/>
  <c r="BD188" i="2"/>
  <c r="BD214" i="2"/>
  <c r="BD217" i="2"/>
  <c r="BD218" i="2"/>
  <c r="BD219" i="2"/>
  <c r="BD251" i="2"/>
  <c r="BD259" i="2"/>
  <c r="BD260" i="2"/>
  <c r="BD261" i="2"/>
  <c r="BD262" i="2"/>
  <c r="BD263" i="2"/>
  <c r="BD265" i="2"/>
  <c r="BD70" i="2"/>
  <c r="BD107" i="2"/>
  <c r="BD181" i="2"/>
  <c r="AI181" i="2" s="1"/>
  <c r="AY181" i="2" s="1"/>
  <c r="BD197" i="2"/>
  <c r="BD213" i="2"/>
  <c r="BD245" i="2"/>
  <c r="BD246" i="2"/>
  <c r="BD247" i="2"/>
  <c r="BD248" i="2"/>
  <c r="BD250" i="2"/>
  <c r="BD258" i="2"/>
  <c r="BD276" i="2"/>
  <c r="BD279" i="2"/>
  <c r="BD69" i="2"/>
  <c r="AI69" i="2" s="1"/>
  <c r="AY69" i="2" s="1"/>
  <c r="BD157" i="2"/>
  <c r="BD158" i="2"/>
  <c r="AJ158" i="2" s="1"/>
  <c r="AQ158" i="2" s="1"/>
  <c r="BD159" i="2"/>
  <c r="BD160" i="2"/>
  <c r="BD171" i="2"/>
  <c r="BD172" i="2"/>
  <c r="BD173" i="2"/>
  <c r="BD180" i="2"/>
  <c r="BD196" i="2"/>
  <c r="BD205" i="2"/>
  <c r="BD220" i="2"/>
  <c r="BD221" i="2"/>
  <c r="BD222" i="2"/>
  <c r="BD223" i="2"/>
  <c r="BD230" i="2"/>
  <c r="BD231" i="2"/>
  <c r="BD232" i="2"/>
  <c r="BD249" i="2"/>
  <c r="BD257" i="2"/>
  <c r="BD277" i="2"/>
  <c r="BD278" i="2"/>
  <c r="BD156" i="2"/>
  <c r="BD170" i="2"/>
  <c r="BD211" i="2"/>
  <c r="BD212" i="2"/>
  <c r="BD229" i="2"/>
  <c r="BD233" i="2"/>
  <c r="BD234" i="2"/>
  <c r="BD235" i="2"/>
  <c r="BD256" i="2"/>
  <c r="AJ256" i="2" s="1"/>
  <c r="AQ256" i="2" s="1"/>
  <c r="BD280" i="2"/>
  <c r="BD32" i="2"/>
  <c r="AI32" i="2" s="1"/>
  <c r="AY32" i="2" s="1"/>
  <c r="BD155" i="2"/>
  <c r="BD178" i="2"/>
  <c r="BD179" i="2"/>
  <c r="BD183" i="2"/>
  <c r="BD195" i="2"/>
  <c r="BD210" i="2"/>
  <c r="BD228" i="2"/>
  <c r="BD237" i="2"/>
  <c r="BD238" i="2"/>
  <c r="BD239" i="2"/>
  <c r="BD240" i="2"/>
  <c r="BD255" i="2"/>
  <c r="BD31" i="2"/>
  <c r="AJ31" i="2" s="1"/>
  <c r="AQ31" i="2" s="1"/>
  <c r="BD90" i="2"/>
  <c r="BD154" i="2"/>
  <c r="BD177" i="2"/>
  <c r="BD184" i="2"/>
  <c r="BD185" i="2"/>
  <c r="BD190" i="2"/>
  <c r="BD199" i="2"/>
  <c r="BD209" i="2"/>
  <c r="BD254" i="2"/>
  <c r="AJ254" i="2" s="1"/>
  <c r="AQ254" i="2" s="1"/>
  <c r="BD153" i="2"/>
  <c r="BD176" i="2"/>
  <c r="BD241" i="2"/>
  <c r="BD242" i="2"/>
  <c r="BD243" i="2"/>
  <c r="BD253" i="2"/>
  <c r="BD267" i="2"/>
  <c r="BD268" i="2"/>
  <c r="BD269" i="2"/>
  <c r="BD270" i="2"/>
  <c r="BD271" i="2"/>
  <c r="AJ271" i="2" s="1"/>
  <c r="AQ271" i="2" s="1"/>
  <c r="BD272" i="2"/>
  <c r="BD56" i="2"/>
  <c r="BD163" i="2"/>
  <c r="BD167" i="2"/>
  <c r="BD175" i="2"/>
  <c r="BD215" i="2"/>
  <c r="BD216" i="2"/>
  <c r="BD244" i="2"/>
  <c r="BD252" i="2"/>
  <c r="BD266" i="2"/>
  <c r="BD273" i="2"/>
  <c r="BD274" i="2"/>
  <c r="BD275" i="2"/>
  <c r="AI31" i="2"/>
  <c r="AY31" i="2" s="1"/>
  <c r="AI117" i="2"/>
  <c r="AY117" i="2" s="1"/>
  <c r="AI114" i="2"/>
  <c r="AY114" i="2" s="1"/>
  <c r="AJ115" i="2"/>
  <c r="AQ115" i="2" s="1"/>
  <c r="AI115" i="2"/>
  <c r="AY115" i="2" s="1"/>
  <c r="AI256" i="2"/>
  <c r="AY256" i="2" s="1"/>
  <c r="AJ221" i="2"/>
  <c r="AQ221" i="2" s="1"/>
  <c r="AI221" i="2"/>
  <c r="AY221" i="2" s="1"/>
  <c r="AJ188" i="2"/>
  <c r="AQ188" i="2" s="1"/>
  <c r="AI188" i="2"/>
  <c r="AY188" i="2" s="1"/>
  <c r="AI207" i="2"/>
  <c r="AY207" i="2" s="1"/>
  <c r="AJ229" i="2"/>
  <c r="AQ229" i="2" s="1"/>
  <c r="AI229" i="2"/>
  <c r="AY229" i="2" s="1"/>
  <c r="AI28" i="2"/>
  <c r="AY28" i="2" s="1"/>
  <c r="AJ28" i="2"/>
  <c r="AQ28" i="2" s="1"/>
  <c r="AI82" i="2"/>
  <c r="AY82" i="2" s="1"/>
  <c r="AJ82" i="2"/>
  <c r="AQ82" i="2" s="1"/>
  <c r="AI120" i="2"/>
  <c r="AY120" i="2" s="1"/>
  <c r="AJ62" i="2"/>
  <c r="AQ62" i="2" s="1"/>
  <c r="AI62" i="2"/>
  <c r="AY62" i="2" s="1"/>
  <c r="AI159" i="2"/>
  <c r="AY159" i="2" s="1"/>
  <c r="AJ159" i="2"/>
  <c r="AQ159" i="2" s="1"/>
  <c r="AJ104" i="2"/>
  <c r="AQ104" i="2" s="1"/>
  <c r="AI271" i="2"/>
  <c r="AY271" i="2" s="1"/>
  <c r="AI203" i="2"/>
  <c r="AY203" i="2" s="1"/>
  <c r="AJ203" i="2"/>
  <c r="AQ203" i="2" s="1"/>
  <c r="AI254" i="2"/>
  <c r="AY254" i="2" s="1"/>
  <c r="AJ145" i="2"/>
  <c r="AQ145" i="2" s="1"/>
  <c r="AI145" i="2"/>
  <c r="AY145" i="2" s="1"/>
  <c r="AJ99" i="2"/>
  <c r="AQ99" i="2" s="1"/>
  <c r="AJ25" i="2"/>
  <c r="AQ25" i="2" s="1"/>
  <c r="AI25" i="2"/>
  <c r="AY25" i="2" s="1"/>
  <c r="AI83" i="2"/>
  <c r="AY83" i="2" s="1"/>
  <c r="AJ170" i="2"/>
  <c r="AQ170" i="2" s="1"/>
  <c r="AI170" i="2"/>
  <c r="AY170" i="2" s="1"/>
  <c r="AI72" i="2"/>
  <c r="AY72" i="2" s="1"/>
  <c r="AJ32" i="2"/>
  <c r="AQ32" i="2" s="1"/>
  <c r="AJ155" i="2"/>
  <c r="AQ155" i="2" s="1"/>
  <c r="AI155" i="2"/>
  <c r="AJ69" i="2"/>
  <c r="AQ69" i="2" s="1"/>
  <c r="AI119" i="2"/>
  <c r="AY119" i="2" s="1"/>
  <c r="AJ119" i="2"/>
  <c r="AQ119" i="2" s="1"/>
  <c r="AI194" i="2"/>
  <c r="AY194" i="2" s="1"/>
  <c r="AJ194" i="2"/>
  <c r="AQ194" i="2" s="1"/>
  <c r="AI280" i="2"/>
  <c r="AY280" i="2" s="1"/>
  <c r="AJ280" i="2"/>
  <c r="AQ280" i="2" s="1"/>
  <c r="AJ39" i="2"/>
  <c r="AQ39" i="2" s="1"/>
  <c r="AI39" i="2"/>
  <c r="AY39" i="2" s="1"/>
  <c r="AI205" i="2"/>
  <c r="AY205" i="2" s="1"/>
  <c r="AJ205" i="2"/>
  <c r="AQ205" i="2" s="1"/>
  <c r="AI158" i="2"/>
  <c r="AI279" i="2"/>
  <c r="AY279" i="2" s="1"/>
  <c r="AJ279" i="2"/>
  <c r="AQ279" i="2" s="1"/>
  <c r="AJ224" i="2"/>
  <c r="AQ224" i="2" s="1"/>
  <c r="AI224" i="2"/>
  <c r="AY224" i="2" s="1"/>
  <c r="AI219" i="2"/>
  <c r="AY219" i="2" s="1"/>
  <c r="AJ219" i="2"/>
  <c r="AQ219" i="2" s="1"/>
  <c r="AJ181" i="2"/>
  <c r="AQ181" i="2" s="1"/>
  <c r="AI74" i="2"/>
  <c r="AY74" i="2" s="1"/>
  <c r="AJ74" i="2"/>
  <c r="AQ74" i="2" s="1"/>
  <c r="AI202" i="2"/>
  <c r="AY202" i="2" s="1"/>
  <c r="AJ202" i="2"/>
  <c r="AQ202" i="2" s="1"/>
  <c r="AI270" i="2"/>
  <c r="AY270" i="2" s="1"/>
  <c r="AJ270" i="2"/>
  <c r="AQ270" i="2" s="1"/>
  <c r="AI139" i="2"/>
  <c r="AY139" i="2" s="1"/>
  <c r="AJ139" i="2"/>
  <c r="AQ139" i="2" s="1"/>
  <c r="AJ199" i="2"/>
  <c r="AQ199" i="2" s="1"/>
  <c r="AI199" i="2"/>
  <c r="AY199" i="2" s="1"/>
  <c r="AI38" i="2"/>
  <c r="AY38" i="2" s="1"/>
  <c r="AJ38" i="2"/>
  <c r="AQ38" i="2" s="1"/>
  <c r="AJ253" i="2"/>
  <c r="AQ253" i="2" s="1"/>
  <c r="AI253" i="2"/>
  <c r="AY253" i="2" s="1"/>
  <c r="AJ215" i="2"/>
  <c r="AQ215" i="2" s="1"/>
  <c r="AJ195" i="2"/>
  <c r="AQ195" i="2" s="1"/>
  <c r="AI195" i="2"/>
  <c r="AY195" i="2" s="1"/>
  <c r="AJ144" i="2"/>
  <c r="AQ144" i="2" s="1"/>
  <c r="AI144" i="2"/>
  <c r="AY144" i="2" s="1"/>
  <c r="AJ98" i="2"/>
  <c r="AQ98" i="2" s="1"/>
  <c r="AI98" i="2"/>
  <c r="AY98" i="2" s="1"/>
  <c r="AI141" i="2"/>
  <c r="AY141" i="2" s="1"/>
  <c r="AJ141" i="2"/>
  <c r="AQ141" i="2" s="1"/>
  <c r="AJ164" i="2"/>
  <c r="AQ164" i="2" s="1"/>
  <c r="AI164" i="2"/>
  <c r="AY164" i="2" s="1"/>
  <c r="AI79" i="2"/>
  <c r="AY79" i="2" s="1"/>
  <c r="AI81" i="2"/>
  <c r="AY81" i="2" s="1"/>
  <c r="AJ81" i="2"/>
  <c r="AQ81" i="2" s="1"/>
  <c r="AJ179" i="2"/>
  <c r="AQ179" i="2" s="1"/>
  <c r="AI179" i="2"/>
  <c r="AY179" i="2" s="1"/>
  <c r="AI168" i="2"/>
  <c r="AY168" i="2" s="1"/>
  <c r="AJ168" i="2"/>
  <c r="AQ168" i="2" s="1"/>
  <c r="AJ17" i="2"/>
  <c r="AQ17" i="2" s="1"/>
  <c r="AI17" i="2"/>
  <c r="AY17" i="2" s="1"/>
  <c r="AI71" i="2"/>
  <c r="AY71" i="2" s="1"/>
  <c r="AJ71" i="2"/>
  <c r="AQ71" i="2" s="1"/>
  <c r="AI24" i="2"/>
  <c r="AY24" i="2" s="1"/>
  <c r="AJ24" i="2"/>
  <c r="AQ24" i="2" s="1"/>
  <c r="AI154" i="2"/>
  <c r="AJ154" i="2"/>
  <c r="AQ154" i="2" s="1"/>
  <c r="AJ95" i="2"/>
  <c r="AQ95" i="2" s="1"/>
  <c r="AI95" i="2"/>
  <c r="AY95" i="2" s="1"/>
  <c r="AI68" i="2"/>
  <c r="AY68" i="2" s="1"/>
  <c r="AJ68" i="2"/>
  <c r="AQ68" i="2" s="1"/>
  <c r="AJ91" i="2"/>
  <c r="AQ91" i="2" s="1"/>
  <c r="AI91" i="2"/>
  <c r="AY91" i="2" s="1"/>
  <c r="AI30" i="2"/>
  <c r="AY30" i="2" s="1"/>
  <c r="AJ30" i="2"/>
  <c r="AQ30" i="2" s="1"/>
  <c r="AI238" i="2"/>
  <c r="AY238" i="2" s="1"/>
  <c r="AJ238" i="2"/>
  <c r="AQ238" i="2" s="1"/>
  <c r="AI262" i="2"/>
  <c r="AY262" i="2" s="1"/>
  <c r="AJ262" i="2"/>
  <c r="AQ262" i="2" s="1"/>
  <c r="AI37" i="2"/>
  <c r="AY37" i="2" s="1"/>
  <c r="AJ37" i="2"/>
  <c r="AQ37" i="2" s="1"/>
  <c r="AJ230" i="2"/>
  <c r="AQ230" i="2" s="1"/>
  <c r="AI230" i="2"/>
  <c r="AY230" i="2" s="1"/>
  <c r="AJ113" i="2"/>
  <c r="AQ113" i="2" s="1"/>
  <c r="AI113" i="2"/>
  <c r="AY113" i="2" s="1"/>
  <c r="AJ110" i="2"/>
  <c r="AQ110" i="2" s="1"/>
  <c r="AI110" i="2"/>
  <c r="AY110" i="2" s="1"/>
  <c r="AJ272" i="2"/>
  <c r="AQ272" i="2" s="1"/>
  <c r="AI272" i="2"/>
  <c r="AY272" i="2" s="1"/>
  <c r="AI78" i="2"/>
  <c r="AY78" i="2" s="1"/>
  <c r="AJ78" i="2"/>
  <c r="AQ78" i="2" s="1"/>
  <c r="AJ19" i="2"/>
  <c r="AQ19" i="2" s="1"/>
  <c r="AI19" i="2"/>
  <c r="AY19" i="2" s="1"/>
  <c r="AJ265" i="2"/>
  <c r="AQ265" i="2" s="1"/>
  <c r="AI265" i="2"/>
  <c r="AY265" i="2" s="1"/>
  <c r="AJ173" i="2"/>
  <c r="AQ173" i="2" s="1"/>
  <c r="AI173" i="2"/>
  <c r="AY173" i="2" s="1"/>
  <c r="AJ165" i="2"/>
  <c r="AQ165" i="2" s="1"/>
  <c r="AI165" i="2"/>
  <c r="AY165" i="2" s="1"/>
  <c r="AI220" i="2"/>
  <c r="AY220" i="2" s="1"/>
  <c r="AJ220" i="2"/>
  <c r="AQ220" i="2" s="1"/>
  <c r="AJ260" i="2"/>
  <c r="AQ260" i="2" s="1"/>
  <c r="AI260" i="2"/>
  <c r="AY260" i="2" s="1"/>
  <c r="AI216" i="2"/>
  <c r="AY216" i="2" s="1"/>
  <c r="AJ216" i="2"/>
  <c r="AQ216" i="2" s="1"/>
  <c r="AJ193" i="2"/>
  <c r="AQ193" i="2" s="1"/>
  <c r="AI193" i="2"/>
  <c r="AY193" i="2" s="1"/>
  <c r="AI61" i="2"/>
  <c r="AY61" i="2" s="1"/>
  <c r="AJ61" i="2"/>
  <c r="AQ61" i="2" s="1"/>
  <c r="AJ228" i="2"/>
  <c r="AQ228" i="2" s="1"/>
  <c r="AI228" i="2"/>
  <c r="AY228" i="2" s="1"/>
  <c r="AJ196" i="2"/>
  <c r="AQ196" i="2" s="1"/>
  <c r="AI196" i="2"/>
  <c r="AY196" i="2" s="1"/>
  <c r="AI9" i="2"/>
  <c r="AY9" i="2" s="1"/>
  <c r="AJ9" i="2"/>
  <c r="AQ9" i="2" s="1"/>
  <c r="AI80" i="2"/>
  <c r="AY80" i="2" s="1"/>
  <c r="AI180" i="2"/>
  <c r="AY180" i="2" s="1"/>
  <c r="AJ180" i="2"/>
  <c r="AQ180" i="2" s="1"/>
  <c r="AJ27" i="2"/>
  <c r="AQ27" i="2" s="1"/>
  <c r="AI27" i="2"/>
  <c r="AY27" i="2" s="1"/>
  <c r="AJ101" i="2"/>
  <c r="AQ101" i="2" s="1"/>
  <c r="AI101" i="2"/>
  <c r="AY101" i="2" s="1"/>
  <c r="AI190" i="2"/>
  <c r="AY190" i="2" s="1"/>
  <c r="AJ190" i="2"/>
  <c r="AQ190" i="2" s="1"/>
  <c r="AI235" i="2"/>
  <c r="AY235" i="2" s="1"/>
  <c r="AJ235" i="2"/>
  <c r="AQ235" i="2" s="1"/>
  <c r="AJ277" i="2"/>
  <c r="AQ277" i="2" s="1"/>
  <c r="AI277" i="2"/>
  <c r="AY277" i="2" s="1"/>
  <c r="AI204" i="2"/>
  <c r="AY204" i="2" s="1"/>
  <c r="AJ204" i="2"/>
  <c r="AQ204" i="2" s="1"/>
  <c r="AI137" i="2"/>
  <c r="AY137" i="2" s="1"/>
  <c r="AJ137" i="2"/>
  <c r="AQ137" i="2" s="1"/>
  <c r="AI278" i="2"/>
  <c r="AY278" i="2" s="1"/>
  <c r="AJ278" i="2"/>
  <c r="AQ278" i="2" s="1"/>
  <c r="AI201" i="2"/>
  <c r="AY201" i="2" s="1"/>
  <c r="AJ201" i="2"/>
  <c r="AQ201" i="2" s="1"/>
  <c r="AI218" i="2"/>
  <c r="AY218" i="2" s="1"/>
  <c r="AJ218" i="2"/>
  <c r="AQ218" i="2" s="1"/>
  <c r="AJ138" i="2"/>
  <c r="AQ138" i="2" s="1"/>
  <c r="AI138" i="2"/>
  <c r="AY138" i="2" s="1"/>
  <c r="AI275" i="2"/>
  <c r="AY275" i="2" s="1"/>
  <c r="AJ275" i="2"/>
  <c r="AQ275" i="2" s="1"/>
  <c r="AJ127" i="2"/>
  <c r="AQ127" i="2" s="1"/>
  <c r="AI127" i="2"/>
  <c r="AY127" i="2" s="1"/>
  <c r="AJ269" i="2"/>
  <c r="AQ269" i="2" s="1"/>
  <c r="AI269" i="2"/>
  <c r="AY269" i="2" s="1"/>
  <c r="AJ135" i="2"/>
  <c r="AQ135" i="2" s="1"/>
  <c r="AI135" i="2"/>
  <c r="AY135" i="2" s="1"/>
  <c r="AI198" i="2"/>
  <c r="AY198" i="2" s="1"/>
  <c r="AI18" i="2"/>
  <c r="AY18" i="2" s="1"/>
  <c r="AJ18" i="2"/>
  <c r="AQ18" i="2" s="1"/>
  <c r="AI252" i="2"/>
  <c r="AY252" i="2" s="1"/>
  <c r="AJ252" i="2"/>
  <c r="AQ252" i="2" s="1"/>
  <c r="AI214" i="2"/>
  <c r="AY214" i="2" s="1"/>
  <c r="AJ214" i="2"/>
  <c r="AQ214" i="2" s="1"/>
  <c r="AJ183" i="2"/>
  <c r="AQ183" i="2" s="1"/>
  <c r="AI183" i="2"/>
  <c r="AY183" i="2" s="1"/>
  <c r="AJ143" i="2"/>
  <c r="AQ143" i="2" s="1"/>
  <c r="AI143" i="2"/>
  <c r="AY143" i="2" s="1"/>
  <c r="AI97" i="2"/>
  <c r="AY97" i="2" s="1"/>
  <c r="AJ97" i="2"/>
  <c r="AQ97" i="2" s="1"/>
  <c r="AI133" i="2"/>
  <c r="AY133" i="2" s="1"/>
  <c r="AI163" i="2"/>
  <c r="AY163" i="2" s="1"/>
  <c r="AJ163" i="2"/>
  <c r="AQ163" i="2" s="1"/>
  <c r="AJ48" i="2"/>
  <c r="AQ48" i="2" s="1"/>
  <c r="AI48" i="2"/>
  <c r="AY48" i="2" s="1"/>
  <c r="AJ76" i="2"/>
  <c r="AQ76" i="2" s="1"/>
  <c r="AI76" i="2"/>
  <c r="AY76" i="2" s="1"/>
  <c r="AI178" i="2"/>
  <c r="AY178" i="2" s="1"/>
  <c r="AJ178" i="2"/>
  <c r="AQ178" i="2" s="1"/>
  <c r="AJ161" i="2"/>
  <c r="AQ161" i="2" s="1"/>
  <c r="AI161" i="2"/>
  <c r="AY161" i="2" s="1"/>
  <c r="AJ11" i="2"/>
  <c r="AQ11" i="2" s="1"/>
  <c r="AI11" i="2"/>
  <c r="AY11" i="2" s="1"/>
  <c r="AJ56" i="2"/>
  <c r="AQ56" i="2" s="1"/>
  <c r="AI56" i="2"/>
  <c r="AY56" i="2" s="1"/>
  <c r="AI15" i="2"/>
  <c r="AY15" i="2" s="1"/>
  <c r="AJ15" i="2"/>
  <c r="AQ15" i="2" s="1"/>
  <c r="AJ153" i="2"/>
  <c r="AQ153" i="2" s="1"/>
  <c r="AI153" i="2"/>
  <c r="AJ94" i="2"/>
  <c r="AQ94" i="2" s="1"/>
  <c r="AI94" i="2"/>
  <c r="AY94" i="2" s="1"/>
  <c r="AI55" i="2"/>
  <c r="AY55" i="2" s="1"/>
  <c r="AJ55" i="2"/>
  <c r="AQ55" i="2" s="1"/>
  <c r="AJ90" i="2"/>
  <c r="AQ90" i="2" s="1"/>
  <c r="AI90" i="2"/>
  <c r="AY90" i="2" s="1"/>
  <c r="AJ29" i="2"/>
  <c r="AQ29" i="2" s="1"/>
  <c r="AI29" i="2"/>
  <c r="AY29" i="2" s="1"/>
  <c r="AJ200" i="2"/>
  <c r="AQ200" i="2" s="1"/>
  <c r="AI200" i="2"/>
  <c r="AY200" i="2" s="1"/>
  <c r="AI246" i="2"/>
  <c r="AY246" i="2" s="1"/>
  <c r="AJ246" i="2"/>
  <c r="AQ246" i="2" s="1"/>
  <c r="AI244" i="2"/>
  <c r="AY244" i="2" s="1"/>
  <c r="AJ244" i="2"/>
  <c r="AQ244" i="2" s="1"/>
  <c r="AJ210" i="2"/>
  <c r="AQ210" i="2" s="1"/>
  <c r="AI210" i="2"/>
  <c r="AY210" i="2" s="1"/>
  <c r="AI237" i="2"/>
  <c r="AY237" i="2" s="1"/>
  <c r="AJ237" i="2"/>
  <c r="AQ237" i="2" s="1"/>
  <c r="AI245" i="2"/>
  <c r="AY245" i="2" s="1"/>
  <c r="AJ245" i="2"/>
  <c r="AQ245" i="2" s="1"/>
  <c r="AI111" i="2"/>
  <c r="AY111" i="2" s="1"/>
  <c r="AJ111" i="2"/>
  <c r="AQ111" i="2" s="1"/>
  <c r="AI255" i="2"/>
  <c r="AY255" i="2" s="1"/>
  <c r="AJ255" i="2"/>
  <c r="AQ255" i="2" s="1"/>
  <c r="AI146" i="2"/>
  <c r="AY146" i="2" s="1"/>
  <c r="AJ146" i="2"/>
  <c r="AQ146" i="2" s="1"/>
  <c r="AI106" i="2"/>
  <c r="AY106" i="2" s="1"/>
  <c r="AJ106" i="2"/>
  <c r="AQ106" i="2" s="1"/>
  <c r="AI6" i="2"/>
  <c r="AY6" i="2" s="1"/>
  <c r="AJ6" i="2"/>
  <c r="AQ6" i="2" s="1"/>
  <c r="AI70" i="2"/>
  <c r="AY70" i="2" s="1"/>
  <c r="AJ70" i="2"/>
  <c r="AQ70" i="2" s="1"/>
  <c r="AJ57" i="2"/>
  <c r="AQ57" i="2" s="1"/>
  <c r="AI57" i="2"/>
  <c r="AY57" i="2" s="1"/>
  <c r="AI236" i="2"/>
  <c r="AY236" i="2" s="1"/>
  <c r="AJ236" i="2"/>
  <c r="AQ236" i="2" s="1"/>
  <c r="AI136" i="2"/>
  <c r="AY136" i="2" s="1"/>
  <c r="AJ136" i="2"/>
  <c r="AQ136" i="2" s="1"/>
  <c r="AI234" i="2"/>
  <c r="AY234" i="2" s="1"/>
  <c r="AJ234" i="2"/>
  <c r="AQ234" i="2" s="1"/>
  <c r="AJ232" i="2"/>
  <c r="AQ232" i="2" s="1"/>
  <c r="AI232" i="2"/>
  <c r="AY232" i="2" s="1"/>
  <c r="AI191" i="2"/>
  <c r="AY191" i="2" s="1"/>
  <c r="AJ191" i="2"/>
  <c r="AQ191" i="2" s="1"/>
  <c r="AJ130" i="2"/>
  <c r="AQ130" i="2" s="1"/>
  <c r="AI130" i="2"/>
  <c r="AY130" i="2" s="1"/>
  <c r="AI276" i="2"/>
  <c r="AY276" i="2" s="1"/>
  <c r="AJ276" i="2"/>
  <c r="AQ276" i="2" s="1"/>
  <c r="AI63" i="2"/>
  <c r="AY63" i="2" s="1"/>
  <c r="AJ63" i="2"/>
  <c r="AQ63" i="2" s="1"/>
  <c r="AJ217" i="2"/>
  <c r="AQ217" i="2" s="1"/>
  <c r="AI217" i="2"/>
  <c r="AY217" i="2" s="1"/>
  <c r="AJ131" i="2"/>
  <c r="AQ131" i="2" s="1"/>
  <c r="AI131" i="2"/>
  <c r="AY131" i="2" s="1"/>
  <c r="AI274" i="2"/>
  <c r="AY274" i="2" s="1"/>
  <c r="AJ274" i="2"/>
  <c r="AQ274" i="2" s="1"/>
  <c r="AJ64" i="2"/>
  <c r="AQ64" i="2" s="1"/>
  <c r="AI64" i="2"/>
  <c r="AY64" i="2" s="1"/>
  <c r="AJ268" i="2"/>
  <c r="AQ268" i="2" s="1"/>
  <c r="AI268" i="2"/>
  <c r="AY268" i="2" s="1"/>
  <c r="AJ128" i="2"/>
  <c r="AQ128" i="2" s="1"/>
  <c r="AI128" i="2"/>
  <c r="AY128" i="2" s="1"/>
  <c r="AJ189" i="2"/>
  <c r="AQ189" i="2" s="1"/>
  <c r="AI189" i="2"/>
  <c r="AY189" i="2" s="1"/>
  <c r="AI259" i="2"/>
  <c r="AY259" i="2" s="1"/>
  <c r="AJ259" i="2"/>
  <c r="AQ259" i="2" s="1"/>
  <c r="AI251" i="2"/>
  <c r="AY251" i="2" s="1"/>
  <c r="AJ251" i="2"/>
  <c r="AQ251" i="2" s="1"/>
  <c r="AI213" i="2"/>
  <c r="AY213" i="2" s="1"/>
  <c r="AJ213" i="2"/>
  <c r="AQ213" i="2" s="1"/>
  <c r="AJ182" i="2"/>
  <c r="AQ182" i="2" s="1"/>
  <c r="AI182" i="2"/>
  <c r="AY182" i="2" s="1"/>
  <c r="AI142" i="2"/>
  <c r="AY142" i="2" s="1"/>
  <c r="AJ142" i="2"/>
  <c r="AQ142" i="2" s="1"/>
  <c r="AJ96" i="2"/>
  <c r="AQ96" i="2" s="1"/>
  <c r="AI96" i="2"/>
  <c r="AY96" i="2" s="1"/>
  <c r="AJ75" i="2"/>
  <c r="AQ75" i="2" s="1"/>
  <c r="AI75" i="2"/>
  <c r="AY75" i="2" s="1"/>
  <c r="AI162" i="2"/>
  <c r="AY162" i="2" s="1"/>
  <c r="AJ162" i="2"/>
  <c r="AQ162" i="2" s="1"/>
  <c r="AJ16" i="2"/>
  <c r="AQ16" i="2" s="1"/>
  <c r="AI16" i="2"/>
  <c r="AY16" i="2" s="1"/>
  <c r="AI44" i="2"/>
  <c r="AY44" i="2" s="1"/>
  <c r="AJ44" i="2"/>
  <c r="AQ44" i="2" s="1"/>
  <c r="AI177" i="2"/>
  <c r="AY177" i="2" s="1"/>
  <c r="AJ177" i="2"/>
  <c r="AQ177" i="2" s="1"/>
  <c r="AI157" i="2"/>
  <c r="AJ157" i="2"/>
  <c r="AQ157" i="2" s="1"/>
  <c r="AJ77" i="2"/>
  <c r="AQ77" i="2" s="1"/>
  <c r="AI77" i="2"/>
  <c r="AY77" i="2" s="1"/>
  <c r="AJ53" i="2"/>
  <c r="AQ53" i="2" s="1"/>
  <c r="AI53" i="2"/>
  <c r="AY53" i="2" s="1"/>
  <c r="AI14" i="2"/>
  <c r="AY14" i="2" s="1"/>
  <c r="AJ14" i="2"/>
  <c r="AQ14" i="2" s="1"/>
  <c r="AI152" i="2"/>
  <c r="AJ152" i="2"/>
  <c r="AQ152" i="2" s="1"/>
  <c r="AJ93" i="2"/>
  <c r="AQ93" i="2" s="1"/>
  <c r="AI93" i="2"/>
  <c r="AY93" i="2" s="1"/>
  <c r="AI54" i="2"/>
  <c r="AY54" i="2" s="1"/>
  <c r="AJ54" i="2"/>
  <c r="AQ54" i="2" s="1"/>
  <c r="AI67" i="2"/>
  <c r="AY67" i="2" s="1"/>
  <c r="AJ67" i="2"/>
  <c r="AQ67" i="2" s="1"/>
  <c r="AJ23" i="2"/>
  <c r="AQ23" i="2" s="1"/>
  <c r="AI23" i="2"/>
  <c r="AY23" i="2" s="1"/>
  <c r="AJ169" i="2"/>
  <c r="AQ169" i="2" s="1"/>
  <c r="AI169" i="2"/>
  <c r="AY169" i="2" s="1"/>
  <c r="AI112" i="2"/>
  <c r="AY112" i="2" s="1"/>
  <c r="AJ112" i="2"/>
  <c r="AQ112" i="2" s="1"/>
  <c r="AI160" i="2"/>
  <c r="AY160" i="2" s="1"/>
  <c r="AJ160" i="2"/>
  <c r="AQ160" i="2" s="1"/>
  <c r="AJ209" i="2"/>
  <c r="AQ209" i="2" s="1"/>
  <c r="AI209" i="2"/>
  <c r="AY209" i="2" s="1"/>
  <c r="AJ102" i="2"/>
  <c r="AQ102" i="2" s="1"/>
  <c r="AI102" i="2"/>
  <c r="AY102" i="2" s="1"/>
  <c r="AI187" i="2"/>
  <c r="AY187" i="2" s="1"/>
  <c r="AJ187" i="2"/>
  <c r="AQ187" i="2" s="1"/>
  <c r="AI240" i="2"/>
  <c r="AY240" i="2" s="1"/>
  <c r="AJ240" i="2"/>
  <c r="AQ240" i="2" s="1"/>
  <c r="AJ233" i="2"/>
  <c r="AQ233" i="2" s="1"/>
  <c r="AI233" i="2"/>
  <c r="AY233" i="2" s="1"/>
  <c r="AI125" i="2"/>
  <c r="AY125" i="2" s="1"/>
  <c r="AJ206" i="2"/>
  <c r="AQ206" i="2" s="1"/>
  <c r="AI206" i="2"/>
  <c r="AY206" i="2" s="1"/>
  <c r="AI60" i="2"/>
  <c r="AY60" i="2" s="1"/>
  <c r="AJ60" i="2"/>
  <c r="AQ60" i="2" s="1"/>
  <c r="AI243" i="2"/>
  <c r="AY243" i="2" s="1"/>
  <c r="AJ243" i="2"/>
  <c r="AQ243" i="2" s="1"/>
  <c r="AI123" i="2"/>
  <c r="AY123" i="2" s="1"/>
  <c r="AJ123" i="2"/>
  <c r="AQ123" i="2" s="1"/>
  <c r="AJ185" i="2"/>
  <c r="AQ185" i="2" s="1"/>
  <c r="AI185" i="2"/>
  <c r="AY185" i="2" s="1"/>
  <c r="AI258" i="2"/>
  <c r="AY258" i="2" s="1"/>
  <c r="AJ258" i="2"/>
  <c r="AQ258" i="2" s="1"/>
  <c r="AJ250" i="2"/>
  <c r="AQ250" i="2" s="1"/>
  <c r="AI250" i="2"/>
  <c r="AY250" i="2" s="1"/>
  <c r="AI212" i="2"/>
  <c r="AY212" i="2" s="1"/>
  <c r="AJ212" i="2"/>
  <c r="AQ212" i="2" s="1"/>
  <c r="AI149" i="2"/>
  <c r="AY149" i="2" s="1"/>
  <c r="AJ149" i="2"/>
  <c r="AQ149" i="2" s="1"/>
  <c r="AJ140" i="2"/>
  <c r="AQ140" i="2" s="1"/>
  <c r="AI140" i="2"/>
  <c r="AY140" i="2" s="1"/>
  <c r="AJ58" i="2"/>
  <c r="AQ58" i="2" s="1"/>
  <c r="AI58" i="2"/>
  <c r="AY58" i="2" s="1"/>
  <c r="AJ59" i="2"/>
  <c r="AQ59" i="2" s="1"/>
  <c r="AI59" i="2"/>
  <c r="AY59" i="2" s="1"/>
  <c r="AJ87" i="2"/>
  <c r="AQ87" i="2" s="1"/>
  <c r="AI87" i="2"/>
  <c r="AY87" i="2" s="1"/>
  <c r="AI10" i="2"/>
  <c r="AY10" i="2" s="1"/>
  <c r="AJ10" i="2"/>
  <c r="AQ10" i="2" s="1"/>
  <c r="AJ26" i="2"/>
  <c r="AQ26" i="2" s="1"/>
  <c r="AI26" i="2"/>
  <c r="AY26" i="2" s="1"/>
  <c r="AJ176" i="2"/>
  <c r="AQ176" i="2" s="1"/>
  <c r="AI176" i="2"/>
  <c r="AY176" i="2" s="1"/>
  <c r="AI156" i="2"/>
  <c r="AJ156" i="2"/>
  <c r="AQ156" i="2" s="1"/>
  <c r="AJ45" i="2"/>
  <c r="AQ45" i="2" s="1"/>
  <c r="AI45" i="2"/>
  <c r="AY45" i="2" s="1"/>
  <c r="AI52" i="2"/>
  <c r="AY52" i="2" s="1"/>
  <c r="AJ52" i="2"/>
  <c r="AQ52" i="2" s="1"/>
  <c r="AI13" i="2"/>
  <c r="AY13" i="2" s="1"/>
  <c r="AJ13" i="2"/>
  <c r="AQ13" i="2" s="1"/>
  <c r="AJ151" i="2"/>
  <c r="AQ151" i="2" s="1"/>
  <c r="AI151" i="2"/>
  <c r="AY151" i="2" s="1"/>
  <c r="AI92" i="2"/>
  <c r="AY92" i="2" s="1"/>
  <c r="AJ92" i="2"/>
  <c r="AQ92" i="2" s="1"/>
  <c r="AI43" i="2"/>
  <c r="AY43" i="2" s="1"/>
  <c r="AJ43" i="2"/>
  <c r="AQ43" i="2" s="1"/>
  <c r="AI66" i="2"/>
  <c r="AY66" i="2" s="1"/>
  <c r="AJ66" i="2"/>
  <c r="AQ66" i="2" s="1"/>
  <c r="AJ22" i="2"/>
  <c r="AQ22" i="2" s="1"/>
  <c r="AI22" i="2"/>
  <c r="AY22" i="2" s="1"/>
  <c r="AJ222" i="2"/>
  <c r="AQ222" i="2" s="1"/>
  <c r="AI222" i="2"/>
  <c r="AY222" i="2" s="1"/>
  <c r="AI192" i="2"/>
  <c r="AY192" i="2" s="1"/>
  <c r="AJ192" i="2"/>
  <c r="AQ192" i="2" s="1"/>
  <c r="AI241" i="2"/>
  <c r="AY241" i="2" s="1"/>
  <c r="AJ241" i="2"/>
  <c r="AQ241" i="2" s="1"/>
  <c r="AJ147" i="2"/>
  <c r="AQ147" i="2" s="1"/>
  <c r="AI147" i="2"/>
  <c r="AY147" i="2" s="1"/>
  <c r="AJ186" i="2"/>
  <c r="AQ186" i="2" s="1"/>
  <c r="AI186" i="2"/>
  <c r="AY186" i="2" s="1"/>
  <c r="AJ261" i="2"/>
  <c r="AQ261" i="2" s="1"/>
  <c r="AI261" i="2"/>
  <c r="AY261" i="2" s="1"/>
  <c r="AJ225" i="2"/>
  <c r="AQ225" i="2" s="1"/>
  <c r="AI225" i="2"/>
  <c r="AY225" i="2" s="1"/>
  <c r="AJ226" i="2"/>
  <c r="AQ226" i="2" s="1"/>
  <c r="AI226" i="2"/>
  <c r="AY226" i="2" s="1"/>
  <c r="AJ100" i="2"/>
  <c r="AQ100" i="2" s="1"/>
  <c r="AI100" i="2"/>
  <c r="AY100" i="2" s="1"/>
  <c r="AI84" i="2"/>
  <c r="AY84" i="2" s="1"/>
  <c r="AJ84" i="2"/>
  <c r="AQ84" i="2" s="1"/>
  <c r="AJ33" i="2"/>
  <c r="AQ33" i="2" s="1"/>
  <c r="AI33" i="2"/>
  <c r="AY33" i="2" s="1"/>
  <c r="AJ40" i="2"/>
  <c r="AQ40" i="2" s="1"/>
  <c r="AI40" i="2"/>
  <c r="AY40" i="2" s="1"/>
  <c r="AI208" i="2"/>
  <c r="AY208" i="2" s="1"/>
  <c r="AJ208" i="2"/>
  <c r="AQ208" i="2" s="1"/>
  <c r="AJ73" i="2"/>
  <c r="AQ73" i="2" s="1"/>
  <c r="AI73" i="2"/>
  <c r="AY73" i="2" s="1"/>
  <c r="AI129" i="2"/>
  <c r="AY129" i="2" s="1"/>
  <c r="AJ129" i="2"/>
  <c r="AQ129" i="2" s="1"/>
  <c r="AI231" i="2"/>
  <c r="AY231" i="2" s="1"/>
  <c r="AJ231" i="2"/>
  <c r="AQ231" i="2" s="1"/>
  <c r="AJ172" i="2"/>
  <c r="AQ172" i="2" s="1"/>
  <c r="AI172" i="2"/>
  <c r="AY172" i="2" s="1"/>
  <c r="AI248" i="2"/>
  <c r="AY248" i="2" s="1"/>
  <c r="AJ248" i="2"/>
  <c r="AQ248" i="2" s="1"/>
  <c r="AJ20" i="2"/>
  <c r="AQ20" i="2" s="1"/>
  <c r="AI20" i="2"/>
  <c r="AY20" i="2" s="1"/>
  <c r="AJ126" i="2"/>
  <c r="AQ126" i="2" s="1"/>
  <c r="AI126" i="2"/>
  <c r="AY126" i="2" s="1"/>
  <c r="AJ273" i="2"/>
  <c r="AQ273" i="2" s="1"/>
  <c r="AI273" i="2"/>
  <c r="AY273" i="2" s="1"/>
  <c r="AI239" i="2"/>
  <c r="AY239" i="2" s="1"/>
  <c r="AJ239" i="2"/>
  <c r="AQ239" i="2" s="1"/>
  <c r="AI124" i="2"/>
  <c r="AY124" i="2" s="1"/>
  <c r="AJ124" i="2"/>
  <c r="AQ124" i="2" s="1"/>
  <c r="AI227" i="2"/>
  <c r="AY227" i="2" s="1"/>
  <c r="AI223" i="2"/>
  <c r="AY223" i="2" s="1"/>
  <c r="AJ223" i="2"/>
  <c r="AQ223" i="2" s="1"/>
  <c r="AJ171" i="2"/>
  <c r="AQ171" i="2" s="1"/>
  <c r="AI171" i="2"/>
  <c r="AY171" i="2" s="1"/>
  <c r="AI118" i="2"/>
  <c r="AY118" i="2" s="1"/>
  <c r="AJ118" i="2"/>
  <c r="AQ118" i="2" s="1"/>
  <c r="AI247" i="2"/>
  <c r="AY247" i="2" s="1"/>
  <c r="AJ247" i="2"/>
  <c r="AQ247" i="2" s="1"/>
  <c r="AJ263" i="2"/>
  <c r="AQ263" i="2" s="1"/>
  <c r="AJ197" i="2"/>
  <c r="AQ197" i="2" s="1"/>
  <c r="AI197" i="2"/>
  <c r="AY197" i="2" s="1"/>
  <c r="AJ122" i="2"/>
  <c r="AQ122" i="2" s="1"/>
  <c r="AI122" i="2"/>
  <c r="AY122" i="2" s="1"/>
  <c r="AJ264" i="2"/>
  <c r="AQ264" i="2" s="1"/>
  <c r="AI264" i="2"/>
  <c r="AY264" i="2" s="1"/>
  <c r="AJ46" i="2"/>
  <c r="AQ46" i="2" s="1"/>
  <c r="AI46" i="2"/>
  <c r="AY46" i="2" s="1"/>
  <c r="AI242" i="2"/>
  <c r="AY242" i="2" s="1"/>
  <c r="AJ242" i="2"/>
  <c r="AQ242" i="2" s="1"/>
  <c r="AI116" i="2"/>
  <c r="AY116" i="2" s="1"/>
  <c r="AJ116" i="2"/>
  <c r="AQ116" i="2" s="1"/>
  <c r="AI184" i="2"/>
  <c r="AY184" i="2" s="1"/>
  <c r="AJ184" i="2"/>
  <c r="AQ184" i="2" s="1"/>
  <c r="AJ257" i="2"/>
  <c r="AQ257" i="2" s="1"/>
  <c r="AI257" i="2"/>
  <c r="AY257" i="2" s="1"/>
  <c r="AJ249" i="2"/>
  <c r="AQ249" i="2" s="1"/>
  <c r="AI249" i="2"/>
  <c r="AY249" i="2" s="1"/>
  <c r="AI211" i="2"/>
  <c r="AY211" i="2" s="1"/>
  <c r="AJ211" i="2"/>
  <c r="AQ211" i="2" s="1"/>
  <c r="AJ148" i="2"/>
  <c r="AQ148" i="2" s="1"/>
  <c r="AI148" i="2"/>
  <c r="AY148" i="2" s="1"/>
  <c r="AJ134" i="2"/>
  <c r="AQ134" i="2" s="1"/>
  <c r="AI134" i="2"/>
  <c r="AY134" i="2" s="1"/>
  <c r="AI50" i="2"/>
  <c r="AY50" i="2" s="1"/>
  <c r="AJ50" i="2"/>
  <c r="AQ50" i="2" s="1"/>
  <c r="AI47" i="2"/>
  <c r="AY47" i="2" s="1"/>
  <c r="AJ47" i="2"/>
  <c r="AQ47" i="2" s="1"/>
  <c r="AJ86" i="2"/>
  <c r="AQ86" i="2" s="1"/>
  <c r="AI86" i="2"/>
  <c r="AY86" i="2" s="1"/>
  <c r="AJ108" i="2"/>
  <c r="AQ108" i="2" s="1"/>
  <c r="AI108" i="2"/>
  <c r="AY108" i="2" s="1"/>
  <c r="AI267" i="2"/>
  <c r="AY267" i="2" s="1"/>
  <c r="AJ267" i="2"/>
  <c r="AQ267" i="2" s="1"/>
  <c r="AI175" i="2"/>
  <c r="AY175" i="2" s="1"/>
  <c r="AI109" i="2"/>
  <c r="AY109" i="2" s="1"/>
  <c r="AI8" i="2"/>
  <c r="AY8" i="2" s="1"/>
  <c r="AJ8" i="2"/>
  <c r="AQ8" i="2" s="1"/>
  <c r="AI35" i="2"/>
  <c r="AY35" i="2" s="1"/>
  <c r="AJ35" i="2"/>
  <c r="AQ35" i="2" s="1"/>
  <c r="AI167" i="2"/>
  <c r="AY167" i="2" s="1"/>
  <c r="AJ150" i="2"/>
  <c r="AQ150" i="2" s="1"/>
  <c r="AI150" i="2"/>
  <c r="AY150" i="2" s="1"/>
  <c r="AI89" i="2"/>
  <c r="AY89" i="2" s="1"/>
  <c r="AJ89" i="2"/>
  <c r="AQ89" i="2" s="1"/>
  <c r="AI42" i="2"/>
  <c r="AY42" i="2" s="1"/>
  <c r="AJ42" i="2"/>
  <c r="AQ42" i="2" s="1"/>
  <c r="AJ65" i="2"/>
  <c r="AQ65" i="2" s="1"/>
  <c r="AI65" i="2"/>
  <c r="AY65" i="2" s="1"/>
  <c r="AI21" i="2"/>
  <c r="AY21" i="2" s="1"/>
  <c r="AJ21" i="2"/>
  <c r="AQ21" i="2" s="1"/>
  <c r="AJ132" i="2"/>
  <c r="AQ132" i="2" s="1"/>
  <c r="AI132" i="2"/>
  <c r="AY132" i="2" s="1"/>
  <c r="AI105" i="2"/>
  <c r="AY105" i="2" s="1"/>
  <c r="AJ105" i="2"/>
  <c r="AQ105" i="2" s="1"/>
  <c r="AJ49" i="2"/>
  <c r="AQ49" i="2" s="1"/>
  <c r="AI49" i="2"/>
  <c r="AY49" i="2" s="1"/>
  <c r="AI36" i="2"/>
  <c r="AY36" i="2" s="1"/>
  <c r="AJ36" i="2"/>
  <c r="AQ36" i="2" s="1"/>
  <c r="AJ85" i="2"/>
  <c r="AQ85" i="2" s="1"/>
  <c r="AI85" i="2"/>
  <c r="AY85" i="2" s="1"/>
  <c r="AI107" i="2"/>
  <c r="AY107" i="2" s="1"/>
  <c r="AJ107" i="2"/>
  <c r="AQ107" i="2" s="1"/>
  <c r="AI266" i="2"/>
  <c r="AY266" i="2" s="1"/>
  <c r="AJ266" i="2"/>
  <c r="AQ266" i="2" s="1"/>
  <c r="AJ174" i="2"/>
  <c r="AQ174" i="2" s="1"/>
  <c r="AI174" i="2"/>
  <c r="AY174" i="2" s="1"/>
  <c r="AI103" i="2"/>
  <c r="AY103" i="2" s="1"/>
  <c r="AJ103" i="2"/>
  <c r="AQ103" i="2" s="1"/>
  <c r="AI7" i="2"/>
  <c r="AY7" i="2" s="1"/>
  <c r="AJ7" i="2"/>
  <c r="AQ7" i="2" s="1"/>
  <c r="AI34" i="2"/>
  <c r="AY34" i="2" s="1"/>
  <c r="AJ34" i="2"/>
  <c r="AQ34" i="2" s="1"/>
  <c r="AI166" i="2"/>
  <c r="AY166" i="2" s="1"/>
  <c r="AJ121" i="2"/>
  <c r="AQ121" i="2" s="1"/>
  <c r="AI121" i="2"/>
  <c r="AY121" i="2" s="1"/>
  <c r="AJ88" i="2"/>
  <c r="AQ88" i="2" s="1"/>
  <c r="AI88" i="2"/>
  <c r="AY88" i="2" s="1"/>
  <c r="AJ41" i="2"/>
  <c r="AQ41" i="2" s="1"/>
  <c r="AI41" i="2"/>
  <c r="AY41" i="2" s="1"/>
  <c r="AJ51" i="2"/>
  <c r="AQ51" i="2" s="1"/>
  <c r="AI51" i="2"/>
  <c r="AY51" i="2" s="1"/>
  <c r="AI12" i="2"/>
  <c r="AY12" i="2" s="1"/>
  <c r="AJ12" i="2"/>
  <c r="AQ12" i="2" s="1"/>
  <c r="BD5" i="2"/>
  <c r="AI5" i="2" s="1"/>
  <c r="BD282" i="2"/>
  <c r="BD288" i="2"/>
  <c r="BD300" i="2"/>
  <c r="BD301" i="2"/>
  <c r="BD312" i="2"/>
  <c r="BD313" i="2"/>
  <c r="BD324" i="2"/>
  <c r="BD325" i="2"/>
  <c r="BD332" i="2"/>
  <c r="BD281" i="2"/>
  <c r="BD292" i="2"/>
  <c r="BD293" i="2"/>
  <c r="BD316" i="2"/>
  <c r="BD286" i="2"/>
  <c r="BD291" i="2"/>
  <c r="BD298" i="2"/>
  <c r="BD305" i="2"/>
  <c r="BD315" i="2"/>
  <c r="BD317" i="2"/>
  <c r="BD330" i="2"/>
  <c r="BD304" i="2"/>
  <c r="BD310" i="2"/>
  <c r="BD322" i="2"/>
  <c r="BD327" i="2"/>
  <c r="BD329" i="2"/>
  <c r="BD336" i="2"/>
  <c r="BD284" i="2"/>
  <c r="BD285" i="2"/>
  <c r="BD290" i="2"/>
  <c r="BD297" i="2"/>
  <c r="BD303" i="2"/>
  <c r="BD308" i="2"/>
  <c r="BD320" i="2"/>
  <c r="BD328" i="2"/>
  <c r="BD335" i="2"/>
  <c r="BD296" i="2"/>
  <c r="BD309" i="2"/>
  <c r="BD314" i="2"/>
  <c r="BD319" i="2"/>
  <c r="BD342" i="2"/>
  <c r="BD355" i="2"/>
  <c r="BD358" i="2"/>
  <c r="BD302" i="2"/>
  <c r="BD349" i="2"/>
  <c r="BD311" i="2"/>
  <c r="BD354" i="2"/>
  <c r="BD356" i="2"/>
  <c r="BD331" i="2"/>
  <c r="BD334" i="2"/>
  <c r="BD337" i="2"/>
  <c r="BD344" i="2"/>
  <c r="BD287" i="2"/>
  <c r="BD295" i="2"/>
  <c r="BD339" i="2"/>
  <c r="BD340" i="2"/>
  <c r="BD341" i="2"/>
  <c r="BD351" i="2"/>
  <c r="BD357" i="2"/>
  <c r="BD318" i="2"/>
  <c r="BD347" i="2"/>
  <c r="BD350" i="2"/>
  <c r="BD352" i="2"/>
  <c r="BD353" i="2"/>
  <c r="BD299" i="2"/>
  <c r="BD289" i="2"/>
  <c r="BD294" i="2"/>
  <c r="BD307" i="2"/>
  <c r="BD321" i="2"/>
  <c r="BD326" i="2"/>
  <c r="BD338" i="2"/>
  <c r="BD346" i="2"/>
  <c r="BD348" i="2"/>
  <c r="BD359" i="2"/>
  <c r="BD283" i="2"/>
  <c r="BD323" i="2"/>
  <c r="BD343" i="2"/>
  <c r="BD345" i="2"/>
  <c r="BD306" i="2"/>
  <c r="BD333" i="2"/>
  <c r="BN260" i="2"/>
  <c r="BN16" i="2"/>
  <c r="BN172" i="2"/>
  <c r="BN238" i="2"/>
  <c r="BN133" i="2"/>
  <c r="BN60" i="2"/>
  <c r="BN126" i="2"/>
  <c r="BN253" i="2"/>
  <c r="BN232" i="2"/>
  <c r="BN40" i="2"/>
  <c r="BN91" i="2"/>
  <c r="BN11" i="2"/>
  <c r="BN187" i="2"/>
  <c r="BN104" i="2"/>
  <c r="BN80" i="2"/>
  <c r="BN62" i="2"/>
  <c r="BN90" i="2"/>
  <c r="BN226" i="2"/>
  <c r="BN178" i="2"/>
  <c r="BN271" i="2"/>
  <c r="BN96" i="2"/>
  <c r="BN107" i="2"/>
  <c r="BN12" i="2"/>
  <c r="BN35" i="2"/>
  <c r="BN93" i="2"/>
  <c r="BN185" i="2"/>
  <c r="BN124" i="2"/>
  <c r="BN210" i="2"/>
  <c r="BN246" i="2"/>
  <c r="BN46" i="2"/>
  <c r="BN65" i="2"/>
  <c r="BN138" i="2"/>
  <c r="BN221" i="2"/>
  <c r="BN161" i="2"/>
  <c r="BN130" i="2"/>
  <c r="BN125" i="2"/>
  <c r="BN53" i="2"/>
  <c r="BN157" i="2"/>
  <c r="BN83" i="2"/>
  <c r="BN269" i="2"/>
  <c r="BN23" i="2"/>
  <c r="BN82" i="2"/>
  <c r="BN165" i="2"/>
  <c r="BN29" i="2"/>
  <c r="BN140" i="2"/>
  <c r="BN114" i="2"/>
  <c r="BN179" i="2"/>
  <c r="BN217" i="2"/>
  <c r="BN155" i="2"/>
  <c r="BN272" i="2"/>
  <c r="BN245" i="2"/>
  <c r="BN243" i="2"/>
  <c r="BN170" i="2"/>
  <c r="BN218" i="2"/>
  <c r="BN77" i="2"/>
  <c r="BN69" i="2"/>
  <c r="BN78" i="2"/>
  <c r="BN106" i="2"/>
  <c r="BN209" i="2"/>
  <c r="BN273" i="2"/>
  <c r="BN180" i="2"/>
  <c r="BN111" i="2"/>
  <c r="BN156" i="2"/>
  <c r="BN74" i="2"/>
  <c r="BN204" i="2"/>
  <c r="BN112" i="2"/>
  <c r="BN134" i="2"/>
  <c r="BN184" i="2"/>
  <c r="BN108" i="2"/>
  <c r="BN88" i="2"/>
  <c r="BN264" i="2"/>
  <c r="BN116" i="2"/>
  <c r="BN280" i="2"/>
  <c r="BN48" i="2"/>
  <c r="BN102" i="2"/>
  <c r="BN203" i="2"/>
  <c r="BN9" i="2"/>
  <c r="BN255" i="2"/>
  <c r="BN87" i="2"/>
  <c r="BN229" i="2"/>
  <c r="BN230" i="2"/>
  <c r="BN128" i="2"/>
  <c r="BN39" i="2"/>
  <c r="BN216" i="2"/>
  <c r="BN236" i="2"/>
  <c r="BN58" i="2"/>
  <c r="BN279" i="2"/>
  <c r="BN135" i="2"/>
  <c r="BN169" i="2"/>
  <c r="BN194" i="2"/>
  <c r="BN220" i="2"/>
  <c r="BN70" i="2"/>
  <c r="BN206" i="2"/>
  <c r="BN118" i="2"/>
  <c r="BN190" i="2"/>
  <c r="BN136" i="2"/>
  <c r="BN13" i="2"/>
  <c r="BN139" i="2"/>
  <c r="BN97" i="2"/>
  <c r="BN250" i="2"/>
  <c r="BN175" i="2"/>
  <c r="BN211" i="2"/>
  <c r="BN248" i="2"/>
  <c r="BN239" i="2"/>
  <c r="BN148" i="2"/>
  <c r="BN267" i="2"/>
  <c r="BN105" i="2"/>
  <c r="BN237" i="2"/>
  <c r="BN233" i="2"/>
  <c r="BN27" i="2"/>
  <c r="BN176" i="2"/>
  <c r="BN120" i="2"/>
  <c r="BN160" i="2"/>
  <c r="BN228" i="2"/>
  <c r="BN52" i="2"/>
  <c r="BN143" i="2"/>
  <c r="BN149" i="2"/>
  <c r="BN101" i="2"/>
  <c r="BN258" i="2"/>
  <c r="BN277" i="2"/>
  <c r="BN63" i="2"/>
  <c r="BN141" i="2"/>
  <c r="BN45" i="2"/>
  <c r="BN121" i="2"/>
  <c r="BN263" i="2"/>
  <c r="BN150" i="2"/>
  <c r="BN266" i="2"/>
  <c r="BN10" i="2"/>
  <c r="BN92" i="2"/>
  <c r="BN278" i="2"/>
  <c r="BN117" i="2"/>
  <c r="BN241" i="2"/>
  <c r="BN50" i="2"/>
  <c r="BN41" i="2"/>
  <c r="BN33" i="2"/>
  <c r="BN36" i="2"/>
  <c r="BN254" i="2"/>
  <c r="BN208" i="2"/>
  <c r="BN196" i="2"/>
  <c r="BN20" i="2"/>
  <c r="BN158" i="2"/>
  <c r="BN32" i="2"/>
  <c r="BN6" i="2"/>
  <c r="BN201" i="2"/>
  <c r="BN181" i="2"/>
  <c r="BN251" i="2"/>
  <c r="BN71" i="2"/>
  <c r="BN205" i="2"/>
  <c r="BN276" i="2"/>
  <c r="BN28" i="2"/>
  <c r="BN43" i="2"/>
  <c r="BN56" i="2"/>
  <c r="BN86" i="2"/>
  <c r="BN257" i="2"/>
  <c r="BN8" i="2"/>
  <c r="BN127" i="2"/>
  <c r="BN25" i="2"/>
  <c r="BN37" i="2"/>
  <c r="BN51" i="2"/>
  <c r="BN47" i="2"/>
  <c r="BN7" i="2"/>
  <c r="BN109" i="2"/>
  <c r="BN137" i="2"/>
  <c r="BN224" i="2"/>
  <c r="BN197" i="2"/>
  <c r="BN81" i="2"/>
  <c r="BN57" i="2"/>
  <c r="BN222" i="2"/>
  <c r="BN219" i="2"/>
  <c r="BN235" i="2"/>
  <c r="BN274" i="2"/>
  <c r="BN151" i="2"/>
  <c r="BN159" i="2"/>
  <c r="BN15" i="2"/>
  <c r="BN212" i="2"/>
  <c r="BN202" i="2"/>
  <c r="BN275" i="2"/>
  <c r="BN44" i="2"/>
  <c r="BN84" i="2"/>
  <c r="BN262" i="2"/>
  <c r="BN200" i="2"/>
  <c r="BN38" i="2"/>
  <c r="BN131" i="2"/>
  <c r="BN67" i="2"/>
  <c r="BN234" i="2"/>
  <c r="BN21" i="2"/>
  <c r="BN132" i="2"/>
  <c r="BN174" i="2"/>
  <c r="BN103" i="2"/>
  <c r="BN142" i="2"/>
  <c r="BN26" i="2"/>
  <c r="BN34" i="2"/>
  <c r="BN154" i="2"/>
  <c r="BN259" i="2"/>
  <c r="BN147" i="2"/>
  <c r="BN144" i="2"/>
  <c r="BN18" i="2"/>
  <c r="BN75" i="2"/>
  <c r="BN225" i="2"/>
  <c r="BN99" i="2"/>
  <c r="BN55" i="2"/>
  <c r="BN66" i="2"/>
  <c r="BN199" i="2"/>
  <c r="BN252" i="2"/>
  <c r="BN152" i="2"/>
  <c r="BN129" i="2"/>
  <c r="BN265" i="2"/>
  <c r="BN146" i="2"/>
  <c r="BN115" i="2"/>
  <c r="BN98" i="2"/>
  <c r="BN163" i="2"/>
  <c r="BN189" i="2"/>
  <c r="BN22" i="2"/>
  <c r="BN270" i="2"/>
  <c r="BN198" i="2"/>
  <c r="BN240" i="2"/>
  <c r="BN256" i="2"/>
  <c r="BN110" i="2"/>
  <c r="BN191" i="2"/>
  <c r="BN85" i="2"/>
  <c r="BN5" i="2"/>
  <c r="BN30" i="2"/>
  <c r="BN94" i="2"/>
  <c r="BN223" i="2"/>
  <c r="BN68" i="2"/>
  <c r="BN182" i="2"/>
  <c r="BN261" i="2"/>
  <c r="BN17" i="2"/>
  <c r="BN183" i="2"/>
  <c r="BN14" i="2"/>
  <c r="BN100" i="2"/>
  <c r="BN119" i="2"/>
  <c r="BN244" i="2"/>
  <c r="BN192" i="2"/>
  <c r="BN215" i="2"/>
  <c r="BN76" i="2"/>
  <c r="BN54" i="2"/>
  <c r="BN171" i="2"/>
  <c r="BN193" i="2"/>
  <c r="BN64" i="2"/>
  <c r="BN188" i="2"/>
  <c r="BN79" i="2"/>
  <c r="BN153" i="2"/>
  <c r="BN162" i="2"/>
  <c r="BN186" i="2"/>
  <c r="BN195" i="2"/>
  <c r="BN214" i="2"/>
  <c r="BN123" i="2"/>
  <c r="BN207" i="2"/>
  <c r="BN173" i="2"/>
  <c r="BN268" i="2"/>
  <c r="BN73" i="2"/>
  <c r="BN31" i="2"/>
  <c r="BN167" i="2"/>
  <c r="BN42" i="2"/>
  <c r="BN166" i="2"/>
  <c r="B3" i="1"/>
  <c r="BN249" i="2"/>
  <c r="BN213" i="2"/>
  <c r="BN95" i="2"/>
  <c r="BN177" i="2"/>
  <c r="BN168" i="2"/>
  <c r="BN59" i="2"/>
  <c r="BN61" i="2"/>
  <c r="BN227" i="2"/>
  <c r="BN122" i="2"/>
  <c r="BN49" i="2"/>
  <c r="BN231" i="2"/>
  <c r="BN145" i="2"/>
  <c r="BN19" i="2"/>
  <c r="BN247" i="2"/>
  <c r="BN164" i="2"/>
  <c r="BN113" i="2"/>
  <c r="BN72" i="2"/>
  <c r="BN24" i="2"/>
  <c r="BN242" i="2"/>
  <c r="BN89" i="2"/>
  <c r="AP16" i="2" l="1"/>
  <c r="AP18" i="2"/>
  <c r="AP19" i="2"/>
  <c r="AP25" i="2"/>
  <c r="AP26" i="2"/>
  <c r="AP33" i="2"/>
  <c r="AP44" i="2"/>
  <c r="AP57" i="2"/>
  <c r="AP58" i="2"/>
  <c r="AP74" i="2"/>
  <c r="AP75" i="2"/>
  <c r="AP76" i="2"/>
  <c r="AP77" i="2"/>
  <c r="AP78" i="2"/>
  <c r="AP79" i="2"/>
  <c r="AP81" i="2"/>
  <c r="AP103" i="2"/>
  <c r="AP104" i="2"/>
  <c r="AP105" i="2"/>
  <c r="AP106" i="2"/>
  <c r="AP109" i="2"/>
  <c r="AP110" i="2"/>
  <c r="AP6" i="2"/>
  <c r="AP7" i="2"/>
  <c r="AP17" i="2"/>
  <c r="AP27" i="2"/>
  <c r="AP36" i="2"/>
  <c r="AP45" i="2"/>
  <c r="AP46" i="2"/>
  <c r="AP47" i="2"/>
  <c r="AP59" i="2"/>
  <c r="AP82" i="2"/>
  <c r="AP111" i="2"/>
  <c r="AP127" i="2"/>
  <c r="AP133" i="2"/>
  <c r="AP161" i="2"/>
  <c r="AP169" i="2"/>
  <c r="AP182" i="2"/>
  <c r="AP191" i="2"/>
  <c r="AP192" i="2"/>
  <c r="AP193" i="2"/>
  <c r="AP194" i="2"/>
  <c r="AP195" i="2"/>
  <c r="AP8" i="2"/>
  <c r="AP20" i="2"/>
  <c r="AP48" i="2"/>
  <c r="AP9" i="2"/>
  <c r="AP10" i="2"/>
  <c r="AP11" i="2"/>
  <c r="AP12" i="2"/>
  <c r="AP28" i="2"/>
  <c r="AP30" i="2"/>
  <c r="AP43" i="2"/>
  <c r="AP54" i="2"/>
  <c r="AP80" i="2"/>
  <c r="AP84" i="2"/>
  <c r="AP85" i="2"/>
  <c r="AP86" i="2"/>
  <c r="AP87" i="2"/>
  <c r="AP88" i="2"/>
  <c r="AP89" i="2"/>
  <c r="AP102" i="2"/>
  <c r="AP29" i="2"/>
  <c r="AP42" i="2"/>
  <c r="AP49" i="2"/>
  <c r="AP53" i="2"/>
  <c r="AP67" i="2"/>
  <c r="AP68" i="2"/>
  <c r="AP152" i="2"/>
  <c r="AP165" i="2"/>
  <c r="AP198" i="2"/>
  <c r="AP200" i="2"/>
  <c r="AP201" i="2"/>
  <c r="AP202" i="2"/>
  <c r="AP203" i="2"/>
  <c r="AP204" i="2"/>
  <c r="AP206" i="2"/>
  <c r="AP207" i="2"/>
  <c r="AP208" i="2"/>
  <c r="AP224" i="2"/>
  <c r="AP225" i="2"/>
  <c r="AP226" i="2"/>
  <c r="AP227" i="2"/>
  <c r="AP249" i="2"/>
  <c r="AP272" i="2"/>
  <c r="AP15" i="2"/>
  <c r="AP35" i="2"/>
  <c r="AP37" i="2"/>
  <c r="AP41" i="2"/>
  <c r="AP50" i="2"/>
  <c r="AP51" i="2"/>
  <c r="AP52" i="2"/>
  <c r="AP66" i="2"/>
  <c r="AP96" i="2"/>
  <c r="AP97" i="2"/>
  <c r="AP98" i="2"/>
  <c r="AP99" i="2"/>
  <c r="AP100" i="2"/>
  <c r="AP101" i="2"/>
  <c r="AP122" i="2"/>
  <c r="AP134" i="2"/>
  <c r="AP141" i="2"/>
  <c r="AP142" i="2"/>
  <c r="AP144" i="2"/>
  <c r="AP145" i="2"/>
  <c r="AP146" i="2"/>
  <c r="AP147" i="2"/>
  <c r="AP148" i="2"/>
  <c r="AP149" i="2"/>
  <c r="AP151" i="2"/>
  <c r="AP13" i="2"/>
  <c r="AP14" i="2"/>
  <c r="AP23" i="2"/>
  <c r="AP24" i="2"/>
  <c r="AP34" i="2"/>
  <c r="AP38" i="2"/>
  <c r="AP39" i="2"/>
  <c r="AP40" i="2"/>
  <c r="AP60" i="2"/>
  <c r="AP61" i="2"/>
  <c r="AP62" i="2"/>
  <c r="AP63" i="2"/>
  <c r="AP64" i="2"/>
  <c r="AP65" i="2"/>
  <c r="AP94" i="2"/>
  <c r="AP95" i="2"/>
  <c r="AP120" i="2"/>
  <c r="AP121" i="2"/>
  <c r="AP123" i="2"/>
  <c r="AP124" i="2"/>
  <c r="AP125" i="2"/>
  <c r="AP126" i="2"/>
  <c r="AP135" i="2"/>
  <c r="AP136" i="2"/>
  <c r="AP137" i="2"/>
  <c r="AP138" i="2"/>
  <c r="AP139" i="2"/>
  <c r="AP140" i="2"/>
  <c r="AP143" i="2"/>
  <c r="AP150" i="2"/>
  <c r="AP21" i="2"/>
  <c r="AP22" i="2"/>
  <c r="AP73" i="2"/>
  <c r="AP112" i="2"/>
  <c r="AP113" i="2"/>
  <c r="AP114" i="2"/>
  <c r="AP115" i="2"/>
  <c r="AP116" i="2"/>
  <c r="AP117" i="2"/>
  <c r="AP118" i="2"/>
  <c r="AP119" i="2"/>
  <c r="AP128" i="2"/>
  <c r="AP129" i="2"/>
  <c r="AP130" i="2"/>
  <c r="AP131" i="2"/>
  <c r="AP132" i="2"/>
  <c r="AP72" i="2"/>
  <c r="AP91" i="2"/>
  <c r="AP92" i="2"/>
  <c r="AP93" i="2"/>
  <c r="AP186" i="2"/>
  <c r="AP187" i="2"/>
  <c r="AP189" i="2"/>
  <c r="AP236" i="2"/>
  <c r="AP264" i="2"/>
  <c r="AP55" i="2"/>
  <c r="AP71" i="2"/>
  <c r="AP83" i="2"/>
  <c r="AP108" i="2"/>
  <c r="AP166" i="2"/>
  <c r="AP174" i="2"/>
  <c r="AP188" i="2"/>
  <c r="AP214" i="2"/>
  <c r="AP218" i="2"/>
  <c r="AP219" i="2"/>
  <c r="AP245" i="2"/>
  <c r="AP251" i="2"/>
  <c r="AP259" i="2"/>
  <c r="AP260" i="2"/>
  <c r="AP261" i="2"/>
  <c r="AP262" i="2"/>
  <c r="AP263" i="2"/>
  <c r="AP265" i="2"/>
  <c r="AP70" i="2"/>
  <c r="AP107" i="2"/>
  <c r="AP158" i="2"/>
  <c r="AP181" i="2"/>
  <c r="AP197" i="2"/>
  <c r="AP213" i="2"/>
  <c r="AP220" i="2"/>
  <c r="AP246" i="2"/>
  <c r="AP247" i="2"/>
  <c r="AP248" i="2"/>
  <c r="AP250" i="2"/>
  <c r="AP258" i="2"/>
  <c r="AP276" i="2"/>
  <c r="AP279" i="2"/>
  <c r="AP69" i="2"/>
  <c r="AP157" i="2"/>
  <c r="AP159" i="2"/>
  <c r="AP160" i="2"/>
  <c r="AP171" i="2"/>
  <c r="AP172" i="2"/>
  <c r="AP173" i="2"/>
  <c r="AP180" i="2"/>
  <c r="AP196" i="2"/>
  <c r="AP205" i="2"/>
  <c r="AP221" i="2"/>
  <c r="AP222" i="2"/>
  <c r="AP223" i="2"/>
  <c r="AP230" i="2"/>
  <c r="AP231" i="2"/>
  <c r="AP232" i="2"/>
  <c r="AP233" i="2"/>
  <c r="AP257" i="2"/>
  <c r="AP277" i="2"/>
  <c r="AP278" i="2"/>
  <c r="AP156" i="2"/>
  <c r="AP170" i="2"/>
  <c r="AP179" i="2"/>
  <c r="AP211" i="2"/>
  <c r="AP212" i="2"/>
  <c r="AP229" i="2"/>
  <c r="AP234" i="2"/>
  <c r="AP235" i="2"/>
  <c r="AP237" i="2"/>
  <c r="AP256" i="2"/>
  <c r="AP280" i="2"/>
  <c r="AP32" i="2"/>
  <c r="AP155" i="2"/>
  <c r="AP178" i="2"/>
  <c r="AP183" i="2"/>
  <c r="AP210" i="2"/>
  <c r="AP228" i="2"/>
  <c r="AP238" i="2"/>
  <c r="AP239" i="2"/>
  <c r="AP240" i="2"/>
  <c r="AP255" i="2"/>
  <c r="AP31" i="2"/>
  <c r="AP90" i="2"/>
  <c r="AP154" i="2"/>
  <c r="AP177" i="2"/>
  <c r="AP184" i="2"/>
  <c r="AP185" i="2"/>
  <c r="AP190" i="2"/>
  <c r="AP199" i="2"/>
  <c r="AP209" i="2"/>
  <c r="AP241" i="2"/>
  <c r="AP254" i="2"/>
  <c r="AP153" i="2"/>
  <c r="AP164" i="2"/>
  <c r="AP176" i="2"/>
  <c r="AP242" i="2"/>
  <c r="AP243" i="2"/>
  <c r="AP253" i="2"/>
  <c r="AP267" i="2"/>
  <c r="AP268" i="2"/>
  <c r="AP269" i="2"/>
  <c r="AP270" i="2"/>
  <c r="AP271" i="2"/>
  <c r="AP56" i="2"/>
  <c r="AP162" i="2"/>
  <c r="AP163" i="2"/>
  <c r="AP167" i="2"/>
  <c r="AP168" i="2"/>
  <c r="AP175" i="2"/>
  <c r="AP215" i="2"/>
  <c r="AP216" i="2"/>
  <c r="AP217" i="2"/>
  <c r="AP244" i="2"/>
  <c r="AP252" i="2"/>
  <c r="AP266" i="2"/>
  <c r="AP273" i="2"/>
  <c r="AP274" i="2"/>
  <c r="AP275" i="2"/>
  <c r="AI104" i="2"/>
  <c r="AY104" i="2" s="1"/>
  <c r="AJ125" i="2"/>
  <c r="AQ125" i="2" s="1"/>
  <c r="AI263" i="2"/>
  <c r="AY263" i="2" s="1"/>
  <c r="AJ198" i="2"/>
  <c r="AQ198" i="2" s="1"/>
  <c r="AJ79" i="2"/>
  <c r="AQ79" i="2" s="1"/>
  <c r="AY156" i="2"/>
  <c r="AH156" i="2"/>
  <c r="AY152" i="2"/>
  <c r="AH152" i="2"/>
  <c r="AY153" i="2"/>
  <c r="AH153" i="2"/>
  <c r="AY155" i="2"/>
  <c r="AH155" i="2"/>
  <c r="AJ207" i="2"/>
  <c r="AQ207" i="2" s="1"/>
  <c r="AJ80" i="2"/>
  <c r="AQ80" i="2" s="1"/>
  <c r="AI215" i="2"/>
  <c r="AY215" i="2" s="1"/>
  <c r="AJ72" i="2"/>
  <c r="AQ72" i="2" s="1"/>
  <c r="AJ175" i="2"/>
  <c r="AQ175" i="2" s="1"/>
  <c r="AJ109" i="2"/>
  <c r="AQ109" i="2" s="1"/>
  <c r="AY154" i="2"/>
  <c r="AH154" i="2"/>
  <c r="AY158" i="2"/>
  <c r="AH158" i="2"/>
  <c r="AJ167" i="2"/>
  <c r="AQ167" i="2" s="1"/>
  <c r="AJ166" i="2"/>
  <c r="AQ166" i="2" s="1"/>
  <c r="AJ117" i="2"/>
  <c r="AQ117" i="2" s="1"/>
  <c r="AJ227" i="2"/>
  <c r="AQ227" i="2" s="1"/>
  <c r="AJ133" i="2"/>
  <c r="AQ133" i="2" s="1"/>
  <c r="AY157" i="2"/>
  <c r="AH157" i="2"/>
  <c r="AH148" i="2"/>
  <c r="AH100" i="2"/>
  <c r="AH116" i="2"/>
  <c r="AH147" i="2"/>
  <c r="AH99" i="2"/>
  <c r="AH151" i="2"/>
  <c r="AH149" i="2"/>
  <c r="AH133" i="2"/>
  <c r="AH130" i="2"/>
  <c r="AH110" i="2"/>
  <c r="AH146" i="2"/>
  <c r="AH105" i="2"/>
  <c r="AH127" i="2"/>
  <c r="AH150" i="2"/>
  <c r="AH126" i="2"/>
  <c r="AH102" i="2"/>
  <c r="AH101" i="2"/>
  <c r="AH124" i="2"/>
  <c r="AH122" i="2"/>
  <c r="AH145" i="2"/>
  <c r="AH121" i="2"/>
  <c r="AH125" i="2"/>
  <c r="AH138" i="2"/>
  <c r="AH97" i="2"/>
  <c r="AH143" i="2"/>
  <c r="AH103" i="2"/>
  <c r="AH142" i="2"/>
  <c r="AH141" i="2"/>
  <c r="AH140" i="2"/>
  <c r="AH114" i="2"/>
  <c r="AH98" i="2"/>
  <c r="AH120" i="2"/>
  <c r="AH137" i="2"/>
  <c r="AH113" i="2"/>
  <c r="AH104" i="2"/>
  <c r="AH135" i="2"/>
  <c r="AH119" i="2"/>
  <c r="AH128" i="2"/>
  <c r="AH118" i="2"/>
  <c r="AH117" i="2"/>
  <c r="AH136" i="2"/>
  <c r="AH112" i="2"/>
  <c r="AH129" i="2"/>
  <c r="AH111" i="2"/>
  <c r="AH134" i="2"/>
  <c r="AH109" i="2"/>
  <c r="AH144" i="2"/>
  <c r="AH132" i="2"/>
  <c r="AH108" i="2"/>
  <c r="AH96" i="2"/>
  <c r="AH131" i="2"/>
  <c r="AH106" i="2"/>
  <c r="AH55" i="2"/>
  <c r="AH33" i="2"/>
  <c r="AH71" i="2"/>
  <c r="AH52" i="2"/>
  <c r="AH24" i="2"/>
  <c r="AP5" i="2"/>
  <c r="AH75" i="2"/>
  <c r="AH87" i="2"/>
  <c r="AH7" i="2"/>
  <c r="AH41" i="2"/>
  <c r="AH78" i="2"/>
  <c r="AH82" i="2"/>
  <c r="AH67" i="2"/>
  <c r="AH77" i="2"/>
  <c r="AH14" i="2"/>
  <c r="AH32" i="2"/>
  <c r="AH39" i="2"/>
  <c r="AH25" i="2"/>
  <c r="AH57" i="2"/>
  <c r="AH83" i="2"/>
  <c r="AH80" i="2"/>
  <c r="AH72" i="2"/>
  <c r="AH65" i="2"/>
  <c r="AH70" i="2"/>
  <c r="AH85" i="2"/>
  <c r="AH8" i="2"/>
  <c r="AH35" i="2"/>
  <c r="AH86" i="2"/>
  <c r="AH51" i="2"/>
  <c r="AH26" i="2"/>
  <c r="AH76" i="2"/>
  <c r="AH79" i="2"/>
  <c r="AH11" i="2"/>
  <c r="AH6" i="2"/>
  <c r="AY5" i="2"/>
  <c r="AH5" i="2"/>
  <c r="AH60" i="2"/>
  <c r="AH30" i="2"/>
  <c r="AH34" i="2"/>
  <c r="AH73" i="2"/>
  <c r="AH54" i="2"/>
  <c r="AH53" i="2"/>
  <c r="AH28" i="2"/>
  <c r="AJ5" i="2"/>
  <c r="AQ5" i="2" s="1"/>
  <c r="AH95" i="2"/>
  <c r="AH91" i="2"/>
  <c r="AH46" i="2"/>
  <c r="AP282" i="2"/>
  <c r="AP288" i="2"/>
  <c r="AP300" i="2"/>
  <c r="AP301" i="2"/>
  <c r="AP312" i="2"/>
  <c r="AP324" i="2"/>
  <c r="AP325" i="2"/>
  <c r="AP332" i="2"/>
  <c r="AP281" i="2"/>
  <c r="AP292" i="2"/>
  <c r="AP293" i="2"/>
  <c r="AP316" i="2"/>
  <c r="AP317" i="2"/>
  <c r="AP286" i="2"/>
  <c r="AP291" i="2"/>
  <c r="AP298" i="2"/>
  <c r="AP305" i="2"/>
  <c r="AP315" i="2"/>
  <c r="AP328" i="2"/>
  <c r="AP304" i="2"/>
  <c r="AP310" i="2"/>
  <c r="AP322" i="2"/>
  <c r="AP327" i="2"/>
  <c r="AP329" i="2"/>
  <c r="AP335" i="2"/>
  <c r="AP336" i="2"/>
  <c r="AP284" i="2"/>
  <c r="AP285" i="2"/>
  <c r="AP290" i="2"/>
  <c r="AP297" i="2"/>
  <c r="AP303" i="2"/>
  <c r="AP308" i="2"/>
  <c r="AP309" i="2"/>
  <c r="AP320" i="2"/>
  <c r="AP321" i="2"/>
  <c r="AP334" i="2"/>
  <c r="AP296" i="2"/>
  <c r="AP314" i="2"/>
  <c r="AP319" i="2"/>
  <c r="AP330" i="2"/>
  <c r="AP340" i="2"/>
  <c r="AP342" i="2"/>
  <c r="AP355" i="2"/>
  <c r="AP358" i="2"/>
  <c r="AP311" i="2"/>
  <c r="AP341" i="2"/>
  <c r="AP352" i="2"/>
  <c r="AP354" i="2"/>
  <c r="AP357" i="2"/>
  <c r="AP287" i="2"/>
  <c r="AP295" i="2"/>
  <c r="AP339" i="2"/>
  <c r="AP348" i="2"/>
  <c r="AP351" i="2"/>
  <c r="AP353" i="2"/>
  <c r="AP345" i="2"/>
  <c r="AP313" i="2"/>
  <c r="AP318" i="2"/>
  <c r="AP338" i="2"/>
  <c r="AP347" i="2"/>
  <c r="AP350" i="2"/>
  <c r="AP323" i="2"/>
  <c r="AP331" i="2"/>
  <c r="AP344" i="2"/>
  <c r="AP289" i="2"/>
  <c r="AP294" i="2"/>
  <c r="AP307" i="2"/>
  <c r="AP326" i="2"/>
  <c r="AP346" i="2"/>
  <c r="AP349" i="2"/>
  <c r="AP337" i="2"/>
  <c r="AP299" i="2"/>
  <c r="AP333" i="2"/>
  <c r="AP302" i="2"/>
  <c r="AP283" i="2"/>
  <c r="AP343" i="2"/>
  <c r="AP306" i="2"/>
  <c r="AP356" i="2"/>
  <c r="AP359" i="2"/>
  <c r="AI283" i="2"/>
  <c r="AJ283" i="2"/>
  <c r="AQ283" i="2" s="1"/>
  <c r="AI348" i="2"/>
  <c r="AJ348" i="2"/>
  <c r="AQ348" i="2" s="1"/>
  <c r="AJ339" i="2"/>
  <c r="AQ339" i="2" s="1"/>
  <c r="AI339" i="2"/>
  <c r="AI344" i="2"/>
  <c r="AJ344" i="2"/>
  <c r="AQ344" i="2" s="1"/>
  <c r="AI309" i="2"/>
  <c r="AJ309" i="2"/>
  <c r="AQ309" i="2" s="1"/>
  <c r="AI320" i="2"/>
  <c r="AJ320" i="2"/>
  <c r="AQ320" i="2" s="1"/>
  <c r="AH255" i="2"/>
  <c r="AH279" i="2"/>
  <c r="AI291" i="2"/>
  <c r="AJ291" i="2"/>
  <c r="AQ291" i="2" s="1"/>
  <c r="AH246" i="2"/>
  <c r="AI301" i="2"/>
  <c r="AJ301" i="2"/>
  <c r="AQ301" i="2" s="1"/>
  <c r="AI356" i="2"/>
  <c r="AJ356" i="2"/>
  <c r="AQ356" i="2" s="1"/>
  <c r="AI285" i="2"/>
  <c r="AJ285" i="2"/>
  <c r="AQ285" i="2" s="1"/>
  <c r="AI346" i="2"/>
  <c r="AJ346" i="2"/>
  <c r="AQ346" i="2" s="1"/>
  <c r="AI295" i="2"/>
  <c r="AJ295" i="2"/>
  <c r="AQ295" i="2" s="1"/>
  <c r="AJ337" i="2"/>
  <c r="AQ337" i="2" s="1"/>
  <c r="AI337" i="2"/>
  <c r="AI349" i="2"/>
  <c r="AJ349" i="2"/>
  <c r="AQ349" i="2" s="1"/>
  <c r="AI296" i="2"/>
  <c r="AJ296" i="2"/>
  <c r="AQ296" i="2" s="1"/>
  <c r="AI308" i="2"/>
  <c r="AJ308" i="2"/>
  <c r="AQ308" i="2" s="1"/>
  <c r="AH267" i="2"/>
  <c r="AJ286" i="2"/>
  <c r="AQ286" i="2" s="1"/>
  <c r="AI286" i="2"/>
  <c r="AI300" i="2"/>
  <c r="AJ300" i="2"/>
  <c r="AQ300" i="2" s="1"/>
  <c r="AH259" i="2"/>
  <c r="AI352" i="2"/>
  <c r="AJ352" i="2"/>
  <c r="AQ352" i="2" s="1"/>
  <c r="AJ290" i="2"/>
  <c r="AQ290" i="2" s="1"/>
  <c r="AI290" i="2"/>
  <c r="AI351" i="2"/>
  <c r="AJ351" i="2"/>
  <c r="AQ351" i="2" s="1"/>
  <c r="AJ322" i="2"/>
  <c r="AQ322" i="2" s="1"/>
  <c r="AI322" i="2"/>
  <c r="AJ338" i="2"/>
  <c r="AQ338" i="2" s="1"/>
  <c r="AI338" i="2"/>
  <c r="AI299" i="2"/>
  <c r="AJ299" i="2"/>
  <c r="AQ299" i="2" s="1"/>
  <c r="AI287" i="2"/>
  <c r="AJ287" i="2"/>
  <c r="AQ287" i="2" s="1"/>
  <c r="AJ334" i="2"/>
  <c r="AQ334" i="2" s="1"/>
  <c r="AI334" i="2"/>
  <c r="AJ302" i="2"/>
  <c r="AQ302" i="2" s="1"/>
  <c r="AI302" i="2"/>
  <c r="AI303" i="2"/>
  <c r="AJ303" i="2"/>
  <c r="AQ303" i="2" s="1"/>
  <c r="AH242" i="2"/>
  <c r="AI336" i="2"/>
  <c r="AJ336" i="2"/>
  <c r="AQ336" i="2" s="1"/>
  <c r="AI316" i="2"/>
  <c r="AJ316" i="2"/>
  <c r="AQ316" i="2" s="1"/>
  <c r="AI288" i="2"/>
  <c r="AJ288" i="2"/>
  <c r="AQ288" i="2" s="1"/>
  <c r="AI321" i="2"/>
  <c r="AJ321" i="2"/>
  <c r="AQ321" i="2" s="1"/>
  <c r="AI355" i="2"/>
  <c r="AJ355" i="2"/>
  <c r="AQ355" i="2" s="1"/>
  <c r="AI292" i="2"/>
  <c r="AJ292" i="2"/>
  <c r="AQ292" i="2" s="1"/>
  <c r="AI345" i="2"/>
  <c r="AJ345" i="2"/>
  <c r="AQ345" i="2" s="1"/>
  <c r="AI350" i="2"/>
  <c r="AJ350" i="2"/>
  <c r="AQ350" i="2" s="1"/>
  <c r="AI354" i="2"/>
  <c r="AJ354" i="2"/>
  <c r="AQ354" i="2" s="1"/>
  <c r="AI281" i="2"/>
  <c r="AJ281" i="2"/>
  <c r="AQ281" i="2" s="1"/>
  <c r="AH271" i="2"/>
  <c r="AJ326" i="2"/>
  <c r="AQ326" i="2" s="1"/>
  <c r="AI326" i="2"/>
  <c r="AI353" i="2"/>
  <c r="AJ353" i="2"/>
  <c r="AQ353" i="2" s="1"/>
  <c r="AH275" i="2"/>
  <c r="AI331" i="2"/>
  <c r="AJ331" i="2"/>
  <c r="AQ331" i="2" s="1"/>
  <c r="AI358" i="2"/>
  <c r="AJ358" i="2"/>
  <c r="AQ358" i="2" s="1"/>
  <c r="AI297" i="2"/>
  <c r="AJ297" i="2"/>
  <c r="AQ297" i="2" s="1"/>
  <c r="AJ329" i="2"/>
  <c r="AQ329" i="2" s="1"/>
  <c r="AI329" i="2"/>
  <c r="AJ330" i="2"/>
  <c r="AQ330" i="2" s="1"/>
  <c r="AI330" i="2"/>
  <c r="AI293" i="2"/>
  <c r="AJ293" i="2"/>
  <c r="AQ293" i="2" s="1"/>
  <c r="AI332" i="2"/>
  <c r="AJ332" i="2"/>
  <c r="AQ332" i="2" s="1"/>
  <c r="AJ282" i="2"/>
  <c r="AQ282" i="2" s="1"/>
  <c r="AI282" i="2"/>
  <c r="AI325" i="2"/>
  <c r="AJ325" i="2"/>
  <c r="AQ325" i="2" s="1"/>
  <c r="AI357" i="2"/>
  <c r="AJ357" i="2"/>
  <c r="AQ357" i="2" s="1"/>
  <c r="AJ327" i="2"/>
  <c r="AQ327" i="2" s="1"/>
  <c r="AI327" i="2"/>
  <c r="AI317" i="2"/>
  <c r="AJ317" i="2"/>
  <c r="AQ317" i="2" s="1"/>
  <c r="AI307" i="2"/>
  <c r="AJ307" i="2"/>
  <c r="AQ307" i="2" s="1"/>
  <c r="AI342" i="2"/>
  <c r="AJ342" i="2"/>
  <c r="AQ342" i="2" s="1"/>
  <c r="AI315" i="2"/>
  <c r="AJ315" i="2"/>
  <c r="AQ315" i="2" s="1"/>
  <c r="AJ324" i="2"/>
  <c r="AQ324" i="2" s="1"/>
  <c r="AI324" i="2"/>
  <c r="AJ333" i="2"/>
  <c r="AQ333" i="2" s="1"/>
  <c r="AI333" i="2"/>
  <c r="AI343" i="2"/>
  <c r="AJ343" i="2"/>
  <c r="AQ343" i="2" s="1"/>
  <c r="AI359" i="2"/>
  <c r="AJ359" i="2"/>
  <c r="AQ359" i="2" s="1"/>
  <c r="AJ294" i="2"/>
  <c r="AQ294" i="2" s="1"/>
  <c r="AI294" i="2"/>
  <c r="AI347" i="2"/>
  <c r="AJ347" i="2"/>
  <c r="AQ347" i="2" s="1"/>
  <c r="AI341" i="2"/>
  <c r="AJ341" i="2"/>
  <c r="AQ341" i="2" s="1"/>
  <c r="AI311" i="2"/>
  <c r="AJ311" i="2"/>
  <c r="AQ311" i="2" s="1"/>
  <c r="AI319" i="2"/>
  <c r="AJ319" i="2"/>
  <c r="AQ319" i="2" s="1"/>
  <c r="AJ335" i="2"/>
  <c r="AQ335" i="2" s="1"/>
  <c r="AI335" i="2"/>
  <c r="AI284" i="2"/>
  <c r="AJ284" i="2"/>
  <c r="AQ284" i="2" s="1"/>
  <c r="AJ310" i="2"/>
  <c r="AQ310" i="2" s="1"/>
  <c r="AI310" i="2"/>
  <c r="AI305" i="2"/>
  <c r="AJ305" i="2"/>
  <c r="AQ305" i="2" s="1"/>
  <c r="AI313" i="2"/>
  <c r="AJ313" i="2"/>
  <c r="AQ313" i="2" s="1"/>
  <c r="AJ306" i="2"/>
  <c r="AQ306" i="2" s="1"/>
  <c r="AI306" i="2"/>
  <c r="AJ323" i="2"/>
  <c r="AQ323" i="2" s="1"/>
  <c r="AI323" i="2"/>
  <c r="AI289" i="2"/>
  <c r="AJ289" i="2"/>
  <c r="AQ289" i="2" s="1"/>
  <c r="AJ318" i="2"/>
  <c r="AQ318" i="2" s="1"/>
  <c r="AI318" i="2"/>
  <c r="AI340" i="2"/>
  <c r="AJ340" i="2"/>
  <c r="AQ340" i="2" s="1"/>
  <c r="AJ314" i="2"/>
  <c r="AQ314" i="2" s="1"/>
  <c r="AI314" i="2"/>
  <c r="AI328" i="2"/>
  <c r="AJ328" i="2"/>
  <c r="AQ328" i="2" s="1"/>
  <c r="AI304" i="2"/>
  <c r="AJ304" i="2"/>
  <c r="AQ304" i="2" s="1"/>
  <c r="AJ298" i="2"/>
  <c r="AQ298" i="2" s="1"/>
  <c r="AI298" i="2"/>
  <c r="AH251" i="2"/>
  <c r="AI312" i="2"/>
  <c r="AJ312" i="2"/>
  <c r="AQ312" i="2" s="1"/>
  <c r="AH238" i="2"/>
  <c r="AS278" i="2"/>
  <c r="BI242" i="2"/>
  <c r="BI184" i="2"/>
  <c r="BI214" i="2"/>
  <c r="BI188" i="2"/>
  <c r="BI172" i="2"/>
  <c r="BI222" i="2"/>
  <c r="BI160" i="2"/>
  <c r="AS350" i="2"/>
  <c r="AS26" i="2"/>
  <c r="AS250" i="2"/>
  <c r="AS240" i="2"/>
  <c r="AS131" i="2"/>
  <c r="AS101" i="2"/>
  <c r="AS275" i="2"/>
  <c r="AS119" i="2"/>
  <c r="AS144" i="2"/>
  <c r="AS108" i="2"/>
  <c r="BI51" i="2"/>
  <c r="AS197" i="2"/>
  <c r="AS208" i="2"/>
  <c r="AS273" i="2"/>
  <c r="AS58" i="2"/>
  <c r="BI19" i="2"/>
  <c r="AS43" i="2"/>
  <c r="AS315" i="2"/>
  <c r="AS68" i="2"/>
  <c r="BI83" i="2"/>
  <c r="BI71" i="2"/>
  <c r="BI231" i="2"/>
  <c r="BI72" i="2"/>
  <c r="BI260" i="2"/>
  <c r="BI181" i="2"/>
  <c r="BI255" i="2"/>
  <c r="AS88" i="2"/>
  <c r="BI201" i="2"/>
  <c r="AS193" i="2"/>
  <c r="AS210" i="2"/>
  <c r="AS55" i="2"/>
  <c r="AS216" i="2"/>
  <c r="AS164" i="2"/>
  <c r="AS274" i="2"/>
  <c r="AS310" i="2"/>
  <c r="BI243" i="2"/>
  <c r="BI130" i="2"/>
  <c r="BI129" i="2"/>
  <c r="BI207" i="2"/>
  <c r="BI77" i="2"/>
  <c r="BI161" i="2"/>
  <c r="BI88" i="2"/>
  <c r="BI134" i="2"/>
  <c r="BI70" i="2"/>
  <c r="BI17" i="2"/>
  <c r="AS22" i="2"/>
  <c r="AS143" i="2"/>
  <c r="AS200" i="2"/>
  <c r="AS114" i="2"/>
  <c r="AS230" i="2"/>
  <c r="BI105" i="2"/>
  <c r="AS50" i="2"/>
  <c r="BI39" i="2"/>
  <c r="BI224" i="2"/>
  <c r="AS198" i="2"/>
  <c r="AS109" i="2"/>
  <c r="AS158" i="2"/>
  <c r="BI247" i="2"/>
  <c r="BI124" i="2"/>
  <c r="BI34" i="2"/>
  <c r="BI62" i="2"/>
  <c r="BI22" i="2"/>
  <c r="BI135" i="2"/>
  <c r="BI13" i="2"/>
  <c r="AS309" i="2"/>
  <c r="AS237" i="2"/>
  <c r="AS191" i="2"/>
  <c r="AS178" i="2"/>
  <c r="AS252" i="2"/>
  <c r="AS115" i="2"/>
  <c r="AS219" i="2"/>
  <c r="BI167" i="2"/>
  <c r="BI253" i="2"/>
  <c r="AS105" i="2"/>
  <c r="BI27" i="2"/>
  <c r="AS67" i="2"/>
  <c r="AS276" i="2"/>
  <c r="AS232" i="2"/>
  <c r="AS64" i="2"/>
  <c r="AS15" i="2"/>
  <c r="AS75" i="2"/>
  <c r="AS51" i="2"/>
  <c r="BI266" i="2"/>
  <c r="BI38" i="2"/>
  <c r="BI146" i="2"/>
  <c r="BI128" i="2"/>
  <c r="BI97" i="2"/>
  <c r="BI61" i="2"/>
  <c r="BI20" i="2"/>
  <c r="BI251" i="2"/>
  <c r="AS122" i="2"/>
  <c r="AS271" i="2"/>
  <c r="AS28" i="2"/>
  <c r="AS220" i="2"/>
  <c r="AS71" i="2"/>
  <c r="AS203" i="2"/>
  <c r="AS159" i="2"/>
  <c r="AS27" i="2"/>
  <c r="AS293" i="2"/>
  <c r="BI248" i="2"/>
  <c r="BI100" i="2"/>
  <c r="BI49" i="2"/>
  <c r="BI6" i="2"/>
  <c r="AS54" i="2"/>
  <c r="AS160" i="2"/>
  <c r="BI75" i="2"/>
  <c r="BI127" i="2"/>
  <c r="BI94" i="2"/>
  <c r="AS156" i="2"/>
  <c r="AS215" i="2"/>
  <c r="AS279" i="2"/>
  <c r="AS154" i="2"/>
  <c r="BI235" i="2"/>
  <c r="AS256" i="2"/>
  <c r="AS330" i="2"/>
  <c r="AS35" i="2"/>
  <c r="BI11" i="2"/>
  <c r="BI81" i="2"/>
  <c r="AS79" i="2"/>
  <c r="AS209" i="2"/>
  <c r="AS77" i="2"/>
  <c r="AS217" i="2"/>
  <c r="AS60" i="2"/>
  <c r="BI156" i="2"/>
  <c r="AS223" i="2"/>
  <c r="AS296" i="2"/>
  <c r="AS359" i="2"/>
  <c r="AS284" i="2"/>
  <c r="AS81" i="2"/>
  <c r="AS112" i="2"/>
  <c r="BI279" i="2"/>
  <c r="BI205" i="2"/>
  <c r="BI18" i="2"/>
  <c r="BI241" i="2"/>
  <c r="AS285" i="2"/>
  <c r="AS37" i="2"/>
  <c r="AS358" i="2"/>
  <c r="BI179" i="2"/>
  <c r="AS125" i="2"/>
  <c r="BI198" i="2"/>
  <c r="AS80" i="2"/>
  <c r="BI54" i="2"/>
  <c r="BI204" i="2"/>
  <c r="BI141" i="2"/>
  <c r="BI202" i="2"/>
  <c r="AS283" i="2"/>
  <c r="AS180" i="2"/>
  <c r="AS30" i="2"/>
  <c r="AS181" i="2"/>
  <c r="BI32" i="2"/>
  <c r="BI280" i="2"/>
  <c r="BI268" i="2"/>
  <c r="BI171" i="2"/>
  <c r="BI250" i="2"/>
  <c r="AS140" i="2"/>
  <c r="AS102" i="2"/>
  <c r="AS218" i="2"/>
  <c r="AS127" i="2"/>
  <c r="AS262" i="2"/>
  <c r="AS9" i="2"/>
  <c r="AS83" i="2"/>
  <c r="AS18" i="2"/>
  <c r="AS41" i="2"/>
  <c r="BI220" i="2"/>
  <c r="BI10" i="2"/>
  <c r="BI9" i="2"/>
  <c r="BI41" i="2"/>
  <c r="BI47" i="2"/>
  <c r="BI43" i="2"/>
  <c r="BI227" i="2"/>
  <c r="BI40" i="2"/>
  <c r="AS233" i="2"/>
  <c r="BI229" i="2"/>
  <c r="BI232" i="2"/>
  <c r="BI216" i="2"/>
  <c r="BI173" i="2"/>
  <c r="BI210" i="2"/>
  <c r="BI31" i="2"/>
  <c r="AS32" i="2"/>
  <c r="AS308" i="2"/>
  <c r="BI126" i="2"/>
  <c r="BI103" i="2"/>
  <c r="BI82" i="2"/>
  <c r="AS66" i="2"/>
  <c r="AS245" i="2"/>
  <c r="AS204" i="2"/>
  <c r="AS87" i="2"/>
  <c r="AS313" i="2"/>
  <c r="BI86" i="2"/>
  <c r="AS136" i="2"/>
  <c r="BI176" i="2"/>
  <c r="BI153" i="2"/>
  <c r="BI275" i="2"/>
  <c r="BI166" i="2"/>
  <c r="BI277" i="2"/>
  <c r="AS340" i="2"/>
  <c r="AS222" i="2"/>
  <c r="AS241" i="2"/>
  <c r="AS10" i="2"/>
  <c r="AS92" i="2"/>
  <c r="AS137" i="2"/>
  <c r="AS11" i="2"/>
  <c r="AS272" i="2"/>
  <c r="AS255" i="2"/>
  <c r="AS297" i="2"/>
  <c r="AS325" i="2"/>
  <c r="AS89" i="2"/>
  <c r="AS317" i="2"/>
  <c r="AS298" i="2"/>
  <c r="AS7" i="2"/>
  <c r="AS93" i="2"/>
  <c r="AS199" i="2"/>
  <c r="AS238" i="2"/>
  <c r="AS34" i="2"/>
  <c r="AS295" i="2"/>
  <c r="AS192" i="2"/>
  <c r="AS118" i="2"/>
  <c r="AS82" i="2"/>
  <c r="BI44" i="2"/>
  <c r="BI262" i="2"/>
  <c r="BI189" i="2"/>
  <c r="AS348" i="2"/>
  <c r="AS107" i="2"/>
  <c r="AS73" i="2"/>
  <c r="BI108" i="2"/>
  <c r="BI200" i="2"/>
  <c r="BI79" i="2"/>
  <c r="AS263" i="2"/>
  <c r="AS225" i="2"/>
  <c r="BI109" i="2"/>
  <c r="BI194" i="2"/>
  <c r="BI74" i="2"/>
  <c r="AS12" i="2"/>
  <c r="AS280" i="2"/>
  <c r="BI185" i="2"/>
  <c r="BI238" i="2"/>
  <c r="BI55" i="2"/>
  <c r="BI264" i="2"/>
  <c r="BI276" i="2"/>
  <c r="AS117" i="2"/>
  <c r="BI136" i="2"/>
  <c r="AS246" i="2"/>
  <c r="AS205" i="2"/>
  <c r="AS224" i="2"/>
  <c r="AS25" i="2"/>
  <c r="AS31" i="2"/>
  <c r="AS155" i="2"/>
  <c r="BI267" i="2"/>
  <c r="AS253" i="2"/>
  <c r="AS148" i="2"/>
  <c r="BI115" i="2"/>
  <c r="AS20" i="2"/>
  <c r="AS84" i="2"/>
  <c r="BI169" i="2"/>
  <c r="AS187" i="2"/>
  <c r="AS171" i="2"/>
  <c r="BI45" i="2"/>
  <c r="BI12" i="2"/>
  <c r="AS94" i="2"/>
  <c r="BI93" i="2"/>
  <c r="BI92" i="2"/>
  <c r="BI180" i="2"/>
  <c r="BI119" i="2"/>
  <c r="BI174" i="2"/>
  <c r="BI259" i="2"/>
  <c r="BI183" i="2"/>
  <c r="AS47" i="2"/>
  <c r="BI67" i="2"/>
  <c r="AS33" i="2"/>
  <c r="AS206" i="2"/>
  <c r="AS153" i="2"/>
  <c r="AS265" i="2"/>
  <c r="AS139" i="2"/>
  <c r="AS63" i="2"/>
  <c r="BI221" i="2"/>
  <c r="AS78" i="2"/>
  <c r="AS168" i="2"/>
  <c r="BI245" i="2"/>
  <c r="BI213" i="2"/>
  <c r="BI21" i="2"/>
  <c r="BI60" i="2"/>
  <c r="BI132" i="2"/>
  <c r="AS5" i="2"/>
  <c r="AS259" i="2"/>
  <c r="AS16" i="2"/>
  <c r="AS111" i="2"/>
  <c r="AS194" i="2"/>
  <c r="AS104" i="2"/>
  <c r="BI274" i="2"/>
  <c r="AS332" i="2"/>
  <c r="AS134" i="2"/>
  <c r="AS267" i="2"/>
  <c r="AS247" i="2"/>
  <c r="AS53" i="2"/>
  <c r="AS328" i="2"/>
  <c r="BI46" i="2"/>
  <c r="BI272" i="2"/>
  <c r="BI223" i="2"/>
  <c r="AS214" i="2"/>
  <c r="AS239" i="2"/>
  <c r="AS57" i="2"/>
  <c r="AS8" i="2"/>
  <c r="BI149" i="2"/>
  <c r="BI57" i="2"/>
  <c r="AS52" i="2"/>
  <c r="AS142" i="2"/>
  <c r="AS44" i="2"/>
  <c r="AS234" i="2"/>
  <c r="AS126" i="2"/>
  <c r="AS347" i="2"/>
  <c r="AS249" i="2"/>
  <c r="BI233" i="2"/>
  <c r="BI265" i="2"/>
  <c r="BI263" i="2"/>
  <c r="BI145" i="2"/>
  <c r="BI24" i="2"/>
  <c r="BI138" i="2"/>
  <c r="BI66" i="2"/>
  <c r="BI68" i="2"/>
  <c r="AS19" i="2"/>
  <c r="BI239" i="2"/>
  <c r="BI155" i="2"/>
  <c r="BI211" i="2"/>
  <c r="BI170" i="2"/>
  <c r="BI254" i="2"/>
  <c r="BI258" i="2"/>
  <c r="BI199" i="2"/>
  <c r="AS21" i="2"/>
  <c r="BI225" i="2"/>
  <c r="AS152" i="2"/>
  <c r="AS258" i="2"/>
  <c r="AS248" i="2"/>
  <c r="AS236" i="2"/>
  <c r="AS76" i="2"/>
  <c r="AS151" i="2"/>
  <c r="AS85" i="2"/>
  <c r="AS24" i="2"/>
  <c r="BI147" i="2"/>
  <c r="BI99" i="2"/>
  <c r="BI112" i="2"/>
  <c r="BI35" i="2"/>
  <c r="BI23" i="2"/>
  <c r="BI137" i="2"/>
  <c r="BI162" i="2"/>
  <c r="AS49" i="2"/>
  <c r="BI58" i="2"/>
  <c r="AS268" i="2"/>
  <c r="AS113" i="2"/>
  <c r="BI269" i="2"/>
  <c r="AS221" i="2"/>
  <c r="AS229" i="2"/>
  <c r="AS165" i="2"/>
  <c r="AS299" i="2"/>
  <c r="BI252" i="2"/>
  <c r="BI271" i="2"/>
  <c r="BI123" i="2"/>
  <c r="BI139" i="2"/>
  <c r="BI96" i="2"/>
  <c r="BI89" i="2"/>
  <c r="BI52" i="2"/>
  <c r="AS324" i="2"/>
  <c r="AS269" i="2"/>
  <c r="AS110" i="2"/>
  <c r="AS195" i="2"/>
  <c r="BI177" i="2"/>
  <c r="BI154" i="2"/>
  <c r="AS175" i="2"/>
  <c r="BI278" i="2"/>
  <c r="BI116" i="2"/>
  <c r="AS100" i="2"/>
  <c r="AS260" i="2"/>
  <c r="AS264" i="2"/>
  <c r="AS338" i="2"/>
  <c r="AS177" i="2"/>
  <c r="AS42" i="2"/>
  <c r="AS266" i="2"/>
  <c r="AS207" i="2"/>
  <c r="BI203" i="2"/>
  <c r="BI270" i="2"/>
  <c r="BI256" i="2"/>
  <c r="BI113" i="2"/>
  <c r="BI164" i="2"/>
  <c r="AS38" i="2"/>
  <c r="BI226" i="2"/>
  <c r="AS353" i="2"/>
  <c r="AS86" i="2"/>
  <c r="AS211" i="2"/>
  <c r="BI192" i="2"/>
  <c r="AS59" i="2"/>
  <c r="AS162" i="2"/>
  <c r="AS235" i="2"/>
  <c r="AS135" i="2"/>
  <c r="AS91" i="2"/>
  <c r="AS97" i="2"/>
  <c r="AS304" i="2"/>
  <c r="AS132" i="2"/>
  <c r="BI186" i="2"/>
  <c r="BI125" i="2"/>
  <c r="BI64" i="2"/>
  <c r="BI80" i="2"/>
  <c r="BI36" i="2"/>
  <c r="BI152" i="2"/>
  <c r="AS133" i="2"/>
  <c r="BI16" i="2"/>
  <c r="AS69" i="2"/>
  <c r="BI218" i="2"/>
  <c r="BI217" i="2"/>
  <c r="BI91" i="2"/>
  <c r="AS72" i="2"/>
  <c r="BI197" i="2"/>
  <c r="BI117" i="2"/>
  <c r="BI107" i="2"/>
  <c r="AS184" i="2"/>
  <c r="AS48" i="2"/>
  <c r="AS196" i="2"/>
  <c r="AS70" i="2"/>
  <c r="AS146" i="2"/>
  <c r="AS228" i="2"/>
  <c r="AS179" i="2"/>
  <c r="AS128" i="2"/>
  <c r="AS36" i="2"/>
  <c r="BI56" i="2"/>
  <c r="BI191" i="2"/>
  <c r="BI182" i="2"/>
  <c r="BI110" i="2"/>
  <c r="BI8" i="2"/>
  <c r="BI151" i="2"/>
  <c r="AS173" i="2"/>
  <c r="BI195" i="2"/>
  <c r="BI165" i="2"/>
  <c r="AS172" i="2"/>
  <c r="BI261" i="2"/>
  <c r="BI215" i="2"/>
  <c r="AS349" i="2"/>
  <c r="AS282" i="2"/>
  <c r="AS13" i="2"/>
  <c r="AS149" i="2"/>
  <c r="AS56" i="2"/>
  <c r="AS163" i="2"/>
  <c r="AS120" i="2"/>
  <c r="AS202" i="2"/>
  <c r="AS39" i="2"/>
  <c r="AS141" i="2"/>
  <c r="BI5" i="2"/>
  <c r="AS257" i="2"/>
  <c r="BI101" i="2"/>
  <c r="BI53" i="2"/>
  <c r="BI42" i="2"/>
  <c r="AS124" i="2"/>
  <c r="AS176" i="2"/>
  <c r="BI76" i="2"/>
  <c r="AS40" i="2"/>
  <c r="AS334" i="2"/>
  <c r="BI257" i="2"/>
  <c r="BI65" i="2"/>
  <c r="BI37" i="2"/>
  <c r="BI98" i="2"/>
  <c r="BI144" i="2"/>
  <c r="BI121" i="2"/>
  <c r="AS227" i="2"/>
  <c r="BI95" i="2"/>
  <c r="AS123" i="2"/>
  <c r="AS145" i="2"/>
  <c r="AS254" i="2"/>
  <c r="AS277" i="2"/>
  <c r="AS95" i="2"/>
  <c r="AS170" i="2"/>
  <c r="AS99" i="2"/>
  <c r="AS190" i="2"/>
  <c r="AS103" i="2"/>
  <c r="BI159" i="2"/>
  <c r="AS231" i="2"/>
  <c r="AS226" i="2"/>
  <c r="BI59" i="2"/>
  <c r="AS169" i="2"/>
  <c r="AS147" i="2"/>
  <c r="BI106" i="2"/>
  <c r="BI193" i="2"/>
  <c r="AS23" i="2"/>
  <c r="AS62" i="2"/>
  <c r="BI244" i="2"/>
  <c r="BI69" i="2"/>
  <c r="BI73" i="2"/>
  <c r="BI236" i="2"/>
  <c r="AS166" i="2"/>
  <c r="BI234" i="2"/>
  <c r="AS182" i="2"/>
  <c r="BI114" i="2"/>
  <c r="BI208" i="2"/>
  <c r="BI78" i="2"/>
  <c r="BI25" i="2"/>
  <c r="AS157" i="2"/>
  <c r="AS185" i="2"/>
  <c r="AS301" i="2"/>
  <c r="AS65" i="2"/>
  <c r="BI240" i="2"/>
  <c r="BI158" i="2"/>
  <c r="BI246" i="2"/>
  <c r="BI63" i="2"/>
  <c r="BI122" i="2"/>
  <c r="BI118" i="2"/>
  <c r="BI14" i="2"/>
  <c r="AS339" i="2"/>
  <c r="AS344" i="2"/>
  <c r="AS161" i="2"/>
  <c r="AS90" i="2"/>
  <c r="AS320" i="2"/>
  <c r="AS319" i="2"/>
  <c r="AS98" i="2"/>
  <c r="AS322" i="2"/>
  <c r="AS14" i="2"/>
  <c r="AS130" i="2"/>
  <c r="AS150" i="2"/>
  <c r="BI148" i="2"/>
  <c r="BI143" i="2"/>
  <c r="BI28" i="2"/>
  <c r="BI30" i="2"/>
  <c r="AS357" i="2"/>
  <c r="AS261" i="2"/>
  <c r="AS290" i="2"/>
  <c r="AS303" i="2"/>
  <c r="AS335" i="2"/>
  <c r="BI26" i="2"/>
  <c r="BI104" i="2"/>
  <c r="AS106" i="2"/>
  <c r="AS213" i="2"/>
  <c r="AS270" i="2"/>
  <c r="BI237" i="2"/>
  <c r="BI228" i="2"/>
  <c r="BI175" i="2"/>
  <c r="AS167" i="2"/>
  <c r="BI163" i="2"/>
  <c r="AS174" i="2"/>
  <c r="BI111" i="2"/>
  <c r="AS46" i="2"/>
  <c r="BI33" i="2"/>
  <c r="AS189" i="2"/>
  <c r="AS251" i="2"/>
  <c r="AS244" i="2"/>
  <c r="AS183" i="2"/>
  <c r="AS116" i="2"/>
  <c r="BI131" i="2"/>
  <c r="BI85" i="2"/>
  <c r="BI84" i="2"/>
  <c r="BI48" i="2"/>
  <c r="BI168" i="2"/>
  <c r="BI102" i="2"/>
  <c r="BI133" i="2"/>
  <c r="BI87" i="2"/>
  <c r="AS29" i="2"/>
  <c r="BI178" i="2"/>
  <c r="BI212" i="2"/>
  <c r="AS188" i="2"/>
  <c r="BI230" i="2"/>
  <c r="BI90" i="2"/>
  <c r="BI209" i="2"/>
  <c r="AS74" i="2"/>
  <c r="AS242" i="2"/>
  <c r="BI150" i="2"/>
  <c r="AS96" i="2"/>
  <c r="AS243" i="2"/>
  <c r="AS186" i="2"/>
  <c r="AS6" i="2"/>
  <c r="AS201" i="2"/>
  <c r="AS45" i="2"/>
  <c r="AS302" i="2"/>
  <c r="AS17" i="2"/>
  <c r="BI249" i="2"/>
  <c r="BI196" i="2"/>
  <c r="BI140" i="2"/>
  <c r="BI206" i="2"/>
  <c r="BI142" i="2"/>
  <c r="BI120" i="2"/>
  <c r="BI187" i="2"/>
  <c r="BI190" i="2"/>
  <c r="BI50" i="2"/>
  <c r="BI7" i="2"/>
  <c r="AS212" i="2"/>
  <c r="AS61" i="2"/>
  <c r="BI273" i="2"/>
  <c r="BI219" i="2"/>
  <c r="BI29" i="2"/>
  <c r="BI15" i="2"/>
  <c r="AS355" i="2"/>
  <c r="BI157" i="2"/>
  <c r="AS121" i="2"/>
  <c r="AS129" i="2"/>
  <c r="AS138" i="2"/>
  <c r="AS318" i="2"/>
  <c r="AH263" i="2" l="1"/>
  <c r="AL157" i="2"/>
  <c r="AL104" i="2"/>
  <c r="AL215" i="2"/>
  <c r="AL156" i="2"/>
  <c r="AL226" i="2"/>
  <c r="AL116" i="2"/>
  <c r="AL30" i="2"/>
  <c r="AL14" i="2"/>
  <c r="AL189" i="2"/>
  <c r="AL278" i="2"/>
  <c r="AL274" i="2"/>
  <c r="AL15" i="2"/>
  <c r="AL118" i="2"/>
  <c r="AL223" i="2"/>
  <c r="AL28" i="2"/>
  <c r="AL122" i="2"/>
  <c r="AL261" i="2"/>
  <c r="AL154" i="2"/>
  <c r="AL26" i="2"/>
  <c r="AL29" i="2"/>
  <c r="AL63" i="2"/>
  <c r="AL262" i="2"/>
  <c r="AL177" i="2"/>
  <c r="AL143" i="2"/>
  <c r="AL246" i="2"/>
  <c r="AL241" i="2"/>
  <c r="AL81" i="2"/>
  <c r="AL224" i="2"/>
  <c r="AL148" i="2"/>
  <c r="AL158" i="2"/>
  <c r="AL272" i="2"/>
  <c r="AL11" i="2"/>
  <c r="AL39" i="2"/>
  <c r="AL219" i="2"/>
  <c r="AL240" i="2"/>
  <c r="AL105" i="2"/>
  <c r="AL273" i="2"/>
  <c r="AL44" i="2"/>
  <c r="AL52" i="2"/>
  <c r="AL132" i="2"/>
  <c r="AL277" i="2"/>
  <c r="AL18" i="2"/>
  <c r="AL89" i="2"/>
  <c r="AL60" i="2"/>
  <c r="AL166" i="2"/>
  <c r="AL235" i="2"/>
  <c r="AL46" i="2"/>
  <c r="AL96" i="2"/>
  <c r="AL21" i="2"/>
  <c r="AL275" i="2"/>
  <c r="AL25" i="2"/>
  <c r="AL164" i="2"/>
  <c r="AL139" i="2"/>
  <c r="AL213" i="2"/>
  <c r="AL153" i="2"/>
  <c r="AL78" i="2"/>
  <c r="AL165" i="2"/>
  <c r="AL123" i="2"/>
  <c r="AL245" i="2"/>
  <c r="AL176" i="2"/>
  <c r="AL7" i="2"/>
  <c r="AL208" i="2"/>
  <c r="AL113" i="2"/>
  <c r="AL271" i="2"/>
  <c r="AL17" i="2"/>
  <c r="AL50" i="2"/>
  <c r="AL114" i="2"/>
  <c r="AL205" i="2"/>
  <c r="AL252" i="2"/>
  <c r="AL86" i="2"/>
  <c r="AL94" i="2"/>
  <c r="AL70" i="2"/>
  <c r="AL190" i="2"/>
  <c r="AL221" i="2"/>
  <c r="AL127" i="2"/>
  <c r="AL134" i="2"/>
  <c r="AL187" i="2"/>
  <c r="AL234" i="2"/>
  <c r="AL75" i="2"/>
  <c r="AL88" i="2"/>
  <c r="AL120" i="2"/>
  <c r="AL195" i="2"/>
  <c r="AL161" i="2"/>
  <c r="AL142" i="2"/>
  <c r="AL236" i="2"/>
  <c r="AL256" i="2"/>
  <c r="AL77" i="2"/>
  <c r="AL206" i="2"/>
  <c r="AL73" i="2"/>
  <c r="AL279" i="2"/>
  <c r="AL269" i="2"/>
  <c r="AL6" i="2"/>
  <c r="AL207" i="2"/>
  <c r="AL140" i="2"/>
  <c r="AL69" i="2"/>
  <c r="AL270" i="2"/>
  <c r="AL82" i="2"/>
  <c r="AL49" i="2"/>
  <c r="AL129" i="2"/>
  <c r="AL196" i="2"/>
  <c r="AL244" i="2"/>
  <c r="AL103" i="2"/>
  <c r="AL100" i="2"/>
  <c r="AL130" i="2"/>
  <c r="AL249" i="2"/>
  <c r="AL58" i="2"/>
  <c r="AL67" i="2"/>
  <c r="AL126" i="2"/>
  <c r="AL248" i="2"/>
  <c r="AL243" i="2"/>
  <c r="AL193" i="2"/>
  <c r="AL151" i="2"/>
  <c r="AL162" i="2"/>
  <c r="AL183" i="2"/>
  <c r="AL106" i="2"/>
  <c r="AL203" i="2"/>
  <c r="AL137" i="2"/>
  <c r="AL259" i="2"/>
  <c r="AL31" i="2"/>
  <c r="AL8" i="2"/>
  <c r="AL23" i="2"/>
  <c r="AL174" i="2"/>
  <c r="AL210" i="2"/>
  <c r="AL110" i="2"/>
  <c r="AL35" i="2"/>
  <c r="AL119" i="2"/>
  <c r="AL173" i="2"/>
  <c r="AL59" i="2"/>
  <c r="AL112" i="2"/>
  <c r="AL180" i="2"/>
  <c r="AL216" i="2"/>
  <c r="AL182" i="2"/>
  <c r="AL99" i="2"/>
  <c r="AL92" i="2"/>
  <c r="AL232" i="2"/>
  <c r="AL191" i="2"/>
  <c r="AL147" i="2"/>
  <c r="AL93" i="2"/>
  <c r="AL229" i="2"/>
  <c r="AL201" i="2"/>
  <c r="AL150" i="2"/>
  <c r="AL159" i="2"/>
  <c r="AL56" i="2"/>
  <c r="AL12" i="2"/>
  <c r="AL40" i="2"/>
  <c r="AL251" i="2"/>
  <c r="AL255" i="2"/>
  <c r="AL45" i="2"/>
  <c r="AL227" i="2"/>
  <c r="AL20" i="2"/>
  <c r="AL181" i="2"/>
  <c r="AL209" i="2"/>
  <c r="AL43" i="2"/>
  <c r="AL61" i="2"/>
  <c r="AL260" i="2"/>
  <c r="AL90" i="2"/>
  <c r="AL47" i="2"/>
  <c r="AL97" i="2"/>
  <c r="AL72" i="2"/>
  <c r="AL230" i="2"/>
  <c r="AL169" i="2"/>
  <c r="AL41" i="2"/>
  <c r="AL128" i="2"/>
  <c r="AL231" i="2"/>
  <c r="AL9" i="2"/>
  <c r="AL146" i="2"/>
  <c r="AL71" i="2"/>
  <c r="AL212" i="2"/>
  <c r="AL10" i="2"/>
  <c r="AL38" i="2"/>
  <c r="AL83" i="2"/>
  <c r="AL178" i="2"/>
  <c r="AL225" i="2"/>
  <c r="AL115" i="2"/>
  <c r="AL220" i="2"/>
  <c r="AL266" i="2"/>
  <c r="AL87" i="2"/>
  <c r="AL95" i="2"/>
  <c r="AL107" i="2"/>
  <c r="AL199" i="2"/>
  <c r="AL133" i="2"/>
  <c r="AL117" i="2"/>
  <c r="AL258" i="2"/>
  <c r="AL267" i="2"/>
  <c r="AL19" i="2"/>
  <c r="AL102" i="2"/>
  <c r="AL121" i="2"/>
  <c r="AL197" i="2"/>
  <c r="AL254" i="2"/>
  <c r="AL168" i="2"/>
  <c r="AL144" i="2"/>
  <c r="AL170" i="2"/>
  <c r="AL48" i="2"/>
  <c r="AL98" i="2"/>
  <c r="AL91" i="2"/>
  <c r="AL211" i="2"/>
  <c r="AL84" i="2"/>
  <c r="AL37" i="2"/>
  <c r="AL217" i="2"/>
  <c r="AL155" i="2"/>
  <c r="AL85" i="2"/>
  <c r="AL65" i="2"/>
  <c r="AL218" i="2"/>
  <c r="AL239" i="2"/>
  <c r="AL27" i="2"/>
  <c r="AL51" i="2"/>
  <c r="AL131" i="2"/>
  <c r="AL257" i="2"/>
  <c r="AL16" i="2"/>
  <c r="AL68" i="2"/>
  <c r="AL136" i="2"/>
  <c r="AL250" i="2"/>
  <c r="AL253" i="2"/>
  <c r="AL66" i="2"/>
  <c r="AL171" i="2"/>
  <c r="AL167" i="2"/>
  <c r="AL76" i="2"/>
  <c r="AL152" i="2"/>
  <c r="AL138" i="2"/>
  <c r="AL276" i="2"/>
  <c r="AL268" i="2"/>
  <c r="AL36" i="2"/>
  <c r="AL24" i="2"/>
  <c r="AL264" i="2"/>
  <c r="AL280" i="2"/>
  <c r="AL80" i="2"/>
  <c r="AL145" i="2"/>
  <c r="AL55" i="2"/>
  <c r="AL32" i="2"/>
  <c r="AL33" i="2"/>
  <c r="AL42" i="2"/>
  <c r="AL64" i="2"/>
  <c r="AL263" i="2"/>
  <c r="AL238" i="2"/>
  <c r="AL53" i="2"/>
  <c r="AL125" i="2"/>
  <c r="AL265" i="2"/>
  <c r="AL185" i="2"/>
  <c r="AL111" i="2"/>
  <c r="AL101" i="2"/>
  <c r="AL186" i="2"/>
  <c r="AL233" i="2"/>
  <c r="AL74" i="2"/>
  <c r="AL202" i="2"/>
  <c r="AL13" i="2"/>
  <c r="AL160" i="2"/>
  <c r="AL163" i="2"/>
  <c r="AL194" i="2"/>
  <c r="AL141" i="2"/>
  <c r="AL135" i="2"/>
  <c r="AL222" i="2"/>
  <c r="AL109" i="2"/>
  <c r="AL204" i="2"/>
  <c r="AL22" i="2"/>
  <c r="AL172" i="2"/>
  <c r="AL175" i="2"/>
  <c r="AL54" i="2"/>
  <c r="AL62" i="2"/>
  <c r="AL188" i="2"/>
  <c r="AL228" i="2"/>
  <c r="AL34" i="2"/>
  <c r="AL214" i="2"/>
  <c r="AL237" i="2"/>
  <c r="AL79" i="2"/>
  <c r="AL198" i="2"/>
  <c r="AL124" i="2"/>
  <c r="AL184" i="2"/>
  <c r="AL57" i="2"/>
  <c r="AL200" i="2"/>
  <c r="AL247" i="2"/>
  <c r="AL242" i="2"/>
  <c r="AL192" i="2"/>
  <c r="AL149" i="2"/>
  <c r="AL108" i="2"/>
  <c r="AL179" i="2"/>
  <c r="AH84" i="2"/>
  <c r="AH107" i="2"/>
  <c r="AH66" i="2"/>
  <c r="AH139" i="2"/>
  <c r="AH115" i="2"/>
  <c r="AH123" i="2"/>
  <c r="AH64" i="2"/>
  <c r="AH10" i="2"/>
  <c r="AH74" i="2"/>
  <c r="AH38" i="2"/>
  <c r="AH12" i="2"/>
  <c r="AH58" i="2"/>
  <c r="AH31" i="2"/>
  <c r="AH88" i="2"/>
  <c r="AH13" i="2"/>
  <c r="AL5" i="2"/>
  <c r="AH61" i="2"/>
  <c r="AH36" i="2"/>
  <c r="AH50" i="2"/>
  <c r="AH81" i="2"/>
  <c r="AH63" i="2"/>
  <c r="AH62" i="2"/>
  <c r="AH23" i="2"/>
  <c r="AH27" i="2"/>
  <c r="AH68" i="2"/>
  <c r="AH37" i="2"/>
  <c r="AH69" i="2"/>
  <c r="AH59" i="2"/>
  <c r="AH9" i="2"/>
  <c r="AH29" i="2"/>
  <c r="AH94" i="2"/>
  <c r="AH92" i="2"/>
  <c r="AH93" i="2"/>
  <c r="AH90" i="2"/>
  <c r="AH89" i="2"/>
  <c r="AH48" i="2"/>
  <c r="AH49" i="2"/>
  <c r="AH47" i="2"/>
  <c r="AH224" i="2"/>
  <c r="AY335" i="2"/>
  <c r="AH335" i="2"/>
  <c r="AY317" i="2"/>
  <c r="AH317" i="2"/>
  <c r="AY297" i="2"/>
  <c r="AH297" i="2"/>
  <c r="AH228" i="2"/>
  <c r="AH240" i="2"/>
  <c r="AH229" i="2"/>
  <c r="AY318" i="2"/>
  <c r="AH318" i="2"/>
  <c r="AY306" i="2"/>
  <c r="AH306" i="2"/>
  <c r="AH252" i="2"/>
  <c r="AY341" i="2"/>
  <c r="AH341" i="2"/>
  <c r="AY343" i="2"/>
  <c r="AH343" i="2"/>
  <c r="AH160" i="2"/>
  <c r="AH196" i="2"/>
  <c r="AH168" i="2"/>
  <c r="AY327" i="2"/>
  <c r="AH327" i="2"/>
  <c r="AH274" i="2"/>
  <c r="AY329" i="2"/>
  <c r="AH329" i="2"/>
  <c r="AH206" i="2"/>
  <c r="AH276" i="2"/>
  <c r="AH209" i="2"/>
  <c r="AH244" i="2"/>
  <c r="AH303" i="2"/>
  <c r="AY303" i="2"/>
  <c r="AH232" i="2"/>
  <c r="AH164" i="2"/>
  <c r="AH189" i="2"/>
  <c r="AH290" i="2"/>
  <c r="AY290" i="2"/>
  <c r="AH245" i="2"/>
  <c r="AH296" i="2"/>
  <c r="AY296" i="2"/>
  <c r="AH268" i="2"/>
  <c r="AH165" i="2"/>
  <c r="AH291" i="2"/>
  <c r="AY291" i="2"/>
  <c r="AY309" i="2"/>
  <c r="AH309" i="2"/>
  <c r="AH258" i="2"/>
  <c r="AH173" i="2"/>
  <c r="AY307" i="2"/>
  <c r="AH307" i="2"/>
  <c r="AY292" i="2"/>
  <c r="AH292" i="2"/>
  <c r="AY322" i="2"/>
  <c r="AH322" i="2"/>
  <c r="AH194" i="2"/>
  <c r="AY325" i="2"/>
  <c r="AH325" i="2"/>
  <c r="AH332" i="2"/>
  <c r="AY332" i="2"/>
  <c r="AH234" i="2"/>
  <c r="AH171" i="2"/>
  <c r="AH269" i="2"/>
  <c r="AY321" i="2"/>
  <c r="AH321" i="2"/>
  <c r="AY336" i="2"/>
  <c r="AH336" i="2"/>
  <c r="AY287" i="2"/>
  <c r="AH287" i="2"/>
  <c r="AH201" i="2"/>
  <c r="AY286" i="2"/>
  <c r="AH286" i="2"/>
  <c r="AH249" i="2"/>
  <c r="AH212" i="2"/>
  <c r="AH182" i="2"/>
  <c r="AH210" i="2"/>
  <c r="AY301" i="2"/>
  <c r="AH301" i="2"/>
  <c r="AH340" i="2"/>
  <c r="AY340" i="2"/>
  <c r="AH256" i="2"/>
  <c r="AY345" i="2"/>
  <c r="AH345" i="2"/>
  <c r="AY355" i="2"/>
  <c r="AH355" i="2"/>
  <c r="AH270" i="2"/>
  <c r="AH207" i="2"/>
  <c r="AY333" i="2"/>
  <c r="AH333" i="2"/>
  <c r="AY314" i="2"/>
  <c r="AH314" i="2"/>
  <c r="AH186" i="2"/>
  <c r="AH265" i="2"/>
  <c r="AH257" i="2"/>
  <c r="AY319" i="2"/>
  <c r="AH319" i="2"/>
  <c r="AY347" i="2"/>
  <c r="AH347" i="2"/>
  <c r="AH187" i="2"/>
  <c r="AH213" i="2"/>
  <c r="AY330" i="2"/>
  <c r="AH330" i="2"/>
  <c r="AH233" i="2"/>
  <c r="AH56" i="2"/>
  <c r="AH163" i="2"/>
  <c r="AY288" i="2"/>
  <c r="AH288" i="2"/>
  <c r="AH280" i="2"/>
  <c r="AH185" i="2"/>
  <c r="AH204" i="2"/>
  <c r="AH222" i="2"/>
  <c r="AH349" i="2"/>
  <c r="AY349" i="2"/>
  <c r="AH198" i="2"/>
  <c r="AH223" i="2"/>
  <c r="AH200" i="2"/>
  <c r="AH191" i="2"/>
  <c r="AH266" i="2"/>
  <c r="AH221" i="2"/>
  <c r="AY312" i="2"/>
  <c r="AH312" i="2"/>
  <c r="AY304" i="2"/>
  <c r="AH304" i="2"/>
  <c r="AY289" i="2"/>
  <c r="AH289" i="2"/>
  <c r="AY294" i="2"/>
  <c r="AH294" i="2"/>
  <c r="AH203" i="2"/>
  <c r="AY315" i="2"/>
  <c r="AH315" i="2"/>
  <c r="AH199" i="2"/>
  <c r="AH231" i="2"/>
  <c r="AH218" i="2"/>
  <c r="AH219" i="2"/>
  <c r="AY293" i="2"/>
  <c r="AH293" i="2"/>
  <c r="AY358" i="2"/>
  <c r="AH358" i="2"/>
  <c r="AH197" i="2"/>
  <c r="AH175" i="2"/>
  <c r="AY354" i="2"/>
  <c r="AH354" i="2"/>
  <c r="AH277" i="2"/>
  <c r="AH254" i="2"/>
  <c r="AH239" i="2"/>
  <c r="AY352" i="2"/>
  <c r="AH352" i="2"/>
  <c r="AH300" i="2"/>
  <c r="AY300" i="2"/>
  <c r="AY337" i="2"/>
  <c r="AH337" i="2"/>
  <c r="AH166" i="2"/>
  <c r="AH172" i="2"/>
  <c r="AH162" i="2"/>
  <c r="AH344" i="2"/>
  <c r="AY344" i="2"/>
  <c r="AY348" i="2"/>
  <c r="AH348" i="2"/>
  <c r="AH183" i="2"/>
  <c r="AH273" i="2"/>
  <c r="AH264" i="2"/>
  <c r="AH169" i="2"/>
  <c r="AY328" i="2"/>
  <c r="AH328" i="2"/>
  <c r="AY310" i="2"/>
  <c r="AH310" i="2"/>
  <c r="AH298" i="2"/>
  <c r="AY298" i="2"/>
  <c r="AH247" i="2"/>
  <c r="AY313" i="2"/>
  <c r="AH313" i="2"/>
  <c r="AY305" i="2"/>
  <c r="AH305" i="2"/>
  <c r="AY311" i="2"/>
  <c r="AH311" i="2"/>
  <c r="AH190" i="2"/>
  <c r="AY324" i="2"/>
  <c r="AH324" i="2"/>
  <c r="AH250" i="2"/>
  <c r="AH225" i="2"/>
  <c r="AY353" i="2"/>
  <c r="AH353" i="2"/>
  <c r="AH192" i="2"/>
  <c r="AY281" i="2"/>
  <c r="AH281" i="2"/>
  <c r="AH216" i="2"/>
  <c r="AH220" i="2"/>
  <c r="AH316" i="2"/>
  <c r="AY316" i="2"/>
  <c r="AY302" i="2"/>
  <c r="AH302" i="2"/>
  <c r="AY351" i="2"/>
  <c r="AH351" i="2"/>
  <c r="AY346" i="2"/>
  <c r="AH346" i="2"/>
  <c r="AY285" i="2"/>
  <c r="AH285" i="2"/>
  <c r="AH211" i="2"/>
  <c r="AH243" i="2"/>
  <c r="AY339" i="2"/>
  <c r="AH339" i="2"/>
  <c r="AH272" i="2"/>
  <c r="AH180" i="2"/>
  <c r="AH261" i="2"/>
  <c r="AH179" i="2"/>
  <c r="AH178" i="2"/>
  <c r="AY342" i="2"/>
  <c r="AH342" i="2"/>
  <c r="AH193" i="2"/>
  <c r="AH357" i="2"/>
  <c r="AY357" i="2"/>
  <c r="AH202" i="2"/>
  <c r="AY331" i="2"/>
  <c r="AH331" i="2"/>
  <c r="AY326" i="2"/>
  <c r="AH326" i="2"/>
  <c r="AY350" i="2"/>
  <c r="AH350" i="2"/>
  <c r="AH188" i="2"/>
  <c r="AH208" i="2"/>
  <c r="AH205" i="2"/>
  <c r="AH299" i="2"/>
  <c r="AY299" i="2"/>
  <c r="AH217" i="2"/>
  <c r="AH227" i="2"/>
  <c r="AH167" i="2"/>
  <c r="AH241" i="2"/>
  <c r="AH159" i="2"/>
  <c r="AH356" i="2"/>
  <c r="AY356" i="2"/>
  <c r="AH230" i="2"/>
  <c r="AY283" i="2"/>
  <c r="AH283" i="2"/>
  <c r="AH170" i="2"/>
  <c r="AY323" i="2"/>
  <c r="AH323" i="2"/>
  <c r="AH176" i="2"/>
  <c r="AH235" i="2"/>
  <c r="AH284" i="2"/>
  <c r="AY284" i="2"/>
  <c r="AH215" i="2"/>
  <c r="AY359" i="2"/>
  <c r="AH359" i="2"/>
  <c r="AY282" i="2"/>
  <c r="AH282" i="2"/>
  <c r="AH237" i="2"/>
  <c r="AH177" i="2"/>
  <c r="AH181" i="2"/>
  <c r="AH248" i="2"/>
  <c r="AH214" i="2"/>
  <c r="AH226" i="2"/>
  <c r="AH262" i="2"/>
  <c r="AH334" i="2"/>
  <c r="AY334" i="2"/>
  <c r="AY338" i="2"/>
  <c r="AH338" i="2"/>
  <c r="AH195" i="2"/>
  <c r="AH184" i="2"/>
  <c r="AH236" i="2"/>
  <c r="AH308" i="2"/>
  <c r="AY308" i="2"/>
  <c r="AY295" i="2"/>
  <c r="AH295" i="2"/>
  <c r="AH260" i="2"/>
  <c r="AH161" i="2"/>
  <c r="AH253" i="2"/>
  <c r="AH320" i="2"/>
  <c r="AY320" i="2"/>
  <c r="AH278" i="2"/>
  <c r="AH174" i="2"/>
  <c r="AH44" i="2"/>
  <c r="AH45" i="2"/>
  <c r="BI304" i="2"/>
  <c r="AS329" i="2"/>
  <c r="AS342" i="2"/>
  <c r="AS306" i="2"/>
  <c r="BI311" i="2"/>
  <c r="AS346" i="2"/>
  <c r="BI302" i="2"/>
  <c r="BI352" i="2"/>
  <c r="AS316" i="2"/>
  <c r="BI357" i="2"/>
  <c r="BI289" i="2"/>
  <c r="AS288" i="2"/>
  <c r="BI299" i="2"/>
  <c r="BI334" i="2"/>
  <c r="BI309" i="2"/>
  <c r="BI353" i="2"/>
  <c r="BI319" i="2"/>
  <c r="BI313" i="2"/>
  <c r="BI284" i="2"/>
  <c r="BI322" i="2"/>
  <c r="AS287" i="2"/>
  <c r="BI327" i="2"/>
  <c r="BI283" i="2"/>
  <c r="BI282" i="2"/>
  <c r="BI294" i="2"/>
  <c r="BI345" i="2"/>
  <c r="AS294" i="2"/>
  <c r="BI285" i="2"/>
  <c r="AS352" i="2"/>
  <c r="BI287" i="2"/>
  <c r="AS281" i="2"/>
  <c r="BI317" i="2"/>
  <c r="AS327" i="2"/>
  <c r="BI337" i="2"/>
  <c r="BI332" i="2"/>
  <c r="BI307" i="2"/>
  <c r="AS289" i="2"/>
  <c r="AS286" i="2"/>
  <c r="AS343" i="2"/>
  <c r="BI356" i="2"/>
  <c r="AS305" i="2"/>
  <c r="BI335" i="2"/>
  <c r="BI288" i="2"/>
  <c r="AS291" i="2"/>
  <c r="BI290" i="2"/>
  <c r="AS307" i="2"/>
  <c r="AS311" i="2"/>
  <c r="BI305" i="2"/>
  <c r="BI336" i="2"/>
  <c r="BI350" i="2"/>
  <c r="AS331" i="2"/>
  <c r="BI328" i="2"/>
  <c r="AS312" i="2"/>
  <c r="BI295" i="2"/>
  <c r="AS336" i="2"/>
  <c r="BI359" i="2"/>
  <c r="BI331" i="2"/>
  <c r="AS314" i="2"/>
  <c r="BI342" i="2"/>
  <c r="BI329" i="2"/>
  <c r="AS356" i="2"/>
  <c r="BI354" i="2"/>
  <c r="BI343" i="2"/>
  <c r="AS323" i="2"/>
  <c r="BI318" i="2"/>
  <c r="BI348" i="2"/>
  <c r="AS337" i="2"/>
  <c r="AS333" i="2"/>
  <c r="BI297" i="2"/>
  <c r="AS326" i="2"/>
  <c r="AS345" i="2"/>
  <c r="BI346" i="2"/>
  <c r="AS341" i="2"/>
  <c r="BI292" i="2"/>
  <c r="AS351" i="2"/>
  <c r="AS292" i="2"/>
  <c r="BI355" i="2"/>
  <c r="BI344" i="2"/>
  <c r="BI291" i="2"/>
  <c r="AS321" i="2"/>
  <c r="BI340" i="2"/>
  <c r="AS300" i="2"/>
  <c r="BI330" i="2"/>
  <c r="BI314" i="2"/>
  <c r="BI339" i="2"/>
  <c r="AS354" i="2"/>
  <c r="BI286" i="2"/>
  <c r="BI293" i="2"/>
  <c r="BI326" i="2"/>
  <c r="BI338" i="2"/>
  <c r="BI281" i="2"/>
  <c r="BI358" i="2"/>
  <c r="BI341" i="2"/>
  <c r="BI321" i="2"/>
  <c r="BI333" i="2"/>
  <c r="BI312" i="2"/>
  <c r="BI298" i="2"/>
  <c r="BI351" i="2"/>
  <c r="BI303" i="2"/>
  <c r="BI296" i="2"/>
  <c r="BI325" i="2"/>
  <c r="BI347" i="2"/>
  <c r="BI349" i="2"/>
  <c r="BI315" i="2"/>
  <c r="BI306" i="2"/>
  <c r="BI301" i="2"/>
  <c r="BI316" i="2"/>
  <c r="BI324" i="2"/>
  <c r="BI323" i="2"/>
  <c r="BI310" i="2"/>
  <c r="BI320" i="2"/>
  <c r="BI300" i="2"/>
  <c r="BI308" i="2"/>
  <c r="AL317" i="2" l="1"/>
  <c r="AL326" i="2"/>
  <c r="AL344" i="2"/>
  <c r="AL341" i="2"/>
  <c r="AL305" i="2"/>
  <c r="AL354" i="2"/>
  <c r="AL282" i="2"/>
  <c r="AL323" i="2"/>
  <c r="AL293" i="2"/>
  <c r="AL325" i="2"/>
  <c r="AL315" i="2"/>
  <c r="AL297" i="2"/>
  <c r="AL294" i="2"/>
  <c r="AL335" i="2"/>
  <c r="AL319" i="2"/>
  <c r="AL286" i="2"/>
  <c r="AL321" i="2"/>
  <c r="AL340" i="2"/>
  <c r="AL313" i="2"/>
  <c r="AL343" i="2"/>
  <c r="AL299" i="2"/>
  <c r="AL320" i="2"/>
  <c r="AL308" i="2"/>
  <c r="AL350" i="2"/>
  <c r="AL349" i="2"/>
  <c r="AL331" i="2"/>
  <c r="AL336" i="2"/>
  <c r="AL290" i="2"/>
  <c r="AL295" i="2"/>
  <c r="AL283" i="2"/>
  <c r="AL356" i="2"/>
  <c r="AL346" i="2"/>
  <c r="AL302" i="2"/>
  <c r="AL324" i="2"/>
  <c r="AL337" i="2"/>
  <c r="AL304" i="2"/>
  <c r="AL309" i="2"/>
  <c r="AL291" i="2"/>
  <c r="AL339" i="2"/>
  <c r="AL351" i="2"/>
  <c r="AL316" i="2"/>
  <c r="AL353" i="2"/>
  <c r="AL298" i="2"/>
  <c r="AL284" i="2"/>
  <c r="AL312" i="2"/>
  <c r="AL334" i="2"/>
  <c r="AL328" i="2"/>
  <c r="AL352" i="2"/>
  <c r="AL347" i="2"/>
  <c r="AL345" i="2"/>
  <c r="AL287" i="2"/>
  <c r="AL322" i="2"/>
  <c r="AL307" i="2"/>
  <c r="AL303" i="2"/>
  <c r="AL329" i="2"/>
  <c r="AL327" i="2"/>
  <c r="AL318" i="2"/>
  <c r="AL310" i="2"/>
  <c r="AL348" i="2"/>
  <c r="AL300" i="2"/>
  <c r="AL357" i="2"/>
  <c r="AL330" i="2"/>
  <c r="AL314" i="2"/>
  <c r="AL289" i="2"/>
  <c r="AL332" i="2"/>
  <c r="AL301" i="2"/>
  <c r="AL355" i="2"/>
  <c r="AL292" i="2"/>
  <c r="AL338" i="2"/>
  <c r="AL285" i="2"/>
  <c r="AL311" i="2"/>
  <c r="AL288" i="2"/>
  <c r="AL342" i="2"/>
  <c r="AL281" i="2"/>
  <c r="AL296" i="2"/>
  <c r="AL306" i="2"/>
  <c r="AL358" i="2"/>
  <c r="AL359" i="2"/>
  <c r="AL333" i="2"/>
  <c r="AH19" i="2"/>
  <c r="AH43" i="2"/>
  <c r="AH40" i="2"/>
  <c r="AH42" i="2"/>
  <c r="AH21" i="2"/>
  <c r="AH22" i="2"/>
  <c r="AH20" i="2"/>
  <c r="P15" i="2"/>
  <c r="P16" i="2"/>
  <c r="P17" i="2"/>
  <c r="AH15" i="2" l="1"/>
  <c r="AH16" i="2"/>
  <c r="AH18" i="2"/>
  <c r="AH17" i="2"/>
  <c r="BI3" i="2" l="1"/>
</calcChain>
</file>

<file path=xl/sharedStrings.xml><?xml version="1.0" encoding="utf-8"?>
<sst xmlns="http://schemas.openxmlformats.org/spreadsheetml/2006/main" count="7818" uniqueCount="1478">
  <si>
    <t>Strategy Phase</t>
  </si>
  <si>
    <t>Type</t>
  </si>
  <si>
    <t>Campaign Category</t>
  </si>
  <si>
    <t>Date</t>
  </si>
  <si>
    <t>Model Variant</t>
  </si>
  <si>
    <t>Campaign Name</t>
  </si>
  <si>
    <t>Name</t>
  </si>
  <si>
    <t>Country</t>
  </si>
  <si>
    <t>Media Channel</t>
  </si>
  <si>
    <t>AE</t>
  </si>
  <si>
    <t>UAE</t>
  </si>
  <si>
    <t>AAF</t>
  </si>
  <si>
    <t>AFF</t>
  </si>
  <si>
    <t>Affiliate</t>
  </si>
  <si>
    <t>COMPR</t>
  </si>
  <si>
    <t>DL</t>
  </si>
  <si>
    <t>Dealer</t>
  </si>
  <si>
    <t>AS</t>
  </si>
  <si>
    <t>AFS</t>
  </si>
  <si>
    <t>AR</t>
  </si>
  <si>
    <t>Argentina</t>
  </si>
  <si>
    <t>IMC</t>
  </si>
  <si>
    <t>DSY</t>
  </si>
  <si>
    <t>Display</t>
  </si>
  <si>
    <t>LANCH</t>
  </si>
  <si>
    <t>Launch</t>
  </si>
  <si>
    <t>ND</t>
  </si>
  <si>
    <t>Non-Dealer</t>
  </si>
  <si>
    <t>ALS</t>
  </si>
  <si>
    <t>Atlas</t>
  </si>
  <si>
    <t>AU</t>
  </si>
  <si>
    <t>Australia</t>
  </si>
  <si>
    <t>TAT</t>
  </si>
  <si>
    <t>SEA</t>
  </si>
  <si>
    <t>Search</t>
  </si>
  <si>
    <t>MODNN</t>
  </si>
  <si>
    <t>NC</t>
  </si>
  <si>
    <t>ALT</t>
  </si>
  <si>
    <t>Alltrack</t>
  </si>
  <si>
    <t>BE</t>
  </si>
  <si>
    <t>Belgium</t>
  </si>
  <si>
    <t>SOC</t>
  </si>
  <si>
    <t>Social</t>
  </si>
  <si>
    <t>MTRSW</t>
  </si>
  <si>
    <t>UC</t>
  </si>
  <si>
    <t>AMK</t>
  </si>
  <si>
    <t>Amarok</t>
  </si>
  <si>
    <t>BR</t>
  </si>
  <si>
    <t>Brazil</t>
  </si>
  <si>
    <t>VID</t>
  </si>
  <si>
    <t>Video</t>
  </si>
  <si>
    <t>NONMS</t>
  </si>
  <si>
    <t>AMO</t>
  </si>
  <si>
    <t>Ameo</t>
  </si>
  <si>
    <t>CA</t>
  </si>
  <si>
    <t>Canada</t>
  </si>
  <si>
    <t>PRESA</t>
  </si>
  <si>
    <t>Pre-Sales</t>
  </si>
  <si>
    <t>AMV</t>
  </si>
  <si>
    <t>CH</t>
  </si>
  <si>
    <t>Switzerland</t>
  </si>
  <si>
    <t>RUNOT</t>
  </si>
  <si>
    <t>ATN</t>
  </si>
  <si>
    <t>Arteon</t>
  </si>
  <si>
    <t>CN</t>
  </si>
  <si>
    <t>China</t>
  </si>
  <si>
    <t>SUSTN</t>
  </si>
  <si>
    <t>Sustain</t>
  </si>
  <si>
    <t>BEE</t>
  </si>
  <si>
    <t>Beetle</t>
  </si>
  <si>
    <t>DE</t>
  </si>
  <si>
    <t>Germany</t>
  </si>
  <si>
    <t>BRO</t>
  </si>
  <si>
    <t>DK</t>
  </si>
  <si>
    <t>Denmark</t>
  </si>
  <si>
    <t>BSE</t>
  </si>
  <si>
    <t>B7</t>
  </si>
  <si>
    <t>ES</t>
  </si>
  <si>
    <t>Spain</t>
  </si>
  <si>
    <t>BTS</t>
  </si>
  <si>
    <t>Beats</t>
  </si>
  <si>
    <t>FR</t>
  </si>
  <si>
    <t>France</t>
  </si>
  <si>
    <t>CAB</t>
  </si>
  <si>
    <t>Cabriolet</t>
  </si>
  <si>
    <t>GB</t>
  </si>
  <si>
    <t>CAL</t>
  </si>
  <si>
    <t>California</t>
  </si>
  <si>
    <t>HK</t>
  </si>
  <si>
    <t>CAR</t>
  </si>
  <si>
    <t>Caravelle</t>
  </si>
  <si>
    <t>IE</t>
  </si>
  <si>
    <t>Ireland</t>
  </si>
  <si>
    <t>CCC</t>
  </si>
  <si>
    <t>CC</t>
  </si>
  <si>
    <t>IN</t>
  </si>
  <si>
    <t>India</t>
  </si>
  <si>
    <t>CCL</t>
  </si>
  <si>
    <t>IT</t>
  </si>
  <si>
    <t>Italy</t>
  </si>
  <si>
    <t>CDV</t>
  </si>
  <si>
    <t>JP</t>
  </si>
  <si>
    <t>Japan</t>
  </si>
  <si>
    <t>CDY</t>
  </si>
  <si>
    <t>Caddy</t>
  </si>
  <si>
    <t>KR</t>
  </si>
  <si>
    <t>Korea</t>
  </si>
  <si>
    <t>CPO</t>
  </si>
  <si>
    <t>MX</t>
  </si>
  <si>
    <t>Mexico</t>
  </si>
  <si>
    <t>CRA</t>
  </si>
  <si>
    <t>Crafter</t>
  </si>
  <si>
    <t>MY</t>
  </si>
  <si>
    <t>Malaysia</t>
  </si>
  <si>
    <t>CUP</t>
  </si>
  <si>
    <t>NL</t>
  </si>
  <si>
    <t>Netherlands</t>
  </si>
  <si>
    <t>DAD</t>
  </si>
  <si>
    <t>NO</t>
  </si>
  <si>
    <t>Norway</t>
  </si>
  <si>
    <t>DMA</t>
  </si>
  <si>
    <t>PL</t>
  </si>
  <si>
    <t>Poland</t>
  </si>
  <si>
    <t>DSA</t>
  </si>
  <si>
    <t>PT</t>
  </si>
  <si>
    <t>Portugal</t>
  </si>
  <si>
    <t>DWA</t>
  </si>
  <si>
    <t>RU</t>
  </si>
  <si>
    <t>Russia</t>
  </si>
  <si>
    <t>EDT</t>
  </si>
  <si>
    <t>Edition</t>
  </si>
  <si>
    <t>SE</t>
  </si>
  <si>
    <t>Sweden</t>
  </si>
  <si>
    <t>EGF</t>
  </si>
  <si>
    <t>E-Golf</t>
  </si>
  <si>
    <t>SG</t>
  </si>
  <si>
    <t>Singapore</t>
  </si>
  <si>
    <t>EUP</t>
  </si>
  <si>
    <t>E-Up!</t>
  </si>
  <si>
    <t>SK</t>
  </si>
  <si>
    <t>Slovakia</t>
  </si>
  <si>
    <t>EVS</t>
  </si>
  <si>
    <t>TW</t>
  </si>
  <si>
    <t>Taiwan</t>
  </si>
  <si>
    <t>FLT</t>
  </si>
  <si>
    <t>Fleet</t>
  </si>
  <si>
    <t>US</t>
  </si>
  <si>
    <t>FOX</t>
  </si>
  <si>
    <t>Fox</t>
  </si>
  <si>
    <t>ZA</t>
  </si>
  <si>
    <t>GLA</t>
  </si>
  <si>
    <t>GLF</t>
  </si>
  <si>
    <t>Golf</t>
  </si>
  <si>
    <t>GLG</t>
  </si>
  <si>
    <t>GLR</t>
  </si>
  <si>
    <t>GLW</t>
  </si>
  <si>
    <t>GOL</t>
  </si>
  <si>
    <t>Gol</t>
  </si>
  <si>
    <t>GTE</t>
  </si>
  <si>
    <t>GTI</t>
  </si>
  <si>
    <t>HCD</t>
  </si>
  <si>
    <t>HYB</t>
  </si>
  <si>
    <t>Hybrid</t>
  </si>
  <si>
    <t>IDC</t>
  </si>
  <si>
    <t>IDI</t>
  </si>
  <si>
    <t>ID</t>
  </si>
  <si>
    <t>IMG</t>
  </si>
  <si>
    <t>Image</t>
  </si>
  <si>
    <t>INC</t>
  </si>
  <si>
    <t>IST</t>
  </si>
  <si>
    <t>Institutional</t>
  </si>
  <si>
    <t>JET</t>
  </si>
  <si>
    <t>Jetta</t>
  </si>
  <si>
    <t>LAV</t>
  </si>
  <si>
    <t>Lavida</t>
  </si>
  <si>
    <t>MLV</t>
  </si>
  <si>
    <t>Multivan</t>
  </si>
  <si>
    <t>NMC</t>
  </si>
  <si>
    <t>OTH</t>
  </si>
  <si>
    <t>Other</t>
  </si>
  <si>
    <t>PAS</t>
  </si>
  <si>
    <t>PFM</t>
  </si>
  <si>
    <t>Performance</t>
  </si>
  <si>
    <t>PHT</t>
  </si>
  <si>
    <t>Phaeton</t>
  </si>
  <si>
    <t>POG</t>
  </si>
  <si>
    <t>POL</t>
  </si>
  <si>
    <t>Polo</t>
  </si>
  <si>
    <t>PRR</t>
  </si>
  <si>
    <t>PR</t>
  </si>
  <si>
    <t>PSA</t>
  </si>
  <si>
    <t>PST</t>
  </si>
  <si>
    <t>Passat</t>
  </si>
  <si>
    <t>PSW</t>
  </si>
  <si>
    <t>RBT</t>
  </si>
  <si>
    <t>RNG</t>
  </si>
  <si>
    <t>Range</t>
  </si>
  <si>
    <t>RRR</t>
  </si>
  <si>
    <t>R</t>
  </si>
  <si>
    <t>SAV</t>
  </si>
  <si>
    <t>Saveiro</t>
  </si>
  <si>
    <t>SBC</t>
  </si>
  <si>
    <t>SBUC</t>
  </si>
  <si>
    <t>SBE</t>
  </si>
  <si>
    <t>SBUE</t>
  </si>
  <si>
    <t>SBN</t>
  </si>
  <si>
    <t>SBUN</t>
  </si>
  <si>
    <t>SBS</t>
  </si>
  <si>
    <t>SBUS</t>
  </si>
  <si>
    <t>SBW</t>
  </si>
  <si>
    <t>SBUW</t>
  </si>
  <si>
    <t>SCR</t>
  </si>
  <si>
    <t>Scirocco</t>
  </si>
  <si>
    <t>SED</t>
  </si>
  <si>
    <t>Sedan</t>
  </si>
  <si>
    <t>SEV</t>
  </si>
  <si>
    <t>SHR</t>
  </si>
  <si>
    <t>Sharan</t>
  </si>
  <si>
    <t>SNT</t>
  </si>
  <si>
    <t>Santana</t>
  </si>
  <si>
    <t>SUR</t>
  </si>
  <si>
    <t>Suran</t>
  </si>
  <si>
    <t>SVC</t>
  </si>
  <si>
    <t>Service</t>
  </si>
  <si>
    <t>SWG</t>
  </si>
  <si>
    <t>Sportwagen</t>
  </si>
  <si>
    <t>TCC</t>
  </si>
  <si>
    <t>TCR</t>
  </si>
  <si>
    <t>T-Cross</t>
  </si>
  <si>
    <t>TER</t>
  </si>
  <si>
    <t>Teramont</t>
  </si>
  <si>
    <t>THB</t>
  </si>
  <si>
    <t>TIG</t>
  </si>
  <si>
    <t>Tiguan</t>
  </si>
  <si>
    <t>TRC</t>
  </si>
  <si>
    <t>T-Roc</t>
  </si>
  <si>
    <t>TRG</t>
  </si>
  <si>
    <t>Touareg</t>
  </si>
  <si>
    <t>TRN</t>
  </si>
  <si>
    <t>Touran</t>
  </si>
  <si>
    <t>TSP</t>
  </si>
  <si>
    <t>Transporter</t>
  </si>
  <si>
    <t>UPP</t>
  </si>
  <si>
    <t>Up!</t>
  </si>
  <si>
    <t>VAR</t>
  </si>
  <si>
    <t>Variant</t>
  </si>
  <si>
    <t>VIV</t>
  </si>
  <si>
    <t>Vivo</t>
  </si>
  <si>
    <t>VNT</t>
  </si>
  <si>
    <t>Vento</t>
  </si>
  <si>
    <t>VOY</t>
  </si>
  <si>
    <t>Voyage</t>
  </si>
  <si>
    <t>VWB</t>
  </si>
  <si>
    <t>WRC</t>
  </si>
  <si>
    <t>*Ação</t>
  </si>
  <si>
    <t>*Data_Inicial</t>
  </si>
  <si>
    <t>*Data_Final</t>
  </si>
  <si>
    <t>Veiculo</t>
  </si>
  <si>
    <t>Canal</t>
  </si>
  <si>
    <t>Device</t>
  </si>
  <si>
    <t>Size</t>
  </si>
  <si>
    <t>*Impressões/cliques_Período</t>
  </si>
  <si>
    <t>*Cliques_Período</t>
  </si>
  <si>
    <t>Custo_Unitário_Liquido</t>
  </si>
  <si>
    <t>*Valor_Negociado_Total</t>
  </si>
  <si>
    <t>utm_source</t>
  </si>
  <si>
    <t>utm_medium</t>
  </si>
  <si>
    <t>utm_campaign</t>
  </si>
  <si>
    <t>utm_content</t>
  </si>
  <si>
    <t>keyword</t>
  </si>
  <si>
    <t>Brand</t>
  </si>
  <si>
    <t>Model</t>
  </si>
  <si>
    <t>VW</t>
  </si>
  <si>
    <t>Volkswagen</t>
  </si>
  <si>
    <t>CPA</t>
  </si>
  <si>
    <t>DRCT</t>
  </si>
  <si>
    <t>Direct</t>
  </si>
  <si>
    <t>ALL</t>
  </si>
  <si>
    <t>All</t>
  </si>
  <si>
    <t>AV</t>
  </si>
  <si>
    <t>HTO</t>
  </si>
  <si>
    <t>DGA</t>
  </si>
  <si>
    <t>1X1</t>
  </si>
  <si>
    <t>LDR</t>
  </si>
  <si>
    <t>Leaderboard</t>
  </si>
  <si>
    <t>CPC</t>
  </si>
  <si>
    <t>PROG</t>
  </si>
  <si>
    <t>Programmatic</t>
  </si>
  <si>
    <t>BRD</t>
  </si>
  <si>
    <t>DSK</t>
  </si>
  <si>
    <t>DC</t>
  </si>
  <si>
    <t>OTR</t>
  </si>
  <si>
    <t>DIS</t>
  </si>
  <si>
    <t>CAI</t>
  </si>
  <si>
    <t>MBR</t>
  </si>
  <si>
    <t>CPM</t>
  </si>
  <si>
    <t>TCT</t>
  </si>
  <si>
    <t>Tactical</t>
  </si>
  <si>
    <t>MOB</t>
  </si>
  <si>
    <t>MG</t>
  </si>
  <si>
    <t>RON</t>
  </si>
  <si>
    <t>CLK</t>
  </si>
  <si>
    <t>Click</t>
  </si>
  <si>
    <t>MMP</t>
  </si>
  <si>
    <t>CPV</t>
  </si>
  <si>
    <t>TAB</t>
  </si>
  <si>
    <t>PD</t>
  </si>
  <si>
    <t>Paid</t>
  </si>
  <si>
    <t>ROS</t>
  </si>
  <si>
    <t>IMP</t>
  </si>
  <si>
    <t>Impression</t>
  </si>
  <si>
    <t>MPU</t>
  </si>
  <si>
    <t>MXD</t>
  </si>
  <si>
    <t>Mixed</t>
  </si>
  <si>
    <t>SPR</t>
  </si>
  <si>
    <t>Sponsorship</t>
  </si>
  <si>
    <t>STD</t>
  </si>
  <si>
    <t>Standard</t>
  </si>
  <si>
    <t>SKY</t>
  </si>
  <si>
    <t>Skyscraper</t>
  </si>
  <si>
    <t>TPE</t>
  </si>
  <si>
    <t>SRB</t>
  </si>
  <si>
    <t>EGL</t>
  </si>
  <si>
    <t>Plannig Principle</t>
  </si>
  <si>
    <t>Placement Name</t>
  </si>
  <si>
    <t>Site</t>
  </si>
  <si>
    <t>4x4-brasil</t>
  </si>
  <si>
    <t>agrishow</t>
  </si>
  <si>
    <t>aol</t>
  </si>
  <si>
    <t>aol-dbm</t>
  </si>
  <si>
    <t>auto-esporte</t>
  </si>
  <si>
    <t>auto-informe</t>
  </si>
  <si>
    <t>autopapo</t>
  </si>
  <si>
    <t>autopista</t>
  </si>
  <si>
    <t>buzzfeed</t>
  </si>
  <si>
    <t>campinas.com.br</t>
  </si>
  <si>
    <t>canaltech-auto</t>
  </si>
  <si>
    <t>cazamba</t>
  </si>
  <si>
    <t>cinemad</t>
  </si>
  <si>
    <t>cm</t>
  </si>
  <si>
    <t>comprecar</t>
  </si>
  <si>
    <t>dbm</t>
  </si>
  <si>
    <t>dbm-aol</t>
  </si>
  <si>
    <t>dbm-estadao</t>
  </si>
  <si>
    <t>dbm-exame</t>
  </si>
  <si>
    <t>dbm-folha</t>
  </si>
  <si>
    <t>dbm-g1</t>
  </si>
  <si>
    <t>dbm-ge</t>
  </si>
  <si>
    <t>dbm-globo</t>
  </si>
  <si>
    <t>dbm-icarros</t>
  </si>
  <si>
    <t>dbm-msn</t>
  </si>
  <si>
    <t>dbm-olx</t>
  </si>
  <si>
    <t>dbm-r7</t>
  </si>
  <si>
    <t>dbm-terra</t>
  </si>
  <si>
    <t>dbm-uol</t>
  </si>
  <si>
    <t>dbm-valor</t>
  </si>
  <si>
    <t>dbm-valoreconomico</t>
  </si>
  <si>
    <t>dbm-veja</t>
  </si>
  <si>
    <t>dbm-webmotors</t>
  </si>
  <si>
    <t>dbm-youtube</t>
  </si>
  <si>
    <t>decolar</t>
  </si>
  <si>
    <t>epoca</t>
  </si>
  <si>
    <t>estadao</t>
  </si>
  <si>
    <t>facebook</t>
  </si>
  <si>
    <t>faceinsta</t>
  </si>
  <si>
    <t>fullpower</t>
  </si>
  <si>
    <t>gdn</t>
  </si>
  <si>
    <t>gdn-youtube</t>
  </si>
  <si>
    <t>globo</t>
  </si>
  <si>
    <t>globo-dbm</t>
  </si>
  <si>
    <t>google</t>
  </si>
  <si>
    <t>hands</t>
  </si>
  <si>
    <t>huffpost</t>
  </si>
  <si>
    <t>icarros</t>
  </si>
  <si>
    <t>inloco</t>
  </si>
  <si>
    <t>instagram</t>
  </si>
  <si>
    <t>istoe-dbm</t>
  </si>
  <si>
    <t>linkedin</t>
  </si>
  <si>
    <t>logan</t>
  </si>
  <si>
    <t>msn</t>
  </si>
  <si>
    <t>oath</t>
  </si>
  <si>
    <t>olx</t>
  </si>
  <si>
    <t>opera</t>
  </si>
  <si>
    <t>outlook</t>
  </si>
  <si>
    <t>planeta-offroad</t>
  </si>
  <si>
    <t>psafe</t>
  </si>
  <si>
    <t>r7</t>
  </si>
  <si>
    <t>sindloc</t>
  </si>
  <si>
    <t>spotify</t>
  </si>
  <si>
    <t>teads</t>
  </si>
  <si>
    <t>terra</t>
  </si>
  <si>
    <t>tvxtender</t>
  </si>
  <si>
    <t>twitter</t>
  </si>
  <si>
    <t>uol</t>
  </si>
  <si>
    <t>veja-exame</t>
  </si>
  <si>
    <t>waze</t>
  </si>
  <si>
    <t>webmotors</t>
  </si>
  <si>
    <t>wetransfer</t>
  </si>
  <si>
    <t>yahoo</t>
  </si>
  <si>
    <t>youtube</t>
  </si>
  <si>
    <t>1000x100</t>
  </si>
  <si>
    <t>video</t>
  </si>
  <si>
    <t>1000x250</t>
  </si>
  <si>
    <t>1000x300</t>
  </si>
  <si>
    <t>1000x600</t>
  </si>
  <si>
    <t>100x100</t>
  </si>
  <si>
    <t>100x13</t>
  </si>
  <si>
    <t>1024x768</t>
  </si>
  <si>
    <t>1050x250</t>
  </si>
  <si>
    <t>1080x1080</t>
  </si>
  <si>
    <t>1100x140</t>
  </si>
  <si>
    <t>1100x600</t>
  </si>
  <si>
    <t>1122x215</t>
  </si>
  <si>
    <t>1160x300</t>
  </si>
  <si>
    <t>1190x330</t>
  </si>
  <si>
    <t>1200x627</t>
  </si>
  <si>
    <t>1200x628</t>
  </si>
  <si>
    <t>1200x675</t>
  </si>
  <si>
    <t>1200x800</t>
  </si>
  <si>
    <t>120x120</t>
  </si>
  <si>
    <t>120x225</t>
  </si>
  <si>
    <t>120x240</t>
  </si>
  <si>
    <t>120x245</t>
  </si>
  <si>
    <t>120x60</t>
  </si>
  <si>
    <t>120x600</t>
  </si>
  <si>
    <t>120x90</t>
  </si>
  <si>
    <t>1280x752</t>
  </si>
  <si>
    <t>130x186</t>
  </si>
  <si>
    <t>135x102</t>
  </si>
  <si>
    <t>150x150</t>
  </si>
  <si>
    <t>152x112</t>
  </si>
  <si>
    <t>160x150</t>
  </si>
  <si>
    <t>160x185</t>
  </si>
  <si>
    <t>160x300</t>
  </si>
  <si>
    <t>160x600</t>
  </si>
  <si>
    <t>180x150</t>
  </si>
  <si>
    <t>1x1</t>
  </si>
  <si>
    <t>200x120</t>
  </si>
  <si>
    <t>200x200</t>
  </si>
  <si>
    <t>230x350</t>
  </si>
  <si>
    <t>234x60</t>
  </si>
  <si>
    <t>240x240</t>
  </si>
  <si>
    <t>240x400</t>
  </si>
  <si>
    <t>240x600</t>
  </si>
  <si>
    <t>250x250</t>
  </si>
  <si>
    <t>250x360</t>
  </si>
  <si>
    <t>250x600</t>
  </si>
  <si>
    <t>260x260</t>
  </si>
  <si>
    <t>278x95</t>
  </si>
  <si>
    <t>280x80</t>
  </si>
  <si>
    <t>300x100</t>
  </si>
  <si>
    <t>300x1000</t>
  </si>
  <si>
    <t>300x1050</t>
  </si>
  <si>
    <t>300x130</t>
  </si>
  <si>
    <t>300x150</t>
  </si>
  <si>
    <t>300x250</t>
  </si>
  <si>
    <t>300x300</t>
  </si>
  <si>
    <t>300x395</t>
  </si>
  <si>
    <t>300x400</t>
  </si>
  <si>
    <t>300x443</t>
  </si>
  <si>
    <t>300x460</t>
  </si>
  <si>
    <t>300x50</t>
  </si>
  <si>
    <t>300x520</t>
  </si>
  <si>
    <t>300x60</t>
  </si>
  <si>
    <t>300x600</t>
  </si>
  <si>
    <t>300x75</t>
  </si>
  <si>
    <t>300x800</t>
  </si>
  <si>
    <t>300x815</t>
  </si>
  <si>
    <t>300x90</t>
  </si>
  <si>
    <t>300x926</t>
  </si>
  <si>
    <t>320x100</t>
  </si>
  <si>
    <t>320x160</t>
  </si>
  <si>
    <t>320x165</t>
  </si>
  <si>
    <t>320x176</t>
  </si>
  <si>
    <t>320x250</t>
  </si>
  <si>
    <t>320x260</t>
  </si>
  <si>
    <t>320x265</t>
  </si>
  <si>
    <t>320x320</t>
  </si>
  <si>
    <t>320x480</t>
  </si>
  <si>
    <t>320x50</t>
  </si>
  <si>
    <t>320x568</t>
  </si>
  <si>
    <t>320x600</t>
  </si>
  <si>
    <t>320x70</t>
  </si>
  <si>
    <t>336x280</t>
  </si>
  <si>
    <t>336x400</t>
  </si>
  <si>
    <t>336x50</t>
  </si>
  <si>
    <t>336x600</t>
  </si>
  <si>
    <t>348x208</t>
  </si>
  <si>
    <t>360x640</t>
  </si>
  <si>
    <t>400x300</t>
  </si>
  <si>
    <t>430x343</t>
  </si>
  <si>
    <t>450x75</t>
  </si>
  <si>
    <t>460x175</t>
  </si>
  <si>
    <t>468x60</t>
  </si>
  <si>
    <t>475x300</t>
  </si>
  <si>
    <t>480x320</t>
  </si>
  <si>
    <t>480x70</t>
  </si>
  <si>
    <t>500x100</t>
  </si>
  <si>
    <t>510x500</t>
  </si>
  <si>
    <t>525x80</t>
  </si>
  <si>
    <t>530x300</t>
  </si>
  <si>
    <t>540x544</t>
  </si>
  <si>
    <t>550x100</t>
  </si>
  <si>
    <t>550x220</t>
  </si>
  <si>
    <t>550x480</t>
  </si>
  <si>
    <t>550x90</t>
  </si>
  <si>
    <t>553x220</t>
  </si>
  <si>
    <t>555x240</t>
  </si>
  <si>
    <t>560x400</t>
  </si>
  <si>
    <t>578x60</t>
  </si>
  <si>
    <t>580x220</t>
  </si>
  <si>
    <t>590x147</t>
  </si>
  <si>
    <t>590x250</t>
  </si>
  <si>
    <t>600x100</t>
  </si>
  <si>
    <t>600x125</t>
  </si>
  <si>
    <t>600x150</t>
  </si>
  <si>
    <t>600x195</t>
  </si>
  <si>
    <t>600x200</t>
  </si>
  <si>
    <t>600x220</t>
  </si>
  <si>
    <t>600x250</t>
  </si>
  <si>
    <t>600x300</t>
  </si>
  <si>
    <t>600x335</t>
  </si>
  <si>
    <t>600x500</t>
  </si>
  <si>
    <t>600x80</t>
  </si>
  <si>
    <t>600x90</t>
  </si>
  <si>
    <t>608x220</t>
  </si>
  <si>
    <t>608x240</t>
  </si>
  <si>
    <t>610x220</t>
  </si>
  <si>
    <t>610x240</t>
  </si>
  <si>
    <t>610x270</t>
  </si>
  <si>
    <t>620x200</t>
  </si>
  <si>
    <t>620x250</t>
  </si>
  <si>
    <t>620x90</t>
  </si>
  <si>
    <t>630x180</t>
  </si>
  <si>
    <t>630x220</t>
  </si>
  <si>
    <t>630x242</t>
  </si>
  <si>
    <t>630x500</t>
  </si>
  <si>
    <t>635x210</t>
  </si>
  <si>
    <t>640x107</t>
  </si>
  <si>
    <t>640x200</t>
  </si>
  <si>
    <t>640x220</t>
  </si>
  <si>
    <t>640x250</t>
  </si>
  <si>
    <t>640x300</t>
  </si>
  <si>
    <t>640x332</t>
  </si>
  <si>
    <t>640x360</t>
  </si>
  <si>
    <t>640x480</t>
  </si>
  <si>
    <t>640x90</t>
  </si>
  <si>
    <t>640x960</t>
  </si>
  <si>
    <t>643x200</t>
  </si>
  <si>
    <t>643x220</t>
  </si>
  <si>
    <t>645x120</t>
  </si>
  <si>
    <t>645x75</t>
  </si>
  <si>
    <t>646x193</t>
  </si>
  <si>
    <t>648x140</t>
  </si>
  <si>
    <t>650x1100</t>
  </si>
  <si>
    <t>650x140</t>
  </si>
  <si>
    <t>650x200</t>
  </si>
  <si>
    <t>650x220</t>
  </si>
  <si>
    <t>650x240</t>
  </si>
  <si>
    <t>650x650</t>
  </si>
  <si>
    <t>652x200</t>
  </si>
  <si>
    <t>660x200</t>
  </si>
  <si>
    <t>660x230</t>
  </si>
  <si>
    <t>660x300</t>
  </si>
  <si>
    <t>660x370</t>
  </si>
  <si>
    <t>660x500</t>
  </si>
  <si>
    <t>670x200</t>
  </si>
  <si>
    <t>680x100</t>
  </si>
  <si>
    <t>680x220</t>
  </si>
  <si>
    <t>680x230</t>
  </si>
  <si>
    <t>680x360</t>
  </si>
  <si>
    <t>690x200</t>
  </si>
  <si>
    <t>690x380</t>
  </si>
  <si>
    <t>690x80</t>
  </si>
  <si>
    <t>695x200</t>
  </si>
  <si>
    <t>700x100</t>
  </si>
  <si>
    <t>700x150</t>
  </si>
  <si>
    <t>700x300</t>
  </si>
  <si>
    <t>700x40</t>
  </si>
  <si>
    <t>700x60</t>
  </si>
  <si>
    <t>710x95</t>
  </si>
  <si>
    <t>720x190</t>
  </si>
  <si>
    <t>720x300</t>
  </si>
  <si>
    <t>720x480</t>
  </si>
  <si>
    <t>720x540</t>
  </si>
  <si>
    <t>728x175</t>
  </si>
  <si>
    <t>728x195</t>
  </si>
  <si>
    <t>728x250</t>
  </si>
  <si>
    <t>728x280</t>
  </si>
  <si>
    <t>728x300</t>
  </si>
  <si>
    <t>728x600</t>
  </si>
  <si>
    <t>728x90</t>
  </si>
  <si>
    <t>730x100-1000x600</t>
  </si>
  <si>
    <t>730x50</t>
  </si>
  <si>
    <t>730x510</t>
  </si>
  <si>
    <t>735x180</t>
  </si>
  <si>
    <t>735x250</t>
  </si>
  <si>
    <t>744x666</t>
  </si>
  <si>
    <t>750x200</t>
  </si>
  <si>
    <t>750x280</t>
  </si>
  <si>
    <t>768x1024</t>
  </si>
  <si>
    <t>788x240</t>
  </si>
  <si>
    <t>800x120</t>
  </si>
  <si>
    <t>800x250</t>
  </si>
  <si>
    <t>800x300</t>
  </si>
  <si>
    <t>800x400</t>
  </si>
  <si>
    <t>800x418</t>
  </si>
  <si>
    <t>800x573</t>
  </si>
  <si>
    <t>800x600</t>
  </si>
  <si>
    <t>80x80</t>
  </si>
  <si>
    <t>820x385</t>
  </si>
  <si>
    <t>830x500</t>
  </si>
  <si>
    <t>840x150</t>
  </si>
  <si>
    <t>840x180</t>
  </si>
  <si>
    <t>850x175</t>
  </si>
  <si>
    <t>850x290</t>
  </si>
  <si>
    <t>870x250</t>
  </si>
  <si>
    <t>88x31</t>
  </si>
  <si>
    <t>900x600</t>
  </si>
  <si>
    <t>920x135</t>
  </si>
  <si>
    <t>930x120</t>
  </si>
  <si>
    <t>930x180</t>
  </si>
  <si>
    <t>930x95</t>
  </si>
  <si>
    <t>950x90</t>
  </si>
  <si>
    <t>960x1440</t>
  </si>
  <si>
    <t>960x150</t>
  </si>
  <si>
    <t>970x125</t>
  </si>
  <si>
    <t>970x150</t>
  </si>
  <si>
    <t>970x180</t>
  </si>
  <si>
    <t>970x250</t>
  </si>
  <si>
    <t>970x300</t>
  </si>
  <si>
    <t>970x500</t>
  </si>
  <si>
    <t>970x600</t>
  </si>
  <si>
    <t>970x90</t>
  </si>
  <si>
    <t>980x120</t>
  </si>
  <si>
    <t>980x240</t>
  </si>
  <si>
    <t>980x250</t>
  </si>
  <si>
    <t>988x60</t>
  </si>
  <si>
    <t>booking-bubble</t>
  </si>
  <si>
    <t>compare-to</t>
  </si>
  <si>
    <t>core</t>
  </si>
  <si>
    <t>featured-results</t>
  </si>
  <si>
    <t>front-door-check</t>
  </si>
  <si>
    <t>front-door-uncheck</t>
  </si>
  <si>
    <t>fullscreen</t>
  </si>
  <si>
    <t>in-line</t>
  </si>
  <si>
    <t>meta-search</t>
  </si>
  <si>
    <t>nativeads</t>
  </si>
  <si>
    <t>pagepost</t>
  </si>
  <si>
    <t>portal</t>
  </si>
  <si>
    <t>adserver-rotacionar</t>
  </si>
  <si>
    <t>adserver-única</t>
  </si>
  <si>
    <t>sem-adserver</t>
  </si>
  <si>
    <t>Awareness-Familiarity</t>
  </si>
  <si>
    <t>Trigger-Tactical</t>
  </si>
  <si>
    <t>Buying-Metric</t>
  </si>
  <si>
    <t>Buying-Type</t>
  </si>
  <si>
    <t>Campaign-Category</t>
  </si>
  <si>
    <t>Campaign-Type</t>
  </si>
  <si>
    <t>Media-Channel</t>
  </si>
  <si>
    <t>Model-Variant</t>
  </si>
  <si>
    <t>Paid-vs-AV</t>
  </si>
  <si>
    <t>Planning-Principle</t>
  </si>
  <si>
    <t>Servido-Por</t>
  </si>
  <si>
    <t>Site-Section</t>
  </si>
  <si>
    <t>Strategy-Phase</t>
  </si>
  <si>
    <t>Sub-Media-Channel</t>
  </si>
  <si>
    <t>Tracking-Type</t>
  </si>
  <si>
    <t>Unit-Name</t>
  </si>
  <si>
    <t>After-Sales</t>
  </si>
  <si>
    <t>Added-Value</t>
  </si>
  <si>
    <t>Homepage-Takeover</t>
  </si>
  <si>
    <t>Competitor-Response</t>
  </si>
  <si>
    <t>Digital-Audio</t>
  </si>
  <si>
    <t>Delete-&amp;-Charge</t>
  </si>
  <si>
    <t>In-Market-Consideration</t>
  </si>
  <si>
    <t>Paid-Display</t>
  </si>
  <si>
    <t>Click-&amp;-Impression</t>
  </si>
  <si>
    <t>Mobile-Banner</t>
  </si>
  <si>
    <t>New-Car</t>
  </si>
  <si>
    <t>Make-Good</t>
  </si>
  <si>
    <t>Run-of-Network</t>
  </si>
  <si>
    <t>Model-New-News</t>
  </si>
  <si>
    <t>Paid-Mobile</t>
  </si>
  <si>
    <t>Mobile-MPU</t>
  </si>
  <si>
    <t>Used-Car</t>
  </si>
  <si>
    <t>Run-of-Site</t>
  </si>
  <si>
    <t>Motor-Show</t>
  </si>
  <si>
    <t>Other-(Online)</t>
  </si>
  <si>
    <t>Non-Model-Specific</t>
  </si>
  <si>
    <t>Paid-Search</t>
  </si>
  <si>
    <t>Amarok-V6</t>
  </si>
  <si>
    <t>Paid-Social</t>
  </si>
  <si>
    <t>Run-Out</t>
  </si>
  <si>
    <t>3rd-Party-Engagement</t>
  </si>
  <si>
    <t>Standard-Roadblock</t>
  </si>
  <si>
    <t>Branch-Opening</t>
  </si>
  <si>
    <t>C-Class</t>
  </si>
  <si>
    <t>United-Kingdom</t>
  </si>
  <si>
    <t>Dealers-Advertisement</t>
  </si>
  <si>
    <t>Hong-Kong</t>
  </si>
  <si>
    <t>Golf-Alltrack</t>
  </si>
  <si>
    <t>Caddy-Van</t>
  </si>
  <si>
    <t>ID-Crozz</t>
  </si>
  <si>
    <t>Certified-Pre-Owned</t>
  </si>
  <si>
    <t>Cross-Up!</t>
  </si>
  <si>
    <t>Dealer-Marketing-Association</t>
  </si>
  <si>
    <t>Das-Auto</t>
  </si>
  <si>
    <t>Das-WeltAuto</t>
  </si>
  <si>
    <t>Passat-Alltrack</t>
  </si>
  <si>
    <t>Events-Sponsorship</t>
  </si>
  <si>
    <t>United-States</t>
  </si>
  <si>
    <t>South-Africa</t>
  </si>
  <si>
    <t>Golf-GTI</t>
  </si>
  <si>
    <t>Golf-R</t>
  </si>
  <si>
    <t>Golf-Wagon</t>
  </si>
  <si>
    <t>dinheiro-rural</t>
  </si>
  <si>
    <t>editora-globo</t>
  </si>
  <si>
    <t>Hatchback-CKD</t>
  </si>
  <si>
    <t>folha-de-sao-paulo</t>
  </si>
  <si>
    <t>Innovation-Campaign</t>
  </si>
  <si>
    <t>VW-Brand</t>
  </si>
  <si>
    <t>Parts-and-Service</t>
  </si>
  <si>
    <t>Polo-GTI</t>
  </si>
  <si>
    <t>Passat-Wagon</t>
  </si>
  <si>
    <t>ReBuild-Trust</t>
  </si>
  <si>
    <t>Sales-Event</t>
  </si>
  <si>
    <t>Transporter-Cab-Chassis</t>
  </si>
  <si>
    <t>Think-Blue</t>
  </si>
  <si>
    <t>scroller-square-</t>
  </si>
  <si>
    <t>scroller-landscape-</t>
  </si>
  <si>
    <t>carrossel-landscape-</t>
  </si>
  <si>
    <t>País</t>
  </si>
  <si>
    <t>Agrupamento da campanha, 3 grandes grupos de acordo com a estratégia. Pensem no objetivo e como ativam no usuário para fazer a classificaçaão</t>
  </si>
  <si>
    <t>Agrupamento de canais de midia. Video é apenas para plataforma de video, Teads e youtube por exemplo, entrega de video em facebook/instagram eles consideram como social</t>
  </si>
  <si>
    <t xml:space="preserve">Estrategia dessa campanha, para campanhas de always on podem usar Non Model Specific </t>
  </si>
  <si>
    <t>Aqui para indicar se é campanha de Dealers, no nosso caso em geral vai ser non-Dealer</t>
  </si>
  <si>
    <t>Definição de qual foco iremos ter na campanha, carros novos ou pós-venda é o nosso foco em geral</t>
  </si>
  <si>
    <t>Data de início da campanha. Para campanhas que rodam o ano inteiro pode ser quando subiu a estrutura no adserver</t>
  </si>
  <si>
    <t>modelo da campanha, quando não tiver apenas um modelo indicar como Range</t>
  </si>
  <si>
    <t>campo disponível para preencher com alguma outra info, tipo walk-around. NÃO USAR "_"</t>
  </si>
  <si>
    <t>Mpu</t>
  </si>
  <si>
    <t>Automatico</t>
  </si>
  <si>
    <t>Segmentação</t>
  </si>
  <si>
    <t>url</t>
  </si>
  <si>
    <t>%epid!_%ecid!_%eaid!</t>
  </si>
  <si>
    <t>Contadores</t>
  </si>
  <si>
    <t>627x627</t>
  </si>
  <si>
    <t>1080x1920</t>
  </si>
  <si>
    <t>1440x960</t>
  </si>
  <si>
    <t>900x750</t>
  </si>
  <si>
    <t>432x432</t>
  </si>
  <si>
    <t>LeadAD</t>
  </si>
  <si>
    <t>Stories</t>
  </si>
  <si>
    <t>Sequency-Stories</t>
  </si>
  <si>
    <t>BumperAD</t>
  </si>
  <si>
    <t>TrueView</t>
  </si>
  <si>
    <t>600x600</t>
  </si>
  <si>
    <t>2020-01-Jan</t>
  </si>
  <si>
    <t>2020Q1JAN</t>
  </si>
  <si>
    <t>2020-02-Feb</t>
  </si>
  <si>
    <t>2020Q1FEB</t>
  </si>
  <si>
    <t>2020-03-Mar</t>
  </si>
  <si>
    <t>2020Q1MAR</t>
  </si>
  <si>
    <t>2020-04-Apr</t>
  </si>
  <si>
    <t>2020Q2APR</t>
  </si>
  <si>
    <t>2020-05-May</t>
  </si>
  <si>
    <t>2020Q2MAY</t>
  </si>
  <si>
    <t>2020-06-Jun</t>
  </si>
  <si>
    <t>2020Q2JUN</t>
  </si>
  <si>
    <t>2020-07-Jul</t>
  </si>
  <si>
    <t>2020Q3JUL</t>
  </si>
  <si>
    <t>2020-08-Aug</t>
  </si>
  <si>
    <t>2020Q3AUG</t>
  </si>
  <si>
    <t>2020-09-Sep</t>
  </si>
  <si>
    <t>2020Q3SEP</t>
  </si>
  <si>
    <t>2020-10-Oct</t>
  </si>
  <si>
    <t>2020Q4OCT</t>
  </si>
  <si>
    <t>2020-11-Nov</t>
  </si>
  <si>
    <t>2020Q4NOV</t>
  </si>
  <si>
    <t>2020-12-Dec</t>
  </si>
  <si>
    <t>2020Q4DEC</t>
  </si>
  <si>
    <t>adchan</t>
  </si>
  <si>
    <t>campaign</t>
  </si>
  <si>
    <t>adgroup</t>
  </si>
  <si>
    <t>publisher</t>
  </si>
  <si>
    <t>adpl</t>
  </si>
  <si>
    <t>country</t>
  </si>
  <si>
    <t>language</t>
  </si>
  <si>
    <t>Publish</t>
  </si>
  <si>
    <t>adcr</t>
  </si>
  <si>
    <t>seatype</t>
  </si>
  <si>
    <t>adlid</t>
  </si>
  <si>
    <t>adpay</t>
  </si>
  <si>
    <t>adap</t>
  </si>
  <si>
    <t>admt</t>
  </si>
  <si>
    <t>adplt</t>
  </si>
  <si>
    <t>format</t>
  </si>
  <si>
    <t>no</t>
  </si>
  <si>
    <t>Parametrização</t>
  </si>
  <si>
    <t>GA</t>
  </si>
  <si>
    <t>ADOBE</t>
  </si>
  <si>
    <t>SA360</t>
  </si>
  <si>
    <t>GoogleAds</t>
  </si>
  <si>
    <t>ID's</t>
  </si>
  <si>
    <t>2021-01-Jan</t>
  </si>
  <si>
    <t>2021Q1JAN</t>
  </si>
  <si>
    <t>2021-02-Feb</t>
  </si>
  <si>
    <t>2021Q1FEB</t>
  </si>
  <si>
    <t>2021-03-Mar</t>
  </si>
  <si>
    <t>2021Q1MAR</t>
  </si>
  <si>
    <t>2021-04-Apr</t>
  </si>
  <si>
    <t>2021Q2APR</t>
  </si>
  <si>
    <t>2021-05-May</t>
  </si>
  <si>
    <t>2021Q2MAY</t>
  </si>
  <si>
    <t>2021-06-Jun</t>
  </si>
  <si>
    <t>2021Q2JUN</t>
  </si>
  <si>
    <t>2021-07-Jul</t>
  </si>
  <si>
    <t>2021Q3JUL</t>
  </si>
  <si>
    <t>2021-08-Aug</t>
  </si>
  <si>
    <t>2021Q3AUG</t>
  </si>
  <si>
    <t>2021-09-Sep</t>
  </si>
  <si>
    <t>2021Q3SEP</t>
  </si>
  <si>
    <t>2021-10-Oct</t>
  </si>
  <si>
    <t>2021Q4OCT</t>
  </si>
  <si>
    <t>2021-11-Nov</t>
  </si>
  <si>
    <t>2021Q4NOV</t>
  </si>
  <si>
    <t>2021-12-Dec</t>
  </si>
  <si>
    <t>2021Q4DEC</t>
  </si>
  <si>
    <t>ID Campaign</t>
  </si>
  <si>
    <t>ID Campaign Name</t>
  </si>
  <si>
    <t>abreviar em 3 caracteres o campaign name EX: BDC</t>
  </si>
  <si>
    <t>0120</t>
  </si>
  <si>
    <t>0220</t>
  </si>
  <si>
    <t>0320</t>
  </si>
  <si>
    <t>0420</t>
  </si>
  <si>
    <t>0520</t>
  </si>
  <si>
    <t>0620</t>
  </si>
  <si>
    <t>0720</t>
  </si>
  <si>
    <t>0820</t>
  </si>
  <si>
    <t>0920</t>
  </si>
  <si>
    <t>1020</t>
  </si>
  <si>
    <t>1120</t>
  </si>
  <si>
    <t>1220</t>
  </si>
  <si>
    <t>0121</t>
  </si>
  <si>
    <t>0221</t>
  </si>
  <si>
    <t>0321</t>
  </si>
  <si>
    <t>0421</t>
  </si>
  <si>
    <t>0521</t>
  </si>
  <si>
    <t>0621</t>
  </si>
  <si>
    <t>0721</t>
  </si>
  <si>
    <t>0821</t>
  </si>
  <si>
    <t>0921</t>
  </si>
  <si>
    <t>1021</t>
  </si>
  <si>
    <t>1121</t>
  </si>
  <si>
    <t>1221</t>
  </si>
  <si>
    <t>Free Field</t>
  </si>
  <si>
    <t>Campo disponível para preencher com alguma outra info que nenhum dos outros campos tenhas sido suficiente, caso não tenha nenhuma informação deixe como "NA" NÃO USAR "_"</t>
  </si>
  <si>
    <t>Name CM</t>
  </si>
  <si>
    <t>Structure Name</t>
  </si>
  <si>
    <t>NVS</t>
  </si>
  <si>
    <t>Nivus</t>
  </si>
  <si>
    <t>NVL</t>
  </si>
  <si>
    <t>Objetivo</t>
  </si>
  <si>
    <t>alcance</t>
  </si>
  <si>
    <t>trafego</t>
  </si>
  <si>
    <t>na</t>
  </si>
  <si>
    <t>engajamento</t>
  </si>
  <si>
    <t>video-views</t>
  </si>
  <si>
    <t>app-installs</t>
  </si>
  <si>
    <t>leads</t>
  </si>
  <si>
    <t>conversoes</t>
  </si>
  <si>
    <t>brand</t>
  </si>
  <si>
    <t>visitas</t>
  </si>
  <si>
    <t>configuracao</t>
  </si>
  <si>
    <t>vendas</t>
  </si>
  <si>
    <t>Generico</t>
  </si>
  <si>
    <t>336x450</t>
  </si>
  <si>
    <t>300x450</t>
  </si>
  <si>
    <t>Mobile-Moments</t>
  </si>
  <si>
    <t>Display-Interativo</t>
  </si>
  <si>
    <t>In-Article</t>
  </si>
  <si>
    <t>NativeAds-Carousel</t>
  </si>
  <si>
    <t>DV360</t>
  </si>
  <si>
    <t>Lancamento-Consideracao-Nivus-Orca</t>
  </si>
  <si>
    <t>Lancamento-Nivus-Orca-Affinity</t>
  </si>
  <si>
    <t>Lancamento-Nivus-Orca-Keywords</t>
  </si>
  <si>
    <t>Lancamento-Nivus-Orca-3rdParty-From-Engine</t>
  </si>
  <si>
    <t>Lancamento-Nivus-Orca-Categories</t>
  </si>
  <si>
    <t>Lancamento-Nivus-Orca-LifeEvents</t>
  </si>
  <si>
    <t>Lancamento-Nivus-Orca-CustomAffinity</t>
  </si>
  <si>
    <t>Lancamento-Nivus-Orca-CustomIntent</t>
  </si>
  <si>
    <t>Lancamento-Nivus-Orca-CustomerList</t>
  </si>
  <si>
    <t>Lancamento-Nivus-Orca-SimilarAudiences1stParty</t>
  </si>
  <si>
    <t>Lancamento-Nivus-Orca-In-MarketAudience</t>
  </si>
  <si>
    <t>Lancamento-Nivus-Orca-SimilarFromCustomerMatch</t>
  </si>
  <si>
    <t>Lancamento-Nivus-Orca-3rdParty</t>
  </si>
  <si>
    <t>Nivus-Launch-Consideracao-Orca</t>
  </si>
  <si>
    <t>alp_vw_dv360_imc_dsy_lanch_nd_nc_nvs_nivus-launch-consideracao-orca__trafego_cpm_drct_all_300x50_lancamento-nivus-orca-affinity_na_lancamento-consideracao-nivus-orca_nvl-nvs-imc-dsy-0820-10005</t>
  </si>
  <si>
    <t>alp_vw_dv360_imc_dsy_lanch_nd_nc_nvs_nivus-launch-consideracao-orca__trafego_cpm_drct_all_300x250_lancamento-nivus-orca-customerlist1stlinegts_na_lancamento-consideracao-nivus-orca_nvl-nvs-imc-dsy-0820-10063</t>
  </si>
  <si>
    <t>alp_vw_dv360_imc_dsy_lanch_nd_nc_nvs_nivus-launch-consideracao-orca__trafego_cpm_drct_all_160x600_lancamento-nivus-orca-customerlist1stlinegts_na_lancamento-consideracao-nivus-orca_nvl-nvs-imc-dsy-0820-10062</t>
  </si>
  <si>
    <t>alp_vw_dv360_imc_dsy_lanch_nd_nc_nvs_nivus-launch-consideracao-orca__trafego_cpm_drct_all_300x50_lancamento-nivus-orca-customerlist1stlinegts_na_lancamento-consideracao-nivus-orca_nvl-nvs-imc-dsy-0820-10061</t>
  </si>
  <si>
    <t>alp_vw_dv360_imc_dsy_lanch_nd_nc_nvs_nivus-launch-consideracao-orca__trafego_cpm_drct_all_970x250_lancamento-nivus-orca-customerlist_na_lancamento-consideracao-nivus-orca_nvl-nvs-imc-dsy-0820-10060</t>
  </si>
  <si>
    <t>alp_vw_dv360_imc_dsy_lanch_nd_nc_nvs_nivus-launch-consideracao-orca__trafego_cpm_drct_all_728x90_lancamento-nivus-orca-customerlist_na_lancamento-consideracao-nivus-orca_nvl-nvs-imc-dsy-0820-10059</t>
  </si>
  <si>
    <t>alp_vw_dv360_imc_dsy_lanch_nd_nc_nvs_nivus-launch-consideracao-orca__trafego_cpm_drct_all_320x50_lancamento-nivus-orca-customerlist_na_lancamento-consideracao-nivus-orca_nvl-nvs-imc-dsy-0820-10058</t>
  </si>
  <si>
    <t>alp_vw_dv360_imc_dsy_lanch_nd_nc_nvs_nivus-launch-consideracao-orca__trafego_cpm_drct_all_300x600_lancamento-nivus-orca-customerlist_na_lancamento-consideracao-nivus-orca_nvl-nvs-imc-dsy-0820-10057</t>
  </si>
  <si>
    <t>alp_vw_dv360_imc_dsy_lanch_nd_nc_nvs_nivus-launch-consideracao-orca__trafego_cpm_drct_all_300x250_lancamento-nivus-orca-customerlist_na_lancamento-consideracao-nivus-orca_nvl-nvs-imc-dsy-0820-10056</t>
  </si>
  <si>
    <t>alp_vw_dv360_imc_dsy_lanch_nd_nc_nvs_nivus-launch-consideracao-orca__trafego_cpm_drct_all_160x600_lancamento-nivus-orca-customerlist_na_lancamento-consideracao-nivus-orca_nvl-nvs-imc-dsy-0820-10055</t>
  </si>
  <si>
    <t>alp_vw_dv360_imc_dsy_lanch_nd_nc_nvs_nivus-launch-consideracao-orca__trafego_cpm_drct_all_300x50_lancamento-nivus-orca-customerlist_na_lancamento-consideracao-nivus-orca_nvl-nvs-imc-dsy-0820-10054</t>
  </si>
  <si>
    <t>alp_vw_dv360_imc_dsy_lanch_nd_nc_nvs_nivus-launch-consideracao-orca__trafego_cpm_drct_all_970x250_lancamento-nivus-orca-customintent_na_lancamento-consideracao-nivus-orca_nvl-nvs-imc-dsy-0820-10053</t>
  </si>
  <si>
    <t>alp_vw_dv360_imc_dsy_lanch_nd_nc_nvs_nivus-launch-consideracao-orca__trafego_cpm_drct_all_728x90_lancamento-nivus-orca-customintent_na_lancamento-consideracao-nivus-orca_nvl-nvs-imc-dsy-0820-10052</t>
  </si>
  <si>
    <t>alp_vw_dv360_imc_dsy_lanch_nd_nc_nvs_nivus-launch-consideracao-orca__trafego_cpm_drct_all_320x50_lancamento-nivus-orca-customintent_na_lancamento-consideracao-nivus-orca_nvl-nvs-imc-dsy-0820-10051</t>
  </si>
  <si>
    <t>alp_vw_dv360_imc_dsy_lanch_nd_nc_nvs_nivus-launch-consideracao-orca__trafego_cpm_drct_all_300x600_lancamento-nivus-orca-customintent_na_lancamento-consideracao-nivus-orca_nvl-nvs-imc-dsy-0820-10050</t>
  </si>
  <si>
    <t>alp_vw_dv360_imc_dsy_lanch_nd_nc_nvs_nivus-launch-consideracao-orca__trafego_cpm_drct_all_300x250_lancamento-nivus-orca-customintent_na_lancamento-consideracao-nivus-orca_nvl-nvs-imc-dsy-0820-10049</t>
  </si>
  <si>
    <t>alp_vw_dv360_imc_dsy_lanch_nd_nc_nvs_nivus-launch-consideracao-orca__trafego_cpm_drct_all_160x600_lancamento-nivus-orca-customintent_na_lancamento-consideracao-nivus-orca_nvl-nvs-imc-dsy-0820-10048</t>
  </si>
  <si>
    <t>alp_vw_dv360_imc_dsy_lanch_nd_nc_nvs_nivus-launch-consideracao-orca__trafego_cpm_drct_all_300x50_lancamento-nivus-orca-customintent_na_lancamento-consideracao-nivus-orca_nvl-nvs-imc-dsy-0820-10047</t>
  </si>
  <si>
    <t>alp_vw_dv360_imc_dsy_lanch_nd_nc_nvs_nivus-launch-consideracao-orca__trafego_cpm_drct_all_970x250_lancamento-nivus-orca-customaffinity_na_lancamento-consideracao-nivus-orca_nvl-nvs-imc-dsy-0820-10046</t>
  </si>
  <si>
    <t>alp_vw_dv360_imc_dsy_lanch_nd_nc_nvs_nivus-launch-consideracao-orca__trafego_cpm_drct_all_728x90_lancamento-nivus-orca-customaffinity_na_lancamento-consideracao-nivus-orca_nvl-nvs-imc-dsy-0820-10045</t>
  </si>
  <si>
    <t>alp_vw_dv360_imc_dsy_lanch_nd_nc_nvs_nivus-launch-consideracao-orca__trafego_cpm_drct_all_320x50_lancamento-nivus-orca-customaffinity_na_lancamento-consideracao-nivus-orca_nvl-nvs-imc-dsy-0820-10044</t>
  </si>
  <si>
    <t>alp_vw_dv360_imc_dsy_lanch_nd_nc_nvs_nivus-launch-consideracao-orca__trafego_cpm_drct_all_300x600_lancamento-nivus-orca-customaffinity_na_lancamento-consideracao-nivus-orca_nvl-nvs-imc-dsy-0820-10043</t>
  </si>
  <si>
    <t>alp_vw_dv360_imc_dsy_lanch_nd_nc_nvs_nivus-launch-consideracao-orca__trafego_cpm_drct_all_300x250_lancamento-nivus-orca-customaffinity_na_lancamento-consideracao-nivus-orca_nvl-nvs-imc-dsy-0820-10042</t>
  </si>
  <si>
    <t>alp_vw_dv360_imc_dsy_lanch_nd_nc_nvs_nivus-launch-consideracao-orca__trafego_cpm_drct_all_160x600_lancamento-nivus-orca-customaffinity_na_lancamento-consideracao-nivus-orca_nvl-nvs-imc-dsy-0820-10041</t>
  </si>
  <si>
    <t>alp_vw_dv360_imc_dsy_lanch_nd_nc_nvs_nivus-launch-consideracao-orca__trafego_cpm_drct_all_300x50_lancamento-nivus-orca-customaffinity_na_lancamento-consideracao-nivus-orca_nvl-nvs-imc-dsy-0820-10040</t>
  </si>
  <si>
    <t>alp_vw_dv360_imc_dsy_lanch_nd_nc_nvs_nivus-launch-consideracao-orca__trafego_cpm_drct_all_970x250_lancamento-nivus-orca-lifeevents_na_lancamento-consideracao-nivus-orca_nvl-nvs-imc-dsy-0820-10039</t>
  </si>
  <si>
    <t>alp_vw_dv360_imc_dsy_lanch_nd_nc_nvs_nivus-launch-consideracao-orca__trafego_cpm_drct_all_728x90_lancamento-nivus-orca-lifeevents_na_lancamento-consideracao-nivus-orca_nvl-nvs-imc-dsy-0820-10038</t>
  </si>
  <si>
    <t>alp_vw_dv360_imc_dsy_lanch_nd_nc_nvs_nivus-launch-consideracao-orca__trafego_cpm_drct_all_320x50_lancamento-nivus-orca-lifeevents_na_lancamento-consideracao-nivus-orca_nvl-nvs-imc-dsy-0820-10037</t>
  </si>
  <si>
    <t>alp_vw_dv360_imc_dsy_lanch_nd_nc_nvs_nivus-launch-consideracao-orca__trafego_cpm_drct_all_300x600_lancamento-nivus-orca-lifeevents_na_lancamento-consideracao-nivus-orca_nvl-nvs-imc-dsy-0820-10036</t>
  </si>
  <si>
    <t>alp_vw_dv360_imc_dsy_lanch_nd_nc_nvs_nivus-launch-consideracao-orca__trafego_cpm_drct_all_300x250_lancamento-nivus-orca-lifeevents_na_lancamento-consideracao-nivus-orca_nvl-nvs-imc-dsy-0820-10035</t>
  </si>
  <si>
    <t>alp_vw_dv360_imc_dsy_lanch_nd_nc_nvs_nivus-launch-consideracao-orca__trafego_cpm_drct_all_160x600_lancamento-nivus-orca-lifeevents_na_lancamento-consideracao-nivus-orca_nvl-nvs-imc-dsy-0820-10034</t>
  </si>
  <si>
    <t>alp_vw_dv360_imc_dsy_lanch_nd_nc_nvs_nivus-launch-consideracao-orca__trafego_cpm_drct_all_300x50_lancamento-nivus-orca-lifeevents_na_lancamento-consideracao-nivus-orca_nvl-nvs-imc-dsy-0820-10033</t>
  </si>
  <si>
    <t>alp_vw_dv360_imc_dsy_lanch_nd_nc_nvs_nivus-launch-consideracao-orca__trafego_cpm_drct_all_970x250_lancamento-nivus-orca-categories_na_lancamento-consideracao-nivus-orca_nvl-nvs-imc-dsy-0820-10032</t>
  </si>
  <si>
    <t>alp_vw_dv360_imc_dsy_lanch_nd_nc_nvs_nivus-launch-consideracao-orca__trafego_cpm_drct_all_970x250_lancamento-nivus-orca-3rdparty_na_lancamento-consideracao-nivus-orca_nvl-nvs-imc-dsy-0820-10095</t>
  </si>
  <si>
    <t>alp_vw_dv360_imc_dsy_lanch_nd_nc_nvs_nivus-launch-consideracao-orca__trafego_cpm_drct_all_728x90_lancamento-nivus-orca-categories_na_lancamento-consideracao-nivus-orca_nvl-nvs-imc-dsy-0820-10031</t>
  </si>
  <si>
    <t>alp_vw_dv360_imc_dsy_lanch_nd_nc_nvs_nivus-launch-consideracao-orca__trafego_cpm_drct_all_728x90_lancamento-nivus-orca-3rdparty_na_lancamento-consideracao-nivus-orca_nvl-nvs-imc-dsy-0820-10094</t>
  </si>
  <si>
    <t>alp_vw_dv360_imc_dsy_lanch_nd_nc_nvs_nivus-launch-consideracao-orca__trafego_cpm_drct_all_320x50_lancamento-nivus-orca-categories_na_lancamento-consideracao-nivus-orca_nvl-nvs-imc-dsy-0820-10030</t>
  </si>
  <si>
    <t>alp_vw_dv360_imc_dsy_lanch_nd_nc_nvs_nivus-launch-consideracao-orca__trafego_cpm_drct_all_320x50_lancamento-nivus-orca-3rdparty_na_lancamento-consideracao-nivus-orca_nvl-nvs-imc-dsy-0820-10093</t>
  </si>
  <si>
    <t>alp_vw_dv360_imc_dsy_lanch_nd_nc_nvs_nivus-launch-consideracao-orca__trafego_cpm_drct_all_300x600_lancamento-nivus-orca-categories_na_lancamento-consideracao-nivus-orca_nvl-nvs-imc-dsy-0820-10029</t>
  </si>
  <si>
    <t>alp_vw_dv360_imc_dsy_lanch_nd_nc_nvs_nivus-launch-consideracao-orca__trafego_cpm_drct_all_300x600_lancamento-nivus-orca-3rdparty_na_lancamento-consideracao-nivus-orca_nvl-nvs-imc-dsy-0820-10092</t>
  </si>
  <si>
    <t>alp_vw_dv360_imc_dsy_lanch_nd_nc_nvs_nivus-launch-consideracao-orca__trafego_cpm_drct_all_300x250_lancamento-nivus-orca-categories_na_lancamento-consideracao-nivus-orca_nvl-nvs-imc-dsy-0820-10028</t>
  </si>
  <si>
    <t>alp_vw_dv360_imc_dsy_lanch_nd_nc_nvs_nivus-launch-consideracao-orca__configuracao_cpm_drct_all_300x250_lancamento-nivus-orca-3rdparty_na_lancamento-consideracao-nivus-orca_nvl-nvs-imc-dsy-0820-10091</t>
  </si>
  <si>
    <t>alp_vw_dv360_imc_dsy_lanch_nd_nc_nvs_nivus-launch-consideracao-orca__trafego_cpm_drct_all_160x600_lancamento-nivus-orca-categories_na_lancamento-consideracao-nivus-orca_nvl-nvs-imc-dsy-0820-10027</t>
  </si>
  <si>
    <t>alp_vw_dv360_imc_dsy_lanch_nd_nc_nvs_nivus-launch-consideracao-orca__configuracao_cpm_drct_all_160x600_lancamento-nivus-orca-3rdparty_na_lancamento-consideracao-nivus-orca_nvl-nvs-imc-dsy-0820-10090</t>
  </si>
  <si>
    <t>alp_vw_dv360_imc_dsy_lanch_nd_nc_nvs_nivus-launch-consideracao-orca__trafego_cpm_drct_all_300x50_lancamento-nivus-orca-categories_na_lancamento-consideracao-nivus-orca_nvl-nvs-imc-dsy-0820-10026</t>
  </si>
  <si>
    <t>alp_vw_dv360_imc_dsy_lanch_nd_nc_nvs_nivus-launch-consideracao-orca__configuracao_cpm_drct_all_300x50_lancamento-nivus-orca-3rdparty_na_lancamento-consideracao-nivus-orca_nvl-nvs-imc-dsy-0820-10089</t>
  </si>
  <si>
    <t>alp_vw_dv360_imc_dsy_lanch_nd_nc_nvs_nivus-launch-consideracao-orca__trafego_cpm_drct_all_970x250_lancamento-nivus-orca-3rdparty-from-engine_na_lancamento-consideracao-nivus-orca_nvl-nvs-imc-dsy-0820-10025</t>
  </si>
  <si>
    <t>alp_vw_dv360_imc_dsy_lanch_nd_nc_nvs_nivus-launch-consideracao-orca__configuracao_cpm_drct_all_970x250_lancamento-nivus-orca-similarfromcustomermatch_na_lancamento-consideracao-nivus-orca_nvl-nvs-imc-dsy-0820-10088</t>
  </si>
  <si>
    <t>alp_vw_dv360_imc_dsy_lanch_nd_nc_nvs_nivus-launch-consideracao-orca__trafego_cpm_drct_all_728x90_lancamento-nivus-orca-3rdparty-from-engine_na_lancamento-consideracao-nivus-orca_nvl-nvs-imc-dsy-0820-10024</t>
  </si>
  <si>
    <t>alp_vw_dv360_imc_dsy_lanch_nd_nc_nvs_nivus-launch-consideracao-orca__configuracao_cpm_drct_all_728x90_lancamento-nivus-orca-similarfromcustomermatch_na_lancamento-consideracao-nivus-orca_nvl-nvs-imc-dsy-0820-10087</t>
  </si>
  <si>
    <t>alp_vw_dv360_imc_dsy_lanch_nd_nc_nvs_nivus-launch-consideracao-orca__trafego_cpm_drct_all_320x50_lancamento-nivus-orca-3rdparty-from-engine_na_lancamento-consideracao-nivus-orca_nvl-nvs-imc-dsy-0820-10023</t>
  </si>
  <si>
    <t>alp_vw_dv360_imc_dsy_lanch_nd_nc_nvs_nivus-launch-consideracao-orca__configuracao_cpm_drct_all_320x50_lancamento-nivus-orca-similarfromcustomermatch_na_lancamento-consideracao-nivus-orca_nvl-nvs-imc-dsy-0820-10086</t>
  </si>
  <si>
    <t>alp_vw_dv360_imc_dsy_lanch_nd_nc_nvs_nivus-launch-consideracao-orca__trafego_cpm_drct_all_300x600_lancamento-nivus-orca-3rdparty-from-engine_na_lancamento-consideracao-nivus-orca_nvl-nvs-imc-dsy-0820-10022</t>
  </si>
  <si>
    <t>alp_vw_dv360_imc_dsy_lanch_nd_nc_nvs_nivus-launch-consideracao-orca__configuracao_cpm_drct_all_300x600_lancamento-nivus-orca-similarfromcustomermatch_na_lancamento-consideracao-nivus-orca_nvl-nvs-imc-dsy-0820-10085</t>
  </si>
  <si>
    <t>alp_vw_dv360_imc_dsy_lanch_nd_nc_nvs_nivus-launch-consideracao-orca__trafego_cpm_drct_all_300x250_lancamento-nivus-orca-3rdparty-from-engine_na_lancamento-consideracao-nivus-orca_nvl-nvs-imc-dsy-0820-10021</t>
  </si>
  <si>
    <t>alp_vw_dv360_imc_dsy_lanch_nd_nc_nvs_nivus-launch-consideracao-orca__configuracao_cpm_drct_all_300x250_lancamento-nivus-orca-similarfromcustomermatch_na_lancamento-consideracao-nivus-orca_nvl-nvs-imc-dsy-0820-10084</t>
  </si>
  <si>
    <t>alp_vw_dv360_imc_dsy_lanch_nd_nc_nvs_nivus-launch-consideracao-orca__trafego_cpm_drct_all_160x600_lancamento-nivus-orca-3rdparty-from-engine_na_lancamento-consideracao-nivus-orca_nvl-nvs-imc-dsy-0820-10020</t>
  </si>
  <si>
    <t>alp_vw_dv360_imc_dsy_lanch_nd_nc_nvs_nivus-launch-consideracao-orca__configuracao_cpm_drct_all_160x600_lancamento-nivus-orca-similarfromcustomermatch_na_lancamento-consideracao-nivus-orca_nvl-nvs-imc-dsy-0820-10083</t>
  </si>
  <si>
    <t>alp_vw_dv360_imc_dsy_lanch_nd_nc_nvs_nivus-launch-consideracao-orca__trafego_cpm_drct_all_300x50_lancamento-nivus-orca-3rdparty-from-engine_na_lancamento-consideracao-nivus-orca_nvl-nvs-imc-dsy-0820-10019</t>
  </si>
  <si>
    <t>alp_vw_dv360_imc_dsy_lanch_nd_nc_nvs_nivus-launch-consideracao-orca__configuracao_cpm_drct_all_300x50_lancamento-nivus-orca-similarfromcustomermatch_na_lancamento-consideracao-nivus-orca_nvl-nvs-imc-dsy-0820-10082</t>
  </si>
  <si>
    <t>alp_vw_dv360_imc_dsy_lanch_nd_nc_nvs_nivus-launch-consideracao-orca__trafego_cpm_drct_all_970x250_lancamento-nivus-orca-keywords_na_lancamento-consideracao-nivus-orca_nvl-nvs-imc-dsy-0820-10018</t>
  </si>
  <si>
    <t>alp_vw_dv360_imc_dsy_lanch_nd_nc_nvs_nivus-launch-consideracao-orca__configuracao_cpm_drct_all_970x250_lancamento-nivus-orca-in-marketaudience_na_lancamento-consideracao-nivus-orca_nvl-nvs-imc-dsy-0820-10081</t>
  </si>
  <si>
    <t>alp_vw_dv360_imc_dsy_lanch_nd_nc_nvs_nivus-launch-consideracao-orca__trafego_cpm_drct_all_728x90_lancamento-nivus-orca-keywords_na_lancamento-consideracao-nivus-orca_nvl-nvs-imc-dsy-0820-10017</t>
  </si>
  <si>
    <t>alp_vw_dv360_imc_dsy_lanch_nd_nc_nvs_nivus-launch-consideracao-orca__configuracao_cpm_drct_all_728x90_lancamento-nivus-orca-in-marketaudience_na_lancamento-consideracao-nivus-orca_nvl-nvs-imc-dsy-0820-10080</t>
  </si>
  <si>
    <t>alp_vw_dv360_imc_dsy_lanch_nd_nc_nvs_nivus-launch-consideracao-orca__trafego_cpm_drct_all_320x50_lancamento-nivus-orca-keywords_na_lancamento-consideracao-nivus-orca_nvl-nvs-imc-dsy-0820-10016</t>
  </si>
  <si>
    <t>alp_vw_dv360_imc_dsy_lanch_nd_nc_nvs_nivus-launch-consideracao-orca__trafego_cpm_drct_all_320x50_lancamento-nivus-orca-in-marketaudience_na_lancamento-consideracao-nivus-orca_nvl-nvs-imc-dsy-0820-10079</t>
  </si>
  <si>
    <t>alp_vw_dv360_imc_dsy_lanch_nd_nc_nvs_nivus-launch-consideracao-orca__trafego_cpm_drct_all_300x600_lancamento-nivus-orca-keywords_na_lancamento-consideracao-nivus-orca_nvl-nvs-imc-dsy-0820-10015</t>
  </si>
  <si>
    <t>alp_vw_dv360_imc_dsy_lanch_nd_nc_nvs_nivus-launch-consideracao-orca__trafego_cpm_drct_all_300x600_lancamento-nivus-orca-in-marketaudience_na_lancamento-consideracao-nivus-orca_nvl-nvs-imc-dsy-0820-10078</t>
  </si>
  <si>
    <t>alp_vw_dv360_imc_dsy_lanch_nd_nc_nvs_nivus-launch-consideracao-orca__trafego_cpm_drct_all_300x250_lancamento-nivus-orca-keywords_na_lancamento-consideracao-nivus-orca_nvl-nvs-imc-dsy-0820-10014</t>
  </si>
  <si>
    <t>alp_vw_dv360_imc_dsy_lanch_nd_nc_nvs_nivus-launch-consideracao-orca__trafego_cpm_drct_all_300x250_lancamento-nivus-orca-in-marketaudience_na_lancamento-consideracao-nivus-orca_nvl-nvs-imc-dsy-0820-10077</t>
  </si>
  <si>
    <t>alp_vw_dv360_imc_dsy_lanch_nd_nc_nvs_nivus-launch-consideracao-orca__trafego_cpm_drct_all_160x600_lancamento-nivus-orca-keywords_na_lancamento-consideracao-nivus-orca_nvl-nvs-imc-dsy-0820-10013</t>
  </si>
  <si>
    <t>alp_vw_dv360_imc_dsy_lanch_nd_nc_nvs_nivus-launch-consideracao-orca__trafego_cpm_drct_all_160x600_lancamento-nivus-orca-in-marketaudience_na_lancamento-consideracao-nivus-orca_nvl-nvs-imc-dsy-0820-10076</t>
  </si>
  <si>
    <t>alp_vw_dv360_imc_dsy_lanch_nd_nc_nvs_nivus-launch-consideracao-orca__trafego_cpm_drct_all_300x50_lancamento-nivus-orca-keywords_na_lancamento-consideracao-nivus-orca_nvl-nvs-imc-dsy-0820-10012</t>
  </si>
  <si>
    <t>alp_vw_dv360_imc_dsy_lanch_nd_nc_nvs_nivus-launch-consideracao-orca__trafego_cpm_drct_all_300x50_lancamento-nivus-orca-in-marketaudience_na_lancamento-consideracao-nivus-orca_nvl-nvs-imc-dsy-0820-10075</t>
  </si>
  <si>
    <t>alp_vw_dv360_imc_dsy_lanch_nd_nc_nvs_nivus-launch-consideracao-orca__trafego_cpm_drct_all_970x250_lancamento-nivus-orca-affinity_na_lancamento-consideracao-nivus-orca_nvl-nvs-imc-dsy-0820-10011</t>
  </si>
  <si>
    <t>alp_vw_dv360_imc_dsy_lanch_nd_nc_nvs_nivus-launch-consideracao-orca__trafego_cpm_drct_all_970x250_lancamento-nivus-orca-similaraudiences1stparty_na_lancamento-consideracao-nivus-orca_nvl-nvs-imc-dsy-0820-10074</t>
  </si>
  <si>
    <t>alp_vw_dv360_imc_dsy_lanch_nd_nc_nvs_nivus-launch-consideracao-orca__trafego_cpm_drct_all_728x90_lancamento-nivus-orca-affinity_na_lancamento-consideracao-nivus-orca_nvl-nvs-imc-dsy-0820-10010</t>
  </si>
  <si>
    <t>alp_vw_dv360_imc_dsy_lanch_nd_nc_nvs_nivus-launch-consideracao-orca__trafego_cpm_drct_all_728x90_lancamento-nivus-orca-similaraudiences1stparty_na_lancamento-consideracao-nivus-orca_nvl-nvs-imc-dsy-0820-10073</t>
  </si>
  <si>
    <t>alp_vw_dv360_imc_dsy_lanch_nd_nc_nvs_nivus-launch-consideracao-orca__trafego_cpm_drct_all_320x50_lancamento-nivus-orca-affinity_na_lancamento-consideracao-nivus-orca_nvl-nvs-imc-dsy-0820-10009</t>
  </si>
  <si>
    <t>alp_vw_dv360_imc_dsy_lanch_nd_nc_nvs_nivus-launch-consideracao-orca__trafego_cpm_drct_all_320x50_lancamento-nivus-orca-similaraudiences1stparty_na_lancamento-consideracao-nivus-orca_nvl-nvs-imc-dsy-0820-10072</t>
  </si>
  <si>
    <t>alp_vw_dv360_imc_dsy_lanch_nd_nc_nvs_nivus-launch-consideracao-orca__trafego_cpm_drct_all_300x600_lancamento-nivus-orca-affinity_na_lancamento-consideracao-nivus-orca_nvl-nvs-imc-dsy-0820-10008</t>
  </si>
  <si>
    <t>alp_vw_dv360_imc_dsy_lanch_nd_nc_nvs_nivus-launch-consideracao-orca__trafego_cpm_drct_all_300x600_lancamento-nivus-orca-similaraudiences1stparty_na_lancamento-consideracao-nivus-orca_nvl-nvs-imc-dsy-0820-10071</t>
  </si>
  <si>
    <t>alp_vw_dv360_imc_dsy_lanch_nd_nc_nvs_nivus-launch-consideracao-orca__trafego_cpm_drct_all_300x250_lancamento-nivus-orca-affinity_na_lancamento-consideracao-nivus-orca_nvl-nvs-imc-dsy-0820-10007</t>
  </si>
  <si>
    <t>alp_vw_dv360_imc_dsy_lanch_nd_nc_nvs_nivus-launch-consideracao-orca__trafego_cpm_drct_all_300x250_lancamento-nivus-orca-similaraudiences1stparty_na_lancamento-consideracao-nivus-orca_nvl-nvs-imc-dsy-0820-10070</t>
  </si>
  <si>
    <t>alp_vw_dv360_imc_dsy_lanch_nd_nc_nvs_nivus-launch-consideracao-orca__trafego_cpm_drct_all_160x600_lancamento-nivus-orca-affinity_na_lancamento-consideracao-nivus-orca_nvl-nvs-imc-dsy-0820-10006</t>
  </si>
  <si>
    <t>alp_vw_dv360_imc_dsy_lanch_nd_nc_nvs_nivus-launch-consideracao-orca__trafego_cpm_drct_all_160x600_lancamento-nivus-orca-similaraudiences1stparty_na_lancamento-consideracao-nivus-orca_nvl-nvs-imc-dsy-0820-10069</t>
  </si>
  <si>
    <t>alp_vw_dv360_imc_dsy_lanch_nd_nc_nvs_nivus-launch-consideracao-orca__trafego_cpm_drct_all_300x50_lancamento-nivus-orca-similaraudiences1stparty_na_lancamento-consideracao-nivus-orca_nvl-nvs-imc-dsy-0820-10068</t>
  </si>
  <si>
    <t>alp_vw_dv360_imc_dsy_lanch_nd_nc_nvs_nivus-launch-consideracao-orca__trafego_cpm_drct_all_970x250_lancamento-nivus-orca-customerlist1stlinegts_na_lancamento-consideracao-nivus-orca_nvl-nvs-imc-dsy-0820-10067</t>
  </si>
  <si>
    <t>alp_vw_dv360_imc_dsy_lanch_nd_nc_nvs_nivus-launch-consideracao-orca__trafego_cpm_drct_all_728x90_lancamento-nivus-orca-customerlist1stlinegts_na_lancamento-consideracao-nivus-orca_nvl-nvs-imc-dsy-0820-10066</t>
  </si>
  <si>
    <t>alp_vw_dv360_imc_dsy_lanch_nd_nc_nvs_nivus-launch-consideracao-orca__trafego_cpm_drct_all_320x50_lancamento-nivus-orca-customerlist1stlinegts_na_lancamento-consideracao-nivus-orca_nvl-nvs-imc-dsy-0820-10065</t>
  </si>
  <si>
    <t>alp_vw_dv360_imc_dsy_lanch_nd_nc_nvs_nivus-launch-consideracao-orca__trafego_cpm_drct_all_300x600_lancamento-nivus-orca-customerlist1stlinegts_na_lancamento-consideracao-nivus-orca_nvl-nvs-imc-dsy-0820-10064</t>
  </si>
  <si>
    <t>281501247</t>
  </si>
  <si>
    <t>281502633</t>
  </si>
  <si>
    <t>281502636</t>
  </si>
  <si>
    <t>281502639</t>
  </si>
  <si>
    <t>281502642</t>
  </si>
  <si>
    <t>281502645</t>
  </si>
  <si>
    <t>281502648</t>
  </si>
  <si>
    <t>281502651</t>
  </si>
  <si>
    <t>281502654</t>
  </si>
  <si>
    <t>281502657</t>
  </si>
  <si>
    <t>281502660</t>
  </si>
  <si>
    <t>281502663</t>
  </si>
  <si>
    <t>281502666</t>
  </si>
  <si>
    <t>281502669</t>
  </si>
  <si>
    <t>281502672</t>
  </si>
  <si>
    <t>281502675</t>
  </si>
  <si>
    <t>281502678</t>
  </si>
  <si>
    <t>281502681</t>
  </si>
  <si>
    <t>281502684</t>
  </si>
  <si>
    <t>281502687</t>
  </si>
  <si>
    <t>281502690</t>
  </si>
  <si>
    <t>281502693</t>
  </si>
  <si>
    <t>281502696</t>
  </si>
  <si>
    <t>281502699</t>
  </si>
  <si>
    <t>281502702</t>
  </si>
  <si>
    <t>281502705</t>
  </si>
  <si>
    <t>281502708</t>
  </si>
  <si>
    <t>281502711</t>
  </si>
  <si>
    <t>281502714</t>
  </si>
  <si>
    <t>281502717</t>
  </si>
  <si>
    <t>281502720</t>
  </si>
  <si>
    <t>281502723</t>
  </si>
  <si>
    <t>281502726</t>
  </si>
  <si>
    <t>281502729</t>
  </si>
  <si>
    <t>281502732</t>
  </si>
  <si>
    <t>281502735</t>
  </si>
  <si>
    <t>281502738</t>
  </si>
  <si>
    <t>281502741</t>
  </si>
  <si>
    <t>281502744</t>
  </si>
  <si>
    <t>281502747</t>
  </si>
  <si>
    <t>281502750</t>
  </si>
  <si>
    <t>281502753</t>
  </si>
  <si>
    <t>281502756</t>
  </si>
  <si>
    <t>281502759</t>
  </si>
  <si>
    <t>281502762</t>
  </si>
  <si>
    <t>281502765</t>
  </si>
  <si>
    <t>281502768</t>
  </si>
  <si>
    <t>281502771</t>
  </si>
  <si>
    <t>281502774</t>
  </si>
  <si>
    <t>281502777</t>
  </si>
  <si>
    <t>281502780</t>
  </si>
  <si>
    <t>281502783</t>
  </si>
  <si>
    <t>281502786</t>
  </si>
  <si>
    <t>281502789</t>
  </si>
  <si>
    <t>281502792</t>
  </si>
  <si>
    <t>281502795</t>
  </si>
  <si>
    <t>281502798</t>
  </si>
  <si>
    <t>281502801</t>
  </si>
  <si>
    <t>281502804</t>
  </si>
  <si>
    <t>281502807</t>
  </si>
  <si>
    <t>281502810</t>
  </si>
  <si>
    <t>281502813</t>
  </si>
  <si>
    <t>281502816</t>
  </si>
  <si>
    <t>281502819</t>
  </si>
  <si>
    <t>281502822</t>
  </si>
  <si>
    <t>281502825</t>
  </si>
  <si>
    <t>281502828</t>
  </si>
  <si>
    <t>281502831</t>
  </si>
  <si>
    <t>281502834</t>
  </si>
  <si>
    <t>281502837</t>
  </si>
  <si>
    <t>281502840</t>
  </si>
  <si>
    <t>281502843</t>
  </si>
  <si>
    <t>281502846</t>
  </si>
  <si>
    <t>281502849</t>
  </si>
  <si>
    <t>281502852</t>
  </si>
  <si>
    <t>281502855</t>
  </si>
  <si>
    <t>281502858</t>
  </si>
  <si>
    <t>281502861</t>
  </si>
  <si>
    <t>281502864</t>
  </si>
  <si>
    <t>281502867</t>
  </si>
  <si>
    <t>281502870</t>
  </si>
  <si>
    <t>281502873</t>
  </si>
  <si>
    <t>281502876</t>
  </si>
  <si>
    <t>281502879</t>
  </si>
  <si>
    <t>281502882</t>
  </si>
  <si>
    <t>281516548</t>
  </si>
  <si>
    <t>281516551</t>
  </si>
  <si>
    <t>281516554</t>
  </si>
  <si>
    <t>281516557</t>
  </si>
  <si>
    <t>281516560</t>
  </si>
  <si>
    <t>281516563</t>
  </si>
  <si>
    <t>Lancamento-Nivus-Orca-CustomerList1st</t>
  </si>
  <si>
    <t>Lancamento-Nivus-Orca-RMKT-Home-Nivus</t>
  </si>
  <si>
    <t>Lancamento-Nivus-Orca-RMKT-ComplConfig</t>
  </si>
  <si>
    <t>Lancamento-Nivus-Orca-RMKT-UncomplConfig</t>
  </si>
  <si>
    <t>Lancamento-Nivus-Orca-RMKT-UncomplForm-LP</t>
  </si>
  <si>
    <t>Lancamento-Nivus-Orca-RMKT-ComplForm-LP</t>
  </si>
  <si>
    <t>Lancamento-Nivus-Orca-RMKT-UncomplForm-NGW</t>
  </si>
  <si>
    <t>Lancamento-Nivus-Orca-RMKT-ComplForm-NGW</t>
  </si>
  <si>
    <t>Lancamento-Nivus-Orca-RMKT-Gallery</t>
  </si>
  <si>
    <t>281610241</t>
  </si>
  <si>
    <t>281610244</t>
  </si>
  <si>
    <t>281610247</t>
  </si>
  <si>
    <t>281619850</t>
  </si>
  <si>
    <t>281619853</t>
  </si>
  <si>
    <t>281619856</t>
  </si>
  <si>
    <t>281619859</t>
  </si>
  <si>
    <t>281619862</t>
  </si>
  <si>
    <t>281619865</t>
  </si>
  <si>
    <t>281619868</t>
  </si>
  <si>
    <t>281619871</t>
  </si>
  <si>
    <t>281619874</t>
  </si>
  <si>
    <t>281619877</t>
  </si>
  <si>
    <t>281619880</t>
  </si>
  <si>
    <t>281619883</t>
  </si>
  <si>
    <t>281619886</t>
  </si>
  <si>
    <t>281619889</t>
  </si>
  <si>
    <t>281619892</t>
  </si>
  <si>
    <t>281619895</t>
  </si>
  <si>
    <t>281619898</t>
  </si>
  <si>
    <t>281619901</t>
  </si>
  <si>
    <t>281619904</t>
  </si>
  <si>
    <t>281619907</t>
  </si>
  <si>
    <t>281619910</t>
  </si>
  <si>
    <t>281619913</t>
  </si>
  <si>
    <t>281619916</t>
  </si>
  <si>
    <t>281619919</t>
  </si>
  <si>
    <t>281619922</t>
  </si>
  <si>
    <t>281619925</t>
  </si>
  <si>
    <t>281619928</t>
  </si>
  <si>
    <t>281619931</t>
  </si>
  <si>
    <t>281619934</t>
  </si>
  <si>
    <t>281619937</t>
  </si>
  <si>
    <t>281619940</t>
  </si>
  <si>
    <t>281619943</t>
  </si>
  <si>
    <t>281619946</t>
  </si>
  <si>
    <t>281619949</t>
  </si>
  <si>
    <t>281619952</t>
  </si>
  <si>
    <t>281619955</t>
  </si>
  <si>
    <t>281619958</t>
  </si>
  <si>
    <t>281619961</t>
  </si>
  <si>
    <t>281619964</t>
  </si>
  <si>
    <t>281619967</t>
  </si>
  <si>
    <t>281619970</t>
  </si>
  <si>
    <t>281619973</t>
  </si>
  <si>
    <t>281619976</t>
  </si>
  <si>
    <t>281619979</t>
  </si>
  <si>
    <t>281619982</t>
  </si>
  <si>
    <t>281619985</t>
  </si>
  <si>
    <t>281619988</t>
  </si>
  <si>
    <t>281619991</t>
  </si>
  <si>
    <t>281619994</t>
  </si>
  <si>
    <t>281619997</t>
  </si>
  <si>
    <t>281620000</t>
  </si>
  <si>
    <t>281620003</t>
  </si>
  <si>
    <t>281620006</t>
  </si>
  <si>
    <t>alp_vw_dv360_imc_dsy_lanch_nd_nc_nvs_nivus-launch-consideracao-orca__configuracao_cpm_drct_all_970x250_lancamento-nivus-orca-rmkt-gallery_na_lancamento-consideracao-nivus-orca_nvl-nvs-imc-dsy-0820-10151</t>
  </si>
  <si>
    <t>alp_vw_dv360_imc_dsy_lanch_nd_nc_nvs_nivus-launch-consideracao-orca__configuracao_cpm_drct_all_728x90_lancamento-nivus-orca-rmkt-gallery_na_lancamento-consideracao-nivus-orca_nvl-nvs-imc-dsy-0820-10150</t>
  </si>
  <si>
    <t>alp_vw_dv360_imc_dsy_lanch_nd_nc_nvs_nivus-launch-consideracao-orca__configuracao_cpm_drct_all_320x50_lancamento-nivus-orca-rmkt-gallery_na_lancamento-consideracao-nivus-orca_nvl-nvs-imc-dsy-0820-10149</t>
  </si>
  <si>
    <t>alp_vw_dv360_imc_dsy_lanch_nd_nc_nvs_nivus-launch-consideracao-orca__configuracao_cpm_drct_all_300x600_lancamento-nivus-orca-rmkt-gallery_na_lancamento-consideracao-nivus-orca_nvl-nvs-imc-dsy-0820-10148</t>
  </si>
  <si>
    <t>alp_vw_dv360_imc_dsy_lanch_nd_nc_nvs_nivus-launch-consideracao-orca__configuracao_cpm_drct_all_300x250_lancamento-nivus-orca-rmkt-gallery_na_lancamento-consideracao-nivus-orca_nvl-nvs-imc-dsy-0820-10147</t>
  </si>
  <si>
    <t>alp_vw_dv360_imc_dsy_lanch_nd_nc_nvs_nivus-launch-consideracao-orca__configuracao_cpm_drct_all_160x600_lancamento-nivus-orca-rmkt-gallery_na_lancamento-consideracao-nivus-orca_nvl-nvs-imc-dsy-0820-10146</t>
  </si>
  <si>
    <t>alp_vw_dv360_imc_dsy_lanch_nd_nc_nvs_nivus-launch-consideracao-orca__configuracao_cpm_drct_all_300x50_lancamento-nivus-orca-rmkt-gallery_na_lancamento-consideracao-nivus-orca_nvl-nvs-imc-dsy-0820-10145</t>
  </si>
  <si>
    <t>alp_vw_dv360_imc_dsy_lanch_nd_nc_nvs_nivus-launch-consideracao-orca__configuracao_cpm_drct_all_970x250_lancamento-nivus-orca-rmkt-uncomplform-ngw_na_lancamento-consideracao-nivus-orca_nvl-nvs-imc-dsy-0820-10144</t>
  </si>
  <si>
    <t>alp_vw_dv360_imc_dsy_lanch_nd_nc_nvs_nivus-launch-consideracao-orca__configuracao_cpm_drct_all_728x90_lancamento-nivus-orca-rmkt-uncomplform-ngw_na_lancamento-consideracao-nivus-orca_nvl-nvs-imc-dsy-0820-10143</t>
  </si>
  <si>
    <t>alp_vw_dv360_imc_dsy_lanch_nd_nc_nvs_nivus-launch-consideracao-orca__configuracao_cpm_drct_all_320x50_lancamento-nivus-orca-rmkt-uncomplform-ngw_na_lancamento-consideracao-nivus-orca_nvl-nvs-imc-dsy-0820-10142</t>
  </si>
  <si>
    <t>alp_vw_dv360_imc_dsy_lanch_nd_nc_nvs_nivus-launch-consideracao-orca__configuracao_cpm_drct_all_300x600_lancamento-nivus-orca-rmkt-uncomplform-ngw_na_lancamento-consideracao-nivus-orca_nvl-nvs-imc-dsy-0820-10141</t>
  </si>
  <si>
    <t>alp_vw_dv360_imc_dsy_lanch_nd_nc_nvs_nivus-launch-consideracao-orca__configuracao_cpm_drct_all_300x250_lancamento-nivus-orca-rmkt-uncomplform-ngw_na_lancamento-consideracao-nivus-orca_nvl-nvs-imc-dsy-0820-10140</t>
  </si>
  <si>
    <t>alp_vw_dv360_imc_dsy_lanch_nd_nc_nvs_nivus-launch-consideracao-orca__configuracao_cpm_drct_all_160x600_lancamento-nivus-orca-rmkt-uncomplform-ngw_na_lancamento-consideracao-nivus-orca_nvl-nvs-imc-dsy-0820-10139</t>
  </si>
  <si>
    <t>alp_vw_dv360_imc_dsy_lanch_nd_nc_nvs_nivus-launch-consideracao-orca__configuracao_cpm_drct_all_300x50_lancamento-nivus-orca-rmkt-uncomplform-ngw_na_lancamento-consideracao-nivus-orca_nvl-nvs-imc-dsy-0820-10138</t>
  </si>
  <si>
    <t>alp_vw_dv360_imc_dsy_lanch_nd_nc_nvs_nivus-launch-consideracao-orca__configuracao_cpm_drct_all_970x250_lancamento-nivus-orca-rmkt-complform-ngw_na_lancamento-consideracao-nivus-orca_nvl-nvs-imc-dsy-0820-10137</t>
  </si>
  <si>
    <t>alp_vw_dv360_imc_dsy_lanch_nd_nc_nvs_nivus-launch-consideracao-orca__configuracao_cpm_drct_all_728x90_lancamento-nivus-orca-rmkt-complform-ngw_na_lancamento-consideracao-nivus-orca_nvl-nvs-imc-dsy-0820-10136</t>
  </si>
  <si>
    <t>alp_vw_dv360_imc_dsy_lanch_nd_nc_nvs_nivus-launch-consideracao-orca__configuracao_cpm_drct_all_320x50_lancamento-nivus-orca-rmkt-complform-ngw_na_lancamento-consideracao-nivus-orca_nvl-nvs-imc-dsy-0820-10135</t>
  </si>
  <si>
    <t>alp_vw_dv360_imc_dsy_lanch_nd_nc_nvs_nivus-launch-consideracao-orca__configuracao_cpm_drct_all_300x600_lancamento-nivus-orca-rmkt-complform-ngw_na_lancamento-consideracao-nivus-orca_nvl-nvs-imc-dsy-0820-10134</t>
  </si>
  <si>
    <t>alp_vw_dv360_imc_dsy_lanch_nd_nc_nvs_nivus-launch-consideracao-orca__configuracao_cpm_drct_all_300x250_lancamento-nivus-orca-rmkt-complform-ngw_na_lancamento-consideracao-nivus-orca_nvl-nvs-imc-dsy-0820-10133</t>
  </si>
  <si>
    <t>alp_vw_dv360_imc_dsy_lanch_nd_nc_nvs_nivus-launch-consideracao-orca__configuracao_cpm_drct_all_160x600_lancamento-nivus-orca-rmkt-complform-ngw_na_lancamento-consideracao-nivus-orca_nvl-nvs-imc-dsy-0820-10132</t>
  </si>
  <si>
    <t>alp_vw_dv360_imc_dsy_lanch_nd_nc_nvs_nivus-launch-consideracao-orca__configuracao_cpm_drct_all_300x50_lancamento-nivus-orca-rmkt-complform-ngw_na_lancamento-consideracao-nivus-orca_nvl-nvs-imc-dsy-0820-10131</t>
  </si>
  <si>
    <t>alp_vw_dv360_imc_dsy_lanch_nd_nc_nvs_nivus-launch-consideracao-orca__configuracao_cpm_drct_all_970x250_lancamento-nivus-orca-rmkt-uncomplform-lp_na_lancamento-consideracao-nivus-orca_nvl-nvs-imc-dsy-0820-10130</t>
  </si>
  <si>
    <t>alp_vw_dv360_imc_dsy_lanch_nd_nc_nvs_nivus-launch-consideracao-orca__configuracao_cpm_drct_all_728x90_lancamento-nivus-orca-rmkt-uncomplform-lp_na_lancamento-consideracao-nivus-orca_nvl-nvs-imc-dsy-0820-10129</t>
  </si>
  <si>
    <t>alp_vw_dv360_imc_dsy_lanch_nd_nc_nvs_nivus-launch-consideracao-orca__configuracao_cpm_drct_all_320x50_lancamento-nivus-orca-rmkt-uncomplform-lp_na_lancamento-consideracao-nivus-orca_nvl-nvs-imc-dsy-0820-10128</t>
  </si>
  <si>
    <t>alp_vw_dv360_imc_dsy_lanch_nd_nc_nvs_nivus-launch-consideracao-orca__configuracao_cpm_drct_all_300x600_lancamento-nivus-orca-rmkt-uncomplform-lp_na_lancamento-consideracao-nivus-orca_nvl-nvs-imc-dsy-0820-10127</t>
  </si>
  <si>
    <t>alp_vw_dv360_imc_dsy_lanch_nd_nc_nvs_nivus-launch-consideracao-orca__configuracao_cpm_drct_all_300x250_lancamento-nivus-orca-rmkt-uncomplform-lp_na_lancamento-consideracao-nivus-orca_nvl-nvs-imc-dsy-0820-10126</t>
  </si>
  <si>
    <t>alp_vw_dv360_imc_dsy_lanch_nd_nc_nvs_nivus-launch-consideracao-orca__configuracao_cpm_drct_all_160x600_lancamento-nivus-orca-rmkt-uncomplform-lp_na_lancamento-consideracao-nivus-orca_nvl-nvs-imc-dsy-0820-10125</t>
  </si>
  <si>
    <t>alp_vw_dv360_imc_dsy_lanch_nd_nc_nvs_nivus-launch-consideracao-orca__configuracao_cpm_drct_all_300x50_lancamento-nivus-orca-rmkt-uncomplform-lp_na_lancamento-consideracao-nivus-orca_nvl-nvs-imc-dsy-0820-10124</t>
  </si>
  <si>
    <t>alp_vw_dv360_imc_dsy_lanch_nd_nc_nvs_nivus-launch-consideracao-orca__configuracao_cpm_drct_all_970x250_lancamento-nivus-orca-rmkt-complform-lp_na_lancamento-consideracao-nivus-orca_nvl-nvs-imc-dsy-0820-10123</t>
  </si>
  <si>
    <t>alp_vw_dv360_imc_dsy_lanch_nd_nc_nvs_nivus-launch-consideracao-orca__configuracao_cpm_drct_all_728x90_lancamento-nivus-orca-rmkt-complform-lp_na_lancamento-consideracao-nivus-orca_nvl-nvs-imc-dsy-0820-10122</t>
  </si>
  <si>
    <t>alp_vw_dv360_imc_dsy_lanch_nd_nc_nvs_nivus-launch-consideracao-orca__configuracao_cpm_drct_all_320x50_lancamento-nivus-orca-rmkt-complform-lp_na_lancamento-consideracao-nivus-orca_nvl-nvs-imc-dsy-0820-10121</t>
  </si>
  <si>
    <t>alp_vw_dv360_imc_dsy_lanch_nd_nc_nvs_nivus-launch-consideracao-orca__configuracao_cpm_drct_all_300x600_lancamento-nivus-orca-rmkt-complform-lp_na_lancamento-consideracao-nivus-orca_nvl-nvs-imc-dsy-0820-10120</t>
  </si>
  <si>
    <t>alp_vw_dv360_imc_dsy_lanch_nd_nc_nvs_nivus-launch-consideracao-orca__configuracao_cpm_drct_all_300x250_lancamento-nivus-orca-rmkt-complform-lp_na_lancamento-consideracao-nivus-orca_nvl-nvs-imc-dsy-0820-10119</t>
  </si>
  <si>
    <t>alp_vw_dv360_imc_dsy_lanch_nd_nc_nvs_nivus-launch-consideracao-orca__configuracao_cpm_drct_all_160x600_lancamento-nivus-orca-rmkt-complform-lp_na_lancamento-consideracao-nivus-orca_nvl-nvs-imc-dsy-0820-10118</t>
  </si>
  <si>
    <t>alp_vw_dv360_imc_dsy_lanch_nd_nc_nvs_nivus-launch-consideracao-orca__configuracao_cpm_drct_all_300x50_lancamento-nivus-orca-rmkt-complform-lp_na_lancamento-consideracao-nivus-orca_nvl-nvs-imc-dsy-0820-10117</t>
  </si>
  <si>
    <t>alp_vw_dv360_imc_dsy_lanch_nd_nc_nvs_nivus-launch-consideracao-orca__configuracao_cpm_drct_all_970x250_lancamento-nivus-orca-rmkt-uncomplconfig_na_lancamento-consideracao-nivus-orca_nvl-nvs-imc-dsy-0820-10116</t>
  </si>
  <si>
    <t>alp_vw_dv360_imc_dsy_lanch_nd_nc_nvs_nivus-launch-consideracao-orca__configuracao_cpm_drct_all_728x90_lancamento-nivus-orca-rmkt-uncomplconfig_na_lancamento-consideracao-nivus-orca_nvl-nvs-imc-dsy-0820-10115</t>
  </si>
  <si>
    <t>alp_vw_dv360_imc_dsy_lanch_nd_nc_nvs_nivus-launch-consideracao-orca__configuracao_cpm_drct_all_320x50_lancamento-nivus-orca-rmkt-uncomplconfig_na_lancamento-consideracao-nivus-orca_nvl-nvs-imc-dsy-0820-10114</t>
  </si>
  <si>
    <t>alp_vw_dv360_imc_dsy_lanch_nd_nc_nvs_nivus-launch-consideracao-orca__configuracao_cpm_drct_all_300x600_lancamento-nivus-orca-rmkt-uncomplconfig_na_lancamento-consideracao-nivus-orca_nvl-nvs-imc-dsy-0820-10113</t>
  </si>
  <si>
    <t>alp_vw_dv360_imc_dsy_lanch_nd_nc_nvs_nivus-launch-consideracao-orca__configuracao_cpm_drct_all_300x250_lancamento-nivus-orca-rmkt-uncomplconfig_na_lancamento-consideracao-nivus-orca_nvl-nvs-imc-dsy-0820-10112</t>
  </si>
  <si>
    <t>alp_vw_dv360_imc_dsy_lanch_nd_nc_nvs_nivus-launch-consideracao-orca__configuracao_cpm_drct_all_160x600_lancamento-nivus-orca-rmkt-uncomplconfig_na_lancamento-consideracao-nivus-orca_nvl-nvs-imc-dsy-0820-10111</t>
  </si>
  <si>
    <t>alp_vw_dv360_imc_dsy_lanch_nd_nc_nvs_nivus-launch-consideracao-orca__configuracao_cpm_drct_all_300x50_lancamento-nivus-orca-rmkt-uncomplconfig_na_lancamento-consideracao-nivus-orca_nvl-nvs-imc-dsy-0820-10110</t>
  </si>
  <si>
    <t>alp_vw_dv360_imc_dsy_lanch_nd_nc_nvs_nivus-launch-consideracao-orca__configuracao_cpm_drct_all_970x250_lancamento-nivus-orca-rmkt-complconfig_na_lancamento-consideracao-nivus-orca_nvl-nvs-imc-dsy-0820-10109</t>
  </si>
  <si>
    <t>alp_vw_dv360_imc_dsy_lanch_nd_nc_nvs_nivus-launch-consideracao-orca__configuracao_cpm_drct_all_728x90_lancamento-nivus-orca-rmkt-complconfig_na_lancamento-consideracao-nivus-orca_nvl-nvs-imc-dsy-0820-10108</t>
  </si>
  <si>
    <t>alp_vw_dv360_imc_dsy_lanch_nd_nc_nvs_nivus-launch-consideracao-orca__configuracao_cpm_drct_all_320x50_lancamento-nivus-orca-rmkt-complconfig_na_lancamento-consideracao-nivus-orca_nvl-nvs-imc-dsy-0820-10107</t>
  </si>
  <si>
    <t>alp_vw_dv360_imc_dsy_lanch_nd_nc_nvs_nivus-launch-consideracao-orca__configuracao_cpm_drct_all_300x600_lancamento-nivus-orca-rmkt-complconfig_na_lancamento-consideracao-nivus-orca_nvl-nvs-imc-dsy-0820-10106</t>
  </si>
  <si>
    <t>alp_vw_dv360_imc_dsy_lanch_nd_nc_nvs_nivus-launch-consideracao-orca__configuracao_cpm_drct_all_300x250_lancamento-nivus-orca-rmkt-complconfig_na_lancamento-consideracao-nivus-orca_nvl-nvs-imc-dsy-0820-10105</t>
  </si>
  <si>
    <t>alp_vw_dv360_imc_dsy_lanch_nd_nc_nvs_nivus-launch-consideracao-orca__configuracao_cpm_drct_all_160x600_lancamento-nivus-orca-rmkt-complconfig_na_lancamento-consideracao-nivus-orca_nvl-nvs-imc-dsy-0820-10104</t>
  </si>
  <si>
    <t>alp_vw_dv360_imc_dsy_lanch_nd_nc_nvs_nivus-launch-consideracao-orca__configuracao_cpm_drct_all_300x50_lancamento-nivus-orca-rmkt-complconfig_na_lancamento-consideracao-nivus-orca_nvl-nvs-imc-dsy-0820-10103</t>
  </si>
  <si>
    <t>alp_vw_dv360_imc_dsy_lanch_nd_nc_nvs_nivus-launch-consideracao-orca__configuracao_cpm_drct_all_970x250_lancamento-nivus-orca-rmkt-home-nivus_na_lancamento-consideracao-nivus-orca_nvl-nvs-imc-dsy-0820-10102</t>
  </si>
  <si>
    <t>alp_vw_dv360_imc_dsy_lanch_nd_nc_nvs_nivus-launch-consideracao-orca__configuracao_cpm_drct_all_728x90_lancamento-nivus-orca-rmkt-home-nivus_na_lancamento-consideracao-nivus-orca_nvl-nvs-imc-dsy-0820-10101</t>
  </si>
  <si>
    <t>alp_vw_dv360_imc_dsy_lanch_nd_nc_nvs_nivus-launch-consideracao-orca__configuracao_cpm_drct_all_320x50_lancamento-nivus-orca-rmkt-home-nivus_na_lancamento-consideracao-nivus-orca_nvl-nvs-imc-dsy-0820-10100</t>
  </si>
  <si>
    <t>alp_vw_dv360_imc_dsy_lanch_nd_nc_nvs_nivus-launch-consideracao-orca__configuracao_cpm_drct_all_300x600_lancamento-nivus-orca-rmkt-home-nivus_na_lancamento-consideracao-nivus-orca_nvl-nvs-imc-dsy-0820-10099</t>
  </si>
  <si>
    <t>alp_vw_dv360_imc_dsy_lanch_nd_nc_nvs_nivus-launch-consideracao-orca__configuracao_cpm_drct_all_300x250_lancamento-nivus-orca-rmkt-home-nivus_na_lancamento-consideracao-nivus-orca_nvl-nvs-imc-dsy-0820-10098</t>
  </si>
  <si>
    <t>alp_vw_dv360_imc_dsy_lanch_nd_nc_nvs_nivus-launch-consideracao-orca__configuracao_cpm_drct_all_160x600_lancamento-nivus-orca-rmkt-home-nivus_na_lancamento-consideracao-nivus-orca_nvl-nvs-imc-dsy-0820-10097</t>
  </si>
  <si>
    <t>alp_vw_dv360_imc_dsy_lanch_nd_nc_nvs_nivus-launch-consideracao-orca__configuracao_cpm_drct_all_300x50_lancamento-nivus-orca-rmkt-home-nivus_na_lancamento-consideracao-nivus-orca_nvl-nvs-imc-dsy-0820-10096</t>
  </si>
  <si>
    <t>alp_vw_dv360_imc_dsy_lanch_nd_nc_nvs_nivus-launch-consideracao-orca__trafego_cpm_drct_all_300x250_lancamento-nivus-orca-customerlist1st_na_lancamento-consideracao-nivus-orca_nvl-nvs-imc-dsy-0820-10063</t>
  </si>
  <si>
    <t>alp_vw_dv360_imc_dsy_lanch_nd_nc_nvs_nivus-launch-consideracao-orca__trafego_cpm_drct_all_160x600_lancamento-nivus-orca-customerlist1st_na_lancamento-consideracao-nivus-orca_nvl-nvs-imc-dsy-0820-10062</t>
  </si>
  <si>
    <t>alp_vw_dv360_imc_dsy_lanch_nd_nc_nvs_nivus-launch-consideracao-orca__trafego_cpm_drct_all_300x50_lancamento-nivus-orca-customerlist1st_na_lancamento-consideracao-nivus-orca_nvl-nvs-imc-dsy-0820-10061</t>
  </si>
  <si>
    <t>alp_vw_dv360_imc_dsy_lanch_nd_nc_nvs_nivus-launch-consideracao-orca__trafego_cpm_drct_all_970x250_lancamento-nivus-orca-customerlist1st_na_lancamento-consideracao-nivus-orca_nvl-nvs-imc-dsy-0820-10067</t>
  </si>
  <si>
    <t>alp_vw_dv360_imc_dsy_lanch_nd_nc_nvs_nivus-launch-consideracao-orca__trafego_cpm_drct_all_728x90_lancamento-nivus-orca-customerlist1st_na_lancamento-consideracao-nivus-orca_nvl-nvs-imc-dsy-0820-10066</t>
  </si>
  <si>
    <t>alp_vw_dv360_imc_dsy_lanch_nd_nc_nvs_nivus-launch-consideracao-orca__trafego_cpm_drct_all_320x50_lancamento-nivus-orca-customerlist1st_na_lancamento-consideracao-nivus-orca_nvl-nvs-imc-dsy-0820-10065</t>
  </si>
  <si>
    <t>alp_vw_dv360_imc_dsy_lanch_nd_nc_nvs_nivus-launch-consideracao-orca__trafego_cpm_drct_all_300x600_lancamento-nivus-orca-customerlist1st_na_lancamento-consideracao-nivus-orca_nvl-nvs-imc-dsy-0820-10064</t>
  </si>
  <si>
    <t>Criado 03/09 | Alterado 23/09</t>
  </si>
  <si>
    <t>Indicação-de-como-a-peça-vai-ser-veiculada</t>
  </si>
  <si>
    <t>Nome-de-veiculo,-tentem-seguir-o-mesmo-nome-do-plano</t>
  </si>
  <si>
    <t>Classificação-de-midia,-novamente,-video-em-facebook-é-social,-o-mesmo-vale-para-instagram.-Se-entrega-para-mobile-e-desktop-em-mobile-utilizar-Paid-Display</t>
  </si>
  <si>
    <t>Tipo-de-compra,-direto-ou-programatica.-Compra-na-plataforma-de-Facebook,-Twitter-e-etc-são-consideradas-como-Direct</t>
  </si>
  <si>
    <t>Modelo-de-compra</t>
  </si>
  <si>
    <t>tipo-de-veiculação,-se-tiverem-dúvida-consultem-o-Dodo-para-explicar-as-diferenças</t>
  </si>
  <si>
    <t>local-onde-os-anúncios-vão-rodar</t>
  </si>
  <si>
    <t>indicação-se-é-compra-em-algum-device</t>
  </si>
  <si>
    <t>Objetivo-da-Campanha</t>
  </si>
  <si>
    <t>Nome-do-criativo,-dar-preferencia-para-o-nome-encaminhado-para-o-ORCA</t>
  </si>
  <si>
    <t>Inserir-apenas-informações-referente-ao-criativo,-esse-valor-que-estará-nas-urls-e-plataformas</t>
  </si>
  <si>
    <t>Indicar-a-segmentação-utilizada-para-a-entrega-de-midia,-ideal-é-não-ser-generico</t>
  </si>
  <si>
    <t>Campo-Livre-para-o-Campo-de-Anúncio</t>
  </si>
  <si>
    <t>Sem-definição-do-global,-inserir-como-Paid</t>
  </si>
  <si>
    <t>indicação-das-dimensões-da-peça</t>
  </si>
  <si>
    <t>Status-AdOps</t>
  </si>
  <si>
    <t>Status-Midia</t>
  </si>
  <si>
    <t>*Servido-Por</t>
  </si>
  <si>
    <t>Tipo-Midia</t>
  </si>
  <si>
    <t>Linha-Criativa</t>
  </si>
  <si>
    <t>Linha-Criativo-2</t>
  </si>
  <si>
    <t>Segmentação-de-Anúncio-(Campo-Livre)</t>
  </si>
  <si>
    <t>tipo-de-peça</t>
  </si>
  <si>
    <t>Categoria-de-Peça</t>
  </si>
  <si>
    <t>ID-Pacote</t>
  </si>
  <si>
    <t>Nome-Pacote</t>
  </si>
  <si>
    <t>Placement-Name</t>
  </si>
  <si>
    <t>AD-Name</t>
  </si>
  <si>
    <t>Criative-Name</t>
  </si>
  <si>
    <t>URL-Parametizada</t>
  </si>
  <si>
    <t>Url-GA</t>
  </si>
  <si>
    <t>CHANNEL-(c)</t>
  </si>
  <si>
    <t>COUNTRY-(co)</t>
  </si>
  <si>
    <t>PUBLISHER-(p)</t>
  </si>
  <si>
    <t>PLACEMENT-(pl)</t>
  </si>
  <si>
    <t>CAMPAIGN-NAME-(ca)</t>
  </si>
  <si>
    <t>PLACEMENT-TYPE-(pt)</t>
  </si>
  <si>
    <t>FORMAT-(ft)</t>
  </si>
  <si>
    <t>CREATIVE-ELEMENTS/Key-Words-(cr)</t>
  </si>
  <si>
    <t>SEA-Branded-vs.-Non-branded-(sb)</t>
  </si>
  <si>
    <t>SEA-AD-GROUP---a-must-for-SEA-(sg)</t>
  </si>
  <si>
    <t>UNIQUE-ID-(lid)</t>
  </si>
  <si>
    <t>LANGUAGE-(lg)</t>
  </si>
  <si>
    <t>PAID-vs.-NON-PAID-(py)</t>
  </si>
  <si>
    <t>Additional-Parameter-(ap)</t>
  </si>
  <si>
    <t>Booking-ID-for-Campaign-Monitoring-(mt)</t>
  </si>
  <si>
    <t>URL-ADOBE</t>
  </si>
  <si>
    <t>Campanha-ou-Insertion-Order</t>
  </si>
  <si>
    <t>Line-Item-ou-Grupo-de-anúncio</t>
  </si>
  <si>
    <t>Anúncio-ou-Criativo</t>
  </si>
  <si>
    <t>Search---Campanha</t>
  </si>
  <si>
    <t>Search---Grupo</t>
  </si>
  <si>
    <t>Lancamento-Nivus-Orca-RMKT-Start-Configurator-Nivus-SUV-Model-Intent</t>
  </si>
  <si>
    <t>Lancamento-Nivus-Orca-RMKT-Start-Configurator-Nivus-SUV-Model-Interest</t>
  </si>
  <si>
    <t>Lancamento-Nivus-Orca-RMKT-Site-Visitation-Brand-Interest</t>
  </si>
  <si>
    <t>Lancamento-Nivus-Orca-RMKT-Site-Visitation-Brand-Aficionado</t>
  </si>
  <si>
    <t>Lancamento-Nivus-Orca-RMKT-Site-Visitation-Brand-Intent</t>
  </si>
  <si>
    <t>https://www.vw.com.br/pt/configurador.html/__app/%2Fnivus/0.app</t>
  </si>
  <si>
    <t>Lancamento-Nivus-Orca-CustomerList1st-V2</t>
  </si>
  <si>
    <t>Inativar</t>
  </si>
  <si>
    <t>Lancamento-Nivus-Orca-RMKT-Showroom-Visitation-Nivus-SUV-Model-Intent</t>
  </si>
  <si>
    <t>Lancamento-Nivus-Orca-RMKT-Showroom-Visitation-Nivus-SUV-Model-Interest</t>
  </si>
  <si>
    <t>Lancamento-Nivus-Orca-RMKT-Dealer-Selection-Form-Nivus-SUV-Model-Intent</t>
  </si>
  <si>
    <t>Lancamento-Nivus-Orca-RMKT-Dealer-Selection-Form-Nivus-SUV-Model-Interest</t>
  </si>
  <si>
    <t>Lancamento-Nivus-Orca-RMKT-Dealer-Form-Completion-Lead-Generation-Qualifier</t>
  </si>
  <si>
    <t>Lancamento-Nivus-Orca-RMKT-Configurator-Completion-Nivus-Model-Intent</t>
  </si>
  <si>
    <t>Lancamento-Nivus-Orca-RMKT-Configurator-Completion-Nivus-Lapsed-User</t>
  </si>
  <si>
    <t>Lancamento-Nivus-Orca-RMKT-Dealer-Selection-Form-Lapsed-User</t>
  </si>
  <si>
    <t>alp_vw_dv360_imc_dsy_lanch_nd_nc_nvs_nivus-launch-consideracao-orca__trafego_cpm_drct_all_970x250_lancamento-nivus-orca-customerlist1st-v2_na_lancamento-consideracao-nivus-orca_nvl-nvs-imc-dsy-0820-10158</t>
  </si>
  <si>
    <t>alp_vw_dv360_imc_dsy_lanch_nd_nc_nvs_nivus-launch-consideracao-orca__trafego_cpm_drct_all_728x90_lancamento-nivus-orca-customerlist1st-v2_na_lancamento-consideracao-nivus-orca_nvl-nvs-imc-dsy-0820-10157</t>
  </si>
  <si>
    <t>alp_vw_dv360_imc_dsy_lanch_nd_nc_nvs_nivus-launch-consideracao-orca__trafego_cpm_drct_all_320x50_lancamento-nivus-orca-customerlist1st-v2_na_lancamento-consideracao-nivus-orca_nvl-nvs-imc-dsy-0820-10156</t>
  </si>
  <si>
    <t>alp_vw_dv360_imc_dsy_lanch_nd_nc_nvs_nivus-launch-consideracao-orca__trafego_cpm_drct_all_300x600_lancamento-nivus-orca-customerlist1st-v2_na_lancamento-consideracao-nivus-orca_nvl-nvs-imc-dsy-0820-10155</t>
  </si>
  <si>
    <t>alp_vw_dv360_imc_dsy_lanch_nd_nc_nvs_nivus-launch-consideracao-orca__trafego_cpm_drct_all_300x250_lancamento-nivus-orca-customerlist1st-v2_na_lancamento-consideracao-nivus-orca_nvl-nvs-imc-dsy-0820-10154</t>
  </si>
  <si>
    <t>alp_vw_dv360_imc_dsy_lanch_nd_nc_nvs_nivus-launch-consideracao-orca__trafego_cpm_drct_all_160x600_lancamento-nivus-orca-customerlist1st-v2_na_lancamento-consideracao-nivus-orca_nvl-nvs-imc-dsy-0820-10153</t>
  </si>
  <si>
    <t>alp_vw_dv360_imc_dsy_lanch_nd_nc_nvs_nivus-launch-consideracao-orca__trafego_cpm_drct_all_300x50_lancamento-nivus-orca-customerlist1st-v2_na_lancamento-consideracao-nivus-orca_nvl-nvs-imc-dsy-0820-10152</t>
  </si>
  <si>
    <t>284335926</t>
  </si>
  <si>
    <t>284335929</t>
  </si>
  <si>
    <t>284335932</t>
  </si>
  <si>
    <t>284335935</t>
  </si>
  <si>
    <t>284335938</t>
  </si>
  <si>
    <t>284335941</t>
  </si>
  <si>
    <t>284335944</t>
  </si>
  <si>
    <t>Manter / No Ar</t>
  </si>
  <si>
    <t>Criado 07/10</t>
  </si>
  <si>
    <t>Criado 03/09 | Atualizado 08/10</t>
  </si>
  <si>
    <t>Criado 04/09 | Atualizado 08/10</t>
  </si>
  <si>
    <t>alp_vw_dv360_imc_dsy_lanch_nd_nc_nvs_nivus-launch-consideracao-orca__configuracao_cpm_drct_all_300x50_lancamento-nivus-orca-rmkt-dealer-form-completion-lead-generation-qualifier_na_lancamento-consideracao-nivus-orca_nvl-nvs-imc-dsy-0820-10222</t>
  </si>
  <si>
    <t>alp_vw_dv360_imc_dsy_lanch_nd_nc_nvs_nivus-launch-consideracao-orca__configuracao_cpm_drct_all_970x250_lancamento-nivus-orca-rmkt-dealer-selection-form-nivus-suv-model-interest_na_lancamento-consideracao-nivus-orca_nvl-nvs-imc-dsy-0820-10221</t>
  </si>
  <si>
    <t>alp_vw_dv360_imc_dsy_lanch_nd_nc_nvs_nivus-launch-consideracao-orca__configuracao_cpm_drct_all_728x90_lancamento-nivus-orca-rmkt-dealer-selection-form-nivus-suv-model-interest_na_lancamento-consideracao-nivus-orca_nvl-nvs-imc-dsy-0820-10220</t>
  </si>
  <si>
    <t>alp_vw_dv360_imc_dsy_lanch_nd_nc_nvs_nivus-launch-consideracao-orca__configuracao_cpm_drct_all_320x50_lancamento-nivus-orca-rmkt-dealer-selection-form-nivus-suv-model-interest_na_lancamento-consideracao-nivus-orca_nvl-nvs-imc-dsy-0820-10219</t>
  </si>
  <si>
    <t>alp_vw_dv360_imc_dsy_lanch_nd_nc_nvs_nivus-launch-consideracao-orca__configuracao_cpm_drct_all_300x600_lancamento-nivus-orca-rmkt-dealer-selection-form-nivus-suv-model-interest_na_lancamento-consideracao-nivus-orca_nvl-nvs-imc-dsy-0820-10218</t>
  </si>
  <si>
    <t>alp_vw_dv360_imc_dsy_lanch_nd_nc_nvs_nivus-launch-consideracao-orca__configuracao_cpm_drct_all_300x250_lancamento-nivus-orca-rmkt-dealer-selection-form-nivus-suv-model-interest_na_lancamento-consideracao-nivus-orca_nvl-nvs-imc-dsy-0820-10217</t>
  </si>
  <si>
    <t>alp_vw_dv360_imc_dsy_lanch_nd_nc_nvs_nivus-launch-consideracao-orca__configuracao_cpm_drct_all_160x600_lancamento-nivus-orca-rmkt-dealer-selection-form-nivus-suv-model-interest_na_lancamento-consideracao-nivus-orca_nvl-nvs-imc-dsy-0820-10216</t>
  </si>
  <si>
    <t>alp_vw_dv360_imc_dsy_lanch_nd_nc_nvs_nivus-launch-consideracao-orca__configuracao_cpm_drct_all_300x50_lancamento-nivus-orca-rmkt-dealer-selection-form-nivus-suv-model-interest_na_lancamento-consideracao-nivus-orca_nvl-nvs-imc-dsy-0820-10215</t>
  </si>
  <si>
    <t>alp_vw_dv360_imc_dsy_lanch_nd_nc_nvs_nivus-launch-consideracao-orca__configuracao_cpm_drct_all_970x250_lancamento-nivus-orca-rmkt-dealer-selection-form-nivus-suv-model-intent_na_lancamento-consideracao-nivus-orca_nvl-nvs-imc-dsy-0820-10214</t>
  </si>
  <si>
    <t>alp_vw_dv360_imc_dsy_lanch_nd_nc_nvs_nivus-launch-consideracao-orca__configuracao_cpm_drct_all_728x90_lancamento-nivus-orca-rmkt-dealer-selection-form-nivus-suv-model-intent_na_lancamento-consideracao-nivus-orca_nvl-nvs-imc-dsy-0820-10213</t>
  </si>
  <si>
    <t>alp_vw_dv360_imc_dsy_lanch_nd_nc_nvs_nivus-launch-consideracao-orca__configuracao_cpm_drct_all_320x50_lancamento-nivus-orca-rmkt-dealer-selection-form-nivus-suv-model-intent_na_lancamento-consideracao-nivus-orca_nvl-nvs-imc-dsy-0820-10212</t>
  </si>
  <si>
    <t>alp_vw_dv360_imc_dsy_lanch_nd_nc_nvs_nivus-launch-consideracao-orca__configuracao_cpm_drct_all_300x600_lancamento-nivus-orca-rmkt-dealer-selection-form-nivus-suv-model-intent_na_lancamento-consideracao-nivus-orca_nvl-nvs-imc-dsy-0820-10211</t>
  </si>
  <si>
    <t>alp_vw_dv360_imc_dsy_lanch_nd_nc_nvs_nivus-launch-consideracao-orca__configuracao_cpm_drct_all_300x250_lancamento-nivus-orca-rmkt-dealer-selection-form-nivus-suv-model-intent_na_lancamento-consideracao-nivus-orca_nvl-nvs-imc-dsy-0820-10210</t>
  </si>
  <si>
    <t>alp_vw_dv360_imc_dsy_lanch_nd_nc_nvs_nivus-launch-consideracao-orca__configuracao_cpm_drct_all_160x600_lancamento-nivus-orca-rmkt-dealer-selection-form-nivus-suv-model-intent_na_lancamento-consideracao-nivus-orca_nvl-nvs-imc-dsy-0820-10209</t>
  </si>
  <si>
    <t>alp_vw_dv360_imc_dsy_lanch_nd_nc_nvs_nivus-launch-consideracao-orca__configuracao_cpm_drct_all_300x50_lancamento-nivus-orca-rmkt-dealer-selection-form-nivus-suv-model-intent_na_lancamento-consideracao-nivus-orca_nvl-nvs-imc-dsy-0820-10208</t>
  </si>
  <si>
    <t>alp_vw_dv360_imc_dsy_lanch_nd_nc_nvs_nivus-launch-consideracao-orca__configuracao_cpm_drct_all_970x250_lancamento-nivus-orca-rmkt-showroom-visitation-nivus-suv-model-interest_na_lancamento-consideracao-nivus-orca_nvl-nvs-imc-dsy-0820-10207</t>
  </si>
  <si>
    <t>alp_vw_dv360_imc_dsy_lanch_nd_nc_nvs_nivus-launch-consideracao-orca__configuracao_cpm_drct_all_728x90_lancamento-nivus-orca-rmkt-showroom-visitation-nivus-suv-model-interest_na_lancamento-consideracao-nivus-orca_nvl-nvs-imc-dsy-0820-10206</t>
  </si>
  <si>
    <t>alp_vw_dv360_imc_dsy_lanch_nd_nc_nvs_nivus-launch-consideracao-orca__configuracao_cpm_drct_all_320x50_lancamento-nivus-orca-rmkt-showroom-visitation-nivus-suv-model-interest_na_lancamento-consideracao-nivus-orca_nvl-nvs-imc-dsy-0820-10205</t>
  </si>
  <si>
    <t>alp_vw_dv360_imc_dsy_lanch_nd_nc_nvs_nivus-launch-consideracao-orca__configuracao_cpm_drct_all_300x600_lancamento-nivus-orca-rmkt-showroom-visitation-nivus-suv-model-interest_na_lancamento-consideracao-nivus-orca_nvl-nvs-imc-dsy-0820-10204</t>
  </si>
  <si>
    <t>alp_vw_dv360_imc_dsy_lanch_nd_nc_nvs_nivus-launch-consideracao-orca__configuracao_cpm_drct_all_300x250_lancamento-nivus-orca-rmkt-showroom-visitation-nivus-suv-model-interest_na_lancamento-consideracao-nivus-orca_nvl-nvs-imc-dsy-0820-10203</t>
  </si>
  <si>
    <t>alp_vw_dv360_imc_dsy_lanch_nd_nc_nvs_nivus-launch-consideracao-orca__configuracao_cpm_drct_all_160x600_lancamento-nivus-orca-rmkt-showroom-visitation-nivus-suv-model-interest_na_lancamento-consideracao-nivus-orca_nvl-nvs-imc-dsy-0820-10202</t>
  </si>
  <si>
    <t>alp_vw_dv360_imc_dsy_lanch_nd_nc_nvs_nivus-launch-consideracao-orca__configuracao_cpm_drct_all_300x50_lancamento-nivus-orca-rmkt-showroom-visitation-nivus-suv-model-interest_na_lancamento-consideracao-nivus-orca_nvl-nvs-imc-dsy-0820-10201</t>
  </si>
  <si>
    <t>alp_vw_dv360_imc_dsy_lanch_nd_nc_nvs_nivus-launch-consideracao-orca__configuracao_cpm_drct_all_970x250_lancamento-nivus-orca-rmkt-showroom-visitation-nivus-suv-model-intent_na_lancamento-consideracao-nivus-orca_nvl-nvs-imc-dsy-0820-10200</t>
  </si>
  <si>
    <t>alp_vw_dv360_imc_dsy_lanch_nd_nc_nvs_nivus-launch-consideracao-orca__configuracao_cpm_drct_all_728x90_lancamento-nivus-orca-rmkt-showroom-visitation-nivus-suv-model-intent_na_lancamento-consideracao-nivus-orca_nvl-nvs-imc-dsy-0820-10199</t>
  </si>
  <si>
    <t>alp_vw_dv360_imc_dsy_lanch_nd_nc_nvs_nivus-launch-consideracao-orca__configuracao_cpm_drct_all_320x50_lancamento-nivus-orca-rmkt-showroom-visitation-nivus-suv-model-intent_na_lancamento-consideracao-nivus-orca_nvl-nvs-imc-dsy-0820-10198</t>
  </si>
  <si>
    <t>alp_vw_dv360_imc_dsy_lanch_nd_nc_nvs_nivus-launch-consideracao-orca__configuracao_cpm_drct_all_300x600_lancamento-nivus-orca-rmkt-showroom-visitation-nivus-suv-model-intent_na_lancamento-consideracao-nivus-orca_nvl-nvs-imc-dsy-0820-10197</t>
  </si>
  <si>
    <t>alp_vw_dv360_imc_dsy_lanch_nd_nc_nvs_nivus-launch-consideracao-orca__configuracao_cpm_drct_all_300x250_lancamento-nivus-orca-rmkt-showroom-visitation-nivus-suv-model-intent_na_lancamento-consideracao-nivus-orca_nvl-nvs-imc-dsy-0820-10196</t>
  </si>
  <si>
    <t>alp_vw_dv360_imc_dsy_lanch_nd_nc_nvs_nivus-launch-consideracao-orca__configuracao_cpm_drct_all_160x600_lancamento-nivus-orca-rmkt-showroom-visitation-nivus-suv-model-intent_na_lancamento-consideracao-nivus-orca_nvl-nvs-imc-dsy-0820-10195</t>
  </si>
  <si>
    <t>alp_vw_dv360_imc_dsy_lanch_nd_nc_nvs_nivus-launch-consideracao-orca__configuracao_cpm_drct_all_300x50_lancamento-nivus-orca-rmkt-showroom-visitation-nivus-suv-model-intent_na_lancamento-consideracao-nivus-orca_nvl-nvs-imc-dsy-0820-10194</t>
  </si>
  <si>
    <t>alp_vw_dv360_imc_dsy_lanch_nd_nc_nvs_nivus-launch-consideracao-orca__configuracao_cpm_drct_all_970x250_lancamento-nivus-orca-rmkt-site-visitation-brand-intent_na_lancamento-consideracao-nivus-orca_nvl-nvs-imc-dsy-0820-10193</t>
  </si>
  <si>
    <t>alp_vw_dv360_imc_dsy_lanch_nd_nc_nvs_nivus-launch-consideracao-orca__configuracao_cpm_drct_all_728x90_lancamento-nivus-orca-rmkt-site-visitation-brand-intent_na_lancamento-consideracao-nivus-orca_nvl-nvs-imc-dsy-0820-10192</t>
  </si>
  <si>
    <t>alp_vw_dv360_imc_dsy_lanch_nd_nc_nvs_nivus-launch-consideracao-orca__configuracao_cpm_drct_all_320x50_lancamento-nivus-orca-rmkt-site-visitation-brand-intent_na_lancamento-consideracao-nivus-orca_nvl-nvs-imc-dsy-0820-10191</t>
  </si>
  <si>
    <t>alp_vw_dv360_imc_dsy_lanch_nd_nc_nvs_nivus-launch-consideracao-orca__configuracao_cpm_drct_all_300x600_lancamento-nivus-orca-rmkt-site-visitation-brand-intent_na_lancamento-consideracao-nivus-orca_nvl-nvs-imc-dsy-0820-10190</t>
  </si>
  <si>
    <t>alp_vw_dv360_imc_dsy_lanch_nd_nc_nvs_nivus-launch-consideracao-orca__configuracao_cpm_drct_all_300x250_lancamento-nivus-orca-rmkt-site-visitation-brand-intent_na_lancamento-consideracao-nivus-orca_nvl-nvs-imc-dsy-0820-10189</t>
  </si>
  <si>
    <t>alp_vw_dv360_imc_dsy_lanch_nd_nc_nvs_nivus-launch-consideracao-orca__configuracao_cpm_drct_all_160x600_lancamento-nivus-orca-rmkt-site-visitation-brand-intent_na_lancamento-consideracao-nivus-orca_nvl-nvs-imc-dsy-0820-10188</t>
  </si>
  <si>
    <t>alp_vw_dv360_imc_dsy_lanch_nd_nc_nvs_nivus-launch-consideracao-orca__configuracao_cpm_drct_all_300x50_lancamento-nivus-orca-rmkt-site-visitation-brand-intent_na_lancamento-consideracao-nivus-orca_nvl-nvs-imc-dsy-0820-10187</t>
  </si>
  <si>
    <t>alp_vw_dv360_imc_dsy_lanch_nd_nc_nvs_nivus-launch-consideracao-orca__configuracao_cpm_drct_all_970x250_lancamento-nivus-orca-rmkt-site-visitation-brand-aficionado_na_lancamento-consideracao-nivus-orca_nvl-nvs-imc-dsy-0820-10186</t>
  </si>
  <si>
    <t>alp_vw_dv360_imc_dsy_lanch_nd_nc_nvs_nivus-launch-consideracao-orca__configuracao_cpm_drct_all_970x250_lancamento-nivus-orca-rmkt-dealer-selection-form-lapsed-user_na_lancamento-consideracao-nivus-orca_nvl-nvs-imc-dsy-0820-10249</t>
  </si>
  <si>
    <t>alp_vw_dv360_imc_dsy_lanch_nd_nc_nvs_nivus-launch-consideracao-orca__configuracao_cpm_drct_all_728x90_lancamento-nivus-orca-rmkt-site-visitation-brand-aficionado_na_lancamento-consideracao-nivus-orca_nvl-nvs-imc-dsy-0820-10185</t>
  </si>
  <si>
    <t>alp_vw_dv360_imc_dsy_lanch_nd_nc_nvs_nivus-launch-consideracao-orca__configuracao_cpm_drct_all_728x90_lancamento-nivus-orca-rmkt-dealer-selection-form-lapsed-user_na_lancamento-consideracao-nivus-orca_nvl-nvs-imc-dsy-0820-10248</t>
  </si>
  <si>
    <t>alp_vw_dv360_imc_dsy_lanch_nd_nc_nvs_nivus-launch-consideracao-orca__configuracao_cpm_drct_all_320x50_lancamento-nivus-orca-rmkt-site-visitation-brand-aficionado_na_lancamento-consideracao-nivus-orca_nvl-nvs-imc-dsy-0820-10184</t>
  </si>
  <si>
    <t>alp_vw_dv360_imc_dsy_lanch_nd_nc_nvs_nivus-launch-consideracao-orca__configuracao_cpm_drct_all_320x50_lancamento-nivus-orca-rmkt-dealer-selection-form-lapsed-user_na_lancamento-consideracao-nivus-orca_nvl-nvs-imc-dsy-0820-10247</t>
  </si>
  <si>
    <t>alp_vw_dv360_imc_dsy_lanch_nd_nc_nvs_nivus-launch-consideracao-orca__configuracao_cpm_drct_all_300x600_lancamento-nivus-orca-rmkt-site-visitation-brand-aficionado_na_lancamento-consideracao-nivus-orca_nvl-nvs-imc-dsy-0820-10183</t>
  </si>
  <si>
    <t>alp_vw_dv360_imc_dsy_lanch_nd_nc_nvs_nivus-launch-consideracao-orca__configuracao_cpm_drct_all_300x600_lancamento-nivus-orca-rmkt-dealer-selection-form-lapsed-user_na_lancamento-consideracao-nivus-orca_nvl-nvs-imc-dsy-0820-10246</t>
  </si>
  <si>
    <t>alp_vw_dv360_imc_dsy_lanch_nd_nc_nvs_nivus-launch-consideracao-orca__configuracao_cpm_drct_all_300x250_lancamento-nivus-orca-rmkt-site-visitation-brand-aficionado_na_lancamento-consideracao-nivus-orca_nvl-nvs-imc-dsy-0820-10182</t>
  </si>
  <si>
    <t>alp_vw_dv360_imc_dsy_lanch_nd_nc_nvs_nivus-launch-consideracao-orca__configuracao_cpm_drct_all_300x250_lancamento-nivus-orca-rmkt-dealer-selection-form-lapsed-user_na_lancamento-consideracao-nivus-orca_nvl-nvs-imc-dsy-0820-10245</t>
  </si>
  <si>
    <t>alp_vw_dv360_imc_dsy_lanch_nd_nc_nvs_nivus-launch-consideracao-orca__configuracao_cpm_drct_all_160x600_lancamento-nivus-orca-rmkt-site-visitation-brand-aficionado_na_lancamento-consideracao-nivus-orca_nvl-nvs-imc-dsy-0820-10181</t>
  </si>
  <si>
    <t>alp_vw_dv360_imc_dsy_lanch_nd_nc_nvs_nivus-launch-consideracao-orca__configuracao_cpm_drct_all_160x600_lancamento-nivus-orca-rmkt-dealer-selection-form-lapsed-user_na_lancamento-consideracao-nivus-orca_nvl-nvs-imc-dsy-0820-10244</t>
  </si>
  <si>
    <t>alp_vw_dv360_imc_dsy_lanch_nd_nc_nvs_nivus-launch-consideracao-orca__configuracao_cpm_drct_all_300x50_lancamento-nivus-orca-rmkt-site-visitation-brand-aficionado_na_lancamento-consideracao-nivus-orca_nvl-nvs-imc-dsy-0820-10180</t>
  </si>
  <si>
    <t>alp_vw_dv360_imc_dsy_lanch_nd_nc_nvs_nivus-launch-consideracao-orca__configuracao_cpm_drct_all_300x50_lancamento-nivus-orca-rmkt-dealer-selection-form-lapsed-user_na_lancamento-consideracao-nivus-orca_nvl-nvs-imc-dsy-0820-10243</t>
  </si>
  <si>
    <t>alp_vw_dv360_imc_dsy_lanch_nd_nc_nvs_nivus-launch-consideracao-orca__configuracao_cpm_drct_all_970x250_lancamento-nivus-orca-rmkt-site-visitation-brand-interest_na_lancamento-consideracao-nivus-orca_nvl-nvs-imc-dsy-0820-10179</t>
  </si>
  <si>
    <t>alp_vw_dv360_imc_dsy_lanch_nd_nc_nvs_nivus-launch-consideracao-orca__configuracao_cpm_drct_all_970x250_lancamento-nivus-orca-rmkt-configurator-completion-nivus-lapsed-user_na_lancamento-consideracao-nivus-orca_nvl-nvs-imc-dsy-0820-10242</t>
  </si>
  <si>
    <t>alp_vw_dv360_imc_dsy_lanch_nd_nc_nvs_nivus-launch-consideracao-orca__configuracao_cpm_drct_all_728x90_lancamento-nivus-orca-rmkt-site-visitation-brand-interest_na_lancamento-consideracao-nivus-orca_nvl-nvs-imc-dsy-0820-10178</t>
  </si>
  <si>
    <t>alp_vw_dv360_imc_dsy_lanch_nd_nc_nvs_nivus-launch-consideracao-orca__configuracao_cpm_drct_all_728x90_lancamento-nivus-orca-rmkt-configurator-completion-nivus-lapsed-user_na_lancamento-consideracao-nivus-orca_nvl-nvs-imc-dsy-0820-10241</t>
  </si>
  <si>
    <t>alp_vw_dv360_imc_dsy_lanch_nd_nc_nvs_nivus-launch-consideracao-orca__configuracao_cpm_drct_all_320x50_lancamento-nivus-orca-rmkt-site-visitation-brand-interest_na_lancamento-consideracao-nivus-orca_nvl-nvs-imc-dsy-0820-10177</t>
  </si>
  <si>
    <t>alp_vw_dv360_imc_dsy_lanch_nd_nc_nvs_nivus-launch-consideracao-orca__configuracao_cpm_drct_all_320x50_lancamento-nivus-orca-rmkt-configurator-completion-nivus-lapsed-user_na_lancamento-consideracao-nivus-orca_nvl-nvs-imc-dsy-0820-10240</t>
  </si>
  <si>
    <t>alp_vw_dv360_imc_dsy_lanch_nd_nc_nvs_nivus-launch-consideracao-orca__configuracao_cpm_drct_all_300x600_lancamento-nivus-orca-rmkt-site-visitation-brand-interest_na_lancamento-consideracao-nivus-orca_nvl-nvs-imc-dsy-0820-10176</t>
  </si>
  <si>
    <t>alp_vw_dv360_imc_dsy_lanch_nd_nc_nvs_nivus-launch-consideracao-orca__configuracao_cpm_drct_all_300x600_lancamento-nivus-orca-rmkt-configurator-completion-nivus-lapsed-user_na_lancamento-consideracao-nivus-orca_nvl-nvs-imc-dsy-0820-10239</t>
  </si>
  <si>
    <t>alp_vw_dv360_imc_dsy_lanch_nd_nc_nvs_nivus-launch-consideracao-orca__configuracao_cpm_drct_all_300x250_lancamento-nivus-orca-rmkt-site-visitation-brand-interest_na_lancamento-consideracao-nivus-orca_nvl-nvs-imc-dsy-0820-10175</t>
  </si>
  <si>
    <t>alp_vw_dv360_imc_dsy_lanch_nd_nc_nvs_nivus-launch-consideracao-orca__configuracao_cpm_drct_all_300x250_lancamento-nivus-orca-rmkt-configurator-completion-nivus-lapsed-user_na_lancamento-consideracao-nivus-orca_nvl-nvs-imc-dsy-0820-10238</t>
  </si>
  <si>
    <t>alp_vw_dv360_imc_dsy_lanch_nd_nc_nvs_nivus-launch-consideracao-orca__configuracao_cpm_drct_all_160x600_lancamento-nivus-orca-rmkt-site-visitation-brand-interest_na_lancamento-consideracao-nivus-orca_nvl-nvs-imc-dsy-0820-10174</t>
  </si>
  <si>
    <t>alp_vw_dv360_imc_dsy_lanch_nd_nc_nvs_nivus-launch-consideracao-orca__configuracao_cpm_drct_all_160x600_lancamento-nivus-orca-rmkt-configurator-completion-nivus-lapsed-user_na_lancamento-consideracao-nivus-orca_nvl-nvs-imc-dsy-0820-10237</t>
  </si>
  <si>
    <t>alp_vw_dv360_imc_dsy_lanch_nd_nc_nvs_nivus-launch-consideracao-orca__configuracao_cpm_drct_all_300x50_lancamento-nivus-orca-rmkt-site-visitation-brand-interest_na_lancamento-consideracao-nivus-orca_nvl-nvs-imc-dsy-0820-10173</t>
  </si>
  <si>
    <t>alp_vw_dv360_imc_dsy_lanch_nd_nc_nvs_nivus-launch-consideracao-orca__configuracao_cpm_drct_all_300x50_lancamento-nivus-orca-rmkt-configurator-completion-nivus-lapsed-user_na_lancamento-consideracao-nivus-orca_nvl-nvs-imc-dsy-0820-10236</t>
  </si>
  <si>
    <t>alp_vw_dv360_imc_dsy_lanch_nd_nc_nvs_nivus-launch-consideracao-orca__configuracao_cpm_drct_all_970x250_lancamento-nivus-orca-rmkt-start-configurator-nivus-suv-model-interest_na_lancamento-consideracao-nivus-orca_nvl-nvs-imc-dsy-0820-10172</t>
  </si>
  <si>
    <t>alp_vw_dv360_imc_dsy_lanch_nd_nc_nvs_nivus-launch-consideracao-orca__configuracao_cpm_drct_all_970x250_lancamento-nivus-orca-rmkt-configurator-completion-nivus-model-intent_na_lancamento-consideracao-nivus-orca_nvl-nvs-imc-dsy-0820-10235</t>
  </si>
  <si>
    <t>alp_vw_dv360_imc_dsy_lanch_nd_nc_nvs_nivus-launch-consideracao-orca__configuracao_cpm_drct_all_728x90_lancamento-nivus-orca-rmkt-start-configurator-nivus-suv-model-interest_na_lancamento-consideracao-nivus-orca_nvl-nvs-imc-dsy-0820-10171</t>
  </si>
  <si>
    <t>alp_vw_dv360_imc_dsy_lanch_nd_nc_nvs_nivus-launch-consideracao-orca__configuracao_cpm_drct_all_728x90_lancamento-nivus-orca-rmkt-configurator-completion-nivus-model-intent_na_lancamento-consideracao-nivus-orca_nvl-nvs-imc-dsy-0820-10234</t>
  </si>
  <si>
    <t>alp_vw_dv360_imc_dsy_lanch_nd_nc_nvs_nivus-launch-consideracao-orca__configuracao_cpm_drct_all_320x50_lancamento-nivus-orca-rmkt-start-configurator-nivus-suv-model-interest_na_lancamento-consideracao-nivus-orca_nvl-nvs-imc-dsy-0820-10170</t>
  </si>
  <si>
    <t>alp_vw_dv360_imc_dsy_lanch_nd_nc_nvs_nivus-launch-consideracao-orca__configuracao_cpm_drct_all_320x50_lancamento-nivus-orca-rmkt-configurator-completion-nivus-model-intent_na_lancamento-consideracao-nivus-orca_nvl-nvs-imc-dsy-0820-10233</t>
  </si>
  <si>
    <t>alp_vw_dv360_imc_dsy_lanch_nd_nc_nvs_nivus-launch-consideracao-orca__configuracao_cpm_drct_all_300x600_lancamento-nivus-orca-rmkt-start-configurator-nivus-suv-model-interest_na_lancamento-consideracao-nivus-orca_nvl-nvs-imc-dsy-0820-10169</t>
  </si>
  <si>
    <t>alp_vw_dv360_imc_dsy_lanch_nd_nc_nvs_nivus-launch-consideracao-orca__configuracao_cpm_drct_all_300x600_lancamento-nivus-orca-rmkt-configurator-completion-nivus-model-intent_na_lancamento-consideracao-nivus-orca_nvl-nvs-imc-dsy-0820-10232</t>
  </si>
  <si>
    <t>alp_vw_dv360_imc_dsy_lanch_nd_nc_nvs_nivus-launch-consideracao-orca__configuracao_cpm_drct_all_300x250_lancamento-nivus-orca-rmkt-start-configurator-nivus-suv-model-interest_na_lancamento-consideracao-nivus-orca_nvl-nvs-imc-dsy-0820-10168</t>
  </si>
  <si>
    <t>alp_vw_dv360_imc_dsy_lanch_nd_nc_nvs_nivus-launch-consideracao-orca__configuracao_cpm_drct_all_300x250_lancamento-nivus-orca-rmkt-configurator-completion-nivus-model-intent_na_lancamento-consideracao-nivus-orca_nvl-nvs-imc-dsy-0820-10231</t>
  </si>
  <si>
    <t>alp_vw_dv360_imc_dsy_lanch_nd_nc_nvs_nivus-launch-consideracao-orca__configuracao_cpm_drct_all_160x600_lancamento-nivus-orca-rmkt-start-configurator-nivus-suv-model-interest_na_lancamento-consideracao-nivus-orca_nvl-nvs-imc-dsy-0820-10167</t>
  </si>
  <si>
    <t>alp_vw_dv360_imc_dsy_lanch_nd_nc_nvs_nivus-launch-consideracao-orca__configuracao_cpm_drct_all_160x600_lancamento-nivus-orca-rmkt-configurator-completion-nivus-model-intent_na_lancamento-consideracao-nivus-orca_nvl-nvs-imc-dsy-0820-10230</t>
  </si>
  <si>
    <t>alp_vw_dv360_imc_dsy_lanch_nd_nc_nvs_nivus-launch-consideracao-orca__configuracao_cpm_drct_all_300x50_lancamento-nivus-orca-rmkt-start-configurator-nivus-suv-model-interest_na_lancamento-consideracao-nivus-orca_nvl-nvs-imc-dsy-0820-10166</t>
  </si>
  <si>
    <t>alp_vw_dv360_imc_dsy_lanch_nd_nc_nvs_nivus-launch-consideracao-orca__configuracao_cpm_drct_all_300x50_lancamento-nivus-orca-rmkt-configurator-completion-nivus-model-intent_na_lancamento-consideracao-nivus-orca_nvl-nvs-imc-dsy-0820-10229</t>
  </si>
  <si>
    <t>alp_vw_dv360_imc_dsy_lanch_nd_nc_nvs_nivus-launch-consideracao-orca__configuracao_cpm_drct_all_970x250_lancamento-nivus-orca-rmkt-start-configurator-nivus-suv-model-intent_na_lancamento-consideracao-nivus-orca_nvl-nvs-imc-dsy-0820-10165</t>
  </si>
  <si>
    <t>alp_vw_dv360_imc_dsy_lanch_nd_nc_nvs_nivus-launch-consideracao-orca__configuracao_cpm_drct_all_970x250_lancamento-nivus-orca-rmkt-dealer-form-completion-lead-generation-qualifier_na_lancamento-consideracao-nivus-orca_nvl-nvs-imc-dsy-0820-10228</t>
  </si>
  <si>
    <t>alp_vw_dv360_imc_dsy_lanch_nd_nc_nvs_nivus-launch-consideracao-orca__configuracao_cpm_drct_all_728x90_lancamento-nivus-orca-rmkt-start-configurator-nivus-suv-model-intent_na_lancamento-consideracao-nivus-orca_nvl-nvs-imc-dsy-0820-10164</t>
  </si>
  <si>
    <t>alp_vw_dv360_imc_dsy_lanch_nd_nc_nvs_nivus-launch-consideracao-orca__configuracao_cpm_drct_all_728x90_lancamento-nivus-orca-rmkt-dealer-form-completion-lead-generation-qualifier_na_lancamento-consideracao-nivus-orca_nvl-nvs-imc-dsy-0820-10227</t>
  </si>
  <si>
    <t>alp_vw_dv360_imc_dsy_lanch_nd_nc_nvs_nivus-launch-consideracao-orca__configuracao_cpm_drct_all_320x50_lancamento-nivus-orca-rmkt-start-configurator-nivus-suv-model-intent_na_lancamento-consideracao-nivus-orca_nvl-nvs-imc-dsy-0820-10163</t>
  </si>
  <si>
    <t>alp_vw_dv360_imc_dsy_lanch_nd_nc_nvs_nivus-launch-consideracao-orca__configuracao_cpm_drct_all_320x50_lancamento-nivus-orca-rmkt-dealer-form-completion-lead-generation-qualifier_na_lancamento-consideracao-nivus-orca_nvl-nvs-imc-dsy-0820-10226</t>
  </si>
  <si>
    <t>alp_vw_dv360_imc_dsy_lanch_nd_nc_nvs_nivus-launch-consideracao-orca__configuracao_cpm_drct_all_300x600_lancamento-nivus-orca-rmkt-start-configurator-nivus-suv-model-intent_na_lancamento-consideracao-nivus-orca_nvl-nvs-imc-dsy-0820-10162</t>
  </si>
  <si>
    <t>alp_vw_dv360_imc_dsy_lanch_nd_nc_nvs_nivus-launch-consideracao-orca__configuracao_cpm_drct_all_300x600_lancamento-nivus-orca-rmkt-dealer-form-completion-lead-generation-qualifier_na_lancamento-consideracao-nivus-orca_nvl-nvs-imc-dsy-0820-10225</t>
  </si>
  <si>
    <t>alp_vw_dv360_imc_dsy_lanch_nd_nc_nvs_nivus-launch-consideracao-orca__configuracao_cpm_drct_all_300x250_lancamento-nivus-orca-rmkt-start-configurator-nivus-suv-model-intent_na_lancamento-consideracao-nivus-orca_nvl-nvs-imc-dsy-0820-10161</t>
  </si>
  <si>
    <t>alp_vw_dv360_imc_dsy_lanch_nd_nc_nvs_nivus-launch-consideracao-orca__configuracao_cpm_drct_all_300x250_lancamento-nivus-orca-rmkt-dealer-form-completion-lead-generation-qualifier_na_lancamento-consideracao-nivus-orca_nvl-nvs-imc-dsy-0820-10224</t>
  </si>
  <si>
    <t>alp_vw_dv360_imc_dsy_lanch_nd_nc_nvs_nivus-launch-consideracao-orca__configuracao_cpm_drct_all_160x600_lancamento-nivus-orca-rmkt-start-configurator-nivus-suv-model-intent_na_lancamento-consideracao-nivus-orca_nvl-nvs-imc-dsy-0820-10160</t>
  </si>
  <si>
    <t>alp_vw_dv360_imc_dsy_lanch_nd_nc_nvs_nivus-launch-consideracao-orca__configuracao_cpm_drct_all_160x600_lancamento-nivus-orca-rmkt-dealer-form-completion-lead-generation-qualifier_na_lancamento-consideracao-nivus-orca_nvl-nvs-imc-dsy-0820-10223</t>
  </si>
  <si>
    <t>alp_vw_dv360_imc_dsy_lanch_nd_nc_nvs_nivus-launch-consideracao-orca__configuracao_cpm_drct_all_300x50_lancamento-nivus-orca-rmkt-start-configurator-nivus-suv-model-intent_na_lancamento-consideracao-nivus-orca_nvl-nvs-imc-dsy-0820-10159</t>
  </si>
  <si>
    <t>284453701</t>
  </si>
  <si>
    <t>284453704</t>
  </si>
  <si>
    <t>284453707</t>
  </si>
  <si>
    <t>284453710</t>
  </si>
  <si>
    <t>284453713</t>
  </si>
  <si>
    <t>284453716</t>
  </si>
  <si>
    <t>284453719</t>
  </si>
  <si>
    <t>284453722</t>
  </si>
  <si>
    <t>284453725</t>
  </si>
  <si>
    <t>284453728</t>
  </si>
  <si>
    <t>284453731</t>
  </si>
  <si>
    <t>284453734</t>
  </si>
  <si>
    <t>284453737</t>
  </si>
  <si>
    <t>284453740</t>
  </si>
  <si>
    <t>284453743</t>
  </si>
  <si>
    <t>284453746</t>
  </si>
  <si>
    <t>284453749</t>
  </si>
  <si>
    <t>284453752</t>
  </si>
  <si>
    <t>284453755</t>
  </si>
  <si>
    <t>284453758</t>
  </si>
  <si>
    <t>284453761</t>
  </si>
  <si>
    <t>284453764</t>
  </si>
  <si>
    <t>284453767</t>
  </si>
  <si>
    <t>284453770</t>
  </si>
  <si>
    <t>284453773</t>
  </si>
  <si>
    <t>284453776</t>
  </si>
  <si>
    <t>284453779</t>
  </si>
  <si>
    <t>284453782</t>
  </si>
  <si>
    <t>284453785</t>
  </si>
  <si>
    <t>284453788</t>
  </si>
  <si>
    <t>284453791</t>
  </si>
  <si>
    <t>284453794</t>
  </si>
  <si>
    <t>284453797</t>
  </si>
  <si>
    <t>284453800</t>
  </si>
  <si>
    <t>284453803</t>
  </si>
  <si>
    <t>284453806</t>
  </si>
  <si>
    <t>284453809</t>
  </si>
  <si>
    <t>284453812</t>
  </si>
  <si>
    <t>284453815</t>
  </si>
  <si>
    <t>284453818</t>
  </si>
  <si>
    <t>284453821</t>
  </si>
  <si>
    <t>284453824</t>
  </si>
  <si>
    <t>284453827</t>
  </si>
  <si>
    <t>284453830</t>
  </si>
  <si>
    <t>284453833</t>
  </si>
  <si>
    <t>284453836</t>
  </si>
  <si>
    <t>284453839</t>
  </si>
  <si>
    <t>284453842</t>
  </si>
  <si>
    <t>284453845</t>
  </si>
  <si>
    <t>284453848</t>
  </si>
  <si>
    <t>284453851</t>
  </si>
  <si>
    <t>284453854</t>
  </si>
  <si>
    <t>284453857</t>
  </si>
  <si>
    <t>284453860</t>
  </si>
  <si>
    <t>284453863</t>
  </si>
  <si>
    <t>284453866</t>
  </si>
  <si>
    <t>284453869</t>
  </si>
  <si>
    <t>284453872</t>
  </si>
  <si>
    <t>284453875</t>
  </si>
  <si>
    <t>284453878</t>
  </si>
  <si>
    <t>284453881</t>
  </si>
  <si>
    <t>284453884</t>
  </si>
  <si>
    <t>284453887</t>
  </si>
  <si>
    <t>284453890</t>
  </si>
  <si>
    <t>284453893</t>
  </si>
  <si>
    <t>284453896</t>
  </si>
  <si>
    <t>284453899</t>
  </si>
  <si>
    <t>284453902</t>
  </si>
  <si>
    <t>284453905</t>
  </si>
  <si>
    <t>284453908</t>
  </si>
  <si>
    <t>284453911</t>
  </si>
  <si>
    <t>284453914</t>
  </si>
  <si>
    <t>284453917</t>
  </si>
  <si>
    <t>284453920</t>
  </si>
  <si>
    <t>284453923</t>
  </si>
  <si>
    <t>284453926</t>
  </si>
  <si>
    <t>284453929</t>
  </si>
  <si>
    <t>284453932</t>
  </si>
  <si>
    <t>284453935</t>
  </si>
  <si>
    <t>284453938</t>
  </si>
  <si>
    <t>284453941</t>
  </si>
  <si>
    <t>284453944</t>
  </si>
  <si>
    <t>284453947</t>
  </si>
  <si>
    <t>284453950</t>
  </si>
  <si>
    <t>284460853</t>
  </si>
  <si>
    <t>284460856</t>
  </si>
  <si>
    <t>284460859</t>
  </si>
  <si>
    <t>284460862</t>
  </si>
  <si>
    <t>284460865</t>
  </si>
  <si>
    <t>284460868</t>
  </si>
  <si>
    <t>284460871</t>
  </si>
  <si>
    <t>Criado 08/10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</si>
</sst>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70C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E0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6" fillId="0" borderId="0"/>
    <xf numFmtId="0" fontId="9" fillId="0" borderId="0" applyNumberFormat="0" applyFill="0" applyBorder="0" applyAlignment="0" applyProtection="0"/>
  </cellStyleXfs>
  <cellXfs count="71">
    <xf numFmtId="0" fontId="0" fillId="0" borderId="0" xfId="0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" fillId="4" borderId="6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10" xfId="0" applyBorder="1"/>
    <xf numFmtId="0" fontId="0" fillId="0" borderId="11" xfId="0" applyBorder="1"/>
    <xf numFmtId="0" fontId="4" fillId="0" borderId="3" xfId="0" applyFont="1" applyFill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1" fillId="0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5" xfId="0" quotePrefix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2" borderId="0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4" fillId="4" borderId="3" xfId="0" applyFont="1" applyFill="1" applyBorder="1" applyAlignment="1">
      <alignment horizontal="center" vertical="center"/>
    </xf>
    <xf numFmtId="0" fontId="0" fillId="6" borderId="0" xfId="0" applyFill="1"/>
    <xf numFmtId="0" fontId="1" fillId="6" borderId="0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  <xf numFmtId="0" fontId="7" fillId="4" borderId="12" xfId="0" quotePrefix="1" applyFont="1" applyFill="1" applyBorder="1" applyAlignment="1">
      <alignment horizontal="center" vertical="center" wrapText="1"/>
    </xf>
    <xf numFmtId="0" fontId="2" fillId="9" borderId="5" xfId="0" quotePrefix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top" wrapText="1"/>
    </xf>
    <xf numFmtId="0" fontId="0" fillId="0" borderId="0" xfId="0" quotePrefix="1"/>
    <xf numFmtId="0" fontId="4" fillId="6" borderId="3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 wrapText="1"/>
    </xf>
    <xf numFmtId="0" fontId="4" fillId="0" borderId="3" xfId="0" quotePrefix="1" applyFont="1" applyFill="1" applyBorder="1" applyAlignment="1">
      <alignment horizontal="left" vertical="center"/>
    </xf>
    <xf numFmtId="0" fontId="9" fillId="0" borderId="3" xfId="2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0" fillId="0" borderId="0" xfId="0" applyBorder="1"/>
    <xf numFmtId="0" fontId="0" fillId="0" borderId="12" xfId="0" applyBorder="1"/>
    <xf numFmtId="0" fontId="0" fillId="0" borderId="0" xfId="0" applyAlignment="1">
      <alignment wrapText="1"/>
    </xf>
    <xf numFmtId="0" fontId="4" fillId="0" borderId="3" xfId="0" applyFont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2" fillId="14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 vertical="center"/>
    </xf>
    <xf numFmtId="0" fontId="2" fillId="19" borderId="3" xfId="0" applyFont="1" applyFill="1" applyBorder="1" applyAlignment="1">
      <alignment horizontal="center" vertical="center"/>
    </xf>
    <xf numFmtId="0" fontId="2" fillId="20" borderId="3" xfId="0" applyFont="1" applyFill="1" applyBorder="1" applyAlignment="1">
      <alignment horizontal="center" vertical="center"/>
    </xf>
    <xf numFmtId="0" fontId="4" fillId="21" borderId="3" xfId="0" applyFont="1" applyFill="1" applyBorder="1" applyAlignment="1">
      <alignment horizontal="center" vertical="center"/>
    </xf>
    <xf numFmtId="0" fontId="4" fillId="22" borderId="3" xfId="0" applyFont="1" applyFill="1" applyBorder="1" applyAlignment="1">
      <alignment horizontal="center" vertical="center"/>
    </xf>
    <xf numFmtId="0" fontId="4" fillId="23" borderId="3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5" borderId="3" xfId="0" applyFont="1" applyFill="1" applyBorder="1" applyAlignment="1">
      <alignment horizontal="center" vertical="center"/>
    </xf>
    <xf numFmtId="0" fontId="2" fillId="26" borderId="3" xfId="0" applyFont="1" applyFill="1" applyBorder="1" applyAlignment="1">
      <alignment horizontal="center" vertical="center"/>
    </xf>
    <xf numFmtId="0" fontId="2" fillId="27" borderId="3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28" borderId="3" xfId="0" applyFont="1" applyFill="1" applyBorder="1" applyAlignment="1">
      <alignment horizontal="center" vertical="center"/>
    </xf>
    <xf numFmtId="0" fontId="2" fillId="29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3">
    <cellStyle name="Hiperlink" xfId="2" builtinId="8"/>
    <cellStyle name="Normal" xfId="0" builtinId="0"/>
    <cellStyle name="Normal 2" xfId="1" xr:uid="{3881D5BE-8688-4766-9992-BC3031218A30}"/>
  </cellStyles>
  <dxfs count="22"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E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l-Cod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-Cod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vw.com.br/pt/configurador.html/__app/%2Fnivus/0.app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957FB-7196-4E06-A4D9-175195763223}">
  <sheetPr codeName="Planilha1"/>
  <dimension ref="A1:G16"/>
  <sheetViews>
    <sheetView showGridLines="0" zoomScale="110" zoomScaleNormal="110" workbookViewId="0">
      <selection activeCell="B3" sqref="B3"/>
    </sheetView>
  </sheetViews>
  <sheetFormatPr defaultRowHeight="15" x14ac:dyDescent="0.25"/>
  <cols>
    <col min="1" max="1" width="18.7109375" customWidth="1"/>
    <col min="2" max="2" width="74.5703125" bestFit="1" customWidth="1"/>
    <col min="7" max="7" width="13.140625" customWidth="1"/>
  </cols>
  <sheetData>
    <row r="1" spans="1:7" ht="15.75" thickBot="1" x14ac:dyDescent="0.3">
      <c r="A1" s="13"/>
      <c r="B1" s="14"/>
      <c r="C1" s="43"/>
      <c r="D1" s="43"/>
      <c r="E1" s="43"/>
      <c r="F1" s="43"/>
      <c r="G1" s="43"/>
    </row>
    <row r="2" spans="1:7" ht="15.75" thickBot="1" x14ac:dyDescent="0.3">
      <c r="A2" s="7" t="s">
        <v>829</v>
      </c>
      <c r="B2" s="12" t="str">
        <f>faxineiro(CONCATENATE($B$15,"-",VLOOKUP($B$13,tab_modelvariant,2,FALSE),"-",VLOOKUP($B$7,tab_planningprinciple,2,FALSE),"-",VLOOKUP($B$8,tab_mediachannel,2,FALSE),"-",VLOOKUP($B$12,tab_date,3,FALSE)))</f>
        <v>NVL-NVS-IMC-DSY-0820</v>
      </c>
      <c r="C2" s="43"/>
      <c r="D2" s="43"/>
      <c r="E2" s="43"/>
      <c r="F2" s="43"/>
      <c r="G2" s="43"/>
    </row>
    <row r="3" spans="1:7" ht="15.75" thickBot="1" x14ac:dyDescent="0.3">
      <c r="A3" s="7" t="s">
        <v>858</v>
      </c>
      <c r="B3" s="12" t="str">
        <f>faxineiro(CONCATENATE(VLOOKUP(B6,tab_country,2,FALSE),"_",VLOOKUP(B7,tab_planningprinciple,2,FALSE),"_",VLOOKUP(B8,tab_mediachannel,2,FALSE),"_",VLOOKUP(B9,tab_strategyphase,2,FALSE),"_",VLOOKUP(B10,tab_type,2,FALSE),"_",VLOOKUP(B11,tab_campaigncategory,2,FALSE),"_",VLOOKUP(B12,tab_date,2,FALSE),"_",VLOOKUP(B13,tab_modelvariant,2,FALSE),"_",B14))</f>
        <v>BR_IMC_DSY_LANCH_ND_NC_2020Q3AUG_NVS_Nivus-Launch-Consideracao-Orca</v>
      </c>
    </row>
    <row r="4" spans="1:7" ht="15.75" thickBot="1" x14ac:dyDescent="0.3">
      <c r="A4" s="7" t="s">
        <v>859</v>
      </c>
      <c r="B4" s="12" t="str">
        <f>faxineiro(CONCATENATE(VLOOKUP(B7,tab_planningprinciple,2,FALSE),"_",VLOOKUP(B8,tab_mediachannel,2,FALSE),"_",VLOOKUP(B9,tab_strategyphase,2,FALSE),"_",VLOOKUP(B10,tab_type,2,FALSE),"_",VLOOKUP(B11,tab_campaigncategory,2,FALSE),"_",VLOOKUP(B13,tab_modelvariant,2,FALSE),"_",B14,"_",cel_freefield))</f>
        <v>IMC_DSY_LANCH_ND_NC_NVS_Nivus-Launch-Consideracao-Orca_</v>
      </c>
    </row>
    <row r="5" spans="1:7" ht="15.75" thickBot="1" x14ac:dyDescent="0.3"/>
    <row r="6" spans="1:7" ht="15.75" thickBot="1" x14ac:dyDescent="0.3">
      <c r="A6" s="8" t="s">
        <v>7</v>
      </c>
      <c r="B6" s="9" t="s">
        <v>48</v>
      </c>
      <c r="C6" t="s">
        <v>732</v>
      </c>
    </row>
    <row r="7" spans="1:7" ht="15.75" thickBot="1" x14ac:dyDescent="0.3">
      <c r="A7" s="8" t="s">
        <v>323</v>
      </c>
      <c r="B7" s="10" t="s">
        <v>675</v>
      </c>
      <c r="C7" t="s">
        <v>733</v>
      </c>
    </row>
    <row r="8" spans="1:7" ht="15.75" thickBot="1" x14ac:dyDescent="0.3">
      <c r="A8" s="8" t="s">
        <v>8</v>
      </c>
      <c r="B8" s="10" t="s">
        <v>23</v>
      </c>
      <c r="C8" t="s">
        <v>734</v>
      </c>
    </row>
    <row r="9" spans="1:7" ht="15.75" thickBot="1" x14ac:dyDescent="0.3">
      <c r="A9" s="8" t="s">
        <v>0</v>
      </c>
      <c r="B9" s="10" t="s">
        <v>25</v>
      </c>
      <c r="C9" t="s">
        <v>735</v>
      </c>
    </row>
    <row r="10" spans="1:7" ht="15.75" thickBot="1" x14ac:dyDescent="0.3">
      <c r="A10" s="8" t="s">
        <v>1</v>
      </c>
      <c r="B10" s="10" t="s">
        <v>27</v>
      </c>
      <c r="C10" t="s">
        <v>736</v>
      </c>
    </row>
    <row r="11" spans="1:7" ht="15.75" thickBot="1" x14ac:dyDescent="0.3">
      <c r="A11" s="8" t="s">
        <v>2</v>
      </c>
      <c r="B11" s="10" t="s">
        <v>679</v>
      </c>
      <c r="C11" t="s">
        <v>737</v>
      </c>
    </row>
    <row r="12" spans="1:7" ht="15.75" thickBot="1" x14ac:dyDescent="0.3">
      <c r="A12" s="8" t="s">
        <v>3</v>
      </c>
      <c r="B12" s="10" t="s">
        <v>772</v>
      </c>
      <c r="C12" t="s">
        <v>738</v>
      </c>
    </row>
    <row r="13" spans="1:7" ht="15.75" thickBot="1" x14ac:dyDescent="0.3">
      <c r="A13" s="8" t="s">
        <v>4</v>
      </c>
      <c r="B13" s="10" t="s">
        <v>861</v>
      </c>
      <c r="C13" t="s">
        <v>739</v>
      </c>
    </row>
    <row r="14" spans="1:7" ht="15.75" thickBot="1" x14ac:dyDescent="0.3">
      <c r="A14" s="8" t="s">
        <v>5</v>
      </c>
      <c r="B14" s="10" t="s">
        <v>897</v>
      </c>
      <c r="C14" t="s">
        <v>740</v>
      </c>
    </row>
    <row r="15" spans="1:7" ht="15.75" thickBot="1" x14ac:dyDescent="0.3">
      <c r="A15" s="8" t="s">
        <v>830</v>
      </c>
      <c r="B15" s="10" t="s">
        <v>862</v>
      </c>
      <c r="C15" t="s">
        <v>831</v>
      </c>
    </row>
    <row r="16" spans="1:7" ht="15.75" thickBot="1" x14ac:dyDescent="0.3">
      <c r="A16" s="8" t="s">
        <v>856</v>
      </c>
      <c r="B16" s="11"/>
      <c r="C16" t="s">
        <v>857</v>
      </c>
    </row>
  </sheetData>
  <dataConsolidate/>
  <dataValidations count="7">
    <dataValidation type="list" allowBlank="1" showInputMessage="1" showErrorMessage="1" sqref="B6" xr:uid="{2484C9F9-215F-451D-BBF9-D650B0257667}">
      <formula1>list_country</formula1>
    </dataValidation>
    <dataValidation type="list" allowBlank="1" showInputMessage="1" showErrorMessage="1" sqref="B7" xr:uid="{6606435C-7903-4499-BF69-F3C78B1A60FF}">
      <formula1>list_planningprinciple</formula1>
    </dataValidation>
    <dataValidation type="list" allowBlank="1" showInputMessage="1" showErrorMessage="1" sqref="B8" xr:uid="{B9B5561E-E221-47D9-8AFD-8309D01B2FD0}">
      <formula1>list_mediachannel</formula1>
    </dataValidation>
    <dataValidation type="list" allowBlank="1" showInputMessage="1" showErrorMessage="1" sqref="B9" xr:uid="{A3BEC352-BC69-4F87-ABE8-AE3475F6A09B}">
      <formula1>list_strategyphase</formula1>
    </dataValidation>
    <dataValidation type="list" allowBlank="1" showInputMessage="1" showErrorMessage="1" sqref="B10" xr:uid="{F4B7E40E-D9BE-4D83-A655-4F158B57713D}">
      <formula1>list_type</formula1>
    </dataValidation>
    <dataValidation type="list" allowBlank="1" showInputMessage="1" showErrorMessage="1" sqref="B11" xr:uid="{C81A4306-4304-4643-85BF-73268B49E00E}">
      <formula1>list_campaigncategory</formula1>
    </dataValidation>
    <dataValidation type="list" allowBlank="1" showInputMessage="1" showErrorMessage="1" sqref="B13" xr:uid="{DD9A9470-E534-4186-A7EB-AB744D0179DD}">
      <formula1>list_modelvariant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B6B3D0-4B1F-4A69-928A-BA9EAE25BEA5}">
          <x14:formula1>
            <xm:f>'All Codes'!$U$3:$U$257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66DC-E7C3-46F6-84DB-B38FB5736D92}">
  <sheetPr codeName="Planilha2"/>
  <dimension ref="B2:BP1048402"/>
  <sheetViews>
    <sheetView showGridLines="0" tabSelected="1" topLeftCell="A181" zoomScale="80" zoomScaleNormal="80" workbookViewId="0">
      <selection activeCell="C159" sqref="C159:C249"/>
    </sheetView>
  </sheetViews>
  <sheetFormatPr defaultRowHeight="15.75" customHeight="1" x14ac:dyDescent="0.25"/>
  <cols>
    <col min="1" max="1" width="2.28515625" customWidth="1"/>
    <col min="2" max="2" width="19.42578125" bestFit="1" customWidth="1"/>
    <col min="3" max="3" width="14.140625" customWidth="1"/>
    <col min="4" max="4" width="22.42578125" customWidth="1"/>
    <col min="5" max="6" width="14.140625" customWidth="1"/>
    <col min="7" max="7" width="17.85546875" customWidth="1"/>
    <col min="8" max="8" width="52.28515625" bestFit="1" customWidth="1"/>
    <col min="9" max="9" width="20.5703125" bestFit="1" customWidth="1"/>
    <col min="10" max="11" width="13.28515625" customWidth="1"/>
    <col min="12" max="12" width="25.140625" customWidth="1"/>
    <col min="13" max="13" width="23.140625" customWidth="1"/>
    <col min="14" max="14" width="18.42578125" customWidth="1"/>
    <col min="15" max="15" width="21" customWidth="1"/>
    <col min="16" max="16" width="19.5703125" customWidth="1"/>
    <col min="17" max="17" width="17.140625" customWidth="1"/>
    <col min="18" max="18" width="16.7109375" customWidth="1"/>
    <col min="19" max="19" width="18.85546875" customWidth="1"/>
    <col min="20" max="20" width="40" customWidth="1"/>
    <col min="21" max="21" width="24.85546875" customWidth="1"/>
    <col min="22" max="22" width="74.7109375" customWidth="1"/>
    <col min="23" max="23" width="26" customWidth="1"/>
    <col min="24" max="24" width="16.85546875" customWidth="1"/>
    <col min="25" max="25" width="19.7109375" customWidth="1"/>
    <col min="26" max="26" width="11" hidden="1" customWidth="1"/>
    <col min="27" max="27" width="10.42578125" hidden="1" customWidth="1"/>
    <col min="28" max="29" width="9.140625" hidden="1" customWidth="1"/>
    <col min="30" max="30" width="16.42578125" hidden="1" customWidth="1"/>
    <col min="31" max="31" width="11" hidden="1" customWidth="1"/>
    <col min="32" max="32" width="15.7109375" hidden="1" customWidth="1"/>
    <col min="33" max="33" width="16.42578125" hidden="1" customWidth="1"/>
    <col min="34" max="34" width="16.42578125" customWidth="1"/>
    <col min="35" max="35" width="90.28515625" style="45" customWidth="1"/>
    <col min="36" max="36" width="70" customWidth="1"/>
    <col min="37" max="37" width="63.28515625" customWidth="1"/>
    <col min="38" max="38" width="130.42578125" customWidth="1"/>
    <col min="39" max="39" width="19" customWidth="1"/>
    <col min="40" max="40" width="18.140625" customWidth="1"/>
    <col min="41" max="41" width="19.28515625" customWidth="1"/>
    <col min="42" max="42" width="40.85546875" customWidth="1"/>
    <col min="43" max="43" width="23.85546875" customWidth="1"/>
    <col min="44" max="44" width="25.28515625" customWidth="1"/>
    <col min="45" max="45" width="40.28515625" customWidth="1"/>
    <col min="46" max="46" width="15.7109375" customWidth="1"/>
    <col min="47" max="47" width="12" customWidth="1"/>
    <col min="48" max="48" width="23.140625" customWidth="1"/>
    <col min="49" max="49" width="15.85546875" customWidth="1"/>
    <col min="50" max="50" width="25.140625" customWidth="1"/>
    <col min="51" max="51" width="26.42578125" customWidth="1"/>
    <col min="52" max="55" width="15.85546875" customWidth="1"/>
    <col min="56" max="56" width="33" customWidth="1"/>
    <col min="57" max="59" width="13.140625" customWidth="1"/>
    <col min="60" max="60" width="12.28515625" customWidth="1"/>
    <col min="61" max="61" width="200.7109375" customWidth="1"/>
    <col min="62" max="62" width="9.140625" customWidth="1"/>
    <col min="63" max="63" width="5.140625" customWidth="1"/>
    <col min="64" max="64" width="94.28515625" customWidth="1"/>
    <col min="65" max="65" width="90.5703125" bestFit="1" customWidth="1"/>
    <col min="66" max="66" width="155.28515625" bestFit="1" customWidth="1"/>
    <col min="67" max="67" width="87.140625" bestFit="1" customWidth="1"/>
    <col min="68" max="68" width="70.28515625" customWidth="1"/>
  </cols>
  <sheetData>
    <row r="2" spans="2:68" ht="14.25" customHeight="1" x14ac:dyDescent="0.25">
      <c r="C2" s="23"/>
    </row>
    <row r="3" spans="2:68" s="16" customFormat="1" ht="77.25" customHeight="1" x14ac:dyDescent="0.25">
      <c r="G3" s="16" t="s">
        <v>1209</v>
      </c>
      <c r="J3" s="16" t="s">
        <v>1210</v>
      </c>
      <c r="L3" s="16" t="s">
        <v>1211</v>
      </c>
      <c r="M3" s="16" t="s">
        <v>1212</v>
      </c>
      <c r="N3" s="16" t="s">
        <v>1213</v>
      </c>
      <c r="O3" s="16" t="s">
        <v>1214</v>
      </c>
      <c r="P3" s="16" t="s">
        <v>742</v>
      </c>
      <c r="Q3" s="16" t="s">
        <v>1215</v>
      </c>
      <c r="R3" s="16" t="s">
        <v>1216</v>
      </c>
      <c r="S3" s="16" t="s">
        <v>1217</v>
      </c>
      <c r="T3" s="16" t="s">
        <v>1218</v>
      </c>
      <c r="U3" s="16" t="s">
        <v>1219</v>
      </c>
      <c r="V3" s="16" t="s">
        <v>1220</v>
      </c>
      <c r="W3" s="16" t="s">
        <v>1221</v>
      </c>
      <c r="X3" s="16" t="s">
        <v>1222</v>
      </c>
      <c r="Y3" s="16" t="s">
        <v>1223</v>
      </c>
      <c r="AT3" s="27" t="s">
        <v>782</v>
      </c>
      <c r="AU3" s="27" t="s">
        <v>787</v>
      </c>
      <c r="AV3" s="27" t="s">
        <v>785</v>
      </c>
      <c r="AW3" s="27" t="s">
        <v>786</v>
      </c>
      <c r="AX3" s="27" t="s">
        <v>783</v>
      </c>
      <c r="AY3" s="27" t="s">
        <v>796</v>
      </c>
      <c r="AZ3" s="27" t="s">
        <v>797</v>
      </c>
      <c r="BA3" s="27" t="s">
        <v>790</v>
      </c>
      <c r="BB3" s="27" t="s">
        <v>791</v>
      </c>
      <c r="BC3" s="27" t="s">
        <v>784</v>
      </c>
      <c r="BD3" s="27" t="s">
        <v>792</v>
      </c>
      <c r="BE3" s="27" t="s">
        <v>788</v>
      </c>
      <c r="BF3" s="27" t="s">
        <v>793</v>
      </c>
      <c r="BG3" s="27" t="s">
        <v>794</v>
      </c>
      <c r="BH3" s="27" t="s">
        <v>795</v>
      </c>
      <c r="BI3" s="16">
        <f>LEN(BI15)</f>
        <v>296</v>
      </c>
    </row>
    <row r="4" spans="2:68" ht="51.75" customHeight="1" x14ac:dyDescent="0.25">
      <c r="B4" s="1" t="s">
        <v>254</v>
      </c>
      <c r="C4" s="2" t="s">
        <v>1224</v>
      </c>
      <c r="D4" s="3" t="s">
        <v>1225</v>
      </c>
      <c r="E4" s="1" t="s">
        <v>255</v>
      </c>
      <c r="F4" s="1" t="s">
        <v>256</v>
      </c>
      <c r="G4" s="4" t="s">
        <v>1226</v>
      </c>
      <c r="H4" s="32" t="s">
        <v>744</v>
      </c>
      <c r="I4" s="31" t="s">
        <v>799</v>
      </c>
      <c r="J4" s="5" t="s">
        <v>257</v>
      </c>
      <c r="K4" s="26" t="s">
        <v>789</v>
      </c>
      <c r="L4" s="5" t="s">
        <v>1227</v>
      </c>
      <c r="M4" s="5" t="s">
        <v>656</v>
      </c>
      <c r="N4" s="5" t="s">
        <v>655</v>
      </c>
      <c r="O4" s="5" t="s">
        <v>667</v>
      </c>
      <c r="P4" s="19" t="s">
        <v>668</v>
      </c>
      <c r="Q4" s="5" t="s">
        <v>258</v>
      </c>
      <c r="R4" s="5" t="s">
        <v>259</v>
      </c>
      <c r="S4" s="5" t="s">
        <v>863</v>
      </c>
      <c r="T4" s="5" t="s">
        <v>1228</v>
      </c>
      <c r="U4" s="5" t="s">
        <v>1229</v>
      </c>
      <c r="V4" s="5" t="s">
        <v>743</v>
      </c>
      <c r="W4" s="39" t="s">
        <v>1230</v>
      </c>
      <c r="X4" s="5" t="s">
        <v>661</v>
      </c>
      <c r="Y4" s="5" t="s">
        <v>260</v>
      </c>
      <c r="Z4" s="5" t="s">
        <v>1231</v>
      </c>
      <c r="AA4" s="5" t="s">
        <v>1232</v>
      </c>
      <c r="AB4" s="5" t="s">
        <v>1233</v>
      </c>
      <c r="AC4" s="5" t="s">
        <v>1234</v>
      </c>
      <c r="AD4" s="5" t="s">
        <v>261</v>
      </c>
      <c r="AE4" s="5" t="s">
        <v>262</v>
      </c>
      <c r="AF4" s="5" t="s">
        <v>263</v>
      </c>
      <c r="AG4" s="5" t="s">
        <v>264</v>
      </c>
      <c r="AH4" s="20" t="s">
        <v>804</v>
      </c>
      <c r="AI4" s="20" t="s">
        <v>1235</v>
      </c>
      <c r="AJ4" s="20" t="s">
        <v>1236</v>
      </c>
      <c r="AK4" s="20" t="s">
        <v>1237</v>
      </c>
      <c r="AL4" s="20" t="s">
        <v>1238</v>
      </c>
      <c r="AM4" s="19" t="s">
        <v>746</v>
      </c>
      <c r="AN4" s="19" t="s">
        <v>265</v>
      </c>
      <c r="AO4" s="19" t="s">
        <v>266</v>
      </c>
      <c r="AP4" s="19" t="s">
        <v>267</v>
      </c>
      <c r="AQ4" s="19" t="s">
        <v>268</v>
      </c>
      <c r="AR4" s="19" t="s">
        <v>269</v>
      </c>
      <c r="AS4" s="19" t="s">
        <v>1239</v>
      </c>
      <c r="AT4" s="25" t="s">
        <v>1240</v>
      </c>
      <c r="AU4" s="25" t="s">
        <v>1241</v>
      </c>
      <c r="AV4" s="25" t="s">
        <v>1242</v>
      </c>
      <c r="AW4" s="25" t="s">
        <v>1243</v>
      </c>
      <c r="AX4" s="25" t="s">
        <v>1244</v>
      </c>
      <c r="AY4" s="25" t="s">
        <v>1245</v>
      </c>
      <c r="AZ4" s="25" t="s">
        <v>1246</v>
      </c>
      <c r="BA4" s="25" t="s">
        <v>1247</v>
      </c>
      <c r="BB4" s="25" t="s">
        <v>1248</v>
      </c>
      <c r="BC4" s="25" t="s">
        <v>1249</v>
      </c>
      <c r="BD4" s="25" t="s">
        <v>1250</v>
      </c>
      <c r="BE4" s="25" t="s">
        <v>1251</v>
      </c>
      <c r="BF4" s="25" t="s">
        <v>1252</v>
      </c>
      <c r="BG4" s="25" t="s">
        <v>1253</v>
      </c>
      <c r="BH4" s="25" t="s">
        <v>1254</v>
      </c>
      <c r="BI4" s="25" t="s">
        <v>1255</v>
      </c>
      <c r="BL4" s="34" t="s">
        <v>1256</v>
      </c>
      <c r="BM4" s="34" t="s">
        <v>1257</v>
      </c>
      <c r="BN4" s="34" t="s">
        <v>1258</v>
      </c>
      <c r="BO4" s="34" t="s">
        <v>1259</v>
      </c>
      <c r="BP4" s="34" t="s">
        <v>1260</v>
      </c>
    </row>
    <row r="5" spans="2:68" ht="15.75" customHeight="1" x14ac:dyDescent="0.25">
      <c r="B5" s="15" t="s">
        <v>1291</v>
      </c>
      <c r="C5" s="15" t="s">
        <v>1293</v>
      </c>
      <c r="D5" s="15"/>
      <c r="E5" s="22">
        <v>44069</v>
      </c>
      <c r="F5" s="22">
        <v>44135</v>
      </c>
      <c r="G5" s="15" t="s">
        <v>651</v>
      </c>
      <c r="H5" s="41" t="s">
        <v>1266</v>
      </c>
      <c r="I5" s="15" t="s">
        <v>801</v>
      </c>
      <c r="J5" s="42" t="s">
        <v>883</v>
      </c>
      <c r="K5" s="42" t="s">
        <v>883</v>
      </c>
      <c r="L5" s="15" t="s">
        <v>676</v>
      </c>
      <c r="M5" s="15" t="s">
        <v>276</v>
      </c>
      <c r="N5" s="15" t="s">
        <v>295</v>
      </c>
      <c r="O5" s="15" t="s">
        <v>677</v>
      </c>
      <c r="P5" s="15" t="e">
        <f>VLOOKUP(Y5,'[1]All-Codes'!$BF$3:$BG$278,2,FALSE)</f>
        <v>#N/A</v>
      </c>
      <c r="Q5" s="15" t="s">
        <v>179</v>
      </c>
      <c r="R5" s="15" t="s">
        <v>277</v>
      </c>
      <c r="S5" s="15" t="s">
        <v>865</v>
      </c>
      <c r="T5" s="46" t="s">
        <v>884</v>
      </c>
      <c r="U5" s="15" t="s">
        <v>876</v>
      </c>
      <c r="V5" s="47" t="s">
        <v>885</v>
      </c>
      <c r="W5" s="15" t="s">
        <v>866</v>
      </c>
      <c r="X5" s="15" t="s">
        <v>307</v>
      </c>
      <c r="Y5" s="46" t="s">
        <v>461</v>
      </c>
      <c r="Z5" s="15"/>
      <c r="AA5" s="15"/>
      <c r="AB5" s="15"/>
      <c r="AC5" s="15"/>
      <c r="AD5" s="15"/>
      <c r="AE5" s="15"/>
      <c r="AF5" s="15"/>
      <c r="AG5" s="15"/>
      <c r="AH5" s="15" t="str">
        <f t="shared" ref="AH5:AH14" si="0">VLOOKUP(AI5,id_placement,2,FALSE)</f>
        <v>281501247</v>
      </c>
      <c r="AI5" s="21" t="str">
        <f t="shared" ref="AI5:AJ20" si="1">LOWER(CONCATENATE(col_campanhaanunciante,"_",col_grupoanunciante,"_",col_localfreetype,"_",col_adlid))</f>
        <v>alp_vw_dv360_imc_dsy_lanch_nd_nc_nvs_nivus-launch-consideracao-orca__trafego_cpm_drct_all_300x50_lancamento-nivus-orca-affinity_na_lancamento-consideracao-nivus-orca_nvl-nvs-imc-dsy-0820-10005</v>
      </c>
      <c r="AJ5" s="40" t="str">
        <f t="shared" si="1"/>
        <v>alp_vw_dv360_imc_dsy_lanch_nd_nc_nvs_nivus-launch-consideracao-orca__trafego_cpm_drct_all_300x50_lancamento-nivus-orca-affinity_na_lancamento-consideracao-nivus-orca_nvl-nvs-imc-dsy-0820-10005</v>
      </c>
      <c r="AK5" s="21" t="str">
        <f t="shared" ref="AK5:AK68" si="2">LOWER(faxineiro(CONCATENATE("VW","_",cel_modelvariant,"_",col_size,"_",col_localfreetype,"_",IF(col_servidopor="portal",col_supplier,"adserver"))))</f>
        <v>vw_nivus_300x50_lancamento-consideracao-nivus-orca_adserver</v>
      </c>
      <c r="AL5" s="21" t="str">
        <f t="shared" ref="AL5" si="3">IF(col_parametrizacao="GA",AS5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5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www.vw.com.br/pt/configurador.html/__app/%2Fnivus/0.app?adlid=nvl-nvs-imc-dsy-0820-10005&amp;adplt=alp_vw_dv360_imc_dsy_lanch_nd_nc_nvs_nivus-launch-consideracao-orca__trafego_cpm_drct_all_300x50_lancamento-nivus-orca-affinity_na_lancamento-consideracao-nivus-orca_nvl-nvs-imc-dsy-0820-10005</v>
      </c>
      <c r="AM5" s="21" t="str">
        <f t="shared" ref="AM5:AM68" si="4">IFERROR(IF(col_servidopor="portal",VLOOKUP(col_placement,tab_contadores,2,FALSE),"TAG"),"Contador")</f>
        <v>TAG</v>
      </c>
      <c r="AN5" s="15" t="str">
        <f t="shared" ref="AN5" si="5">J5</f>
        <v>DV360</v>
      </c>
      <c r="AO5" s="15" t="str">
        <f t="shared" ref="AO5" si="6">L5</f>
        <v>Paid-Display</v>
      </c>
      <c r="AP5" s="21" t="str">
        <f>Campanha!$B$3</f>
        <v>BR_IMC_DSY_LANCH_ND_NC_2020Q3AUG_NVS_Nivus-Launch-Consideracao-Orca</v>
      </c>
      <c r="AQ5" s="21" t="str">
        <f t="shared" ref="AQ5:AQ68" si="7">col_adname</f>
        <v>alp_vw_dv360_imc_dsy_lanch_nd_nc_nvs_nivus-launch-consideracao-orca__trafego_cpm_drct_all_300x50_lancamento-nivus-orca-affinity_na_lancamento-consideracao-nivus-orca_nvl-nvs-imc-dsy-0820-10005</v>
      </c>
      <c r="AR5" s="15" t="s">
        <v>745</v>
      </c>
      <c r="AS5" s="21" t="str">
        <f t="shared" ref="AS5:AS68" si="8">faxineiro(CONCATENATE(col_url,IF(ISNUMBER(FIND("?",col_url)),"&amp;","?"),"utm_source=",col_utmsource,"&amp;utm_medium=",col_utmmedium,"&amp;utm_content=",col_utmcontent,"&amp;utm_campaign=",col_utmcampaign,"&amp;utm_term=",col_keyword))</f>
        <v>https://www.vw.com.br/pt/configurador.html/__app/%2Fnivus/0.app?utm_source=DV360&amp;utm_medium=Paid-Display&amp;utm_content=alp_vw_dv360_imc_dsy_lanch_nd_nc_nvs_nivus-launch-consideracao-orca__trafego_cpm_drct_all_300x50_lancamento-nivus-orca-affinity_na_lancamento-consideracao-nivus-orca_nvl-nvs-imc-dsy-0820-10005&amp;utm_campaign=BR_IMC_DSY_LANCH_ND_NC_2020Q3AUG_NVS_Nivus-Launch-Consideracao-Orca&amp;utm_term=%epid!_%ecid!_%eaid!</v>
      </c>
      <c r="AT5" s="15" t="str">
        <f t="shared" ref="AT5" si="9">LOWER(Q5)</f>
        <v>other</v>
      </c>
      <c r="AU5" s="15" t="str">
        <f t="shared" ref="AU5:AU68" si="10">VLOOKUP(cel_country,tab_country,2,FALSE)</f>
        <v>BR</v>
      </c>
      <c r="AV5" s="15" t="str">
        <f t="shared" ref="AV5" si="11">LOWER(K5)</f>
        <v>dv360</v>
      </c>
      <c r="AW5" s="15" t="str">
        <f t="shared" ref="AW5" si="12">LOWER(J5)</f>
        <v>dv360</v>
      </c>
      <c r="AX5" s="15" t="str">
        <f t="shared" ref="AX5:AX68" si="13">LOWER(cel_campaing)</f>
        <v>nivus-launch-consideracao-orca</v>
      </c>
      <c r="AY5" s="15" t="str">
        <f t="shared" ref="AY5" si="14">LOWER(AI5)</f>
        <v>alp_vw_dv360_imc_dsy_lanch_nd_nc_nvs_nivus-launch-consideracao-orca__trafego_cpm_drct_all_300x50_lancamento-nivus-orca-affinity_na_lancamento-consideracao-nivus-orca_nvl-nvs-imc-dsy-0820-10005</v>
      </c>
      <c r="AZ5" s="15" t="str">
        <f t="shared" ref="AZ5" si="15">LOWER(Y5)</f>
        <v>300x50</v>
      </c>
      <c r="BA5" s="15" t="str">
        <f t="shared" ref="BA5" si="16">LOWER(T5)</f>
        <v>lancamento-consideracao-nivus-orca</v>
      </c>
      <c r="BB5" s="28" t="s">
        <v>798</v>
      </c>
      <c r="BC5" s="28" t="s">
        <v>798</v>
      </c>
      <c r="BD5" s="38" t="str">
        <f t="shared" ref="BD5" si="17">LOWER(CONCATENATE(cel_idcampaign,"-",SUM(10000+ROW(A5))))</f>
        <v>nvl-nvs-imc-dsy-0820-10005</v>
      </c>
      <c r="BE5" s="15" t="str">
        <f>AU5</f>
        <v>BR</v>
      </c>
      <c r="BF5" s="15" t="str">
        <f>LOWER(X5)</f>
        <v>paid</v>
      </c>
      <c r="BG5" s="28"/>
      <c r="BH5" s="28"/>
      <c r="BI5" s="36" t="str">
        <f t="shared" ref="BI5:BI68" si="18">faxineiro(CONCATENATE(col_url,IF(ISNUMBER(FIND("?",col_url)),"&amp;","?"),CONCATENATE("adlid=",col_adlid,"&amp;adplt=",adplt)))</f>
        <v>https://www.vw.com.br/pt/configurador.html/__app/%2Fnivus/0.app?adlid=nvl-nvs-imc-dsy-0820-10005&amp;adplt=alp_vw_dv360_imc_dsy_lanch_nd_nc_nvs_nivus-launch-consideracao-orca__trafego_cpm_drct_all_300x50_lancamento-nivus-orca-affinity_na_lancamento-consideracao-nivus-orca_nvl-nvs-imc-dsy-0820-10005</v>
      </c>
      <c r="BL5" t="str">
        <f t="shared" ref="BL5:BL68" si="19">LOWER(CONCATENATE("alp","_","vw","_",col_supplier,"_",cel_structurename,"_",col_objetivo))</f>
        <v>alp_vw_dv360_imc_dsy_lanch_nd_nc_nvs_nivus-launch-consideracao-orca__trafego</v>
      </c>
      <c r="BM5" t="str">
        <f t="shared" ref="BM5:BM68" si="20">LOWER(CONCATENATE(col_buyingmetric,"_",VLOOKUP(col_buyingtype,tab_buyingtype,2,FALSE),"_",col_device,"_",col_size,"_",col_segmentacao,"_",col_segmentacaodeanun))</f>
        <v>cpm_drct_all_300x50_lancamento-nivus-orca-affinity_na</v>
      </c>
      <c r="BN5" t="str">
        <f t="shared" ref="BN5:BN68" si="21">faxineiro(LOWER(CONCATENATE(col_campanhaanunciante,"_",col_grupoanunciante,"_",col_linhacriativa2,"_",col_adlid)))</f>
        <v>alp_vw_dv360_imc_dsy_lanch_nd_nc_nvs_nivus-launch-consideracao-orca__trafego_cpm_drct_all_300x50_lancamento-nivus-orca-affinity_na_generico_nvl-nvs-imc-dsy-0820-10005</v>
      </c>
    </row>
    <row r="6" spans="2:68" ht="15.75" customHeight="1" x14ac:dyDescent="0.25">
      <c r="B6" s="15" t="s">
        <v>1291</v>
      </c>
      <c r="C6" s="15" t="s">
        <v>1293</v>
      </c>
      <c r="D6" s="15"/>
      <c r="E6" s="22">
        <v>44069</v>
      </c>
      <c r="F6" s="22">
        <v>44135</v>
      </c>
      <c r="G6" s="15" t="s">
        <v>651</v>
      </c>
      <c r="H6" s="41" t="s">
        <v>1266</v>
      </c>
      <c r="I6" s="15" t="s">
        <v>801</v>
      </c>
      <c r="J6" s="42" t="s">
        <v>883</v>
      </c>
      <c r="K6" s="42" t="s">
        <v>883</v>
      </c>
      <c r="L6" s="15" t="s">
        <v>676</v>
      </c>
      <c r="M6" s="15" t="s">
        <v>276</v>
      </c>
      <c r="N6" s="15" t="s">
        <v>295</v>
      </c>
      <c r="O6" s="15" t="s">
        <v>677</v>
      </c>
      <c r="P6" s="15" t="e">
        <f>VLOOKUP(Y6,'[1]All-Codes'!$BF$3:$BG$278,2,FALSE)</f>
        <v>#N/A</v>
      </c>
      <c r="Q6" s="15" t="s">
        <v>179</v>
      </c>
      <c r="R6" s="15" t="s">
        <v>277</v>
      </c>
      <c r="S6" s="15" t="s">
        <v>865</v>
      </c>
      <c r="T6" s="46" t="s">
        <v>884</v>
      </c>
      <c r="U6" s="15" t="s">
        <v>876</v>
      </c>
      <c r="V6" s="47" t="s">
        <v>885</v>
      </c>
      <c r="W6" s="15" t="s">
        <v>866</v>
      </c>
      <c r="X6" s="15" t="s">
        <v>307</v>
      </c>
      <c r="Y6" s="46" t="s">
        <v>434</v>
      </c>
      <c r="Z6" s="15"/>
      <c r="AA6" s="15"/>
      <c r="AB6" s="15"/>
      <c r="AC6" s="15"/>
      <c r="AD6" s="15"/>
      <c r="AE6" s="15"/>
      <c r="AF6" s="15"/>
      <c r="AG6" s="15"/>
      <c r="AH6" s="15" t="str">
        <f t="shared" si="0"/>
        <v>281502882</v>
      </c>
      <c r="AI6" s="21" t="str">
        <f t="shared" si="1"/>
        <v>alp_vw_dv360_imc_dsy_lanch_nd_nc_nvs_nivus-launch-consideracao-orca__trafego_cpm_drct_all_160x600_lancamento-nivus-orca-affinity_na_lancamento-consideracao-nivus-orca_nvl-nvs-imc-dsy-0820-10006</v>
      </c>
      <c r="AJ6" s="40" t="str">
        <f t="shared" si="1"/>
        <v>alp_vw_dv360_imc_dsy_lanch_nd_nc_nvs_nivus-launch-consideracao-orca__trafego_cpm_drct_all_160x600_lancamento-nivus-orca-affinity_na_lancamento-consideracao-nivus-orca_nvl-nvs-imc-dsy-0820-10006</v>
      </c>
      <c r="AK6" s="21" t="str">
        <f t="shared" si="2"/>
        <v>vw_nivus_160x600_lancamento-consideracao-nivus-orca_adserver</v>
      </c>
      <c r="AL6" s="21" t="str">
        <f t="shared" ref="AL6:AL69" si="22">IF(col_parametrizacao="GA",AS6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6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www.vw.com.br/pt/configurador.html/__app/%2Fnivus/0.app?adlid=nvl-nvs-imc-dsy-0820-10006&amp;adplt=alp_vw_dv360_imc_dsy_lanch_nd_nc_nvs_nivus-launch-consideracao-orca__trafego_cpm_drct_all_160x600_lancamento-nivus-orca-affinity_na_lancamento-consideracao-nivus-orca_nvl-nvs-imc-dsy-0820-10006</v>
      </c>
      <c r="AM6" s="21" t="str">
        <f t="shared" si="4"/>
        <v>TAG</v>
      </c>
      <c r="AN6" s="15" t="str">
        <f t="shared" ref="AN6:AN69" si="23">J6</f>
        <v>DV360</v>
      </c>
      <c r="AO6" s="15" t="str">
        <f t="shared" ref="AO6:AO69" si="24">L6</f>
        <v>Paid-Display</v>
      </c>
      <c r="AP6" s="21" t="str">
        <f>Campanha!$B$3</f>
        <v>BR_IMC_DSY_LANCH_ND_NC_2020Q3AUG_NVS_Nivus-Launch-Consideracao-Orca</v>
      </c>
      <c r="AQ6" s="21" t="str">
        <f t="shared" si="7"/>
        <v>alp_vw_dv360_imc_dsy_lanch_nd_nc_nvs_nivus-launch-consideracao-orca__trafego_cpm_drct_all_160x600_lancamento-nivus-orca-affinity_na_lancamento-consideracao-nivus-orca_nvl-nvs-imc-dsy-0820-10006</v>
      </c>
      <c r="AR6" s="15" t="s">
        <v>745</v>
      </c>
      <c r="AS6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affinity_na_lancamento-consideracao-nivus-orca_nvl-nvs-imc-dsy-0820-10006&amp;utm_campaign=BR_IMC_DSY_LANCH_ND_NC_2020Q3AUG_NVS_Nivus-Launch-Consideracao-Orca&amp;utm_term=%epid!_%ecid!_%eaid!</v>
      </c>
      <c r="AT6" s="15" t="str">
        <f t="shared" ref="AT6:AT69" si="25">LOWER(Q6)</f>
        <v>other</v>
      </c>
      <c r="AU6" s="15" t="str">
        <f t="shared" si="10"/>
        <v>BR</v>
      </c>
      <c r="AV6" s="15" t="str">
        <f t="shared" ref="AV6:AV69" si="26">LOWER(K6)</f>
        <v>dv360</v>
      </c>
      <c r="AW6" s="15" t="str">
        <f t="shared" ref="AW6:AW69" si="27">LOWER(J6)</f>
        <v>dv360</v>
      </c>
      <c r="AX6" s="15" t="str">
        <f t="shared" si="13"/>
        <v>nivus-launch-consideracao-orca</v>
      </c>
      <c r="AY6" s="15" t="str">
        <f t="shared" ref="AY6:AY69" si="28">LOWER(AI6)</f>
        <v>alp_vw_dv360_imc_dsy_lanch_nd_nc_nvs_nivus-launch-consideracao-orca__trafego_cpm_drct_all_160x600_lancamento-nivus-orca-affinity_na_lancamento-consideracao-nivus-orca_nvl-nvs-imc-dsy-0820-10006</v>
      </c>
      <c r="AZ6" s="15" t="str">
        <f t="shared" ref="AZ6:AZ69" si="29">LOWER(Y6)</f>
        <v>160x600</v>
      </c>
      <c r="BA6" s="15" t="str">
        <f t="shared" ref="BA6:BA69" si="30">LOWER(T6)</f>
        <v>lancamento-consideracao-nivus-orca</v>
      </c>
      <c r="BB6" s="28" t="s">
        <v>798</v>
      </c>
      <c r="BC6" s="28" t="s">
        <v>798</v>
      </c>
      <c r="BD6" s="38" t="str">
        <f t="shared" ref="BD6:BD69" si="31">LOWER(CONCATENATE(cel_idcampaign,"-",SUM(10000+ROW(A6))))</f>
        <v>nvl-nvs-imc-dsy-0820-10006</v>
      </c>
      <c r="BE6" s="15" t="str">
        <f t="shared" ref="BE6:BE69" si="32">AU6</f>
        <v>BR</v>
      </c>
      <c r="BF6" s="15" t="str">
        <f t="shared" ref="BF6:BF69" si="33">LOWER(X6)</f>
        <v>paid</v>
      </c>
      <c r="BG6" s="28"/>
      <c r="BH6" s="28"/>
      <c r="BI6" s="36" t="str">
        <f t="shared" si="18"/>
        <v>https://www.vw.com.br/pt/configurador.html/__app/%2Fnivus/0.app?adlid=nvl-nvs-imc-dsy-0820-10006&amp;adplt=alp_vw_dv360_imc_dsy_lanch_nd_nc_nvs_nivus-launch-consideracao-orca__trafego_cpm_drct_all_160x600_lancamento-nivus-orca-affinity_na_lancamento-consideracao-nivus-orca_nvl-nvs-imc-dsy-0820-10006</v>
      </c>
      <c r="BL6" t="str">
        <f t="shared" si="19"/>
        <v>alp_vw_dv360_imc_dsy_lanch_nd_nc_nvs_nivus-launch-consideracao-orca__trafego</v>
      </c>
      <c r="BM6" t="str">
        <f t="shared" si="20"/>
        <v>cpm_drct_all_160x600_lancamento-nivus-orca-affinity_na</v>
      </c>
      <c r="BN6" t="str">
        <f t="shared" si="21"/>
        <v>alp_vw_dv360_imc_dsy_lanch_nd_nc_nvs_nivus-launch-consideracao-orca__trafego_cpm_drct_all_160x600_lancamento-nivus-orca-affinity_na_generico_nvl-nvs-imc-dsy-0820-10006</v>
      </c>
    </row>
    <row r="7" spans="2:68" ht="15.75" customHeight="1" x14ac:dyDescent="0.25">
      <c r="B7" s="15" t="s">
        <v>1291</v>
      </c>
      <c r="C7" s="15" t="s">
        <v>1293</v>
      </c>
      <c r="D7" s="15"/>
      <c r="E7" s="22">
        <v>44069</v>
      </c>
      <c r="F7" s="22">
        <v>44135</v>
      </c>
      <c r="G7" s="15" t="s">
        <v>651</v>
      </c>
      <c r="H7" s="41" t="s">
        <v>1266</v>
      </c>
      <c r="I7" s="15" t="s">
        <v>801</v>
      </c>
      <c r="J7" s="42" t="s">
        <v>883</v>
      </c>
      <c r="K7" s="42" t="s">
        <v>883</v>
      </c>
      <c r="L7" s="15" t="s">
        <v>676</v>
      </c>
      <c r="M7" s="15" t="s">
        <v>276</v>
      </c>
      <c r="N7" s="15" t="s">
        <v>295</v>
      </c>
      <c r="O7" s="15" t="s">
        <v>677</v>
      </c>
      <c r="P7" s="15" t="e">
        <f>VLOOKUP(Y7,'[1]All-Codes'!$BF$3:$BG$278,2,FALSE)</f>
        <v>#N/A</v>
      </c>
      <c r="Q7" s="15" t="s">
        <v>179</v>
      </c>
      <c r="R7" s="15" t="s">
        <v>277</v>
      </c>
      <c r="S7" s="15" t="s">
        <v>865</v>
      </c>
      <c r="T7" s="46" t="s">
        <v>884</v>
      </c>
      <c r="U7" s="15" t="s">
        <v>876</v>
      </c>
      <c r="V7" s="47" t="s">
        <v>885</v>
      </c>
      <c r="W7" s="15" t="s">
        <v>866</v>
      </c>
      <c r="X7" s="15" t="s">
        <v>307</v>
      </c>
      <c r="Y7" s="46" t="s">
        <v>455</v>
      </c>
      <c r="Z7" s="15"/>
      <c r="AA7" s="15"/>
      <c r="AB7" s="15"/>
      <c r="AC7" s="15"/>
      <c r="AD7" s="15"/>
      <c r="AE7" s="15"/>
      <c r="AF7" s="15"/>
      <c r="AG7" s="15"/>
      <c r="AH7" s="15" t="str">
        <f t="shared" si="0"/>
        <v>281502876</v>
      </c>
      <c r="AI7" s="21" t="str">
        <f t="shared" si="1"/>
        <v>alp_vw_dv360_imc_dsy_lanch_nd_nc_nvs_nivus-launch-consideracao-orca__trafego_cpm_drct_all_300x250_lancamento-nivus-orca-affinity_na_lancamento-consideracao-nivus-orca_nvl-nvs-imc-dsy-0820-10007</v>
      </c>
      <c r="AJ7" s="40" t="str">
        <f t="shared" si="1"/>
        <v>alp_vw_dv360_imc_dsy_lanch_nd_nc_nvs_nivus-launch-consideracao-orca__trafego_cpm_drct_all_300x250_lancamento-nivus-orca-affinity_na_lancamento-consideracao-nivus-orca_nvl-nvs-imc-dsy-0820-10007</v>
      </c>
      <c r="AK7" s="21" t="str">
        <f t="shared" si="2"/>
        <v>vw_nivus_300x250_lancamento-consideracao-nivus-orca_adserver</v>
      </c>
      <c r="AL7" s="21" t="str">
        <f t="shared" si="22"/>
        <v>https://www.vw.com.br/pt/configurador.html/__app/%2Fnivus/0.app?adlid=nvl-nvs-imc-dsy-0820-10007&amp;adplt=alp_vw_dv360_imc_dsy_lanch_nd_nc_nvs_nivus-launch-consideracao-orca__trafego_cpm_drct_all_300x250_lancamento-nivus-orca-affinity_na_lancamento-consideracao-nivus-orca_nvl-nvs-imc-dsy-0820-10007</v>
      </c>
      <c r="AM7" s="21" t="str">
        <f t="shared" si="4"/>
        <v>TAG</v>
      </c>
      <c r="AN7" s="15" t="str">
        <f t="shared" si="23"/>
        <v>DV360</v>
      </c>
      <c r="AO7" s="15" t="str">
        <f t="shared" si="24"/>
        <v>Paid-Display</v>
      </c>
      <c r="AP7" s="21" t="str">
        <f>Campanha!$B$3</f>
        <v>BR_IMC_DSY_LANCH_ND_NC_2020Q3AUG_NVS_Nivus-Launch-Consideracao-Orca</v>
      </c>
      <c r="AQ7" s="21" t="str">
        <f t="shared" si="7"/>
        <v>alp_vw_dv360_imc_dsy_lanch_nd_nc_nvs_nivus-launch-consideracao-orca__trafego_cpm_drct_all_300x250_lancamento-nivus-orca-affinity_na_lancamento-consideracao-nivus-orca_nvl-nvs-imc-dsy-0820-10007</v>
      </c>
      <c r="AR7" s="15" t="s">
        <v>745</v>
      </c>
      <c r="AS7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affinity_na_lancamento-consideracao-nivus-orca_nvl-nvs-imc-dsy-0820-10007&amp;utm_campaign=BR_IMC_DSY_LANCH_ND_NC_2020Q3AUG_NVS_Nivus-Launch-Consideracao-Orca&amp;utm_term=%epid!_%ecid!_%eaid!</v>
      </c>
      <c r="AT7" s="15" t="str">
        <f t="shared" si="25"/>
        <v>other</v>
      </c>
      <c r="AU7" s="15" t="str">
        <f t="shared" si="10"/>
        <v>BR</v>
      </c>
      <c r="AV7" s="15" t="str">
        <f t="shared" si="26"/>
        <v>dv360</v>
      </c>
      <c r="AW7" s="15" t="str">
        <f t="shared" si="27"/>
        <v>dv360</v>
      </c>
      <c r="AX7" s="15" t="str">
        <f t="shared" si="13"/>
        <v>nivus-launch-consideracao-orca</v>
      </c>
      <c r="AY7" s="15" t="str">
        <f t="shared" si="28"/>
        <v>alp_vw_dv360_imc_dsy_lanch_nd_nc_nvs_nivus-launch-consideracao-orca__trafego_cpm_drct_all_300x250_lancamento-nivus-orca-affinity_na_lancamento-consideracao-nivus-orca_nvl-nvs-imc-dsy-0820-10007</v>
      </c>
      <c r="AZ7" s="15" t="str">
        <f t="shared" si="29"/>
        <v>300x250</v>
      </c>
      <c r="BA7" s="15" t="str">
        <f t="shared" si="30"/>
        <v>lancamento-consideracao-nivus-orca</v>
      </c>
      <c r="BB7" s="28" t="s">
        <v>798</v>
      </c>
      <c r="BC7" s="28" t="s">
        <v>798</v>
      </c>
      <c r="BD7" s="38" t="str">
        <f t="shared" si="31"/>
        <v>nvl-nvs-imc-dsy-0820-10007</v>
      </c>
      <c r="BE7" s="15" t="str">
        <f t="shared" si="32"/>
        <v>BR</v>
      </c>
      <c r="BF7" s="15" t="str">
        <f t="shared" si="33"/>
        <v>paid</v>
      </c>
      <c r="BG7" s="28"/>
      <c r="BH7" s="28"/>
      <c r="BI7" s="36" t="str">
        <f t="shared" si="18"/>
        <v>https://www.vw.com.br/pt/configurador.html/__app/%2Fnivus/0.app?adlid=nvl-nvs-imc-dsy-0820-10007&amp;adplt=alp_vw_dv360_imc_dsy_lanch_nd_nc_nvs_nivus-launch-consideracao-orca__trafego_cpm_drct_all_300x250_lancamento-nivus-orca-affinity_na_lancamento-consideracao-nivus-orca_nvl-nvs-imc-dsy-0820-10007</v>
      </c>
      <c r="BL7" t="str">
        <f t="shared" si="19"/>
        <v>alp_vw_dv360_imc_dsy_lanch_nd_nc_nvs_nivus-launch-consideracao-orca__trafego</v>
      </c>
      <c r="BM7" t="str">
        <f t="shared" si="20"/>
        <v>cpm_drct_all_300x250_lancamento-nivus-orca-affinity_na</v>
      </c>
      <c r="BN7" t="str">
        <f t="shared" si="21"/>
        <v>alp_vw_dv360_imc_dsy_lanch_nd_nc_nvs_nivus-launch-consideracao-orca__trafego_cpm_drct_all_300x250_lancamento-nivus-orca-affinity_na_generico_nvl-nvs-imc-dsy-0820-10007</v>
      </c>
    </row>
    <row r="8" spans="2:68" ht="15.75" customHeight="1" x14ac:dyDescent="0.25">
      <c r="B8" s="15" t="s">
        <v>1291</v>
      </c>
      <c r="C8" s="15" t="s">
        <v>1293</v>
      </c>
      <c r="D8" s="15"/>
      <c r="E8" s="22">
        <v>44069</v>
      </c>
      <c r="F8" s="22">
        <v>44135</v>
      </c>
      <c r="G8" s="15" t="s">
        <v>651</v>
      </c>
      <c r="H8" s="41" t="s">
        <v>1266</v>
      </c>
      <c r="I8" s="15" t="s">
        <v>801</v>
      </c>
      <c r="J8" s="42" t="s">
        <v>883</v>
      </c>
      <c r="K8" s="42" t="s">
        <v>883</v>
      </c>
      <c r="L8" s="15" t="s">
        <v>676</v>
      </c>
      <c r="M8" s="15" t="s">
        <v>276</v>
      </c>
      <c r="N8" s="15" t="s">
        <v>295</v>
      </c>
      <c r="O8" s="15" t="s">
        <v>677</v>
      </c>
      <c r="P8" s="15" t="str">
        <f>VLOOKUP(Y8,'All Codes'!$BF$3:$BG$278,2,FALSE)</f>
        <v>Skyscraper</v>
      </c>
      <c r="Q8" s="15" t="s">
        <v>179</v>
      </c>
      <c r="R8" s="15" t="s">
        <v>277</v>
      </c>
      <c r="S8" s="15" t="s">
        <v>865</v>
      </c>
      <c r="T8" s="46" t="s">
        <v>884</v>
      </c>
      <c r="U8" s="15" t="s">
        <v>876</v>
      </c>
      <c r="V8" s="47" t="s">
        <v>885</v>
      </c>
      <c r="W8" s="15" t="s">
        <v>866</v>
      </c>
      <c r="X8" s="15" t="s">
        <v>307</v>
      </c>
      <c r="Y8" s="46" t="s">
        <v>464</v>
      </c>
      <c r="Z8" s="15"/>
      <c r="AA8" s="15"/>
      <c r="AB8" s="15"/>
      <c r="AC8" s="15"/>
      <c r="AD8" s="15"/>
      <c r="AE8" s="15"/>
      <c r="AF8" s="15"/>
      <c r="AG8" s="15"/>
      <c r="AH8" s="15" t="str">
        <f t="shared" si="0"/>
        <v>281502870</v>
      </c>
      <c r="AI8" s="21" t="str">
        <f t="shared" si="1"/>
        <v>alp_vw_dv360_imc_dsy_lanch_nd_nc_nvs_nivus-launch-consideracao-orca__trafego_cpm_drct_all_300x600_lancamento-nivus-orca-affinity_na_lancamento-consideracao-nivus-orca_nvl-nvs-imc-dsy-0820-10008</v>
      </c>
      <c r="AJ8" s="40" t="str">
        <f t="shared" si="1"/>
        <v>alp_vw_dv360_imc_dsy_lanch_nd_nc_nvs_nivus-launch-consideracao-orca__trafego_cpm_drct_all_300x600_lancamento-nivus-orca-affinity_na_lancamento-consideracao-nivus-orca_nvl-nvs-imc-dsy-0820-10008</v>
      </c>
      <c r="AK8" s="21" t="str">
        <f t="shared" si="2"/>
        <v>vw_nivus_300x600_lancamento-consideracao-nivus-orca_adserver</v>
      </c>
      <c r="AL8" s="21" t="str">
        <f t="shared" si="22"/>
        <v>https://www.vw.com.br/pt/configurador.html/__app/%2Fnivus/0.app?adlid=nvl-nvs-imc-dsy-0820-10008&amp;adplt=alp_vw_dv360_imc_dsy_lanch_nd_nc_nvs_nivus-launch-consideracao-orca__trafego_cpm_drct_all_300x600_lancamento-nivus-orca-affinity_na_lancamento-consideracao-nivus-orca_nvl-nvs-imc-dsy-0820-10008</v>
      </c>
      <c r="AM8" s="21" t="str">
        <f t="shared" si="4"/>
        <v>TAG</v>
      </c>
      <c r="AN8" s="15" t="str">
        <f t="shared" si="23"/>
        <v>DV360</v>
      </c>
      <c r="AO8" s="15" t="str">
        <f t="shared" si="24"/>
        <v>Paid-Display</v>
      </c>
      <c r="AP8" s="21" t="str">
        <f>Campanha!$B$3</f>
        <v>BR_IMC_DSY_LANCH_ND_NC_2020Q3AUG_NVS_Nivus-Launch-Consideracao-Orca</v>
      </c>
      <c r="AQ8" s="21" t="str">
        <f t="shared" si="7"/>
        <v>alp_vw_dv360_imc_dsy_lanch_nd_nc_nvs_nivus-launch-consideracao-orca__trafego_cpm_drct_all_300x600_lancamento-nivus-orca-affinity_na_lancamento-consideracao-nivus-orca_nvl-nvs-imc-dsy-0820-10008</v>
      </c>
      <c r="AR8" s="15" t="s">
        <v>745</v>
      </c>
      <c r="AS8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affinity_na_lancamento-consideracao-nivus-orca_nvl-nvs-imc-dsy-0820-10008&amp;utm_campaign=BR_IMC_DSY_LANCH_ND_NC_2020Q3AUG_NVS_Nivus-Launch-Consideracao-Orca&amp;utm_term=%epid!_%ecid!_%eaid!</v>
      </c>
      <c r="AT8" s="15" t="str">
        <f t="shared" si="25"/>
        <v>other</v>
      </c>
      <c r="AU8" s="15" t="str">
        <f t="shared" si="10"/>
        <v>BR</v>
      </c>
      <c r="AV8" s="15" t="str">
        <f t="shared" si="26"/>
        <v>dv360</v>
      </c>
      <c r="AW8" s="15" t="str">
        <f t="shared" si="27"/>
        <v>dv360</v>
      </c>
      <c r="AX8" s="15" t="str">
        <f t="shared" si="13"/>
        <v>nivus-launch-consideracao-orca</v>
      </c>
      <c r="AY8" s="15" t="str">
        <f t="shared" si="28"/>
        <v>alp_vw_dv360_imc_dsy_lanch_nd_nc_nvs_nivus-launch-consideracao-orca__trafego_cpm_drct_all_300x600_lancamento-nivus-orca-affinity_na_lancamento-consideracao-nivus-orca_nvl-nvs-imc-dsy-0820-10008</v>
      </c>
      <c r="AZ8" s="15" t="str">
        <f t="shared" si="29"/>
        <v>300x600</v>
      </c>
      <c r="BA8" s="15" t="str">
        <f t="shared" si="30"/>
        <v>lancamento-consideracao-nivus-orca</v>
      </c>
      <c r="BB8" s="28" t="s">
        <v>798</v>
      </c>
      <c r="BC8" s="28" t="s">
        <v>798</v>
      </c>
      <c r="BD8" s="38" t="str">
        <f t="shared" si="31"/>
        <v>nvl-nvs-imc-dsy-0820-10008</v>
      </c>
      <c r="BE8" s="15" t="str">
        <f t="shared" si="32"/>
        <v>BR</v>
      </c>
      <c r="BF8" s="15" t="str">
        <f t="shared" si="33"/>
        <v>paid</v>
      </c>
      <c r="BG8" s="28"/>
      <c r="BH8" s="28"/>
      <c r="BI8" s="36" t="str">
        <f t="shared" si="18"/>
        <v>https://www.vw.com.br/pt/configurador.html/__app/%2Fnivus/0.app?adlid=nvl-nvs-imc-dsy-0820-10008&amp;adplt=alp_vw_dv360_imc_dsy_lanch_nd_nc_nvs_nivus-launch-consideracao-orca__trafego_cpm_drct_all_300x600_lancamento-nivus-orca-affinity_na_lancamento-consideracao-nivus-orca_nvl-nvs-imc-dsy-0820-10008</v>
      </c>
      <c r="BL8" t="str">
        <f t="shared" si="19"/>
        <v>alp_vw_dv360_imc_dsy_lanch_nd_nc_nvs_nivus-launch-consideracao-orca__trafego</v>
      </c>
      <c r="BM8" t="str">
        <f t="shared" si="20"/>
        <v>cpm_drct_all_300x600_lancamento-nivus-orca-affinity_na</v>
      </c>
      <c r="BN8" t="str">
        <f t="shared" si="21"/>
        <v>alp_vw_dv360_imc_dsy_lanch_nd_nc_nvs_nivus-launch-consideracao-orca__trafego_cpm_drct_all_300x600_lancamento-nivus-orca-affinity_na_generico_nvl-nvs-imc-dsy-0820-10008</v>
      </c>
    </row>
    <row r="9" spans="2:68" ht="15.75" customHeight="1" x14ac:dyDescent="0.25">
      <c r="B9" s="15" t="s">
        <v>1291</v>
      </c>
      <c r="C9" s="15" t="s">
        <v>1293</v>
      </c>
      <c r="D9" s="15"/>
      <c r="E9" s="22">
        <v>44069</v>
      </c>
      <c r="F9" s="22">
        <v>44135</v>
      </c>
      <c r="G9" s="15" t="s">
        <v>651</v>
      </c>
      <c r="H9" s="41" t="s">
        <v>1266</v>
      </c>
      <c r="I9" s="15" t="s">
        <v>801</v>
      </c>
      <c r="J9" s="42" t="s">
        <v>883</v>
      </c>
      <c r="K9" s="42" t="s">
        <v>883</v>
      </c>
      <c r="L9" s="15" t="s">
        <v>676</v>
      </c>
      <c r="M9" s="15" t="s">
        <v>276</v>
      </c>
      <c r="N9" s="15" t="s">
        <v>295</v>
      </c>
      <c r="O9" s="15" t="s">
        <v>677</v>
      </c>
      <c r="P9" s="15" t="str">
        <f>VLOOKUP(Y9,'All Codes'!$BF$3:$BG$278,2,FALSE)</f>
        <v>MPU</v>
      </c>
      <c r="Q9" s="15" t="s">
        <v>179</v>
      </c>
      <c r="R9" s="15" t="s">
        <v>277</v>
      </c>
      <c r="S9" s="15" t="s">
        <v>865</v>
      </c>
      <c r="T9" s="46" t="s">
        <v>884</v>
      </c>
      <c r="U9" s="15" t="s">
        <v>876</v>
      </c>
      <c r="V9" s="47" t="s">
        <v>885</v>
      </c>
      <c r="W9" s="15" t="s">
        <v>866</v>
      </c>
      <c r="X9" s="15" t="s">
        <v>307</v>
      </c>
      <c r="Y9" s="46" t="s">
        <v>479</v>
      </c>
      <c r="Z9" s="15"/>
      <c r="AA9" s="15"/>
      <c r="AB9" s="15"/>
      <c r="AC9" s="15"/>
      <c r="AD9" s="15"/>
      <c r="AE9" s="15"/>
      <c r="AF9" s="15"/>
      <c r="AG9" s="15"/>
      <c r="AH9" s="15" t="str">
        <f t="shared" si="0"/>
        <v>281502864</v>
      </c>
      <c r="AI9" s="21" t="str">
        <f t="shared" si="1"/>
        <v>alp_vw_dv360_imc_dsy_lanch_nd_nc_nvs_nivus-launch-consideracao-orca__trafego_cpm_drct_all_320x50_lancamento-nivus-orca-affinity_na_lancamento-consideracao-nivus-orca_nvl-nvs-imc-dsy-0820-10009</v>
      </c>
      <c r="AJ9" s="40" t="str">
        <f t="shared" si="1"/>
        <v>alp_vw_dv360_imc_dsy_lanch_nd_nc_nvs_nivus-launch-consideracao-orca__trafego_cpm_drct_all_320x50_lancamento-nivus-orca-affinity_na_lancamento-consideracao-nivus-orca_nvl-nvs-imc-dsy-0820-10009</v>
      </c>
      <c r="AK9" s="21" t="str">
        <f t="shared" si="2"/>
        <v>vw_nivus_320x50_lancamento-consideracao-nivus-orca_adserver</v>
      </c>
      <c r="AL9" s="21" t="str">
        <f t="shared" si="22"/>
        <v>https://www.vw.com.br/pt/configurador.html/__app/%2Fnivus/0.app?adlid=nvl-nvs-imc-dsy-0820-10009&amp;adplt=alp_vw_dv360_imc_dsy_lanch_nd_nc_nvs_nivus-launch-consideracao-orca__trafego_cpm_drct_all_320x50_lancamento-nivus-orca-affinity_na_lancamento-consideracao-nivus-orca_nvl-nvs-imc-dsy-0820-10009</v>
      </c>
      <c r="AM9" s="21" t="str">
        <f t="shared" si="4"/>
        <v>TAG</v>
      </c>
      <c r="AN9" s="15" t="str">
        <f t="shared" si="23"/>
        <v>DV360</v>
      </c>
      <c r="AO9" s="15" t="str">
        <f t="shared" si="24"/>
        <v>Paid-Display</v>
      </c>
      <c r="AP9" s="21" t="str">
        <f>Campanha!$B$3</f>
        <v>BR_IMC_DSY_LANCH_ND_NC_2020Q3AUG_NVS_Nivus-Launch-Consideracao-Orca</v>
      </c>
      <c r="AQ9" s="21" t="str">
        <f t="shared" si="7"/>
        <v>alp_vw_dv360_imc_dsy_lanch_nd_nc_nvs_nivus-launch-consideracao-orca__trafego_cpm_drct_all_320x50_lancamento-nivus-orca-affinity_na_lancamento-consideracao-nivus-orca_nvl-nvs-imc-dsy-0820-10009</v>
      </c>
      <c r="AR9" s="15" t="s">
        <v>745</v>
      </c>
      <c r="AS9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affinity_na_lancamento-consideracao-nivus-orca_nvl-nvs-imc-dsy-0820-10009&amp;utm_campaign=BR_IMC_DSY_LANCH_ND_NC_2020Q3AUG_NVS_Nivus-Launch-Consideracao-Orca&amp;utm_term=%epid!_%ecid!_%eaid!</v>
      </c>
      <c r="AT9" s="15" t="str">
        <f t="shared" si="25"/>
        <v>other</v>
      </c>
      <c r="AU9" s="15" t="str">
        <f t="shared" si="10"/>
        <v>BR</v>
      </c>
      <c r="AV9" s="15" t="str">
        <f t="shared" si="26"/>
        <v>dv360</v>
      </c>
      <c r="AW9" s="15" t="str">
        <f t="shared" si="27"/>
        <v>dv360</v>
      </c>
      <c r="AX9" s="15" t="str">
        <f t="shared" si="13"/>
        <v>nivus-launch-consideracao-orca</v>
      </c>
      <c r="AY9" s="15" t="str">
        <f t="shared" si="28"/>
        <v>alp_vw_dv360_imc_dsy_lanch_nd_nc_nvs_nivus-launch-consideracao-orca__trafego_cpm_drct_all_320x50_lancamento-nivus-orca-affinity_na_lancamento-consideracao-nivus-orca_nvl-nvs-imc-dsy-0820-10009</v>
      </c>
      <c r="AZ9" s="15" t="str">
        <f t="shared" si="29"/>
        <v>320x50</v>
      </c>
      <c r="BA9" s="15" t="str">
        <f t="shared" si="30"/>
        <v>lancamento-consideracao-nivus-orca</v>
      </c>
      <c r="BB9" s="28" t="s">
        <v>798</v>
      </c>
      <c r="BC9" s="28" t="s">
        <v>798</v>
      </c>
      <c r="BD9" s="38" t="str">
        <f t="shared" si="31"/>
        <v>nvl-nvs-imc-dsy-0820-10009</v>
      </c>
      <c r="BE9" s="15" t="str">
        <f t="shared" si="32"/>
        <v>BR</v>
      </c>
      <c r="BF9" s="15" t="str">
        <f t="shared" si="33"/>
        <v>paid</v>
      </c>
      <c r="BG9" s="28"/>
      <c r="BH9" s="28"/>
      <c r="BI9" s="36" t="str">
        <f t="shared" si="18"/>
        <v>https://www.vw.com.br/pt/configurador.html/__app/%2Fnivus/0.app?adlid=nvl-nvs-imc-dsy-0820-10009&amp;adplt=alp_vw_dv360_imc_dsy_lanch_nd_nc_nvs_nivus-launch-consideracao-orca__trafego_cpm_drct_all_320x50_lancamento-nivus-orca-affinity_na_lancamento-consideracao-nivus-orca_nvl-nvs-imc-dsy-0820-10009</v>
      </c>
      <c r="BL9" t="str">
        <f t="shared" si="19"/>
        <v>alp_vw_dv360_imc_dsy_lanch_nd_nc_nvs_nivus-launch-consideracao-orca__trafego</v>
      </c>
      <c r="BM9" t="str">
        <f t="shared" si="20"/>
        <v>cpm_drct_all_320x50_lancamento-nivus-orca-affinity_na</v>
      </c>
      <c r="BN9" t="str">
        <f t="shared" si="21"/>
        <v>alp_vw_dv360_imc_dsy_lanch_nd_nc_nvs_nivus-launch-consideracao-orca__trafego_cpm_drct_all_320x50_lancamento-nivus-orca-affinity_na_generico_nvl-nvs-imc-dsy-0820-10009</v>
      </c>
    </row>
    <row r="10" spans="2:68" ht="15.75" customHeight="1" x14ac:dyDescent="0.25">
      <c r="B10" s="15" t="s">
        <v>1291</v>
      </c>
      <c r="C10" s="15" t="s">
        <v>1293</v>
      </c>
      <c r="D10" s="15"/>
      <c r="E10" s="22">
        <v>44069</v>
      </c>
      <c r="F10" s="22">
        <v>44135</v>
      </c>
      <c r="G10" s="15" t="s">
        <v>651</v>
      </c>
      <c r="H10" s="41" t="s">
        <v>1266</v>
      </c>
      <c r="I10" s="15" t="s">
        <v>801</v>
      </c>
      <c r="J10" s="42" t="s">
        <v>883</v>
      </c>
      <c r="K10" s="42" t="s">
        <v>883</v>
      </c>
      <c r="L10" s="15" t="s">
        <v>676</v>
      </c>
      <c r="M10" s="15" t="s">
        <v>276</v>
      </c>
      <c r="N10" s="15" t="s">
        <v>295</v>
      </c>
      <c r="O10" s="15" t="s">
        <v>677</v>
      </c>
      <c r="P10" s="15" t="str">
        <f>VLOOKUP(Y10,'All Codes'!$BF$3:$BG$278,2,FALSE)</f>
        <v>Leaderboard</v>
      </c>
      <c r="Q10" s="15" t="s">
        <v>179</v>
      </c>
      <c r="R10" s="15" t="s">
        <v>277</v>
      </c>
      <c r="S10" s="15" t="s">
        <v>865</v>
      </c>
      <c r="T10" s="46" t="s">
        <v>884</v>
      </c>
      <c r="U10" s="15" t="s">
        <v>876</v>
      </c>
      <c r="V10" s="47" t="s">
        <v>885</v>
      </c>
      <c r="W10" s="15" t="s">
        <v>866</v>
      </c>
      <c r="X10" s="15" t="s">
        <v>307</v>
      </c>
      <c r="Y10" s="46" t="s">
        <v>591</v>
      </c>
      <c r="Z10" s="15"/>
      <c r="AA10" s="15"/>
      <c r="AB10" s="15"/>
      <c r="AC10" s="15"/>
      <c r="AD10" s="15"/>
      <c r="AE10" s="15"/>
      <c r="AF10" s="15"/>
      <c r="AG10" s="15"/>
      <c r="AH10" s="15" t="str">
        <f t="shared" si="0"/>
        <v>281502858</v>
      </c>
      <c r="AI10" s="21" t="str">
        <f t="shared" si="1"/>
        <v>alp_vw_dv360_imc_dsy_lanch_nd_nc_nvs_nivus-launch-consideracao-orca__trafego_cpm_drct_all_728x90_lancamento-nivus-orca-affinity_na_lancamento-consideracao-nivus-orca_nvl-nvs-imc-dsy-0820-10010</v>
      </c>
      <c r="AJ10" s="40" t="str">
        <f t="shared" si="1"/>
        <v>alp_vw_dv360_imc_dsy_lanch_nd_nc_nvs_nivus-launch-consideracao-orca__trafego_cpm_drct_all_728x90_lancamento-nivus-orca-affinity_na_lancamento-consideracao-nivus-orca_nvl-nvs-imc-dsy-0820-10010</v>
      </c>
      <c r="AK10" s="21" t="str">
        <f t="shared" si="2"/>
        <v>vw_nivus_728x90_lancamento-consideracao-nivus-orca_adserver</v>
      </c>
      <c r="AL10" s="21" t="str">
        <f t="shared" si="22"/>
        <v>https://www.vw.com.br/pt/configurador.html/__app/%2Fnivus/0.app?adlid=nvl-nvs-imc-dsy-0820-10010&amp;adplt=alp_vw_dv360_imc_dsy_lanch_nd_nc_nvs_nivus-launch-consideracao-orca__trafego_cpm_drct_all_728x90_lancamento-nivus-orca-affinity_na_lancamento-consideracao-nivus-orca_nvl-nvs-imc-dsy-0820-10010</v>
      </c>
      <c r="AM10" s="21" t="str">
        <f t="shared" si="4"/>
        <v>TAG</v>
      </c>
      <c r="AN10" s="15" t="str">
        <f t="shared" si="23"/>
        <v>DV360</v>
      </c>
      <c r="AO10" s="15" t="str">
        <f t="shared" si="24"/>
        <v>Paid-Display</v>
      </c>
      <c r="AP10" s="21" t="str">
        <f>Campanha!$B$3</f>
        <v>BR_IMC_DSY_LANCH_ND_NC_2020Q3AUG_NVS_Nivus-Launch-Consideracao-Orca</v>
      </c>
      <c r="AQ10" s="21" t="str">
        <f t="shared" si="7"/>
        <v>alp_vw_dv360_imc_dsy_lanch_nd_nc_nvs_nivus-launch-consideracao-orca__trafego_cpm_drct_all_728x90_lancamento-nivus-orca-affinity_na_lancamento-consideracao-nivus-orca_nvl-nvs-imc-dsy-0820-10010</v>
      </c>
      <c r="AR10" s="15" t="s">
        <v>745</v>
      </c>
      <c r="AS10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affinity_na_lancamento-consideracao-nivus-orca_nvl-nvs-imc-dsy-0820-10010&amp;utm_campaign=BR_IMC_DSY_LANCH_ND_NC_2020Q3AUG_NVS_Nivus-Launch-Consideracao-Orca&amp;utm_term=%epid!_%ecid!_%eaid!</v>
      </c>
      <c r="AT10" s="15" t="str">
        <f t="shared" si="25"/>
        <v>other</v>
      </c>
      <c r="AU10" s="15" t="str">
        <f t="shared" si="10"/>
        <v>BR</v>
      </c>
      <c r="AV10" s="15" t="str">
        <f t="shared" si="26"/>
        <v>dv360</v>
      </c>
      <c r="AW10" s="15" t="str">
        <f t="shared" si="27"/>
        <v>dv360</v>
      </c>
      <c r="AX10" s="15" t="str">
        <f t="shared" si="13"/>
        <v>nivus-launch-consideracao-orca</v>
      </c>
      <c r="AY10" s="15" t="str">
        <f t="shared" si="28"/>
        <v>alp_vw_dv360_imc_dsy_lanch_nd_nc_nvs_nivus-launch-consideracao-orca__trafego_cpm_drct_all_728x90_lancamento-nivus-orca-affinity_na_lancamento-consideracao-nivus-orca_nvl-nvs-imc-dsy-0820-10010</v>
      </c>
      <c r="AZ10" s="15" t="str">
        <f t="shared" si="29"/>
        <v>728x90</v>
      </c>
      <c r="BA10" s="15" t="str">
        <f t="shared" si="30"/>
        <v>lancamento-consideracao-nivus-orca</v>
      </c>
      <c r="BB10" s="28" t="s">
        <v>798</v>
      </c>
      <c r="BC10" s="28" t="s">
        <v>798</v>
      </c>
      <c r="BD10" s="38" t="str">
        <f t="shared" si="31"/>
        <v>nvl-nvs-imc-dsy-0820-10010</v>
      </c>
      <c r="BE10" s="15" t="str">
        <f t="shared" si="32"/>
        <v>BR</v>
      </c>
      <c r="BF10" s="15" t="str">
        <f t="shared" si="33"/>
        <v>paid</v>
      </c>
      <c r="BG10" s="28"/>
      <c r="BH10" s="28"/>
      <c r="BI10" s="36" t="str">
        <f t="shared" si="18"/>
        <v>https://www.vw.com.br/pt/configurador.html/__app/%2Fnivus/0.app?adlid=nvl-nvs-imc-dsy-0820-10010&amp;adplt=alp_vw_dv360_imc_dsy_lanch_nd_nc_nvs_nivus-launch-consideracao-orca__trafego_cpm_drct_all_728x90_lancamento-nivus-orca-affinity_na_lancamento-consideracao-nivus-orca_nvl-nvs-imc-dsy-0820-10010</v>
      </c>
      <c r="BL10" t="str">
        <f t="shared" si="19"/>
        <v>alp_vw_dv360_imc_dsy_lanch_nd_nc_nvs_nivus-launch-consideracao-orca__trafego</v>
      </c>
      <c r="BM10" t="str">
        <f t="shared" si="20"/>
        <v>cpm_drct_all_728x90_lancamento-nivus-orca-affinity_na</v>
      </c>
      <c r="BN10" t="str">
        <f t="shared" si="21"/>
        <v>alp_vw_dv360_imc_dsy_lanch_nd_nc_nvs_nivus-launch-consideracao-orca__trafego_cpm_drct_all_728x90_lancamento-nivus-orca-affinity_na_generico_nvl-nvs-imc-dsy-0820-10010</v>
      </c>
    </row>
    <row r="11" spans="2:68" ht="15.75" customHeight="1" x14ac:dyDescent="0.25">
      <c r="B11" s="15" t="s">
        <v>1291</v>
      </c>
      <c r="C11" s="15" t="s">
        <v>1293</v>
      </c>
      <c r="D11" s="15"/>
      <c r="E11" s="22">
        <v>44069</v>
      </c>
      <c r="F11" s="22">
        <v>44135</v>
      </c>
      <c r="G11" s="15" t="s">
        <v>651</v>
      </c>
      <c r="H11" s="41" t="s">
        <v>1266</v>
      </c>
      <c r="I11" s="15" t="s">
        <v>801</v>
      </c>
      <c r="J11" s="42" t="s">
        <v>883</v>
      </c>
      <c r="K11" s="42" t="s">
        <v>883</v>
      </c>
      <c r="L11" s="15" t="s">
        <v>676</v>
      </c>
      <c r="M11" s="15" t="s">
        <v>276</v>
      </c>
      <c r="N11" s="15" t="s">
        <v>295</v>
      </c>
      <c r="O11" s="15" t="s">
        <v>677</v>
      </c>
      <c r="P11" s="15" t="str">
        <f>VLOOKUP(Y11,'All Codes'!$BF$3:$BG$278,2,FALSE)</f>
        <v>Leaderboard</v>
      </c>
      <c r="Q11" s="15" t="s">
        <v>179</v>
      </c>
      <c r="R11" s="15" t="s">
        <v>277</v>
      </c>
      <c r="S11" s="15" t="s">
        <v>865</v>
      </c>
      <c r="T11" s="46" t="s">
        <v>884</v>
      </c>
      <c r="U11" s="15" t="s">
        <v>876</v>
      </c>
      <c r="V11" s="47" t="s">
        <v>885</v>
      </c>
      <c r="W11" s="15" t="s">
        <v>866</v>
      </c>
      <c r="X11" s="15" t="s">
        <v>307</v>
      </c>
      <c r="Y11" s="46" t="s">
        <v>629</v>
      </c>
      <c r="Z11" s="15"/>
      <c r="AA11" s="15"/>
      <c r="AB11" s="15"/>
      <c r="AC11" s="15"/>
      <c r="AD11" s="15"/>
      <c r="AE11" s="15"/>
      <c r="AF11" s="15"/>
      <c r="AG11" s="15"/>
      <c r="AH11" s="15" t="str">
        <f t="shared" si="0"/>
        <v>281502852</v>
      </c>
      <c r="AI11" s="21" t="str">
        <f t="shared" si="1"/>
        <v>alp_vw_dv360_imc_dsy_lanch_nd_nc_nvs_nivus-launch-consideracao-orca__trafego_cpm_drct_all_970x250_lancamento-nivus-orca-affinity_na_lancamento-consideracao-nivus-orca_nvl-nvs-imc-dsy-0820-10011</v>
      </c>
      <c r="AJ11" s="40" t="str">
        <f t="shared" si="1"/>
        <v>alp_vw_dv360_imc_dsy_lanch_nd_nc_nvs_nivus-launch-consideracao-orca__trafego_cpm_drct_all_970x250_lancamento-nivus-orca-affinity_na_lancamento-consideracao-nivus-orca_nvl-nvs-imc-dsy-0820-10011</v>
      </c>
      <c r="AK11" s="21" t="str">
        <f t="shared" si="2"/>
        <v>vw_nivus_970x250_lancamento-consideracao-nivus-orca_adserver</v>
      </c>
      <c r="AL11" s="21" t="str">
        <f t="shared" si="22"/>
        <v>https://www.vw.com.br/pt/configurador.html/__app/%2Fnivus/0.app?adlid=nvl-nvs-imc-dsy-0820-10011&amp;adplt=alp_vw_dv360_imc_dsy_lanch_nd_nc_nvs_nivus-launch-consideracao-orca__trafego_cpm_drct_all_970x250_lancamento-nivus-orca-affinity_na_lancamento-consideracao-nivus-orca_nvl-nvs-imc-dsy-0820-10011</v>
      </c>
      <c r="AM11" s="21" t="str">
        <f t="shared" si="4"/>
        <v>TAG</v>
      </c>
      <c r="AN11" s="15" t="str">
        <f t="shared" si="23"/>
        <v>DV360</v>
      </c>
      <c r="AO11" s="15" t="str">
        <f t="shared" si="24"/>
        <v>Paid-Display</v>
      </c>
      <c r="AP11" s="21" t="str">
        <f>Campanha!$B$3</f>
        <v>BR_IMC_DSY_LANCH_ND_NC_2020Q3AUG_NVS_Nivus-Launch-Consideracao-Orca</v>
      </c>
      <c r="AQ11" s="21" t="str">
        <f t="shared" si="7"/>
        <v>alp_vw_dv360_imc_dsy_lanch_nd_nc_nvs_nivus-launch-consideracao-orca__trafego_cpm_drct_all_970x250_lancamento-nivus-orca-affinity_na_lancamento-consideracao-nivus-orca_nvl-nvs-imc-dsy-0820-10011</v>
      </c>
      <c r="AR11" s="15" t="s">
        <v>745</v>
      </c>
      <c r="AS11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affinity_na_lancamento-consideracao-nivus-orca_nvl-nvs-imc-dsy-0820-10011&amp;utm_campaign=BR_IMC_DSY_LANCH_ND_NC_2020Q3AUG_NVS_Nivus-Launch-Consideracao-Orca&amp;utm_term=%epid!_%ecid!_%eaid!</v>
      </c>
      <c r="AT11" s="15" t="str">
        <f t="shared" si="25"/>
        <v>other</v>
      </c>
      <c r="AU11" s="15" t="str">
        <f t="shared" si="10"/>
        <v>BR</v>
      </c>
      <c r="AV11" s="15" t="str">
        <f t="shared" si="26"/>
        <v>dv360</v>
      </c>
      <c r="AW11" s="15" t="str">
        <f t="shared" si="27"/>
        <v>dv360</v>
      </c>
      <c r="AX11" s="15" t="str">
        <f t="shared" si="13"/>
        <v>nivus-launch-consideracao-orca</v>
      </c>
      <c r="AY11" s="15" t="str">
        <f t="shared" si="28"/>
        <v>alp_vw_dv360_imc_dsy_lanch_nd_nc_nvs_nivus-launch-consideracao-orca__trafego_cpm_drct_all_970x250_lancamento-nivus-orca-affinity_na_lancamento-consideracao-nivus-orca_nvl-nvs-imc-dsy-0820-10011</v>
      </c>
      <c r="AZ11" s="15" t="str">
        <f t="shared" si="29"/>
        <v>970x250</v>
      </c>
      <c r="BA11" s="15" t="str">
        <f t="shared" si="30"/>
        <v>lancamento-consideracao-nivus-orca</v>
      </c>
      <c r="BB11" s="28" t="s">
        <v>798</v>
      </c>
      <c r="BC11" s="28" t="s">
        <v>798</v>
      </c>
      <c r="BD11" s="38" t="str">
        <f t="shared" si="31"/>
        <v>nvl-nvs-imc-dsy-0820-10011</v>
      </c>
      <c r="BE11" s="15" t="str">
        <f t="shared" si="32"/>
        <v>BR</v>
      </c>
      <c r="BF11" s="15" t="str">
        <f t="shared" si="33"/>
        <v>paid</v>
      </c>
      <c r="BG11" s="28"/>
      <c r="BH11" s="28"/>
      <c r="BI11" s="36" t="str">
        <f t="shared" si="18"/>
        <v>https://www.vw.com.br/pt/configurador.html/__app/%2Fnivus/0.app?adlid=nvl-nvs-imc-dsy-0820-10011&amp;adplt=alp_vw_dv360_imc_dsy_lanch_nd_nc_nvs_nivus-launch-consideracao-orca__trafego_cpm_drct_all_970x250_lancamento-nivus-orca-affinity_na_lancamento-consideracao-nivus-orca_nvl-nvs-imc-dsy-0820-10011</v>
      </c>
      <c r="BL11" t="str">
        <f t="shared" si="19"/>
        <v>alp_vw_dv360_imc_dsy_lanch_nd_nc_nvs_nivus-launch-consideracao-orca__trafego</v>
      </c>
      <c r="BM11" t="str">
        <f t="shared" si="20"/>
        <v>cpm_drct_all_970x250_lancamento-nivus-orca-affinity_na</v>
      </c>
      <c r="BN11" t="str">
        <f t="shared" si="21"/>
        <v>alp_vw_dv360_imc_dsy_lanch_nd_nc_nvs_nivus-launch-consideracao-orca__trafego_cpm_drct_all_970x250_lancamento-nivus-orca-affinity_na_generico_nvl-nvs-imc-dsy-0820-10011</v>
      </c>
    </row>
    <row r="12" spans="2:68" ht="15.75" customHeight="1" x14ac:dyDescent="0.25">
      <c r="B12" s="15" t="s">
        <v>1291</v>
      </c>
      <c r="C12" s="15" t="s">
        <v>1293</v>
      </c>
      <c r="D12" s="15"/>
      <c r="E12" s="22">
        <v>44069</v>
      </c>
      <c r="F12" s="22">
        <v>44135</v>
      </c>
      <c r="G12" s="15" t="s">
        <v>651</v>
      </c>
      <c r="H12" s="41" t="s">
        <v>1266</v>
      </c>
      <c r="I12" s="15" t="s">
        <v>801</v>
      </c>
      <c r="J12" s="42" t="s">
        <v>883</v>
      </c>
      <c r="K12" s="42" t="s">
        <v>883</v>
      </c>
      <c r="L12" s="15" t="s">
        <v>676</v>
      </c>
      <c r="M12" s="15" t="s">
        <v>276</v>
      </c>
      <c r="N12" s="15" t="s">
        <v>295</v>
      </c>
      <c r="O12" s="15" t="s">
        <v>677</v>
      </c>
      <c r="P12" s="15" t="str">
        <f>VLOOKUP(Y12,'All Codes'!$BF$3:$BG$278,2,FALSE)</f>
        <v>MPU</v>
      </c>
      <c r="Q12" s="15" t="s">
        <v>179</v>
      </c>
      <c r="R12" s="15" t="s">
        <v>277</v>
      </c>
      <c r="S12" s="15" t="s">
        <v>865</v>
      </c>
      <c r="T12" s="46" t="s">
        <v>884</v>
      </c>
      <c r="U12" s="15" t="s">
        <v>876</v>
      </c>
      <c r="V12" s="48" t="s">
        <v>886</v>
      </c>
      <c r="W12" s="15" t="s">
        <v>866</v>
      </c>
      <c r="X12" s="15" t="s">
        <v>307</v>
      </c>
      <c r="Y12" s="46" t="s">
        <v>461</v>
      </c>
      <c r="Z12" s="15"/>
      <c r="AA12" s="15"/>
      <c r="AB12" s="15"/>
      <c r="AC12" s="15"/>
      <c r="AD12" s="15"/>
      <c r="AE12" s="15"/>
      <c r="AF12" s="15"/>
      <c r="AG12" s="15"/>
      <c r="AH12" s="15" t="str">
        <f t="shared" si="0"/>
        <v>281502846</v>
      </c>
      <c r="AI12" s="21" t="str">
        <f t="shared" si="1"/>
        <v>alp_vw_dv360_imc_dsy_lanch_nd_nc_nvs_nivus-launch-consideracao-orca__trafego_cpm_drct_all_300x50_lancamento-nivus-orca-keywords_na_lancamento-consideracao-nivus-orca_nvl-nvs-imc-dsy-0820-10012</v>
      </c>
      <c r="AJ12" s="40" t="str">
        <f t="shared" si="1"/>
        <v>alp_vw_dv360_imc_dsy_lanch_nd_nc_nvs_nivus-launch-consideracao-orca__trafego_cpm_drct_all_300x50_lancamento-nivus-orca-keywords_na_lancamento-consideracao-nivus-orca_nvl-nvs-imc-dsy-0820-10012</v>
      </c>
      <c r="AK12" s="21" t="str">
        <f t="shared" si="2"/>
        <v>vw_nivus_300x50_lancamento-consideracao-nivus-orca_adserver</v>
      </c>
      <c r="AL12" s="21" t="str">
        <f t="shared" si="22"/>
        <v>https://www.vw.com.br/pt/configurador.html/__app/%2Fnivus/0.app?adlid=nvl-nvs-imc-dsy-0820-10012&amp;adplt=alp_vw_dv360_imc_dsy_lanch_nd_nc_nvs_nivus-launch-consideracao-orca__trafego_cpm_drct_all_300x50_lancamento-nivus-orca-keywords_na_lancamento-consideracao-nivus-orca_nvl-nvs-imc-dsy-0820-10012</v>
      </c>
      <c r="AM12" s="21" t="str">
        <f t="shared" si="4"/>
        <v>TAG</v>
      </c>
      <c r="AN12" s="15" t="str">
        <f t="shared" si="23"/>
        <v>DV360</v>
      </c>
      <c r="AO12" s="15" t="str">
        <f t="shared" si="24"/>
        <v>Paid-Display</v>
      </c>
      <c r="AP12" s="21" t="str">
        <f>Campanha!$B$3</f>
        <v>BR_IMC_DSY_LANCH_ND_NC_2020Q3AUG_NVS_Nivus-Launch-Consideracao-Orca</v>
      </c>
      <c r="AQ12" s="21" t="str">
        <f t="shared" si="7"/>
        <v>alp_vw_dv360_imc_dsy_lanch_nd_nc_nvs_nivus-launch-consideracao-orca__trafego_cpm_drct_all_300x50_lancamento-nivus-orca-keywords_na_lancamento-consideracao-nivus-orca_nvl-nvs-imc-dsy-0820-10012</v>
      </c>
      <c r="AR12" s="15" t="s">
        <v>745</v>
      </c>
      <c r="AS12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keywords_na_lancamento-consideracao-nivus-orca_nvl-nvs-imc-dsy-0820-10012&amp;utm_campaign=BR_IMC_DSY_LANCH_ND_NC_2020Q3AUG_NVS_Nivus-Launch-Consideracao-Orca&amp;utm_term=%epid!_%ecid!_%eaid!</v>
      </c>
      <c r="AT12" s="15" t="str">
        <f t="shared" si="25"/>
        <v>other</v>
      </c>
      <c r="AU12" s="15" t="str">
        <f t="shared" si="10"/>
        <v>BR</v>
      </c>
      <c r="AV12" s="15" t="str">
        <f t="shared" si="26"/>
        <v>dv360</v>
      </c>
      <c r="AW12" s="15" t="str">
        <f t="shared" si="27"/>
        <v>dv360</v>
      </c>
      <c r="AX12" s="15" t="str">
        <f t="shared" si="13"/>
        <v>nivus-launch-consideracao-orca</v>
      </c>
      <c r="AY12" s="15" t="str">
        <f t="shared" si="28"/>
        <v>alp_vw_dv360_imc_dsy_lanch_nd_nc_nvs_nivus-launch-consideracao-orca__trafego_cpm_drct_all_300x50_lancamento-nivus-orca-keywords_na_lancamento-consideracao-nivus-orca_nvl-nvs-imc-dsy-0820-10012</v>
      </c>
      <c r="AZ12" s="15" t="str">
        <f t="shared" si="29"/>
        <v>300x50</v>
      </c>
      <c r="BA12" s="15" t="str">
        <f t="shared" si="30"/>
        <v>lancamento-consideracao-nivus-orca</v>
      </c>
      <c r="BB12" s="28" t="s">
        <v>798</v>
      </c>
      <c r="BC12" s="28" t="s">
        <v>798</v>
      </c>
      <c r="BD12" s="38" t="str">
        <f t="shared" si="31"/>
        <v>nvl-nvs-imc-dsy-0820-10012</v>
      </c>
      <c r="BE12" s="15" t="str">
        <f t="shared" si="32"/>
        <v>BR</v>
      </c>
      <c r="BF12" s="15" t="str">
        <f t="shared" si="33"/>
        <v>paid</v>
      </c>
      <c r="BG12" s="28"/>
      <c r="BH12" s="28"/>
      <c r="BI12" s="36" t="str">
        <f t="shared" si="18"/>
        <v>https://www.vw.com.br/pt/configurador.html/__app/%2Fnivus/0.app?adlid=nvl-nvs-imc-dsy-0820-10012&amp;adplt=alp_vw_dv360_imc_dsy_lanch_nd_nc_nvs_nivus-launch-consideracao-orca__trafego_cpm_drct_all_300x50_lancamento-nivus-orca-keywords_na_lancamento-consideracao-nivus-orca_nvl-nvs-imc-dsy-0820-10012</v>
      </c>
      <c r="BL12" t="str">
        <f t="shared" si="19"/>
        <v>alp_vw_dv360_imc_dsy_lanch_nd_nc_nvs_nivus-launch-consideracao-orca__trafego</v>
      </c>
      <c r="BM12" t="str">
        <f t="shared" si="20"/>
        <v>cpm_drct_all_300x50_lancamento-nivus-orca-keywords_na</v>
      </c>
      <c r="BN12" t="str">
        <f t="shared" si="21"/>
        <v>alp_vw_dv360_imc_dsy_lanch_nd_nc_nvs_nivus-launch-consideracao-orca__trafego_cpm_drct_all_300x50_lancamento-nivus-orca-keywords_na_generico_nvl-nvs-imc-dsy-0820-10012</v>
      </c>
    </row>
    <row r="13" spans="2:68" ht="15.75" customHeight="1" x14ac:dyDescent="0.25">
      <c r="B13" s="15" t="s">
        <v>1291</v>
      </c>
      <c r="C13" s="15" t="s">
        <v>1293</v>
      </c>
      <c r="D13" s="15"/>
      <c r="E13" s="22">
        <v>44069</v>
      </c>
      <c r="F13" s="22">
        <v>44135</v>
      </c>
      <c r="G13" s="15" t="s">
        <v>651</v>
      </c>
      <c r="H13" s="41" t="s">
        <v>1266</v>
      </c>
      <c r="I13" s="15" t="s">
        <v>801</v>
      </c>
      <c r="J13" s="42" t="s">
        <v>883</v>
      </c>
      <c r="K13" s="42" t="s">
        <v>883</v>
      </c>
      <c r="L13" s="15" t="s">
        <v>676</v>
      </c>
      <c r="M13" s="15" t="s">
        <v>276</v>
      </c>
      <c r="N13" s="15" t="s">
        <v>295</v>
      </c>
      <c r="O13" s="15" t="s">
        <v>677</v>
      </c>
      <c r="P13" s="15" t="str">
        <f>VLOOKUP(Y13,'All Codes'!$BF$3:$BG$278,2,FALSE)</f>
        <v>Skyscraper</v>
      </c>
      <c r="Q13" s="15" t="s">
        <v>179</v>
      </c>
      <c r="R13" s="15" t="s">
        <v>277</v>
      </c>
      <c r="S13" s="15" t="s">
        <v>865</v>
      </c>
      <c r="T13" s="46" t="s">
        <v>884</v>
      </c>
      <c r="U13" s="15" t="s">
        <v>876</v>
      </c>
      <c r="V13" s="48" t="s">
        <v>886</v>
      </c>
      <c r="W13" s="15" t="s">
        <v>866</v>
      </c>
      <c r="X13" s="15" t="s">
        <v>307</v>
      </c>
      <c r="Y13" s="46" t="s">
        <v>434</v>
      </c>
      <c r="Z13" s="15"/>
      <c r="AA13" s="15"/>
      <c r="AB13" s="15"/>
      <c r="AC13" s="15"/>
      <c r="AD13" s="15"/>
      <c r="AE13" s="15"/>
      <c r="AF13" s="15"/>
      <c r="AG13" s="15"/>
      <c r="AH13" s="15" t="str">
        <f t="shared" si="0"/>
        <v>281502840</v>
      </c>
      <c r="AI13" s="21" t="str">
        <f t="shared" si="1"/>
        <v>alp_vw_dv360_imc_dsy_lanch_nd_nc_nvs_nivus-launch-consideracao-orca__trafego_cpm_drct_all_160x600_lancamento-nivus-orca-keywords_na_lancamento-consideracao-nivus-orca_nvl-nvs-imc-dsy-0820-10013</v>
      </c>
      <c r="AJ13" s="40" t="str">
        <f t="shared" si="1"/>
        <v>alp_vw_dv360_imc_dsy_lanch_nd_nc_nvs_nivus-launch-consideracao-orca__trafego_cpm_drct_all_160x600_lancamento-nivus-orca-keywords_na_lancamento-consideracao-nivus-orca_nvl-nvs-imc-dsy-0820-10013</v>
      </c>
      <c r="AK13" s="21" t="str">
        <f t="shared" si="2"/>
        <v>vw_nivus_160x600_lancamento-consideracao-nivus-orca_adserver</v>
      </c>
      <c r="AL13" s="21" t="str">
        <f t="shared" si="22"/>
        <v>https://www.vw.com.br/pt/configurador.html/__app/%2Fnivus/0.app?adlid=nvl-nvs-imc-dsy-0820-10013&amp;adplt=alp_vw_dv360_imc_dsy_lanch_nd_nc_nvs_nivus-launch-consideracao-orca__trafego_cpm_drct_all_160x600_lancamento-nivus-orca-keywords_na_lancamento-consideracao-nivus-orca_nvl-nvs-imc-dsy-0820-10013</v>
      </c>
      <c r="AM13" s="21" t="str">
        <f t="shared" si="4"/>
        <v>TAG</v>
      </c>
      <c r="AN13" s="15" t="str">
        <f t="shared" si="23"/>
        <v>DV360</v>
      </c>
      <c r="AO13" s="15" t="str">
        <f t="shared" si="24"/>
        <v>Paid-Display</v>
      </c>
      <c r="AP13" s="21" t="str">
        <f>Campanha!$B$3</f>
        <v>BR_IMC_DSY_LANCH_ND_NC_2020Q3AUG_NVS_Nivus-Launch-Consideracao-Orca</v>
      </c>
      <c r="AQ13" s="21" t="str">
        <f t="shared" si="7"/>
        <v>alp_vw_dv360_imc_dsy_lanch_nd_nc_nvs_nivus-launch-consideracao-orca__trafego_cpm_drct_all_160x600_lancamento-nivus-orca-keywords_na_lancamento-consideracao-nivus-orca_nvl-nvs-imc-dsy-0820-10013</v>
      </c>
      <c r="AR13" s="15" t="s">
        <v>745</v>
      </c>
      <c r="AS13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keywords_na_lancamento-consideracao-nivus-orca_nvl-nvs-imc-dsy-0820-10013&amp;utm_campaign=BR_IMC_DSY_LANCH_ND_NC_2020Q3AUG_NVS_Nivus-Launch-Consideracao-Orca&amp;utm_term=%epid!_%ecid!_%eaid!</v>
      </c>
      <c r="AT13" s="15" t="str">
        <f t="shared" si="25"/>
        <v>other</v>
      </c>
      <c r="AU13" s="15" t="str">
        <f t="shared" si="10"/>
        <v>BR</v>
      </c>
      <c r="AV13" s="15" t="str">
        <f t="shared" si="26"/>
        <v>dv360</v>
      </c>
      <c r="AW13" s="15" t="str">
        <f t="shared" si="27"/>
        <v>dv360</v>
      </c>
      <c r="AX13" s="15" t="str">
        <f t="shared" si="13"/>
        <v>nivus-launch-consideracao-orca</v>
      </c>
      <c r="AY13" s="15" t="str">
        <f t="shared" si="28"/>
        <v>alp_vw_dv360_imc_dsy_lanch_nd_nc_nvs_nivus-launch-consideracao-orca__trafego_cpm_drct_all_160x600_lancamento-nivus-orca-keywords_na_lancamento-consideracao-nivus-orca_nvl-nvs-imc-dsy-0820-10013</v>
      </c>
      <c r="AZ13" s="15" t="str">
        <f t="shared" si="29"/>
        <v>160x600</v>
      </c>
      <c r="BA13" s="15" t="str">
        <f t="shared" si="30"/>
        <v>lancamento-consideracao-nivus-orca</v>
      </c>
      <c r="BB13" s="28" t="s">
        <v>798</v>
      </c>
      <c r="BC13" s="28" t="s">
        <v>798</v>
      </c>
      <c r="BD13" s="38" t="str">
        <f t="shared" si="31"/>
        <v>nvl-nvs-imc-dsy-0820-10013</v>
      </c>
      <c r="BE13" s="15" t="str">
        <f t="shared" si="32"/>
        <v>BR</v>
      </c>
      <c r="BF13" s="15" t="str">
        <f t="shared" si="33"/>
        <v>paid</v>
      </c>
      <c r="BG13" s="28"/>
      <c r="BH13" s="28"/>
      <c r="BI13" s="36" t="str">
        <f t="shared" si="18"/>
        <v>https://www.vw.com.br/pt/configurador.html/__app/%2Fnivus/0.app?adlid=nvl-nvs-imc-dsy-0820-10013&amp;adplt=alp_vw_dv360_imc_dsy_lanch_nd_nc_nvs_nivus-launch-consideracao-orca__trafego_cpm_drct_all_160x600_lancamento-nivus-orca-keywords_na_lancamento-consideracao-nivus-orca_nvl-nvs-imc-dsy-0820-10013</v>
      </c>
      <c r="BL13" t="str">
        <f t="shared" si="19"/>
        <v>alp_vw_dv360_imc_dsy_lanch_nd_nc_nvs_nivus-launch-consideracao-orca__trafego</v>
      </c>
      <c r="BM13" t="str">
        <f t="shared" si="20"/>
        <v>cpm_drct_all_160x600_lancamento-nivus-orca-keywords_na</v>
      </c>
      <c r="BN13" t="str">
        <f t="shared" si="21"/>
        <v>alp_vw_dv360_imc_dsy_lanch_nd_nc_nvs_nivus-launch-consideracao-orca__trafego_cpm_drct_all_160x600_lancamento-nivus-orca-keywords_na_generico_nvl-nvs-imc-dsy-0820-10013</v>
      </c>
    </row>
    <row r="14" spans="2:68" ht="15.75" customHeight="1" x14ac:dyDescent="0.25">
      <c r="B14" s="15" t="s">
        <v>1291</v>
      </c>
      <c r="C14" s="15" t="s">
        <v>1293</v>
      </c>
      <c r="D14" s="15"/>
      <c r="E14" s="22">
        <v>44069</v>
      </c>
      <c r="F14" s="22">
        <v>44135</v>
      </c>
      <c r="G14" s="15" t="s">
        <v>651</v>
      </c>
      <c r="H14" s="41" t="s">
        <v>1266</v>
      </c>
      <c r="I14" s="15" t="s">
        <v>801</v>
      </c>
      <c r="J14" s="42" t="s">
        <v>883</v>
      </c>
      <c r="K14" s="42" t="s">
        <v>883</v>
      </c>
      <c r="L14" s="15" t="s">
        <v>676</v>
      </c>
      <c r="M14" s="15" t="s">
        <v>276</v>
      </c>
      <c r="N14" s="15" t="s">
        <v>295</v>
      </c>
      <c r="O14" s="15" t="s">
        <v>677</v>
      </c>
      <c r="P14" s="15" t="str">
        <f>VLOOKUP(Y14,'All Codes'!$BF$3:$BG$278,2,FALSE)</f>
        <v>MPU</v>
      </c>
      <c r="Q14" s="15" t="s">
        <v>179</v>
      </c>
      <c r="R14" s="15" t="s">
        <v>277</v>
      </c>
      <c r="S14" s="15" t="s">
        <v>865</v>
      </c>
      <c r="T14" s="46" t="s">
        <v>884</v>
      </c>
      <c r="U14" s="15" t="s">
        <v>876</v>
      </c>
      <c r="V14" s="48" t="s">
        <v>886</v>
      </c>
      <c r="W14" s="15" t="s">
        <v>866</v>
      </c>
      <c r="X14" s="15" t="s">
        <v>307</v>
      </c>
      <c r="Y14" s="46" t="s">
        <v>455</v>
      </c>
      <c r="Z14" s="15"/>
      <c r="AA14" s="15"/>
      <c r="AB14" s="15"/>
      <c r="AC14" s="15"/>
      <c r="AD14" s="15"/>
      <c r="AE14" s="15"/>
      <c r="AF14" s="15"/>
      <c r="AG14" s="15"/>
      <c r="AH14" s="15" t="str">
        <f t="shared" si="0"/>
        <v>281502834</v>
      </c>
      <c r="AI14" s="21" t="str">
        <f t="shared" si="1"/>
        <v>alp_vw_dv360_imc_dsy_lanch_nd_nc_nvs_nivus-launch-consideracao-orca__trafego_cpm_drct_all_300x250_lancamento-nivus-orca-keywords_na_lancamento-consideracao-nivus-orca_nvl-nvs-imc-dsy-0820-10014</v>
      </c>
      <c r="AJ14" s="40" t="str">
        <f t="shared" si="1"/>
        <v>alp_vw_dv360_imc_dsy_lanch_nd_nc_nvs_nivus-launch-consideracao-orca__trafego_cpm_drct_all_300x250_lancamento-nivus-orca-keywords_na_lancamento-consideracao-nivus-orca_nvl-nvs-imc-dsy-0820-10014</v>
      </c>
      <c r="AK14" s="21" t="str">
        <f t="shared" si="2"/>
        <v>vw_nivus_300x250_lancamento-consideracao-nivus-orca_adserver</v>
      </c>
      <c r="AL14" s="21" t="str">
        <f t="shared" si="22"/>
        <v>https://www.vw.com.br/pt/configurador.html/__app/%2Fnivus/0.app?adlid=nvl-nvs-imc-dsy-0820-10014&amp;adplt=alp_vw_dv360_imc_dsy_lanch_nd_nc_nvs_nivus-launch-consideracao-orca__trafego_cpm_drct_all_300x250_lancamento-nivus-orca-keywords_na_lancamento-consideracao-nivus-orca_nvl-nvs-imc-dsy-0820-10014</v>
      </c>
      <c r="AM14" s="21" t="str">
        <f t="shared" si="4"/>
        <v>TAG</v>
      </c>
      <c r="AN14" s="15" t="str">
        <f t="shared" si="23"/>
        <v>DV360</v>
      </c>
      <c r="AO14" s="15" t="str">
        <f t="shared" si="24"/>
        <v>Paid-Display</v>
      </c>
      <c r="AP14" s="21" t="str">
        <f>Campanha!$B$3</f>
        <v>BR_IMC_DSY_LANCH_ND_NC_2020Q3AUG_NVS_Nivus-Launch-Consideracao-Orca</v>
      </c>
      <c r="AQ14" s="21" t="str">
        <f t="shared" si="7"/>
        <v>alp_vw_dv360_imc_dsy_lanch_nd_nc_nvs_nivus-launch-consideracao-orca__trafego_cpm_drct_all_300x250_lancamento-nivus-orca-keywords_na_lancamento-consideracao-nivus-orca_nvl-nvs-imc-dsy-0820-10014</v>
      </c>
      <c r="AR14" s="15" t="s">
        <v>745</v>
      </c>
      <c r="AS14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keywords_na_lancamento-consideracao-nivus-orca_nvl-nvs-imc-dsy-0820-10014&amp;utm_campaign=BR_IMC_DSY_LANCH_ND_NC_2020Q3AUG_NVS_Nivus-Launch-Consideracao-Orca&amp;utm_term=%epid!_%ecid!_%eaid!</v>
      </c>
      <c r="AT14" s="15" t="str">
        <f t="shared" si="25"/>
        <v>other</v>
      </c>
      <c r="AU14" s="15" t="str">
        <f t="shared" si="10"/>
        <v>BR</v>
      </c>
      <c r="AV14" s="15" t="str">
        <f t="shared" si="26"/>
        <v>dv360</v>
      </c>
      <c r="AW14" s="15" t="str">
        <f t="shared" si="27"/>
        <v>dv360</v>
      </c>
      <c r="AX14" s="15" t="str">
        <f t="shared" si="13"/>
        <v>nivus-launch-consideracao-orca</v>
      </c>
      <c r="AY14" s="15" t="str">
        <f t="shared" si="28"/>
        <v>alp_vw_dv360_imc_dsy_lanch_nd_nc_nvs_nivus-launch-consideracao-orca__trafego_cpm_drct_all_300x250_lancamento-nivus-orca-keywords_na_lancamento-consideracao-nivus-orca_nvl-nvs-imc-dsy-0820-10014</v>
      </c>
      <c r="AZ14" s="15" t="str">
        <f t="shared" si="29"/>
        <v>300x250</v>
      </c>
      <c r="BA14" s="15" t="str">
        <f t="shared" si="30"/>
        <v>lancamento-consideracao-nivus-orca</v>
      </c>
      <c r="BB14" s="28" t="s">
        <v>798</v>
      </c>
      <c r="BC14" s="28" t="s">
        <v>798</v>
      </c>
      <c r="BD14" s="38" t="str">
        <f t="shared" si="31"/>
        <v>nvl-nvs-imc-dsy-0820-10014</v>
      </c>
      <c r="BE14" s="15" t="str">
        <f t="shared" si="32"/>
        <v>BR</v>
      </c>
      <c r="BF14" s="15" t="str">
        <f t="shared" si="33"/>
        <v>paid</v>
      </c>
      <c r="BG14" s="28"/>
      <c r="BH14" s="28"/>
      <c r="BI14" s="36" t="str">
        <f t="shared" si="18"/>
        <v>https://www.vw.com.br/pt/configurador.html/__app/%2Fnivus/0.app?adlid=nvl-nvs-imc-dsy-0820-10014&amp;adplt=alp_vw_dv360_imc_dsy_lanch_nd_nc_nvs_nivus-launch-consideracao-orca__trafego_cpm_drct_all_300x250_lancamento-nivus-orca-keywords_na_lancamento-consideracao-nivus-orca_nvl-nvs-imc-dsy-0820-10014</v>
      </c>
      <c r="BL14" t="str">
        <f t="shared" si="19"/>
        <v>alp_vw_dv360_imc_dsy_lanch_nd_nc_nvs_nivus-launch-consideracao-orca__trafego</v>
      </c>
      <c r="BM14" t="str">
        <f t="shared" si="20"/>
        <v>cpm_drct_all_300x250_lancamento-nivus-orca-keywords_na</v>
      </c>
      <c r="BN14" t="str">
        <f t="shared" si="21"/>
        <v>alp_vw_dv360_imc_dsy_lanch_nd_nc_nvs_nivus-launch-consideracao-orca__trafego_cpm_drct_all_300x250_lancamento-nivus-orca-keywords_na_generico_nvl-nvs-imc-dsy-0820-10014</v>
      </c>
    </row>
    <row r="15" spans="2:68" ht="15.75" customHeight="1" x14ac:dyDescent="0.25">
      <c r="B15" s="15" t="s">
        <v>1291</v>
      </c>
      <c r="C15" s="15" t="s">
        <v>1293</v>
      </c>
      <c r="D15" s="15"/>
      <c r="E15" s="22">
        <v>44069</v>
      </c>
      <c r="F15" s="22">
        <v>44135</v>
      </c>
      <c r="G15" s="15" t="s">
        <v>651</v>
      </c>
      <c r="H15" s="41" t="s">
        <v>1266</v>
      </c>
      <c r="I15" s="15" t="s">
        <v>801</v>
      </c>
      <c r="J15" s="42" t="s">
        <v>883</v>
      </c>
      <c r="K15" s="42" t="s">
        <v>883</v>
      </c>
      <c r="L15" s="15" t="s">
        <v>676</v>
      </c>
      <c r="M15" s="15" t="s">
        <v>276</v>
      </c>
      <c r="N15" s="15" t="s">
        <v>295</v>
      </c>
      <c r="O15" s="15" t="s">
        <v>677</v>
      </c>
      <c r="P15" s="15" t="str">
        <f>VLOOKUP(Y15,'All Codes'!$BF$3:$BG$278,2,FALSE)</f>
        <v>Skyscraper</v>
      </c>
      <c r="Q15" s="15" t="s">
        <v>179</v>
      </c>
      <c r="R15" s="15" t="s">
        <v>277</v>
      </c>
      <c r="S15" s="15" t="s">
        <v>865</v>
      </c>
      <c r="T15" s="46" t="s">
        <v>884</v>
      </c>
      <c r="U15" s="15" t="s">
        <v>876</v>
      </c>
      <c r="V15" s="48" t="s">
        <v>886</v>
      </c>
      <c r="W15" s="15" t="s">
        <v>866</v>
      </c>
      <c r="X15" s="15" t="s">
        <v>307</v>
      </c>
      <c r="Y15" s="46" t="s">
        <v>464</v>
      </c>
      <c r="Z15" s="15"/>
      <c r="AA15" s="15"/>
      <c r="AB15" s="15"/>
      <c r="AC15" s="15"/>
      <c r="AD15" s="15"/>
      <c r="AE15" s="15"/>
      <c r="AF15" s="15"/>
      <c r="AG15" s="15"/>
      <c r="AH15" s="15" t="str">
        <f t="shared" ref="AH15:AH58" si="34">VLOOKUP(AI15,id_placement,2,FALSE)</f>
        <v>281502828</v>
      </c>
      <c r="AI15" s="21" t="str">
        <f t="shared" si="1"/>
        <v>alp_vw_dv360_imc_dsy_lanch_nd_nc_nvs_nivus-launch-consideracao-orca__trafego_cpm_drct_all_300x600_lancamento-nivus-orca-keywords_na_lancamento-consideracao-nivus-orca_nvl-nvs-imc-dsy-0820-10015</v>
      </c>
      <c r="AJ15" s="40" t="str">
        <f t="shared" si="1"/>
        <v>alp_vw_dv360_imc_dsy_lanch_nd_nc_nvs_nivus-launch-consideracao-orca__trafego_cpm_drct_all_300x600_lancamento-nivus-orca-keywords_na_lancamento-consideracao-nivus-orca_nvl-nvs-imc-dsy-0820-10015</v>
      </c>
      <c r="AK15" s="21" t="str">
        <f t="shared" si="2"/>
        <v>vw_nivus_300x600_lancamento-consideracao-nivus-orca_adserver</v>
      </c>
      <c r="AL15" s="21" t="str">
        <f t="shared" si="22"/>
        <v>https://www.vw.com.br/pt/configurador.html/__app/%2Fnivus/0.app?adlid=nvl-nvs-imc-dsy-0820-10015&amp;adplt=alp_vw_dv360_imc_dsy_lanch_nd_nc_nvs_nivus-launch-consideracao-orca__trafego_cpm_drct_all_300x600_lancamento-nivus-orca-keywords_na_lancamento-consideracao-nivus-orca_nvl-nvs-imc-dsy-0820-10015</v>
      </c>
      <c r="AM15" s="21" t="str">
        <f t="shared" si="4"/>
        <v>TAG</v>
      </c>
      <c r="AN15" s="15" t="str">
        <f t="shared" si="23"/>
        <v>DV360</v>
      </c>
      <c r="AO15" s="15" t="str">
        <f t="shared" si="24"/>
        <v>Paid-Display</v>
      </c>
      <c r="AP15" s="21" t="str">
        <f>Campanha!$B$3</f>
        <v>BR_IMC_DSY_LANCH_ND_NC_2020Q3AUG_NVS_Nivus-Launch-Consideracao-Orca</v>
      </c>
      <c r="AQ15" s="21" t="str">
        <f t="shared" si="7"/>
        <v>alp_vw_dv360_imc_dsy_lanch_nd_nc_nvs_nivus-launch-consideracao-orca__trafego_cpm_drct_all_300x600_lancamento-nivus-orca-keywords_na_lancamento-consideracao-nivus-orca_nvl-nvs-imc-dsy-0820-10015</v>
      </c>
      <c r="AR15" s="15" t="s">
        <v>745</v>
      </c>
      <c r="AS15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keywords_na_lancamento-consideracao-nivus-orca_nvl-nvs-imc-dsy-0820-10015&amp;utm_campaign=BR_IMC_DSY_LANCH_ND_NC_2020Q3AUG_NVS_Nivus-Launch-Consideracao-Orca&amp;utm_term=%epid!_%ecid!_%eaid!</v>
      </c>
      <c r="AT15" s="15" t="str">
        <f t="shared" si="25"/>
        <v>other</v>
      </c>
      <c r="AU15" s="15" t="str">
        <f t="shared" si="10"/>
        <v>BR</v>
      </c>
      <c r="AV15" s="15" t="str">
        <f t="shared" si="26"/>
        <v>dv360</v>
      </c>
      <c r="AW15" s="15" t="str">
        <f t="shared" si="27"/>
        <v>dv360</v>
      </c>
      <c r="AX15" s="15" t="str">
        <f t="shared" si="13"/>
        <v>nivus-launch-consideracao-orca</v>
      </c>
      <c r="AY15" s="15" t="str">
        <f t="shared" si="28"/>
        <v>alp_vw_dv360_imc_dsy_lanch_nd_nc_nvs_nivus-launch-consideracao-orca__trafego_cpm_drct_all_300x600_lancamento-nivus-orca-keywords_na_lancamento-consideracao-nivus-orca_nvl-nvs-imc-dsy-0820-10015</v>
      </c>
      <c r="AZ15" s="15" t="str">
        <f t="shared" si="29"/>
        <v>300x600</v>
      </c>
      <c r="BA15" s="15" t="str">
        <f t="shared" si="30"/>
        <v>lancamento-consideracao-nivus-orca</v>
      </c>
      <c r="BB15" s="28" t="s">
        <v>798</v>
      </c>
      <c r="BC15" s="28" t="s">
        <v>798</v>
      </c>
      <c r="BD15" s="38" t="str">
        <f t="shared" si="31"/>
        <v>nvl-nvs-imc-dsy-0820-10015</v>
      </c>
      <c r="BE15" s="15" t="str">
        <f t="shared" si="32"/>
        <v>BR</v>
      </c>
      <c r="BF15" s="15" t="str">
        <f t="shared" si="33"/>
        <v>paid</v>
      </c>
      <c r="BG15" s="28"/>
      <c r="BH15" s="28"/>
      <c r="BI15" s="36" t="str">
        <f t="shared" si="18"/>
        <v>https://www.vw.com.br/pt/configurador.html/__app/%2Fnivus/0.app?adlid=nvl-nvs-imc-dsy-0820-10015&amp;adplt=alp_vw_dv360_imc_dsy_lanch_nd_nc_nvs_nivus-launch-consideracao-orca__trafego_cpm_drct_all_300x600_lancamento-nivus-orca-keywords_na_lancamento-consideracao-nivus-orca_nvl-nvs-imc-dsy-0820-10015</v>
      </c>
      <c r="BL15" t="str">
        <f t="shared" si="19"/>
        <v>alp_vw_dv360_imc_dsy_lanch_nd_nc_nvs_nivus-launch-consideracao-orca__trafego</v>
      </c>
      <c r="BM15" t="str">
        <f t="shared" si="20"/>
        <v>cpm_drct_all_300x600_lancamento-nivus-orca-keywords_na</v>
      </c>
      <c r="BN15" t="str">
        <f t="shared" si="21"/>
        <v>alp_vw_dv360_imc_dsy_lanch_nd_nc_nvs_nivus-launch-consideracao-orca__trafego_cpm_drct_all_300x600_lancamento-nivus-orca-keywords_na_generico_nvl-nvs-imc-dsy-0820-10015</v>
      </c>
    </row>
    <row r="16" spans="2:68" ht="15.75" customHeight="1" x14ac:dyDescent="0.25">
      <c r="B16" s="15" t="s">
        <v>1291</v>
      </c>
      <c r="C16" s="15" t="s">
        <v>1293</v>
      </c>
      <c r="D16" s="15"/>
      <c r="E16" s="22">
        <v>44069</v>
      </c>
      <c r="F16" s="22">
        <v>44135</v>
      </c>
      <c r="G16" s="15" t="s">
        <v>651</v>
      </c>
      <c r="H16" s="41" t="s">
        <v>1266</v>
      </c>
      <c r="I16" s="15" t="s">
        <v>801</v>
      </c>
      <c r="J16" s="42" t="s">
        <v>883</v>
      </c>
      <c r="K16" s="42" t="s">
        <v>883</v>
      </c>
      <c r="L16" s="15" t="s">
        <v>676</v>
      </c>
      <c r="M16" s="15" t="s">
        <v>276</v>
      </c>
      <c r="N16" s="15" t="s">
        <v>295</v>
      </c>
      <c r="O16" s="15" t="s">
        <v>677</v>
      </c>
      <c r="P16" s="15" t="str">
        <f>VLOOKUP(Y16,'All Codes'!$BF$3:$BG$278,2,FALSE)</f>
        <v>MPU</v>
      </c>
      <c r="Q16" s="15" t="s">
        <v>179</v>
      </c>
      <c r="R16" s="15" t="s">
        <v>277</v>
      </c>
      <c r="S16" s="15" t="s">
        <v>865</v>
      </c>
      <c r="T16" s="46" t="s">
        <v>884</v>
      </c>
      <c r="U16" s="15" t="s">
        <v>876</v>
      </c>
      <c r="V16" s="48" t="s">
        <v>886</v>
      </c>
      <c r="W16" s="15" t="s">
        <v>866</v>
      </c>
      <c r="X16" s="15" t="s">
        <v>307</v>
      </c>
      <c r="Y16" s="46" t="s">
        <v>479</v>
      </c>
      <c r="Z16" s="15"/>
      <c r="AA16" s="15"/>
      <c r="AB16" s="15"/>
      <c r="AC16" s="15"/>
      <c r="AD16" s="15"/>
      <c r="AE16" s="15"/>
      <c r="AF16" s="15"/>
      <c r="AG16" s="15"/>
      <c r="AH16" s="15" t="str">
        <f t="shared" si="34"/>
        <v>281502822</v>
      </c>
      <c r="AI16" s="21" t="str">
        <f t="shared" si="1"/>
        <v>alp_vw_dv360_imc_dsy_lanch_nd_nc_nvs_nivus-launch-consideracao-orca__trafego_cpm_drct_all_320x50_lancamento-nivus-orca-keywords_na_lancamento-consideracao-nivus-orca_nvl-nvs-imc-dsy-0820-10016</v>
      </c>
      <c r="AJ16" s="40" t="str">
        <f t="shared" si="1"/>
        <v>alp_vw_dv360_imc_dsy_lanch_nd_nc_nvs_nivus-launch-consideracao-orca__trafego_cpm_drct_all_320x50_lancamento-nivus-orca-keywords_na_lancamento-consideracao-nivus-orca_nvl-nvs-imc-dsy-0820-10016</v>
      </c>
      <c r="AK16" s="21" t="str">
        <f t="shared" si="2"/>
        <v>vw_nivus_320x50_lancamento-consideracao-nivus-orca_adserver</v>
      </c>
      <c r="AL16" s="21" t="str">
        <f t="shared" si="22"/>
        <v>https://www.vw.com.br/pt/configurador.html/__app/%2Fnivus/0.app?adlid=nvl-nvs-imc-dsy-0820-10016&amp;adplt=alp_vw_dv360_imc_dsy_lanch_nd_nc_nvs_nivus-launch-consideracao-orca__trafego_cpm_drct_all_320x50_lancamento-nivus-orca-keywords_na_lancamento-consideracao-nivus-orca_nvl-nvs-imc-dsy-0820-10016</v>
      </c>
      <c r="AM16" s="21" t="str">
        <f t="shared" si="4"/>
        <v>TAG</v>
      </c>
      <c r="AN16" s="15" t="str">
        <f t="shared" si="23"/>
        <v>DV360</v>
      </c>
      <c r="AO16" s="15" t="str">
        <f t="shared" si="24"/>
        <v>Paid-Display</v>
      </c>
      <c r="AP16" s="21" t="str">
        <f>Campanha!$B$3</f>
        <v>BR_IMC_DSY_LANCH_ND_NC_2020Q3AUG_NVS_Nivus-Launch-Consideracao-Orca</v>
      </c>
      <c r="AQ16" s="21" t="str">
        <f t="shared" si="7"/>
        <v>alp_vw_dv360_imc_dsy_lanch_nd_nc_nvs_nivus-launch-consideracao-orca__trafego_cpm_drct_all_320x50_lancamento-nivus-orca-keywords_na_lancamento-consideracao-nivus-orca_nvl-nvs-imc-dsy-0820-10016</v>
      </c>
      <c r="AR16" s="15" t="s">
        <v>745</v>
      </c>
      <c r="AS16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keywords_na_lancamento-consideracao-nivus-orca_nvl-nvs-imc-dsy-0820-10016&amp;utm_campaign=BR_IMC_DSY_LANCH_ND_NC_2020Q3AUG_NVS_Nivus-Launch-Consideracao-Orca&amp;utm_term=%epid!_%ecid!_%eaid!</v>
      </c>
      <c r="AT16" s="15" t="str">
        <f t="shared" si="25"/>
        <v>other</v>
      </c>
      <c r="AU16" s="15" t="str">
        <f t="shared" si="10"/>
        <v>BR</v>
      </c>
      <c r="AV16" s="15" t="str">
        <f t="shared" si="26"/>
        <v>dv360</v>
      </c>
      <c r="AW16" s="15" t="str">
        <f t="shared" si="27"/>
        <v>dv360</v>
      </c>
      <c r="AX16" s="15" t="str">
        <f t="shared" si="13"/>
        <v>nivus-launch-consideracao-orca</v>
      </c>
      <c r="AY16" s="15" t="str">
        <f t="shared" si="28"/>
        <v>alp_vw_dv360_imc_dsy_lanch_nd_nc_nvs_nivus-launch-consideracao-orca__trafego_cpm_drct_all_320x50_lancamento-nivus-orca-keywords_na_lancamento-consideracao-nivus-orca_nvl-nvs-imc-dsy-0820-10016</v>
      </c>
      <c r="AZ16" s="15" t="str">
        <f t="shared" si="29"/>
        <v>320x50</v>
      </c>
      <c r="BA16" s="15" t="str">
        <f t="shared" si="30"/>
        <v>lancamento-consideracao-nivus-orca</v>
      </c>
      <c r="BB16" s="28" t="s">
        <v>798</v>
      </c>
      <c r="BC16" s="28" t="s">
        <v>798</v>
      </c>
      <c r="BD16" s="38" t="str">
        <f t="shared" si="31"/>
        <v>nvl-nvs-imc-dsy-0820-10016</v>
      </c>
      <c r="BE16" s="15" t="str">
        <f t="shared" si="32"/>
        <v>BR</v>
      </c>
      <c r="BF16" s="15" t="str">
        <f t="shared" si="33"/>
        <v>paid</v>
      </c>
      <c r="BG16" s="28"/>
      <c r="BH16" s="28"/>
      <c r="BI16" s="36" t="str">
        <f t="shared" si="18"/>
        <v>https://www.vw.com.br/pt/configurador.html/__app/%2Fnivus/0.app?adlid=nvl-nvs-imc-dsy-0820-10016&amp;adplt=alp_vw_dv360_imc_dsy_lanch_nd_nc_nvs_nivus-launch-consideracao-orca__trafego_cpm_drct_all_320x50_lancamento-nivus-orca-keywords_na_lancamento-consideracao-nivus-orca_nvl-nvs-imc-dsy-0820-10016</v>
      </c>
      <c r="BL16" t="str">
        <f t="shared" si="19"/>
        <v>alp_vw_dv360_imc_dsy_lanch_nd_nc_nvs_nivus-launch-consideracao-orca__trafego</v>
      </c>
      <c r="BM16" t="str">
        <f t="shared" si="20"/>
        <v>cpm_drct_all_320x50_lancamento-nivus-orca-keywords_na</v>
      </c>
      <c r="BN16" t="str">
        <f t="shared" si="21"/>
        <v>alp_vw_dv360_imc_dsy_lanch_nd_nc_nvs_nivus-launch-consideracao-orca__trafego_cpm_drct_all_320x50_lancamento-nivus-orca-keywords_na_generico_nvl-nvs-imc-dsy-0820-10016</v>
      </c>
    </row>
    <row r="17" spans="2:66" ht="15.75" customHeight="1" x14ac:dyDescent="0.25">
      <c r="B17" s="15" t="s">
        <v>1291</v>
      </c>
      <c r="C17" s="15" t="s">
        <v>1293</v>
      </c>
      <c r="D17" s="15"/>
      <c r="E17" s="22">
        <v>44069</v>
      </c>
      <c r="F17" s="22">
        <v>44135</v>
      </c>
      <c r="G17" s="15" t="s">
        <v>651</v>
      </c>
      <c r="H17" s="41" t="s">
        <v>1266</v>
      </c>
      <c r="I17" s="15" t="s">
        <v>801</v>
      </c>
      <c r="J17" s="42" t="s">
        <v>883</v>
      </c>
      <c r="K17" s="42" t="s">
        <v>883</v>
      </c>
      <c r="L17" s="15" t="s">
        <v>676</v>
      </c>
      <c r="M17" s="15" t="s">
        <v>276</v>
      </c>
      <c r="N17" s="15" t="s">
        <v>295</v>
      </c>
      <c r="O17" s="15" t="s">
        <v>677</v>
      </c>
      <c r="P17" s="15" t="str">
        <f>VLOOKUP(Y17,'All Codes'!$BF$3:$BG$278,2,FALSE)</f>
        <v>Leaderboard</v>
      </c>
      <c r="Q17" s="15" t="s">
        <v>179</v>
      </c>
      <c r="R17" s="15" t="s">
        <v>277</v>
      </c>
      <c r="S17" s="15" t="s">
        <v>865</v>
      </c>
      <c r="T17" s="46" t="s">
        <v>884</v>
      </c>
      <c r="U17" s="15" t="s">
        <v>876</v>
      </c>
      <c r="V17" s="48" t="s">
        <v>886</v>
      </c>
      <c r="W17" s="15" t="s">
        <v>866</v>
      </c>
      <c r="X17" s="15" t="s">
        <v>307</v>
      </c>
      <c r="Y17" s="46" t="s">
        <v>591</v>
      </c>
      <c r="Z17" s="15"/>
      <c r="AA17" s="15"/>
      <c r="AB17" s="15"/>
      <c r="AC17" s="15"/>
      <c r="AD17" s="15"/>
      <c r="AE17" s="15"/>
      <c r="AF17" s="15"/>
      <c r="AG17" s="15"/>
      <c r="AH17" s="15" t="str">
        <f t="shared" si="34"/>
        <v>281502816</v>
      </c>
      <c r="AI17" s="21" t="str">
        <f t="shared" si="1"/>
        <v>alp_vw_dv360_imc_dsy_lanch_nd_nc_nvs_nivus-launch-consideracao-orca__trafego_cpm_drct_all_728x90_lancamento-nivus-orca-keywords_na_lancamento-consideracao-nivus-orca_nvl-nvs-imc-dsy-0820-10017</v>
      </c>
      <c r="AJ17" s="40" t="str">
        <f t="shared" si="1"/>
        <v>alp_vw_dv360_imc_dsy_lanch_nd_nc_nvs_nivus-launch-consideracao-orca__trafego_cpm_drct_all_728x90_lancamento-nivus-orca-keywords_na_lancamento-consideracao-nivus-orca_nvl-nvs-imc-dsy-0820-10017</v>
      </c>
      <c r="AK17" s="21" t="str">
        <f t="shared" si="2"/>
        <v>vw_nivus_728x90_lancamento-consideracao-nivus-orca_adserver</v>
      </c>
      <c r="AL17" s="21" t="str">
        <f t="shared" si="22"/>
        <v>https://www.vw.com.br/pt/configurador.html/__app/%2Fnivus/0.app?adlid=nvl-nvs-imc-dsy-0820-10017&amp;adplt=alp_vw_dv360_imc_dsy_lanch_nd_nc_nvs_nivus-launch-consideracao-orca__trafego_cpm_drct_all_728x90_lancamento-nivus-orca-keywords_na_lancamento-consideracao-nivus-orca_nvl-nvs-imc-dsy-0820-10017</v>
      </c>
      <c r="AM17" s="21" t="str">
        <f t="shared" si="4"/>
        <v>TAG</v>
      </c>
      <c r="AN17" s="15" t="str">
        <f t="shared" si="23"/>
        <v>DV360</v>
      </c>
      <c r="AO17" s="15" t="str">
        <f t="shared" si="24"/>
        <v>Paid-Display</v>
      </c>
      <c r="AP17" s="21" t="str">
        <f>Campanha!$B$3</f>
        <v>BR_IMC_DSY_LANCH_ND_NC_2020Q3AUG_NVS_Nivus-Launch-Consideracao-Orca</v>
      </c>
      <c r="AQ17" s="21" t="str">
        <f t="shared" si="7"/>
        <v>alp_vw_dv360_imc_dsy_lanch_nd_nc_nvs_nivus-launch-consideracao-orca__trafego_cpm_drct_all_728x90_lancamento-nivus-orca-keywords_na_lancamento-consideracao-nivus-orca_nvl-nvs-imc-dsy-0820-10017</v>
      </c>
      <c r="AR17" s="15" t="s">
        <v>745</v>
      </c>
      <c r="AS17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keywords_na_lancamento-consideracao-nivus-orca_nvl-nvs-imc-dsy-0820-10017&amp;utm_campaign=BR_IMC_DSY_LANCH_ND_NC_2020Q3AUG_NVS_Nivus-Launch-Consideracao-Orca&amp;utm_term=%epid!_%ecid!_%eaid!</v>
      </c>
      <c r="AT17" s="15" t="str">
        <f t="shared" si="25"/>
        <v>other</v>
      </c>
      <c r="AU17" s="15" t="str">
        <f t="shared" si="10"/>
        <v>BR</v>
      </c>
      <c r="AV17" s="15" t="str">
        <f t="shared" si="26"/>
        <v>dv360</v>
      </c>
      <c r="AW17" s="15" t="str">
        <f t="shared" si="27"/>
        <v>dv360</v>
      </c>
      <c r="AX17" s="15" t="str">
        <f t="shared" si="13"/>
        <v>nivus-launch-consideracao-orca</v>
      </c>
      <c r="AY17" s="15" t="str">
        <f t="shared" si="28"/>
        <v>alp_vw_dv360_imc_dsy_lanch_nd_nc_nvs_nivus-launch-consideracao-orca__trafego_cpm_drct_all_728x90_lancamento-nivus-orca-keywords_na_lancamento-consideracao-nivus-orca_nvl-nvs-imc-dsy-0820-10017</v>
      </c>
      <c r="AZ17" s="15" t="str">
        <f t="shared" si="29"/>
        <v>728x90</v>
      </c>
      <c r="BA17" s="15" t="str">
        <f t="shared" si="30"/>
        <v>lancamento-consideracao-nivus-orca</v>
      </c>
      <c r="BB17" s="28" t="s">
        <v>798</v>
      </c>
      <c r="BC17" s="28" t="s">
        <v>798</v>
      </c>
      <c r="BD17" s="38" t="str">
        <f t="shared" si="31"/>
        <v>nvl-nvs-imc-dsy-0820-10017</v>
      </c>
      <c r="BE17" s="15" t="str">
        <f t="shared" si="32"/>
        <v>BR</v>
      </c>
      <c r="BF17" s="15" t="str">
        <f t="shared" si="33"/>
        <v>paid</v>
      </c>
      <c r="BG17" s="28"/>
      <c r="BH17" s="28"/>
      <c r="BI17" s="36" t="str">
        <f t="shared" si="18"/>
        <v>https://www.vw.com.br/pt/configurador.html/__app/%2Fnivus/0.app?adlid=nvl-nvs-imc-dsy-0820-10017&amp;adplt=alp_vw_dv360_imc_dsy_lanch_nd_nc_nvs_nivus-launch-consideracao-orca__trafego_cpm_drct_all_728x90_lancamento-nivus-orca-keywords_na_lancamento-consideracao-nivus-orca_nvl-nvs-imc-dsy-0820-10017</v>
      </c>
      <c r="BL17" t="str">
        <f t="shared" si="19"/>
        <v>alp_vw_dv360_imc_dsy_lanch_nd_nc_nvs_nivus-launch-consideracao-orca__trafego</v>
      </c>
      <c r="BM17" t="str">
        <f t="shared" si="20"/>
        <v>cpm_drct_all_728x90_lancamento-nivus-orca-keywords_na</v>
      </c>
      <c r="BN17" t="str">
        <f t="shared" si="21"/>
        <v>alp_vw_dv360_imc_dsy_lanch_nd_nc_nvs_nivus-launch-consideracao-orca__trafego_cpm_drct_all_728x90_lancamento-nivus-orca-keywords_na_generico_nvl-nvs-imc-dsy-0820-10017</v>
      </c>
    </row>
    <row r="18" spans="2:66" ht="15.75" customHeight="1" x14ac:dyDescent="0.25">
      <c r="B18" s="15" t="s">
        <v>1291</v>
      </c>
      <c r="C18" s="15" t="s">
        <v>1293</v>
      </c>
      <c r="D18" s="15"/>
      <c r="E18" s="22">
        <v>44069</v>
      </c>
      <c r="F18" s="22">
        <v>44135</v>
      </c>
      <c r="G18" s="15" t="s">
        <v>651</v>
      </c>
      <c r="H18" s="41" t="s">
        <v>1266</v>
      </c>
      <c r="I18" s="15" t="s">
        <v>801</v>
      </c>
      <c r="J18" s="42" t="s">
        <v>883</v>
      </c>
      <c r="K18" s="42" t="s">
        <v>883</v>
      </c>
      <c r="L18" s="15" t="s">
        <v>676</v>
      </c>
      <c r="M18" s="15" t="s">
        <v>276</v>
      </c>
      <c r="N18" s="15" t="s">
        <v>295</v>
      </c>
      <c r="O18" s="15" t="s">
        <v>677</v>
      </c>
      <c r="P18" s="15" t="str">
        <f>VLOOKUP(Y18,'All Codes'!$BF$3:$BG$278,2,FALSE)</f>
        <v>Leaderboard</v>
      </c>
      <c r="Q18" s="15" t="s">
        <v>179</v>
      </c>
      <c r="R18" s="15" t="s">
        <v>277</v>
      </c>
      <c r="S18" s="15" t="s">
        <v>865</v>
      </c>
      <c r="T18" s="46" t="s">
        <v>884</v>
      </c>
      <c r="U18" s="15" t="s">
        <v>876</v>
      </c>
      <c r="V18" s="48" t="s">
        <v>886</v>
      </c>
      <c r="W18" s="15" t="s">
        <v>866</v>
      </c>
      <c r="X18" s="15" t="s">
        <v>307</v>
      </c>
      <c r="Y18" s="46" t="s">
        <v>629</v>
      </c>
      <c r="Z18" s="15"/>
      <c r="AA18" s="15"/>
      <c r="AB18" s="15"/>
      <c r="AC18" s="15"/>
      <c r="AD18" s="15"/>
      <c r="AE18" s="15"/>
      <c r="AF18" s="15"/>
      <c r="AG18" s="15"/>
      <c r="AH18" s="15" t="str">
        <f t="shared" si="34"/>
        <v>281502810</v>
      </c>
      <c r="AI18" s="21" t="str">
        <f t="shared" si="1"/>
        <v>alp_vw_dv360_imc_dsy_lanch_nd_nc_nvs_nivus-launch-consideracao-orca__trafego_cpm_drct_all_970x250_lancamento-nivus-orca-keywords_na_lancamento-consideracao-nivus-orca_nvl-nvs-imc-dsy-0820-10018</v>
      </c>
      <c r="AJ18" s="40" t="str">
        <f t="shared" si="1"/>
        <v>alp_vw_dv360_imc_dsy_lanch_nd_nc_nvs_nivus-launch-consideracao-orca__trafego_cpm_drct_all_970x250_lancamento-nivus-orca-keywords_na_lancamento-consideracao-nivus-orca_nvl-nvs-imc-dsy-0820-10018</v>
      </c>
      <c r="AK18" s="21" t="str">
        <f t="shared" si="2"/>
        <v>vw_nivus_970x250_lancamento-consideracao-nivus-orca_adserver</v>
      </c>
      <c r="AL18" s="21" t="str">
        <f t="shared" si="22"/>
        <v>https://www.vw.com.br/pt/configurador.html/__app/%2Fnivus/0.app?adlid=nvl-nvs-imc-dsy-0820-10018&amp;adplt=alp_vw_dv360_imc_dsy_lanch_nd_nc_nvs_nivus-launch-consideracao-orca__trafego_cpm_drct_all_970x250_lancamento-nivus-orca-keywords_na_lancamento-consideracao-nivus-orca_nvl-nvs-imc-dsy-0820-10018</v>
      </c>
      <c r="AM18" s="21" t="str">
        <f t="shared" si="4"/>
        <v>TAG</v>
      </c>
      <c r="AN18" s="15" t="str">
        <f t="shared" si="23"/>
        <v>DV360</v>
      </c>
      <c r="AO18" s="15" t="str">
        <f t="shared" si="24"/>
        <v>Paid-Display</v>
      </c>
      <c r="AP18" s="21" t="str">
        <f>Campanha!$B$3</f>
        <v>BR_IMC_DSY_LANCH_ND_NC_2020Q3AUG_NVS_Nivus-Launch-Consideracao-Orca</v>
      </c>
      <c r="AQ18" s="21" t="str">
        <f t="shared" si="7"/>
        <v>alp_vw_dv360_imc_dsy_lanch_nd_nc_nvs_nivus-launch-consideracao-orca__trafego_cpm_drct_all_970x250_lancamento-nivus-orca-keywords_na_lancamento-consideracao-nivus-orca_nvl-nvs-imc-dsy-0820-10018</v>
      </c>
      <c r="AR18" s="15" t="s">
        <v>745</v>
      </c>
      <c r="AS18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keywords_na_lancamento-consideracao-nivus-orca_nvl-nvs-imc-dsy-0820-10018&amp;utm_campaign=BR_IMC_DSY_LANCH_ND_NC_2020Q3AUG_NVS_Nivus-Launch-Consideracao-Orca&amp;utm_term=%epid!_%ecid!_%eaid!</v>
      </c>
      <c r="AT18" s="15" t="str">
        <f t="shared" si="25"/>
        <v>other</v>
      </c>
      <c r="AU18" s="15" t="str">
        <f t="shared" si="10"/>
        <v>BR</v>
      </c>
      <c r="AV18" s="15" t="str">
        <f t="shared" si="26"/>
        <v>dv360</v>
      </c>
      <c r="AW18" s="15" t="str">
        <f t="shared" si="27"/>
        <v>dv360</v>
      </c>
      <c r="AX18" s="15" t="str">
        <f t="shared" si="13"/>
        <v>nivus-launch-consideracao-orca</v>
      </c>
      <c r="AY18" s="15" t="str">
        <f t="shared" si="28"/>
        <v>alp_vw_dv360_imc_dsy_lanch_nd_nc_nvs_nivus-launch-consideracao-orca__trafego_cpm_drct_all_970x250_lancamento-nivus-orca-keywords_na_lancamento-consideracao-nivus-orca_nvl-nvs-imc-dsy-0820-10018</v>
      </c>
      <c r="AZ18" s="15" t="str">
        <f t="shared" si="29"/>
        <v>970x250</v>
      </c>
      <c r="BA18" s="15" t="str">
        <f t="shared" si="30"/>
        <v>lancamento-consideracao-nivus-orca</v>
      </c>
      <c r="BB18" s="28" t="s">
        <v>798</v>
      </c>
      <c r="BC18" s="28" t="s">
        <v>798</v>
      </c>
      <c r="BD18" s="38" t="str">
        <f t="shared" si="31"/>
        <v>nvl-nvs-imc-dsy-0820-10018</v>
      </c>
      <c r="BE18" s="15" t="str">
        <f t="shared" si="32"/>
        <v>BR</v>
      </c>
      <c r="BF18" s="15" t="str">
        <f t="shared" si="33"/>
        <v>paid</v>
      </c>
      <c r="BG18" s="28"/>
      <c r="BH18" s="28"/>
      <c r="BI18" s="36" t="str">
        <f t="shared" si="18"/>
        <v>https://www.vw.com.br/pt/configurador.html/__app/%2Fnivus/0.app?adlid=nvl-nvs-imc-dsy-0820-10018&amp;adplt=alp_vw_dv360_imc_dsy_lanch_nd_nc_nvs_nivus-launch-consideracao-orca__trafego_cpm_drct_all_970x250_lancamento-nivus-orca-keywords_na_lancamento-consideracao-nivus-orca_nvl-nvs-imc-dsy-0820-10018</v>
      </c>
      <c r="BL18" t="str">
        <f t="shared" si="19"/>
        <v>alp_vw_dv360_imc_dsy_lanch_nd_nc_nvs_nivus-launch-consideracao-orca__trafego</v>
      </c>
      <c r="BM18" t="str">
        <f t="shared" si="20"/>
        <v>cpm_drct_all_970x250_lancamento-nivus-orca-keywords_na</v>
      </c>
      <c r="BN18" t="str">
        <f t="shared" si="21"/>
        <v>alp_vw_dv360_imc_dsy_lanch_nd_nc_nvs_nivus-launch-consideracao-orca__trafego_cpm_drct_all_970x250_lancamento-nivus-orca-keywords_na_generico_nvl-nvs-imc-dsy-0820-10018</v>
      </c>
    </row>
    <row r="19" spans="2:66" ht="15.75" customHeight="1" x14ac:dyDescent="0.25">
      <c r="B19" s="15" t="s">
        <v>1291</v>
      </c>
      <c r="C19" s="15" t="s">
        <v>1293</v>
      </c>
      <c r="D19" s="15"/>
      <c r="E19" s="22">
        <v>44069</v>
      </c>
      <c r="F19" s="22">
        <v>44135</v>
      </c>
      <c r="G19" s="15" t="s">
        <v>651</v>
      </c>
      <c r="H19" s="41" t="s">
        <v>1266</v>
      </c>
      <c r="I19" s="15" t="s">
        <v>801</v>
      </c>
      <c r="J19" s="42" t="s">
        <v>883</v>
      </c>
      <c r="K19" s="42" t="s">
        <v>883</v>
      </c>
      <c r="L19" s="15" t="s">
        <v>676</v>
      </c>
      <c r="M19" s="15" t="s">
        <v>276</v>
      </c>
      <c r="N19" s="15" t="s">
        <v>295</v>
      </c>
      <c r="O19" s="15" t="s">
        <v>677</v>
      </c>
      <c r="P19" s="15" t="str">
        <f>VLOOKUP(Y19,'All Codes'!$BF$3:$BG$278,2,FALSE)</f>
        <v>MPU</v>
      </c>
      <c r="Q19" s="15" t="s">
        <v>179</v>
      </c>
      <c r="R19" s="15" t="s">
        <v>277</v>
      </c>
      <c r="S19" s="15" t="s">
        <v>865</v>
      </c>
      <c r="T19" s="46" t="s">
        <v>884</v>
      </c>
      <c r="U19" s="15" t="s">
        <v>876</v>
      </c>
      <c r="V19" s="49" t="s">
        <v>887</v>
      </c>
      <c r="W19" s="15" t="s">
        <v>866</v>
      </c>
      <c r="X19" s="15" t="s">
        <v>307</v>
      </c>
      <c r="Y19" s="46" t="s">
        <v>461</v>
      </c>
      <c r="Z19" s="15"/>
      <c r="AA19" s="15"/>
      <c r="AB19" s="15"/>
      <c r="AC19" s="15"/>
      <c r="AD19" s="15"/>
      <c r="AE19" s="15"/>
      <c r="AF19" s="15"/>
      <c r="AG19" s="15"/>
      <c r="AH19" s="15" t="str">
        <f t="shared" si="34"/>
        <v>281502804</v>
      </c>
      <c r="AI19" s="21" t="str">
        <f t="shared" si="1"/>
        <v>alp_vw_dv360_imc_dsy_lanch_nd_nc_nvs_nivus-launch-consideracao-orca__trafego_cpm_drct_all_300x50_lancamento-nivus-orca-3rdparty-from-engine_na_lancamento-consideracao-nivus-orca_nvl-nvs-imc-dsy-0820-10019</v>
      </c>
      <c r="AJ19" s="40" t="str">
        <f t="shared" si="1"/>
        <v>alp_vw_dv360_imc_dsy_lanch_nd_nc_nvs_nivus-launch-consideracao-orca__trafego_cpm_drct_all_300x50_lancamento-nivus-orca-3rdparty-from-engine_na_lancamento-consideracao-nivus-orca_nvl-nvs-imc-dsy-0820-10019</v>
      </c>
      <c r="AK19" s="21" t="str">
        <f t="shared" si="2"/>
        <v>vw_nivus_300x50_lancamento-consideracao-nivus-orca_adserver</v>
      </c>
      <c r="AL19" s="21" t="str">
        <f t="shared" si="22"/>
        <v>https://www.vw.com.br/pt/configurador.html/__app/%2Fnivus/0.app?adlid=nvl-nvs-imc-dsy-0820-10019&amp;adplt=alp_vw_dv360_imc_dsy_lanch_nd_nc_nvs_nivus-launch-consideracao-orca__trafego_cpm_drct_all_300x50_lancamento-nivus-orca-3rdparty-from-engine_na_lancamento-consideracao-nivus-orca_nvl-nvs-imc-dsy-0820-10019</v>
      </c>
      <c r="AM19" s="21" t="str">
        <f t="shared" si="4"/>
        <v>TAG</v>
      </c>
      <c r="AN19" s="15" t="str">
        <f t="shared" si="23"/>
        <v>DV360</v>
      </c>
      <c r="AO19" s="15" t="str">
        <f t="shared" si="24"/>
        <v>Paid-Display</v>
      </c>
      <c r="AP19" s="21" t="str">
        <f>Campanha!$B$3</f>
        <v>BR_IMC_DSY_LANCH_ND_NC_2020Q3AUG_NVS_Nivus-Launch-Consideracao-Orca</v>
      </c>
      <c r="AQ19" s="21" t="str">
        <f t="shared" si="7"/>
        <v>alp_vw_dv360_imc_dsy_lanch_nd_nc_nvs_nivus-launch-consideracao-orca__trafego_cpm_drct_all_300x50_lancamento-nivus-orca-3rdparty-from-engine_na_lancamento-consideracao-nivus-orca_nvl-nvs-imc-dsy-0820-10019</v>
      </c>
      <c r="AR19" s="15" t="s">
        <v>745</v>
      </c>
      <c r="AS19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-3rdparty-from-engine_na_lancamento-consideracao-nivus-orca_nvl-nvs-imc-dsy-0820-10019&amp;utm_campaign=BR_IMC_DSY_LANCH_ND_NC_2020Q3AUG_NVS_Nivus-Launch-Consideracao-Orca&amp;utm_term=%epid!_%ecid!_%eaid!</v>
      </c>
      <c r="AT19" s="15" t="str">
        <f t="shared" si="25"/>
        <v>other</v>
      </c>
      <c r="AU19" s="15" t="str">
        <f t="shared" si="10"/>
        <v>BR</v>
      </c>
      <c r="AV19" s="15" t="str">
        <f t="shared" si="26"/>
        <v>dv360</v>
      </c>
      <c r="AW19" s="15" t="str">
        <f t="shared" si="27"/>
        <v>dv360</v>
      </c>
      <c r="AX19" s="15" t="str">
        <f t="shared" si="13"/>
        <v>nivus-launch-consideracao-orca</v>
      </c>
      <c r="AY19" s="15" t="str">
        <f t="shared" si="28"/>
        <v>alp_vw_dv360_imc_dsy_lanch_nd_nc_nvs_nivus-launch-consideracao-orca__trafego_cpm_drct_all_300x50_lancamento-nivus-orca-3rdparty-from-engine_na_lancamento-consideracao-nivus-orca_nvl-nvs-imc-dsy-0820-10019</v>
      </c>
      <c r="AZ19" s="15" t="str">
        <f t="shared" si="29"/>
        <v>300x50</v>
      </c>
      <c r="BA19" s="15" t="str">
        <f t="shared" si="30"/>
        <v>lancamento-consideracao-nivus-orca</v>
      </c>
      <c r="BB19" s="28" t="s">
        <v>798</v>
      </c>
      <c r="BC19" s="28" t="s">
        <v>798</v>
      </c>
      <c r="BD19" s="38" t="str">
        <f t="shared" si="31"/>
        <v>nvl-nvs-imc-dsy-0820-10019</v>
      </c>
      <c r="BE19" s="15" t="str">
        <f t="shared" si="32"/>
        <v>BR</v>
      </c>
      <c r="BF19" s="15" t="str">
        <f t="shared" si="33"/>
        <v>paid</v>
      </c>
      <c r="BG19" s="28"/>
      <c r="BH19" s="28"/>
      <c r="BI19" s="36" t="str">
        <f t="shared" si="18"/>
        <v>https://www.vw.com.br/pt/configurador.html/__app/%2Fnivus/0.app?adlid=nvl-nvs-imc-dsy-0820-10019&amp;adplt=alp_vw_dv360_imc_dsy_lanch_nd_nc_nvs_nivus-launch-consideracao-orca__trafego_cpm_drct_all_300x50_lancamento-nivus-orca-3rdparty-from-engine_na_lancamento-consideracao-nivus-orca_nvl-nvs-imc-dsy-0820-10019</v>
      </c>
      <c r="BL19" t="str">
        <f t="shared" si="19"/>
        <v>alp_vw_dv360_imc_dsy_lanch_nd_nc_nvs_nivus-launch-consideracao-orca__trafego</v>
      </c>
      <c r="BM19" t="str">
        <f t="shared" si="20"/>
        <v>cpm_drct_all_300x50_lancamento-nivus-orca-3rdparty-from-engine_na</v>
      </c>
      <c r="BN19" t="str">
        <f t="shared" si="21"/>
        <v>alp_vw_dv360_imc_dsy_lanch_nd_nc_nvs_nivus-launch-consideracao-orca__trafego_cpm_drct_all_300x50_lancamento-nivus-orca-3rdparty-from-engine_na_generico_nvl-nvs-imc-dsy-0820-10019</v>
      </c>
    </row>
    <row r="20" spans="2:66" ht="15.75" customHeight="1" x14ac:dyDescent="0.25">
      <c r="B20" s="15" t="s">
        <v>1291</v>
      </c>
      <c r="C20" s="15" t="s">
        <v>1293</v>
      </c>
      <c r="D20" s="15"/>
      <c r="E20" s="22">
        <v>44069</v>
      </c>
      <c r="F20" s="22">
        <v>44135</v>
      </c>
      <c r="G20" s="15" t="s">
        <v>651</v>
      </c>
      <c r="H20" s="41" t="s">
        <v>1266</v>
      </c>
      <c r="I20" s="15" t="s">
        <v>801</v>
      </c>
      <c r="J20" s="42" t="s">
        <v>883</v>
      </c>
      <c r="K20" s="42" t="s">
        <v>883</v>
      </c>
      <c r="L20" s="15" t="s">
        <v>676</v>
      </c>
      <c r="M20" s="15" t="s">
        <v>276</v>
      </c>
      <c r="N20" s="15" t="s">
        <v>295</v>
      </c>
      <c r="O20" s="15" t="s">
        <v>677</v>
      </c>
      <c r="P20" s="15" t="str">
        <f>VLOOKUP(Y20,'All Codes'!$BF$3:$BG$278,2,FALSE)</f>
        <v>Skyscraper</v>
      </c>
      <c r="Q20" s="15" t="s">
        <v>179</v>
      </c>
      <c r="R20" s="15" t="s">
        <v>277</v>
      </c>
      <c r="S20" s="15" t="s">
        <v>865</v>
      </c>
      <c r="T20" s="46" t="s">
        <v>884</v>
      </c>
      <c r="U20" s="15" t="s">
        <v>876</v>
      </c>
      <c r="V20" s="49" t="s">
        <v>887</v>
      </c>
      <c r="W20" s="15" t="s">
        <v>866</v>
      </c>
      <c r="X20" s="15" t="s">
        <v>307</v>
      </c>
      <c r="Y20" s="46" t="s">
        <v>434</v>
      </c>
      <c r="Z20" s="15"/>
      <c r="AA20" s="15"/>
      <c r="AB20" s="15"/>
      <c r="AC20" s="15"/>
      <c r="AD20" s="15"/>
      <c r="AE20" s="15"/>
      <c r="AF20" s="15"/>
      <c r="AG20" s="15"/>
      <c r="AH20" s="15" t="str">
        <f t="shared" si="34"/>
        <v>281502798</v>
      </c>
      <c r="AI20" s="21" t="str">
        <f t="shared" si="1"/>
        <v>alp_vw_dv360_imc_dsy_lanch_nd_nc_nvs_nivus-launch-consideracao-orca__trafego_cpm_drct_all_160x600_lancamento-nivus-orca-3rdparty-from-engine_na_lancamento-consideracao-nivus-orca_nvl-nvs-imc-dsy-0820-10020</v>
      </c>
      <c r="AJ20" s="40" t="str">
        <f t="shared" si="1"/>
        <v>alp_vw_dv360_imc_dsy_lanch_nd_nc_nvs_nivus-launch-consideracao-orca__trafego_cpm_drct_all_160x600_lancamento-nivus-orca-3rdparty-from-engine_na_lancamento-consideracao-nivus-orca_nvl-nvs-imc-dsy-0820-10020</v>
      </c>
      <c r="AK20" s="21" t="str">
        <f t="shared" si="2"/>
        <v>vw_nivus_160x600_lancamento-consideracao-nivus-orca_adserver</v>
      </c>
      <c r="AL20" s="21" t="str">
        <f t="shared" si="22"/>
        <v>https://www.vw.com.br/pt/configurador.html/__app/%2Fnivus/0.app?adlid=nvl-nvs-imc-dsy-0820-10020&amp;adplt=alp_vw_dv360_imc_dsy_lanch_nd_nc_nvs_nivus-launch-consideracao-orca__trafego_cpm_drct_all_160x600_lancamento-nivus-orca-3rdparty-from-engine_na_lancamento-consideracao-nivus-orca_nvl-nvs-imc-dsy-0820-10020</v>
      </c>
      <c r="AM20" s="21" t="str">
        <f t="shared" si="4"/>
        <v>TAG</v>
      </c>
      <c r="AN20" s="15" t="str">
        <f t="shared" si="23"/>
        <v>DV360</v>
      </c>
      <c r="AO20" s="15" t="str">
        <f t="shared" si="24"/>
        <v>Paid-Display</v>
      </c>
      <c r="AP20" s="21" t="str">
        <f>Campanha!$B$3</f>
        <v>BR_IMC_DSY_LANCH_ND_NC_2020Q3AUG_NVS_Nivus-Launch-Consideracao-Orca</v>
      </c>
      <c r="AQ20" s="21" t="str">
        <f t="shared" si="7"/>
        <v>alp_vw_dv360_imc_dsy_lanch_nd_nc_nvs_nivus-launch-consideracao-orca__trafego_cpm_drct_all_160x600_lancamento-nivus-orca-3rdparty-from-engine_na_lancamento-consideracao-nivus-orca_nvl-nvs-imc-dsy-0820-10020</v>
      </c>
      <c r="AR20" s="15" t="s">
        <v>745</v>
      </c>
      <c r="AS20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-3rdparty-from-engine_na_lancamento-consideracao-nivus-orca_nvl-nvs-imc-dsy-0820-10020&amp;utm_campaign=BR_IMC_DSY_LANCH_ND_NC_2020Q3AUG_NVS_Nivus-Launch-Consideracao-Orca&amp;utm_term=%epid!_%ecid!_%eaid!</v>
      </c>
      <c r="AT20" s="15" t="str">
        <f t="shared" si="25"/>
        <v>other</v>
      </c>
      <c r="AU20" s="15" t="str">
        <f t="shared" si="10"/>
        <v>BR</v>
      </c>
      <c r="AV20" s="15" t="str">
        <f t="shared" si="26"/>
        <v>dv360</v>
      </c>
      <c r="AW20" s="15" t="str">
        <f t="shared" si="27"/>
        <v>dv360</v>
      </c>
      <c r="AX20" s="15" t="str">
        <f t="shared" si="13"/>
        <v>nivus-launch-consideracao-orca</v>
      </c>
      <c r="AY20" s="15" t="str">
        <f t="shared" si="28"/>
        <v>alp_vw_dv360_imc_dsy_lanch_nd_nc_nvs_nivus-launch-consideracao-orca__trafego_cpm_drct_all_160x600_lancamento-nivus-orca-3rdparty-from-engine_na_lancamento-consideracao-nivus-orca_nvl-nvs-imc-dsy-0820-10020</v>
      </c>
      <c r="AZ20" s="15" t="str">
        <f t="shared" si="29"/>
        <v>160x600</v>
      </c>
      <c r="BA20" s="15" t="str">
        <f t="shared" si="30"/>
        <v>lancamento-consideracao-nivus-orca</v>
      </c>
      <c r="BB20" s="28" t="s">
        <v>798</v>
      </c>
      <c r="BC20" s="28" t="s">
        <v>798</v>
      </c>
      <c r="BD20" s="38" t="str">
        <f t="shared" si="31"/>
        <v>nvl-nvs-imc-dsy-0820-10020</v>
      </c>
      <c r="BE20" s="15" t="str">
        <f t="shared" si="32"/>
        <v>BR</v>
      </c>
      <c r="BF20" s="15" t="str">
        <f t="shared" si="33"/>
        <v>paid</v>
      </c>
      <c r="BG20" s="28"/>
      <c r="BH20" s="28"/>
      <c r="BI20" s="36" t="str">
        <f t="shared" si="18"/>
        <v>https://www.vw.com.br/pt/configurador.html/__app/%2Fnivus/0.app?adlid=nvl-nvs-imc-dsy-0820-10020&amp;adplt=alp_vw_dv360_imc_dsy_lanch_nd_nc_nvs_nivus-launch-consideracao-orca__trafego_cpm_drct_all_160x600_lancamento-nivus-orca-3rdparty-from-engine_na_lancamento-consideracao-nivus-orca_nvl-nvs-imc-dsy-0820-10020</v>
      </c>
      <c r="BL20" t="str">
        <f t="shared" si="19"/>
        <v>alp_vw_dv360_imc_dsy_lanch_nd_nc_nvs_nivus-launch-consideracao-orca__trafego</v>
      </c>
      <c r="BM20" t="str">
        <f t="shared" si="20"/>
        <v>cpm_drct_all_160x600_lancamento-nivus-orca-3rdparty-from-engine_na</v>
      </c>
      <c r="BN20" t="str">
        <f t="shared" si="21"/>
        <v>alp_vw_dv360_imc_dsy_lanch_nd_nc_nvs_nivus-launch-consideracao-orca__trafego_cpm_drct_all_160x600_lancamento-nivus-orca-3rdparty-from-engine_na_generico_nvl-nvs-imc-dsy-0820-10020</v>
      </c>
    </row>
    <row r="21" spans="2:66" ht="15.75" customHeight="1" x14ac:dyDescent="0.25">
      <c r="B21" s="15" t="s">
        <v>1291</v>
      </c>
      <c r="C21" s="15" t="s">
        <v>1293</v>
      </c>
      <c r="D21" s="15"/>
      <c r="E21" s="22">
        <v>44069</v>
      </c>
      <c r="F21" s="22">
        <v>44135</v>
      </c>
      <c r="G21" s="15" t="s">
        <v>651</v>
      </c>
      <c r="H21" s="41" t="s">
        <v>1266</v>
      </c>
      <c r="I21" s="15" t="s">
        <v>801</v>
      </c>
      <c r="J21" s="42" t="s">
        <v>883</v>
      </c>
      <c r="K21" s="42" t="s">
        <v>883</v>
      </c>
      <c r="L21" s="15" t="s">
        <v>676</v>
      </c>
      <c r="M21" s="15" t="s">
        <v>276</v>
      </c>
      <c r="N21" s="15" t="s">
        <v>295</v>
      </c>
      <c r="O21" s="15" t="s">
        <v>677</v>
      </c>
      <c r="P21" s="15" t="str">
        <f>VLOOKUP(Y21,'All Codes'!$BF$3:$BG$278,2,FALSE)</f>
        <v>MPU</v>
      </c>
      <c r="Q21" s="15" t="s">
        <v>179</v>
      </c>
      <c r="R21" s="15" t="s">
        <v>277</v>
      </c>
      <c r="S21" s="15" t="s">
        <v>865</v>
      </c>
      <c r="T21" s="46" t="s">
        <v>884</v>
      </c>
      <c r="U21" s="15" t="s">
        <v>876</v>
      </c>
      <c r="V21" s="49" t="s">
        <v>887</v>
      </c>
      <c r="W21" s="15" t="s">
        <v>866</v>
      </c>
      <c r="X21" s="15" t="s">
        <v>307</v>
      </c>
      <c r="Y21" s="46" t="s">
        <v>455</v>
      </c>
      <c r="Z21" s="15"/>
      <c r="AA21" s="15"/>
      <c r="AB21" s="15"/>
      <c r="AC21" s="15"/>
      <c r="AD21" s="15"/>
      <c r="AE21" s="15"/>
      <c r="AF21" s="15"/>
      <c r="AG21" s="15"/>
      <c r="AH21" s="15" t="str">
        <f t="shared" si="34"/>
        <v>281502792</v>
      </c>
      <c r="AI21" s="21" t="str">
        <f t="shared" ref="AI21:AJ84" si="35">LOWER(CONCATENATE(col_campanhaanunciante,"_",col_grupoanunciante,"_",col_localfreetype,"_",col_adlid))</f>
        <v>alp_vw_dv360_imc_dsy_lanch_nd_nc_nvs_nivus-launch-consideracao-orca__trafego_cpm_drct_all_300x250_lancamento-nivus-orca-3rdparty-from-engine_na_lancamento-consideracao-nivus-orca_nvl-nvs-imc-dsy-0820-10021</v>
      </c>
      <c r="AJ21" s="40" t="str">
        <f t="shared" si="35"/>
        <v>alp_vw_dv360_imc_dsy_lanch_nd_nc_nvs_nivus-launch-consideracao-orca__trafego_cpm_drct_all_300x250_lancamento-nivus-orca-3rdparty-from-engine_na_lancamento-consideracao-nivus-orca_nvl-nvs-imc-dsy-0820-10021</v>
      </c>
      <c r="AK21" s="21" t="str">
        <f t="shared" si="2"/>
        <v>vw_nivus_300x250_lancamento-consideracao-nivus-orca_adserver</v>
      </c>
      <c r="AL21" s="21" t="str">
        <f t="shared" si="22"/>
        <v>https://www.vw.com.br/pt/configurador.html/__app/%2Fnivus/0.app?adlid=nvl-nvs-imc-dsy-0820-10021&amp;adplt=alp_vw_dv360_imc_dsy_lanch_nd_nc_nvs_nivus-launch-consideracao-orca__trafego_cpm_drct_all_300x250_lancamento-nivus-orca-3rdparty-from-engine_na_lancamento-consideracao-nivus-orca_nvl-nvs-imc-dsy-0820-10021</v>
      </c>
      <c r="AM21" s="21" t="str">
        <f t="shared" si="4"/>
        <v>TAG</v>
      </c>
      <c r="AN21" s="15" t="str">
        <f t="shared" si="23"/>
        <v>DV360</v>
      </c>
      <c r="AO21" s="15" t="str">
        <f t="shared" si="24"/>
        <v>Paid-Display</v>
      </c>
      <c r="AP21" s="21" t="str">
        <f>Campanha!$B$3</f>
        <v>BR_IMC_DSY_LANCH_ND_NC_2020Q3AUG_NVS_Nivus-Launch-Consideracao-Orca</v>
      </c>
      <c r="AQ21" s="21" t="str">
        <f t="shared" si="7"/>
        <v>alp_vw_dv360_imc_dsy_lanch_nd_nc_nvs_nivus-launch-consideracao-orca__trafego_cpm_drct_all_300x250_lancamento-nivus-orca-3rdparty-from-engine_na_lancamento-consideracao-nivus-orca_nvl-nvs-imc-dsy-0820-10021</v>
      </c>
      <c r="AR21" s="15" t="s">
        <v>745</v>
      </c>
      <c r="AS21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-3rdparty-from-engine_na_lancamento-consideracao-nivus-orca_nvl-nvs-imc-dsy-0820-10021&amp;utm_campaign=BR_IMC_DSY_LANCH_ND_NC_2020Q3AUG_NVS_Nivus-Launch-Consideracao-Orca&amp;utm_term=%epid!_%ecid!_%eaid!</v>
      </c>
      <c r="AT21" s="15" t="str">
        <f t="shared" si="25"/>
        <v>other</v>
      </c>
      <c r="AU21" s="15" t="str">
        <f t="shared" si="10"/>
        <v>BR</v>
      </c>
      <c r="AV21" s="15" t="str">
        <f t="shared" si="26"/>
        <v>dv360</v>
      </c>
      <c r="AW21" s="15" t="str">
        <f t="shared" si="27"/>
        <v>dv360</v>
      </c>
      <c r="AX21" s="15" t="str">
        <f t="shared" si="13"/>
        <v>nivus-launch-consideracao-orca</v>
      </c>
      <c r="AY21" s="15" t="str">
        <f t="shared" si="28"/>
        <v>alp_vw_dv360_imc_dsy_lanch_nd_nc_nvs_nivus-launch-consideracao-orca__trafego_cpm_drct_all_300x250_lancamento-nivus-orca-3rdparty-from-engine_na_lancamento-consideracao-nivus-orca_nvl-nvs-imc-dsy-0820-10021</v>
      </c>
      <c r="AZ21" s="15" t="str">
        <f t="shared" si="29"/>
        <v>300x250</v>
      </c>
      <c r="BA21" s="15" t="str">
        <f t="shared" si="30"/>
        <v>lancamento-consideracao-nivus-orca</v>
      </c>
      <c r="BB21" s="28" t="s">
        <v>798</v>
      </c>
      <c r="BC21" s="28" t="s">
        <v>798</v>
      </c>
      <c r="BD21" s="38" t="str">
        <f t="shared" si="31"/>
        <v>nvl-nvs-imc-dsy-0820-10021</v>
      </c>
      <c r="BE21" s="15" t="str">
        <f t="shared" si="32"/>
        <v>BR</v>
      </c>
      <c r="BF21" s="15" t="str">
        <f t="shared" si="33"/>
        <v>paid</v>
      </c>
      <c r="BG21" s="28"/>
      <c r="BH21" s="28"/>
      <c r="BI21" s="36" t="str">
        <f t="shared" si="18"/>
        <v>https://www.vw.com.br/pt/configurador.html/__app/%2Fnivus/0.app?adlid=nvl-nvs-imc-dsy-0820-10021&amp;adplt=alp_vw_dv360_imc_dsy_lanch_nd_nc_nvs_nivus-launch-consideracao-orca__trafego_cpm_drct_all_300x250_lancamento-nivus-orca-3rdparty-from-engine_na_lancamento-consideracao-nivus-orca_nvl-nvs-imc-dsy-0820-10021</v>
      </c>
      <c r="BL21" t="str">
        <f t="shared" si="19"/>
        <v>alp_vw_dv360_imc_dsy_lanch_nd_nc_nvs_nivus-launch-consideracao-orca__trafego</v>
      </c>
      <c r="BM21" t="str">
        <f t="shared" si="20"/>
        <v>cpm_drct_all_300x250_lancamento-nivus-orca-3rdparty-from-engine_na</v>
      </c>
      <c r="BN21" t="str">
        <f t="shared" si="21"/>
        <v>alp_vw_dv360_imc_dsy_lanch_nd_nc_nvs_nivus-launch-consideracao-orca__trafego_cpm_drct_all_300x250_lancamento-nivus-orca-3rdparty-from-engine_na_generico_nvl-nvs-imc-dsy-0820-10021</v>
      </c>
    </row>
    <row r="22" spans="2:66" ht="15.75" customHeight="1" x14ac:dyDescent="0.25">
      <c r="B22" s="15" t="s">
        <v>1291</v>
      </c>
      <c r="C22" s="15" t="s">
        <v>1293</v>
      </c>
      <c r="D22" s="15"/>
      <c r="E22" s="22">
        <v>44069</v>
      </c>
      <c r="F22" s="22">
        <v>44135</v>
      </c>
      <c r="G22" s="15" t="s">
        <v>651</v>
      </c>
      <c r="H22" s="41" t="s">
        <v>1266</v>
      </c>
      <c r="I22" s="15" t="s">
        <v>801</v>
      </c>
      <c r="J22" s="42" t="s">
        <v>883</v>
      </c>
      <c r="K22" s="42" t="s">
        <v>883</v>
      </c>
      <c r="L22" s="15" t="s">
        <v>676</v>
      </c>
      <c r="M22" s="15" t="s">
        <v>276</v>
      </c>
      <c r="N22" s="15" t="s">
        <v>295</v>
      </c>
      <c r="O22" s="15" t="s">
        <v>677</v>
      </c>
      <c r="P22" s="15" t="str">
        <f>VLOOKUP(Y22,'All Codes'!$BF$3:$BG$278,2,FALSE)</f>
        <v>Skyscraper</v>
      </c>
      <c r="Q22" s="15" t="s">
        <v>179</v>
      </c>
      <c r="R22" s="15" t="s">
        <v>277</v>
      </c>
      <c r="S22" s="15" t="s">
        <v>865</v>
      </c>
      <c r="T22" s="46" t="s">
        <v>884</v>
      </c>
      <c r="U22" s="15" t="s">
        <v>876</v>
      </c>
      <c r="V22" s="49" t="s">
        <v>887</v>
      </c>
      <c r="W22" s="15" t="s">
        <v>866</v>
      </c>
      <c r="X22" s="15" t="s">
        <v>307</v>
      </c>
      <c r="Y22" s="46" t="s">
        <v>464</v>
      </c>
      <c r="Z22" s="15"/>
      <c r="AA22" s="15"/>
      <c r="AB22" s="15"/>
      <c r="AC22" s="15"/>
      <c r="AD22" s="15"/>
      <c r="AE22" s="15"/>
      <c r="AF22" s="15"/>
      <c r="AG22" s="15"/>
      <c r="AH22" s="15" t="str">
        <f t="shared" si="34"/>
        <v>281502786</v>
      </c>
      <c r="AI22" s="21" t="str">
        <f t="shared" si="35"/>
        <v>alp_vw_dv360_imc_dsy_lanch_nd_nc_nvs_nivus-launch-consideracao-orca__trafego_cpm_drct_all_300x600_lancamento-nivus-orca-3rdparty-from-engine_na_lancamento-consideracao-nivus-orca_nvl-nvs-imc-dsy-0820-10022</v>
      </c>
      <c r="AJ22" s="40" t="str">
        <f t="shared" si="35"/>
        <v>alp_vw_dv360_imc_dsy_lanch_nd_nc_nvs_nivus-launch-consideracao-orca__trafego_cpm_drct_all_300x600_lancamento-nivus-orca-3rdparty-from-engine_na_lancamento-consideracao-nivus-orca_nvl-nvs-imc-dsy-0820-10022</v>
      </c>
      <c r="AK22" s="21" t="str">
        <f t="shared" si="2"/>
        <v>vw_nivus_300x600_lancamento-consideracao-nivus-orca_adserver</v>
      </c>
      <c r="AL22" s="21" t="str">
        <f t="shared" si="22"/>
        <v>https://www.vw.com.br/pt/configurador.html/__app/%2Fnivus/0.app?adlid=nvl-nvs-imc-dsy-0820-10022&amp;adplt=alp_vw_dv360_imc_dsy_lanch_nd_nc_nvs_nivus-launch-consideracao-orca__trafego_cpm_drct_all_300x600_lancamento-nivus-orca-3rdparty-from-engine_na_lancamento-consideracao-nivus-orca_nvl-nvs-imc-dsy-0820-10022</v>
      </c>
      <c r="AM22" s="21" t="str">
        <f t="shared" si="4"/>
        <v>TAG</v>
      </c>
      <c r="AN22" s="15" t="str">
        <f t="shared" si="23"/>
        <v>DV360</v>
      </c>
      <c r="AO22" s="15" t="str">
        <f t="shared" si="24"/>
        <v>Paid-Display</v>
      </c>
      <c r="AP22" s="21" t="str">
        <f>Campanha!$B$3</f>
        <v>BR_IMC_DSY_LANCH_ND_NC_2020Q3AUG_NVS_Nivus-Launch-Consideracao-Orca</v>
      </c>
      <c r="AQ22" s="21" t="str">
        <f t="shared" si="7"/>
        <v>alp_vw_dv360_imc_dsy_lanch_nd_nc_nvs_nivus-launch-consideracao-orca__trafego_cpm_drct_all_300x600_lancamento-nivus-orca-3rdparty-from-engine_na_lancamento-consideracao-nivus-orca_nvl-nvs-imc-dsy-0820-10022</v>
      </c>
      <c r="AR22" s="15" t="s">
        <v>745</v>
      </c>
      <c r="AS22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-3rdparty-from-engine_na_lancamento-consideracao-nivus-orca_nvl-nvs-imc-dsy-0820-10022&amp;utm_campaign=BR_IMC_DSY_LANCH_ND_NC_2020Q3AUG_NVS_Nivus-Launch-Consideracao-Orca&amp;utm_term=%epid!_%ecid!_%eaid!</v>
      </c>
      <c r="AT22" s="15" t="str">
        <f t="shared" si="25"/>
        <v>other</v>
      </c>
      <c r="AU22" s="15" t="str">
        <f t="shared" si="10"/>
        <v>BR</v>
      </c>
      <c r="AV22" s="15" t="str">
        <f t="shared" si="26"/>
        <v>dv360</v>
      </c>
      <c r="AW22" s="15" t="str">
        <f t="shared" si="27"/>
        <v>dv360</v>
      </c>
      <c r="AX22" s="15" t="str">
        <f t="shared" si="13"/>
        <v>nivus-launch-consideracao-orca</v>
      </c>
      <c r="AY22" s="15" t="str">
        <f t="shared" si="28"/>
        <v>alp_vw_dv360_imc_dsy_lanch_nd_nc_nvs_nivus-launch-consideracao-orca__trafego_cpm_drct_all_300x600_lancamento-nivus-orca-3rdparty-from-engine_na_lancamento-consideracao-nivus-orca_nvl-nvs-imc-dsy-0820-10022</v>
      </c>
      <c r="AZ22" s="15" t="str">
        <f t="shared" si="29"/>
        <v>300x600</v>
      </c>
      <c r="BA22" s="15" t="str">
        <f t="shared" si="30"/>
        <v>lancamento-consideracao-nivus-orca</v>
      </c>
      <c r="BB22" s="28" t="s">
        <v>798</v>
      </c>
      <c r="BC22" s="28" t="s">
        <v>798</v>
      </c>
      <c r="BD22" s="38" t="str">
        <f t="shared" si="31"/>
        <v>nvl-nvs-imc-dsy-0820-10022</v>
      </c>
      <c r="BE22" s="15" t="str">
        <f t="shared" si="32"/>
        <v>BR</v>
      </c>
      <c r="BF22" s="15" t="str">
        <f t="shared" si="33"/>
        <v>paid</v>
      </c>
      <c r="BG22" s="28"/>
      <c r="BH22" s="28"/>
      <c r="BI22" s="36" t="str">
        <f t="shared" si="18"/>
        <v>https://www.vw.com.br/pt/configurador.html/__app/%2Fnivus/0.app?adlid=nvl-nvs-imc-dsy-0820-10022&amp;adplt=alp_vw_dv360_imc_dsy_lanch_nd_nc_nvs_nivus-launch-consideracao-orca__trafego_cpm_drct_all_300x600_lancamento-nivus-orca-3rdparty-from-engine_na_lancamento-consideracao-nivus-orca_nvl-nvs-imc-dsy-0820-10022</v>
      </c>
      <c r="BL22" t="str">
        <f t="shared" si="19"/>
        <v>alp_vw_dv360_imc_dsy_lanch_nd_nc_nvs_nivus-launch-consideracao-orca__trafego</v>
      </c>
      <c r="BM22" t="str">
        <f t="shared" si="20"/>
        <v>cpm_drct_all_300x600_lancamento-nivus-orca-3rdparty-from-engine_na</v>
      </c>
      <c r="BN22" t="str">
        <f t="shared" si="21"/>
        <v>alp_vw_dv360_imc_dsy_lanch_nd_nc_nvs_nivus-launch-consideracao-orca__trafego_cpm_drct_all_300x600_lancamento-nivus-orca-3rdparty-from-engine_na_generico_nvl-nvs-imc-dsy-0820-10022</v>
      </c>
    </row>
    <row r="23" spans="2:66" ht="15.75" customHeight="1" x14ac:dyDescent="0.25">
      <c r="B23" s="15" t="s">
        <v>1291</v>
      </c>
      <c r="C23" s="15" t="s">
        <v>1293</v>
      </c>
      <c r="D23" s="15"/>
      <c r="E23" s="22">
        <v>44069</v>
      </c>
      <c r="F23" s="22">
        <v>44135</v>
      </c>
      <c r="G23" s="15" t="s">
        <v>651</v>
      </c>
      <c r="H23" s="41" t="s">
        <v>1266</v>
      </c>
      <c r="I23" s="15" t="s">
        <v>801</v>
      </c>
      <c r="J23" s="42" t="s">
        <v>883</v>
      </c>
      <c r="K23" s="42" t="s">
        <v>883</v>
      </c>
      <c r="L23" s="15" t="s">
        <v>676</v>
      </c>
      <c r="M23" s="15" t="s">
        <v>276</v>
      </c>
      <c r="N23" s="15" t="s">
        <v>295</v>
      </c>
      <c r="O23" s="15" t="s">
        <v>677</v>
      </c>
      <c r="P23" s="15" t="str">
        <f>VLOOKUP(Y23,'All Codes'!$BF$3:$BG$278,2,FALSE)</f>
        <v>MPU</v>
      </c>
      <c r="Q23" s="15" t="s">
        <v>179</v>
      </c>
      <c r="R23" s="15" t="s">
        <v>277</v>
      </c>
      <c r="S23" s="15" t="s">
        <v>865</v>
      </c>
      <c r="T23" s="46" t="s">
        <v>884</v>
      </c>
      <c r="U23" s="15" t="s">
        <v>876</v>
      </c>
      <c r="V23" s="49" t="s">
        <v>887</v>
      </c>
      <c r="W23" s="15" t="s">
        <v>866</v>
      </c>
      <c r="X23" s="15" t="s">
        <v>307</v>
      </c>
      <c r="Y23" s="46" t="s">
        <v>479</v>
      </c>
      <c r="Z23" s="15"/>
      <c r="AA23" s="15"/>
      <c r="AB23" s="15"/>
      <c r="AC23" s="15"/>
      <c r="AD23" s="15"/>
      <c r="AE23" s="15"/>
      <c r="AF23" s="15"/>
      <c r="AG23" s="15"/>
      <c r="AH23" s="15" t="str">
        <f t="shared" ref="AH23:AH39" si="36">VLOOKUP(AI23,id_placement,2,FALSE)</f>
        <v>281502780</v>
      </c>
      <c r="AI23" s="21" t="str">
        <f t="shared" si="35"/>
        <v>alp_vw_dv360_imc_dsy_lanch_nd_nc_nvs_nivus-launch-consideracao-orca__trafego_cpm_drct_all_320x50_lancamento-nivus-orca-3rdparty-from-engine_na_lancamento-consideracao-nivus-orca_nvl-nvs-imc-dsy-0820-10023</v>
      </c>
      <c r="AJ23" s="40" t="str">
        <f t="shared" si="35"/>
        <v>alp_vw_dv360_imc_dsy_lanch_nd_nc_nvs_nivus-launch-consideracao-orca__trafego_cpm_drct_all_320x50_lancamento-nivus-orca-3rdparty-from-engine_na_lancamento-consideracao-nivus-orca_nvl-nvs-imc-dsy-0820-10023</v>
      </c>
      <c r="AK23" s="21" t="str">
        <f t="shared" si="2"/>
        <v>vw_nivus_320x50_lancamento-consideracao-nivus-orca_adserver</v>
      </c>
      <c r="AL23" s="21" t="str">
        <f t="shared" si="22"/>
        <v>https://www.vw.com.br/pt/configurador.html/__app/%2Fnivus/0.app?adlid=nvl-nvs-imc-dsy-0820-10023&amp;adplt=alp_vw_dv360_imc_dsy_lanch_nd_nc_nvs_nivus-launch-consideracao-orca__trafego_cpm_drct_all_320x50_lancamento-nivus-orca-3rdparty-from-engine_na_lancamento-consideracao-nivus-orca_nvl-nvs-imc-dsy-0820-10023</v>
      </c>
      <c r="AM23" s="21" t="str">
        <f t="shared" si="4"/>
        <v>TAG</v>
      </c>
      <c r="AN23" s="15" t="str">
        <f t="shared" si="23"/>
        <v>DV360</v>
      </c>
      <c r="AO23" s="15" t="str">
        <f t="shared" si="24"/>
        <v>Paid-Display</v>
      </c>
      <c r="AP23" s="21" t="str">
        <f>Campanha!$B$3</f>
        <v>BR_IMC_DSY_LANCH_ND_NC_2020Q3AUG_NVS_Nivus-Launch-Consideracao-Orca</v>
      </c>
      <c r="AQ23" s="21" t="str">
        <f t="shared" si="7"/>
        <v>alp_vw_dv360_imc_dsy_lanch_nd_nc_nvs_nivus-launch-consideracao-orca__trafego_cpm_drct_all_320x50_lancamento-nivus-orca-3rdparty-from-engine_na_lancamento-consideracao-nivus-orca_nvl-nvs-imc-dsy-0820-10023</v>
      </c>
      <c r="AR23" s="15" t="s">
        <v>745</v>
      </c>
      <c r="AS23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-3rdparty-from-engine_na_lancamento-consideracao-nivus-orca_nvl-nvs-imc-dsy-0820-10023&amp;utm_campaign=BR_IMC_DSY_LANCH_ND_NC_2020Q3AUG_NVS_Nivus-Launch-Consideracao-Orca&amp;utm_term=%epid!_%ecid!_%eaid!</v>
      </c>
      <c r="AT23" s="15" t="str">
        <f t="shared" si="25"/>
        <v>other</v>
      </c>
      <c r="AU23" s="15" t="str">
        <f t="shared" si="10"/>
        <v>BR</v>
      </c>
      <c r="AV23" s="15" t="str">
        <f t="shared" si="26"/>
        <v>dv360</v>
      </c>
      <c r="AW23" s="15" t="str">
        <f t="shared" si="27"/>
        <v>dv360</v>
      </c>
      <c r="AX23" s="15" t="str">
        <f t="shared" si="13"/>
        <v>nivus-launch-consideracao-orca</v>
      </c>
      <c r="AY23" s="15" t="str">
        <f t="shared" si="28"/>
        <v>alp_vw_dv360_imc_dsy_lanch_nd_nc_nvs_nivus-launch-consideracao-orca__trafego_cpm_drct_all_320x50_lancamento-nivus-orca-3rdparty-from-engine_na_lancamento-consideracao-nivus-orca_nvl-nvs-imc-dsy-0820-10023</v>
      </c>
      <c r="AZ23" s="15" t="str">
        <f t="shared" si="29"/>
        <v>320x50</v>
      </c>
      <c r="BA23" s="15" t="str">
        <f t="shared" si="30"/>
        <v>lancamento-consideracao-nivus-orca</v>
      </c>
      <c r="BB23" s="28" t="s">
        <v>798</v>
      </c>
      <c r="BC23" s="28" t="s">
        <v>798</v>
      </c>
      <c r="BD23" s="38" t="str">
        <f t="shared" si="31"/>
        <v>nvl-nvs-imc-dsy-0820-10023</v>
      </c>
      <c r="BE23" s="15" t="str">
        <f t="shared" si="32"/>
        <v>BR</v>
      </c>
      <c r="BF23" s="15" t="str">
        <f t="shared" si="33"/>
        <v>paid</v>
      </c>
      <c r="BG23" s="28"/>
      <c r="BH23" s="28"/>
      <c r="BI23" s="36" t="str">
        <f t="shared" si="18"/>
        <v>https://www.vw.com.br/pt/configurador.html/__app/%2Fnivus/0.app?adlid=nvl-nvs-imc-dsy-0820-10023&amp;adplt=alp_vw_dv360_imc_dsy_lanch_nd_nc_nvs_nivus-launch-consideracao-orca__trafego_cpm_drct_all_320x50_lancamento-nivus-orca-3rdparty-from-engine_na_lancamento-consideracao-nivus-orca_nvl-nvs-imc-dsy-0820-10023</v>
      </c>
      <c r="BL23" t="str">
        <f t="shared" si="19"/>
        <v>alp_vw_dv360_imc_dsy_lanch_nd_nc_nvs_nivus-launch-consideracao-orca__trafego</v>
      </c>
      <c r="BM23" t="str">
        <f t="shared" si="20"/>
        <v>cpm_drct_all_320x50_lancamento-nivus-orca-3rdparty-from-engine_na</v>
      </c>
      <c r="BN23" t="str">
        <f t="shared" si="21"/>
        <v>alp_vw_dv360_imc_dsy_lanch_nd_nc_nvs_nivus-launch-consideracao-orca__trafego_cpm_drct_all_320x50_lancamento-nivus-orca-3rdparty-from-engine_na_generico_nvl-nvs-imc-dsy-0820-10023</v>
      </c>
    </row>
    <row r="24" spans="2:66" ht="15.75" customHeight="1" x14ac:dyDescent="0.25">
      <c r="B24" s="15" t="s">
        <v>1291</v>
      </c>
      <c r="C24" s="15" t="s">
        <v>1293</v>
      </c>
      <c r="D24" s="15"/>
      <c r="E24" s="22">
        <v>44069</v>
      </c>
      <c r="F24" s="22">
        <v>44135</v>
      </c>
      <c r="G24" s="15" t="s">
        <v>651</v>
      </c>
      <c r="H24" s="41" t="s">
        <v>1266</v>
      </c>
      <c r="I24" s="15" t="s">
        <v>801</v>
      </c>
      <c r="J24" s="42" t="s">
        <v>883</v>
      </c>
      <c r="K24" s="42" t="s">
        <v>883</v>
      </c>
      <c r="L24" s="15" t="s">
        <v>676</v>
      </c>
      <c r="M24" s="15" t="s">
        <v>276</v>
      </c>
      <c r="N24" s="15" t="s">
        <v>295</v>
      </c>
      <c r="O24" s="15" t="s">
        <v>677</v>
      </c>
      <c r="P24" s="15" t="str">
        <f>VLOOKUP(Y24,'All Codes'!$BF$3:$BG$278,2,FALSE)</f>
        <v>Leaderboard</v>
      </c>
      <c r="Q24" s="15" t="s">
        <v>179</v>
      </c>
      <c r="R24" s="15" t="s">
        <v>277</v>
      </c>
      <c r="S24" s="15" t="s">
        <v>865</v>
      </c>
      <c r="T24" s="46" t="s">
        <v>884</v>
      </c>
      <c r="U24" s="15" t="s">
        <v>876</v>
      </c>
      <c r="V24" s="49" t="s">
        <v>887</v>
      </c>
      <c r="W24" s="15" t="s">
        <v>866</v>
      </c>
      <c r="X24" s="15" t="s">
        <v>307</v>
      </c>
      <c r="Y24" s="46" t="s">
        <v>591</v>
      </c>
      <c r="Z24" s="15"/>
      <c r="AA24" s="15"/>
      <c r="AB24" s="15"/>
      <c r="AC24" s="15"/>
      <c r="AD24" s="15"/>
      <c r="AE24" s="15"/>
      <c r="AF24" s="15"/>
      <c r="AG24" s="15"/>
      <c r="AH24" s="15" t="str">
        <f t="shared" si="36"/>
        <v>281502774</v>
      </c>
      <c r="AI24" s="21" t="str">
        <f t="shared" si="35"/>
        <v>alp_vw_dv360_imc_dsy_lanch_nd_nc_nvs_nivus-launch-consideracao-orca__trafego_cpm_drct_all_728x90_lancamento-nivus-orca-3rdparty-from-engine_na_lancamento-consideracao-nivus-orca_nvl-nvs-imc-dsy-0820-10024</v>
      </c>
      <c r="AJ24" s="40" t="str">
        <f t="shared" si="35"/>
        <v>alp_vw_dv360_imc_dsy_lanch_nd_nc_nvs_nivus-launch-consideracao-orca__trafego_cpm_drct_all_728x90_lancamento-nivus-orca-3rdparty-from-engine_na_lancamento-consideracao-nivus-orca_nvl-nvs-imc-dsy-0820-10024</v>
      </c>
      <c r="AK24" s="21" t="str">
        <f t="shared" si="2"/>
        <v>vw_nivus_728x90_lancamento-consideracao-nivus-orca_adserver</v>
      </c>
      <c r="AL24" s="21" t="str">
        <f t="shared" si="22"/>
        <v>https://www.vw.com.br/pt/configurador.html/__app/%2Fnivus/0.app?adlid=nvl-nvs-imc-dsy-0820-10024&amp;adplt=alp_vw_dv360_imc_dsy_lanch_nd_nc_nvs_nivus-launch-consideracao-orca__trafego_cpm_drct_all_728x90_lancamento-nivus-orca-3rdparty-from-engine_na_lancamento-consideracao-nivus-orca_nvl-nvs-imc-dsy-0820-10024</v>
      </c>
      <c r="AM24" s="21" t="str">
        <f t="shared" si="4"/>
        <v>TAG</v>
      </c>
      <c r="AN24" s="15" t="str">
        <f t="shared" si="23"/>
        <v>DV360</v>
      </c>
      <c r="AO24" s="15" t="str">
        <f t="shared" si="24"/>
        <v>Paid-Display</v>
      </c>
      <c r="AP24" s="21" t="str">
        <f>Campanha!$B$3</f>
        <v>BR_IMC_DSY_LANCH_ND_NC_2020Q3AUG_NVS_Nivus-Launch-Consideracao-Orca</v>
      </c>
      <c r="AQ24" s="21" t="str">
        <f t="shared" si="7"/>
        <v>alp_vw_dv360_imc_dsy_lanch_nd_nc_nvs_nivus-launch-consideracao-orca__trafego_cpm_drct_all_728x90_lancamento-nivus-orca-3rdparty-from-engine_na_lancamento-consideracao-nivus-orca_nvl-nvs-imc-dsy-0820-10024</v>
      </c>
      <c r="AR24" s="15" t="s">
        <v>745</v>
      </c>
      <c r="AS24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-3rdparty-from-engine_na_lancamento-consideracao-nivus-orca_nvl-nvs-imc-dsy-0820-10024&amp;utm_campaign=BR_IMC_DSY_LANCH_ND_NC_2020Q3AUG_NVS_Nivus-Launch-Consideracao-Orca&amp;utm_term=%epid!_%ecid!_%eaid!</v>
      </c>
      <c r="AT24" s="15" t="str">
        <f t="shared" si="25"/>
        <v>other</v>
      </c>
      <c r="AU24" s="15" t="str">
        <f t="shared" si="10"/>
        <v>BR</v>
      </c>
      <c r="AV24" s="15" t="str">
        <f t="shared" si="26"/>
        <v>dv360</v>
      </c>
      <c r="AW24" s="15" t="str">
        <f t="shared" si="27"/>
        <v>dv360</v>
      </c>
      <c r="AX24" s="15" t="str">
        <f t="shared" si="13"/>
        <v>nivus-launch-consideracao-orca</v>
      </c>
      <c r="AY24" s="15" t="str">
        <f t="shared" si="28"/>
        <v>alp_vw_dv360_imc_dsy_lanch_nd_nc_nvs_nivus-launch-consideracao-orca__trafego_cpm_drct_all_728x90_lancamento-nivus-orca-3rdparty-from-engine_na_lancamento-consideracao-nivus-orca_nvl-nvs-imc-dsy-0820-10024</v>
      </c>
      <c r="AZ24" s="15" t="str">
        <f t="shared" si="29"/>
        <v>728x90</v>
      </c>
      <c r="BA24" s="15" t="str">
        <f t="shared" si="30"/>
        <v>lancamento-consideracao-nivus-orca</v>
      </c>
      <c r="BB24" s="28" t="s">
        <v>798</v>
      </c>
      <c r="BC24" s="28" t="s">
        <v>798</v>
      </c>
      <c r="BD24" s="38" t="str">
        <f t="shared" si="31"/>
        <v>nvl-nvs-imc-dsy-0820-10024</v>
      </c>
      <c r="BE24" s="15" t="str">
        <f t="shared" si="32"/>
        <v>BR</v>
      </c>
      <c r="BF24" s="15" t="str">
        <f t="shared" si="33"/>
        <v>paid</v>
      </c>
      <c r="BG24" s="28"/>
      <c r="BH24" s="28"/>
      <c r="BI24" s="36" t="str">
        <f t="shared" si="18"/>
        <v>https://www.vw.com.br/pt/configurador.html/__app/%2Fnivus/0.app?adlid=nvl-nvs-imc-dsy-0820-10024&amp;adplt=alp_vw_dv360_imc_dsy_lanch_nd_nc_nvs_nivus-launch-consideracao-orca__trafego_cpm_drct_all_728x90_lancamento-nivus-orca-3rdparty-from-engine_na_lancamento-consideracao-nivus-orca_nvl-nvs-imc-dsy-0820-10024</v>
      </c>
      <c r="BL24" t="str">
        <f t="shared" si="19"/>
        <v>alp_vw_dv360_imc_dsy_lanch_nd_nc_nvs_nivus-launch-consideracao-orca__trafego</v>
      </c>
      <c r="BM24" t="str">
        <f t="shared" si="20"/>
        <v>cpm_drct_all_728x90_lancamento-nivus-orca-3rdparty-from-engine_na</v>
      </c>
      <c r="BN24" t="str">
        <f t="shared" si="21"/>
        <v>alp_vw_dv360_imc_dsy_lanch_nd_nc_nvs_nivus-launch-consideracao-orca__trafego_cpm_drct_all_728x90_lancamento-nivus-orca-3rdparty-from-engine_na_generico_nvl-nvs-imc-dsy-0820-10024</v>
      </c>
    </row>
    <row r="25" spans="2:66" ht="15.75" customHeight="1" x14ac:dyDescent="0.25">
      <c r="B25" s="15" t="s">
        <v>1291</v>
      </c>
      <c r="C25" s="15" t="s">
        <v>1293</v>
      </c>
      <c r="D25" s="15"/>
      <c r="E25" s="22">
        <v>44069</v>
      </c>
      <c r="F25" s="22">
        <v>44135</v>
      </c>
      <c r="G25" s="15" t="s">
        <v>651</v>
      </c>
      <c r="H25" s="41" t="s">
        <v>1266</v>
      </c>
      <c r="I25" s="15" t="s">
        <v>801</v>
      </c>
      <c r="J25" s="42" t="s">
        <v>883</v>
      </c>
      <c r="K25" s="42" t="s">
        <v>883</v>
      </c>
      <c r="L25" s="15" t="s">
        <v>676</v>
      </c>
      <c r="M25" s="15" t="s">
        <v>276</v>
      </c>
      <c r="N25" s="15" t="s">
        <v>295</v>
      </c>
      <c r="O25" s="15" t="s">
        <v>677</v>
      </c>
      <c r="P25" s="15" t="str">
        <f>VLOOKUP(Y25,'All Codes'!$BF$3:$BG$278,2,FALSE)</f>
        <v>Leaderboard</v>
      </c>
      <c r="Q25" s="15" t="s">
        <v>179</v>
      </c>
      <c r="R25" s="15" t="s">
        <v>277</v>
      </c>
      <c r="S25" s="15" t="s">
        <v>865</v>
      </c>
      <c r="T25" s="46" t="s">
        <v>884</v>
      </c>
      <c r="U25" s="15" t="s">
        <v>876</v>
      </c>
      <c r="V25" s="49" t="s">
        <v>887</v>
      </c>
      <c r="W25" s="15" t="s">
        <v>866</v>
      </c>
      <c r="X25" s="15" t="s">
        <v>307</v>
      </c>
      <c r="Y25" s="46" t="s">
        <v>629</v>
      </c>
      <c r="Z25" s="15"/>
      <c r="AA25" s="15"/>
      <c r="AB25" s="15"/>
      <c r="AC25" s="15"/>
      <c r="AD25" s="15"/>
      <c r="AE25" s="15"/>
      <c r="AF25" s="15"/>
      <c r="AG25" s="15"/>
      <c r="AH25" s="15" t="str">
        <f t="shared" si="36"/>
        <v>281502768</v>
      </c>
      <c r="AI25" s="21" t="str">
        <f t="shared" si="35"/>
        <v>alp_vw_dv360_imc_dsy_lanch_nd_nc_nvs_nivus-launch-consideracao-orca__trafego_cpm_drct_all_970x250_lancamento-nivus-orca-3rdparty-from-engine_na_lancamento-consideracao-nivus-orca_nvl-nvs-imc-dsy-0820-10025</v>
      </c>
      <c r="AJ25" s="40" t="str">
        <f t="shared" si="35"/>
        <v>alp_vw_dv360_imc_dsy_lanch_nd_nc_nvs_nivus-launch-consideracao-orca__trafego_cpm_drct_all_970x250_lancamento-nivus-orca-3rdparty-from-engine_na_lancamento-consideracao-nivus-orca_nvl-nvs-imc-dsy-0820-10025</v>
      </c>
      <c r="AK25" s="21" t="str">
        <f t="shared" si="2"/>
        <v>vw_nivus_970x250_lancamento-consideracao-nivus-orca_adserver</v>
      </c>
      <c r="AL25" s="21" t="str">
        <f t="shared" si="22"/>
        <v>https://www.vw.com.br/pt/configurador.html/__app/%2Fnivus/0.app?adlid=nvl-nvs-imc-dsy-0820-10025&amp;adplt=alp_vw_dv360_imc_dsy_lanch_nd_nc_nvs_nivus-launch-consideracao-orca__trafego_cpm_drct_all_970x250_lancamento-nivus-orca-3rdparty-from-engine_na_lancamento-consideracao-nivus-orca_nvl-nvs-imc-dsy-0820-10025</v>
      </c>
      <c r="AM25" s="21" t="str">
        <f t="shared" si="4"/>
        <v>TAG</v>
      </c>
      <c r="AN25" s="15" t="str">
        <f t="shared" si="23"/>
        <v>DV360</v>
      </c>
      <c r="AO25" s="15" t="str">
        <f t="shared" si="24"/>
        <v>Paid-Display</v>
      </c>
      <c r="AP25" s="21" t="str">
        <f>Campanha!$B$3</f>
        <v>BR_IMC_DSY_LANCH_ND_NC_2020Q3AUG_NVS_Nivus-Launch-Consideracao-Orca</v>
      </c>
      <c r="AQ25" s="21" t="str">
        <f t="shared" si="7"/>
        <v>alp_vw_dv360_imc_dsy_lanch_nd_nc_nvs_nivus-launch-consideracao-orca__trafego_cpm_drct_all_970x250_lancamento-nivus-orca-3rdparty-from-engine_na_lancamento-consideracao-nivus-orca_nvl-nvs-imc-dsy-0820-10025</v>
      </c>
      <c r="AR25" s="15" t="s">
        <v>745</v>
      </c>
      <c r="AS25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-3rdparty-from-engine_na_lancamento-consideracao-nivus-orca_nvl-nvs-imc-dsy-0820-10025&amp;utm_campaign=BR_IMC_DSY_LANCH_ND_NC_2020Q3AUG_NVS_Nivus-Launch-Consideracao-Orca&amp;utm_term=%epid!_%ecid!_%eaid!</v>
      </c>
      <c r="AT25" s="15" t="str">
        <f t="shared" si="25"/>
        <v>other</v>
      </c>
      <c r="AU25" s="15" t="str">
        <f t="shared" si="10"/>
        <v>BR</v>
      </c>
      <c r="AV25" s="15" t="str">
        <f t="shared" si="26"/>
        <v>dv360</v>
      </c>
      <c r="AW25" s="15" t="str">
        <f t="shared" si="27"/>
        <v>dv360</v>
      </c>
      <c r="AX25" s="15" t="str">
        <f t="shared" si="13"/>
        <v>nivus-launch-consideracao-orca</v>
      </c>
      <c r="AY25" s="15" t="str">
        <f t="shared" si="28"/>
        <v>alp_vw_dv360_imc_dsy_lanch_nd_nc_nvs_nivus-launch-consideracao-orca__trafego_cpm_drct_all_970x250_lancamento-nivus-orca-3rdparty-from-engine_na_lancamento-consideracao-nivus-orca_nvl-nvs-imc-dsy-0820-10025</v>
      </c>
      <c r="AZ25" s="15" t="str">
        <f t="shared" si="29"/>
        <v>970x250</v>
      </c>
      <c r="BA25" s="15" t="str">
        <f t="shared" si="30"/>
        <v>lancamento-consideracao-nivus-orca</v>
      </c>
      <c r="BB25" s="28" t="s">
        <v>798</v>
      </c>
      <c r="BC25" s="28" t="s">
        <v>798</v>
      </c>
      <c r="BD25" s="38" t="str">
        <f t="shared" si="31"/>
        <v>nvl-nvs-imc-dsy-0820-10025</v>
      </c>
      <c r="BE25" s="15" t="str">
        <f t="shared" si="32"/>
        <v>BR</v>
      </c>
      <c r="BF25" s="15" t="str">
        <f t="shared" si="33"/>
        <v>paid</v>
      </c>
      <c r="BG25" s="28"/>
      <c r="BH25" s="28"/>
      <c r="BI25" s="36" t="str">
        <f t="shared" si="18"/>
        <v>https://www.vw.com.br/pt/configurador.html/__app/%2Fnivus/0.app?adlid=nvl-nvs-imc-dsy-0820-10025&amp;adplt=alp_vw_dv360_imc_dsy_lanch_nd_nc_nvs_nivus-launch-consideracao-orca__trafego_cpm_drct_all_970x250_lancamento-nivus-orca-3rdparty-from-engine_na_lancamento-consideracao-nivus-orca_nvl-nvs-imc-dsy-0820-10025</v>
      </c>
      <c r="BL25" t="str">
        <f t="shared" si="19"/>
        <v>alp_vw_dv360_imc_dsy_lanch_nd_nc_nvs_nivus-launch-consideracao-orca__trafego</v>
      </c>
      <c r="BM25" t="str">
        <f t="shared" si="20"/>
        <v>cpm_drct_all_970x250_lancamento-nivus-orca-3rdparty-from-engine_na</v>
      </c>
      <c r="BN25" t="str">
        <f t="shared" si="21"/>
        <v>alp_vw_dv360_imc_dsy_lanch_nd_nc_nvs_nivus-launch-consideracao-orca__trafego_cpm_drct_all_970x250_lancamento-nivus-orca-3rdparty-from-engine_na_generico_nvl-nvs-imc-dsy-0820-10025</v>
      </c>
    </row>
    <row r="26" spans="2:66" ht="15.75" customHeight="1" x14ac:dyDescent="0.25">
      <c r="B26" s="15" t="s">
        <v>1291</v>
      </c>
      <c r="C26" s="15" t="s">
        <v>1293</v>
      </c>
      <c r="D26" s="15"/>
      <c r="E26" s="22">
        <v>44069</v>
      </c>
      <c r="F26" s="22">
        <v>44135</v>
      </c>
      <c r="G26" s="15" t="s">
        <v>651</v>
      </c>
      <c r="H26" s="41" t="s">
        <v>1266</v>
      </c>
      <c r="I26" s="15" t="s">
        <v>801</v>
      </c>
      <c r="J26" s="42" t="s">
        <v>883</v>
      </c>
      <c r="K26" s="42" t="s">
        <v>883</v>
      </c>
      <c r="L26" s="15" t="s">
        <v>676</v>
      </c>
      <c r="M26" s="15" t="s">
        <v>276</v>
      </c>
      <c r="N26" s="15" t="s">
        <v>295</v>
      </c>
      <c r="O26" s="15" t="s">
        <v>677</v>
      </c>
      <c r="P26" s="15" t="str">
        <f>VLOOKUP(Y26,'All Codes'!$BF$3:$BG$278,2,FALSE)</f>
        <v>MPU</v>
      </c>
      <c r="Q26" s="15" t="s">
        <v>179</v>
      </c>
      <c r="R26" s="15" t="s">
        <v>277</v>
      </c>
      <c r="S26" s="15" t="s">
        <v>865</v>
      </c>
      <c r="T26" s="46" t="s">
        <v>884</v>
      </c>
      <c r="U26" s="15" t="s">
        <v>876</v>
      </c>
      <c r="V26" s="50" t="s">
        <v>888</v>
      </c>
      <c r="W26" s="15" t="s">
        <v>866</v>
      </c>
      <c r="X26" s="15" t="s">
        <v>307</v>
      </c>
      <c r="Y26" s="46" t="s">
        <v>461</v>
      </c>
      <c r="Z26" s="15"/>
      <c r="AA26" s="15"/>
      <c r="AB26" s="15"/>
      <c r="AC26" s="15"/>
      <c r="AD26" s="15"/>
      <c r="AE26" s="15"/>
      <c r="AF26" s="15"/>
      <c r="AG26" s="15"/>
      <c r="AH26" s="15" t="str">
        <f t="shared" si="36"/>
        <v>281502762</v>
      </c>
      <c r="AI26" s="21" t="str">
        <f t="shared" si="35"/>
        <v>alp_vw_dv360_imc_dsy_lanch_nd_nc_nvs_nivus-launch-consideracao-orca__trafego_cpm_drct_all_300x50_lancamento-nivus-orca-categories_na_lancamento-consideracao-nivus-orca_nvl-nvs-imc-dsy-0820-10026</v>
      </c>
      <c r="AJ26" s="40" t="str">
        <f t="shared" si="35"/>
        <v>alp_vw_dv360_imc_dsy_lanch_nd_nc_nvs_nivus-launch-consideracao-orca__trafego_cpm_drct_all_300x50_lancamento-nivus-orca-categories_na_lancamento-consideracao-nivus-orca_nvl-nvs-imc-dsy-0820-10026</v>
      </c>
      <c r="AK26" s="21" t="str">
        <f t="shared" si="2"/>
        <v>vw_nivus_300x50_lancamento-consideracao-nivus-orca_adserver</v>
      </c>
      <c r="AL26" s="21" t="str">
        <f t="shared" si="22"/>
        <v>https://www.vw.com.br/pt/configurador.html/__app/%2Fnivus/0.app?adlid=nvl-nvs-imc-dsy-0820-10026&amp;adplt=alp_vw_dv360_imc_dsy_lanch_nd_nc_nvs_nivus-launch-consideracao-orca__trafego_cpm_drct_all_300x50_lancamento-nivus-orca-categories_na_lancamento-consideracao-nivus-orca_nvl-nvs-imc-dsy-0820-10026</v>
      </c>
      <c r="AM26" s="21" t="str">
        <f t="shared" si="4"/>
        <v>TAG</v>
      </c>
      <c r="AN26" s="15" t="str">
        <f t="shared" si="23"/>
        <v>DV360</v>
      </c>
      <c r="AO26" s="15" t="str">
        <f t="shared" si="24"/>
        <v>Paid-Display</v>
      </c>
      <c r="AP26" s="21" t="str">
        <f>Campanha!$B$3</f>
        <v>BR_IMC_DSY_LANCH_ND_NC_2020Q3AUG_NVS_Nivus-Launch-Consideracao-Orca</v>
      </c>
      <c r="AQ26" s="21" t="str">
        <f t="shared" si="7"/>
        <v>alp_vw_dv360_imc_dsy_lanch_nd_nc_nvs_nivus-launch-consideracao-orca__trafego_cpm_drct_all_300x50_lancamento-nivus-orca-categories_na_lancamento-consideracao-nivus-orca_nvl-nvs-imc-dsy-0820-10026</v>
      </c>
      <c r="AR26" s="15" t="s">
        <v>745</v>
      </c>
      <c r="AS26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categories_na_lancamento-consideracao-nivus-orca_nvl-nvs-imc-dsy-0820-10026&amp;utm_campaign=BR_IMC_DSY_LANCH_ND_NC_2020Q3AUG_NVS_Nivus-Launch-Consideracao-Orca&amp;utm_term=%epid!_%ecid!_%eaid!</v>
      </c>
      <c r="AT26" s="15" t="str">
        <f t="shared" si="25"/>
        <v>other</v>
      </c>
      <c r="AU26" s="15" t="str">
        <f t="shared" si="10"/>
        <v>BR</v>
      </c>
      <c r="AV26" s="15" t="str">
        <f t="shared" si="26"/>
        <v>dv360</v>
      </c>
      <c r="AW26" s="15" t="str">
        <f t="shared" si="27"/>
        <v>dv360</v>
      </c>
      <c r="AX26" s="15" t="str">
        <f t="shared" si="13"/>
        <v>nivus-launch-consideracao-orca</v>
      </c>
      <c r="AY26" s="15" t="str">
        <f t="shared" si="28"/>
        <v>alp_vw_dv360_imc_dsy_lanch_nd_nc_nvs_nivus-launch-consideracao-orca__trafego_cpm_drct_all_300x50_lancamento-nivus-orca-categories_na_lancamento-consideracao-nivus-orca_nvl-nvs-imc-dsy-0820-10026</v>
      </c>
      <c r="AZ26" s="15" t="str">
        <f t="shared" si="29"/>
        <v>300x50</v>
      </c>
      <c r="BA26" s="15" t="str">
        <f t="shared" si="30"/>
        <v>lancamento-consideracao-nivus-orca</v>
      </c>
      <c r="BB26" s="28" t="s">
        <v>798</v>
      </c>
      <c r="BC26" s="28" t="s">
        <v>798</v>
      </c>
      <c r="BD26" s="38" t="str">
        <f t="shared" si="31"/>
        <v>nvl-nvs-imc-dsy-0820-10026</v>
      </c>
      <c r="BE26" s="15" t="str">
        <f t="shared" si="32"/>
        <v>BR</v>
      </c>
      <c r="BF26" s="15" t="str">
        <f t="shared" si="33"/>
        <v>paid</v>
      </c>
      <c r="BG26" s="28"/>
      <c r="BH26" s="28"/>
      <c r="BI26" s="36" t="str">
        <f t="shared" si="18"/>
        <v>https://www.vw.com.br/pt/configurador.html/__app/%2Fnivus/0.app?adlid=nvl-nvs-imc-dsy-0820-10026&amp;adplt=alp_vw_dv360_imc_dsy_lanch_nd_nc_nvs_nivus-launch-consideracao-orca__trafego_cpm_drct_all_300x50_lancamento-nivus-orca-categories_na_lancamento-consideracao-nivus-orca_nvl-nvs-imc-dsy-0820-10026</v>
      </c>
      <c r="BL26" t="str">
        <f t="shared" si="19"/>
        <v>alp_vw_dv360_imc_dsy_lanch_nd_nc_nvs_nivus-launch-consideracao-orca__trafego</v>
      </c>
      <c r="BM26" t="str">
        <f t="shared" si="20"/>
        <v>cpm_drct_all_300x50_lancamento-nivus-orca-categories_na</v>
      </c>
      <c r="BN26" t="str">
        <f t="shared" si="21"/>
        <v>alp_vw_dv360_imc_dsy_lanch_nd_nc_nvs_nivus-launch-consideracao-orca__trafego_cpm_drct_all_300x50_lancamento-nivus-orca-categories_na_generico_nvl-nvs-imc-dsy-0820-10026</v>
      </c>
    </row>
    <row r="27" spans="2:66" ht="15.75" customHeight="1" x14ac:dyDescent="0.25">
      <c r="B27" s="15" t="s">
        <v>1291</v>
      </c>
      <c r="C27" s="15" t="s">
        <v>1293</v>
      </c>
      <c r="D27" s="15"/>
      <c r="E27" s="22">
        <v>44069</v>
      </c>
      <c r="F27" s="22">
        <v>44135</v>
      </c>
      <c r="G27" s="15" t="s">
        <v>651</v>
      </c>
      <c r="H27" s="41" t="s">
        <v>1266</v>
      </c>
      <c r="I27" s="15" t="s">
        <v>801</v>
      </c>
      <c r="J27" s="42" t="s">
        <v>883</v>
      </c>
      <c r="K27" s="42" t="s">
        <v>883</v>
      </c>
      <c r="L27" s="15" t="s">
        <v>676</v>
      </c>
      <c r="M27" s="15" t="s">
        <v>276</v>
      </c>
      <c r="N27" s="15" t="s">
        <v>295</v>
      </c>
      <c r="O27" s="15" t="s">
        <v>677</v>
      </c>
      <c r="P27" s="15" t="str">
        <f>VLOOKUP(Y27,'All Codes'!$BF$3:$BG$278,2,FALSE)</f>
        <v>Skyscraper</v>
      </c>
      <c r="Q27" s="15" t="s">
        <v>179</v>
      </c>
      <c r="R27" s="15" t="s">
        <v>277</v>
      </c>
      <c r="S27" s="15" t="s">
        <v>865</v>
      </c>
      <c r="T27" s="46" t="s">
        <v>884</v>
      </c>
      <c r="U27" s="15" t="s">
        <v>876</v>
      </c>
      <c r="V27" s="50" t="s">
        <v>888</v>
      </c>
      <c r="W27" s="15" t="s">
        <v>866</v>
      </c>
      <c r="X27" s="15" t="s">
        <v>307</v>
      </c>
      <c r="Y27" s="46" t="s">
        <v>434</v>
      </c>
      <c r="Z27" s="15"/>
      <c r="AA27" s="15"/>
      <c r="AB27" s="15"/>
      <c r="AC27" s="15"/>
      <c r="AD27" s="15"/>
      <c r="AE27" s="15"/>
      <c r="AF27" s="15"/>
      <c r="AG27" s="15"/>
      <c r="AH27" s="15" t="str">
        <f t="shared" si="36"/>
        <v>281502756</v>
      </c>
      <c r="AI27" s="21" t="str">
        <f t="shared" si="35"/>
        <v>alp_vw_dv360_imc_dsy_lanch_nd_nc_nvs_nivus-launch-consideracao-orca__trafego_cpm_drct_all_160x600_lancamento-nivus-orca-categories_na_lancamento-consideracao-nivus-orca_nvl-nvs-imc-dsy-0820-10027</v>
      </c>
      <c r="AJ27" s="40" t="str">
        <f t="shared" si="35"/>
        <v>alp_vw_dv360_imc_dsy_lanch_nd_nc_nvs_nivus-launch-consideracao-orca__trafego_cpm_drct_all_160x600_lancamento-nivus-orca-categories_na_lancamento-consideracao-nivus-orca_nvl-nvs-imc-dsy-0820-10027</v>
      </c>
      <c r="AK27" s="21" t="str">
        <f t="shared" si="2"/>
        <v>vw_nivus_160x600_lancamento-consideracao-nivus-orca_adserver</v>
      </c>
      <c r="AL27" s="21" t="str">
        <f t="shared" si="22"/>
        <v>https://www.vw.com.br/pt/configurador.html/__app/%2Fnivus/0.app?adlid=nvl-nvs-imc-dsy-0820-10027&amp;adplt=alp_vw_dv360_imc_dsy_lanch_nd_nc_nvs_nivus-launch-consideracao-orca__trafego_cpm_drct_all_160x600_lancamento-nivus-orca-categories_na_lancamento-consideracao-nivus-orca_nvl-nvs-imc-dsy-0820-10027</v>
      </c>
      <c r="AM27" s="21" t="str">
        <f t="shared" si="4"/>
        <v>TAG</v>
      </c>
      <c r="AN27" s="15" t="str">
        <f t="shared" si="23"/>
        <v>DV360</v>
      </c>
      <c r="AO27" s="15" t="str">
        <f t="shared" si="24"/>
        <v>Paid-Display</v>
      </c>
      <c r="AP27" s="21" t="str">
        <f>Campanha!$B$3</f>
        <v>BR_IMC_DSY_LANCH_ND_NC_2020Q3AUG_NVS_Nivus-Launch-Consideracao-Orca</v>
      </c>
      <c r="AQ27" s="21" t="str">
        <f t="shared" si="7"/>
        <v>alp_vw_dv360_imc_dsy_lanch_nd_nc_nvs_nivus-launch-consideracao-orca__trafego_cpm_drct_all_160x600_lancamento-nivus-orca-categories_na_lancamento-consideracao-nivus-orca_nvl-nvs-imc-dsy-0820-10027</v>
      </c>
      <c r="AR27" s="15" t="s">
        <v>745</v>
      </c>
      <c r="AS27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categories_na_lancamento-consideracao-nivus-orca_nvl-nvs-imc-dsy-0820-10027&amp;utm_campaign=BR_IMC_DSY_LANCH_ND_NC_2020Q3AUG_NVS_Nivus-Launch-Consideracao-Orca&amp;utm_term=%epid!_%ecid!_%eaid!</v>
      </c>
      <c r="AT27" s="15" t="str">
        <f t="shared" si="25"/>
        <v>other</v>
      </c>
      <c r="AU27" s="15" t="str">
        <f t="shared" si="10"/>
        <v>BR</v>
      </c>
      <c r="AV27" s="15" t="str">
        <f t="shared" si="26"/>
        <v>dv360</v>
      </c>
      <c r="AW27" s="15" t="str">
        <f t="shared" si="27"/>
        <v>dv360</v>
      </c>
      <c r="AX27" s="15" t="str">
        <f t="shared" si="13"/>
        <v>nivus-launch-consideracao-orca</v>
      </c>
      <c r="AY27" s="15" t="str">
        <f t="shared" si="28"/>
        <v>alp_vw_dv360_imc_dsy_lanch_nd_nc_nvs_nivus-launch-consideracao-orca__trafego_cpm_drct_all_160x600_lancamento-nivus-orca-categories_na_lancamento-consideracao-nivus-orca_nvl-nvs-imc-dsy-0820-10027</v>
      </c>
      <c r="AZ27" s="15" t="str">
        <f t="shared" si="29"/>
        <v>160x600</v>
      </c>
      <c r="BA27" s="15" t="str">
        <f t="shared" si="30"/>
        <v>lancamento-consideracao-nivus-orca</v>
      </c>
      <c r="BB27" s="28" t="s">
        <v>798</v>
      </c>
      <c r="BC27" s="28" t="s">
        <v>798</v>
      </c>
      <c r="BD27" s="38" t="str">
        <f t="shared" si="31"/>
        <v>nvl-nvs-imc-dsy-0820-10027</v>
      </c>
      <c r="BE27" s="15" t="str">
        <f t="shared" si="32"/>
        <v>BR</v>
      </c>
      <c r="BF27" s="15" t="str">
        <f t="shared" si="33"/>
        <v>paid</v>
      </c>
      <c r="BG27" s="28"/>
      <c r="BH27" s="28"/>
      <c r="BI27" s="36" t="str">
        <f t="shared" si="18"/>
        <v>https://www.vw.com.br/pt/configurador.html/__app/%2Fnivus/0.app?adlid=nvl-nvs-imc-dsy-0820-10027&amp;adplt=alp_vw_dv360_imc_dsy_lanch_nd_nc_nvs_nivus-launch-consideracao-orca__trafego_cpm_drct_all_160x600_lancamento-nivus-orca-categories_na_lancamento-consideracao-nivus-orca_nvl-nvs-imc-dsy-0820-10027</v>
      </c>
      <c r="BL27" t="str">
        <f t="shared" si="19"/>
        <v>alp_vw_dv360_imc_dsy_lanch_nd_nc_nvs_nivus-launch-consideracao-orca__trafego</v>
      </c>
      <c r="BM27" t="str">
        <f t="shared" si="20"/>
        <v>cpm_drct_all_160x600_lancamento-nivus-orca-categories_na</v>
      </c>
      <c r="BN27" t="str">
        <f t="shared" si="21"/>
        <v>alp_vw_dv360_imc_dsy_lanch_nd_nc_nvs_nivus-launch-consideracao-orca__trafego_cpm_drct_all_160x600_lancamento-nivus-orca-categories_na_generico_nvl-nvs-imc-dsy-0820-10027</v>
      </c>
    </row>
    <row r="28" spans="2:66" ht="15.75" customHeight="1" x14ac:dyDescent="0.25">
      <c r="B28" s="15" t="s">
        <v>1291</v>
      </c>
      <c r="C28" s="15" t="s">
        <v>1293</v>
      </c>
      <c r="D28" s="15"/>
      <c r="E28" s="22">
        <v>44069</v>
      </c>
      <c r="F28" s="22">
        <v>44135</v>
      </c>
      <c r="G28" s="15" t="s">
        <v>651</v>
      </c>
      <c r="H28" s="41" t="s">
        <v>1266</v>
      </c>
      <c r="I28" s="15" t="s">
        <v>801</v>
      </c>
      <c r="J28" s="42" t="s">
        <v>883</v>
      </c>
      <c r="K28" s="42" t="s">
        <v>883</v>
      </c>
      <c r="L28" s="15" t="s">
        <v>676</v>
      </c>
      <c r="M28" s="15" t="s">
        <v>276</v>
      </c>
      <c r="N28" s="15" t="s">
        <v>295</v>
      </c>
      <c r="O28" s="15" t="s">
        <v>677</v>
      </c>
      <c r="P28" s="15" t="str">
        <f>VLOOKUP(Y28,'All Codes'!$BF$3:$BG$278,2,FALSE)</f>
        <v>MPU</v>
      </c>
      <c r="Q28" s="15" t="s">
        <v>179</v>
      </c>
      <c r="R28" s="15" t="s">
        <v>277</v>
      </c>
      <c r="S28" s="15" t="s">
        <v>865</v>
      </c>
      <c r="T28" s="46" t="s">
        <v>884</v>
      </c>
      <c r="U28" s="15" t="s">
        <v>876</v>
      </c>
      <c r="V28" s="50" t="s">
        <v>888</v>
      </c>
      <c r="W28" s="15" t="s">
        <v>866</v>
      </c>
      <c r="X28" s="15" t="s">
        <v>307</v>
      </c>
      <c r="Y28" s="46" t="s">
        <v>455</v>
      </c>
      <c r="Z28" s="15"/>
      <c r="AA28" s="15"/>
      <c r="AB28" s="15"/>
      <c r="AC28" s="15"/>
      <c r="AD28" s="15"/>
      <c r="AE28" s="15"/>
      <c r="AF28" s="15"/>
      <c r="AG28" s="15"/>
      <c r="AH28" s="15" t="str">
        <f t="shared" si="36"/>
        <v>281502750</v>
      </c>
      <c r="AI28" s="21" t="str">
        <f t="shared" si="35"/>
        <v>alp_vw_dv360_imc_dsy_lanch_nd_nc_nvs_nivus-launch-consideracao-orca__trafego_cpm_drct_all_300x250_lancamento-nivus-orca-categories_na_lancamento-consideracao-nivus-orca_nvl-nvs-imc-dsy-0820-10028</v>
      </c>
      <c r="AJ28" s="40" t="str">
        <f t="shared" si="35"/>
        <v>alp_vw_dv360_imc_dsy_lanch_nd_nc_nvs_nivus-launch-consideracao-orca__trafego_cpm_drct_all_300x250_lancamento-nivus-orca-categories_na_lancamento-consideracao-nivus-orca_nvl-nvs-imc-dsy-0820-10028</v>
      </c>
      <c r="AK28" s="21" t="str">
        <f t="shared" si="2"/>
        <v>vw_nivus_300x250_lancamento-consideracao-nivus-orca_adserver</v>
      </c>
      <c r="AL28" s="21" t="str">
        <f t="shared" si="22"/>
        <v>https://www.vw.com.br/pt/configurador.html/__app/%2Fnivus/0.app?adlid=nvl-nvs-imc-dsy-0820-10028&amp;adplt=alp_vw_dv360_imc_dsy_lanch_nd_nc_nvs_nivus-launch-consideracao-orca__trafego_cpm_drct_all_300x250_lancamento-nivus-orca-categories_na_lancamento-consideracao-nivus-orca_nvl-nvs-imc-dsy-0820-10028</v>
      </c>
      <c r="AM28" s="21" t="str">
        <f t="shared" si="4"/>
        <v>TAG</v>
      </c>
      <c r="AN28" s="15" t="str">
        <f t="shared" si="23"/>
        <v>DV360</v>
      </c>
      <c r="AO28" s="15" t="str">
        <f t="shared" si="24"/>
        <v>Paid-Display</v>
      </c>
      <c r="AP28" s="21" t="str">
        <f>Campanha!$B$3</f>
        <v>BR_IMC_DSY_LANCH_ND_NC_2020Q3AUG_NVS_Nivus-Launch-Consideracao-Orca</v>
      </c>
      <c r="AQ28" s="21" t="str">
        <f t="shared" si="7"/>
        <v>alp_vw_dv360_imc_dsy_lanch_nd_nc_nvs_nivus-launch-consideracao-orca__trafego_cpm_drct_all_300x250_lancamento-nivus-orca-categories_na_lancamento-consideracao-nivus-orca_nvl-nvs-imc-dsy-0820-10028</v>
      </c>
      <c r="AR28" s="15" t="s">
        <v>745</v>
      </c>
      <c r="AS28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categories_na_lancamento-consideracao-nivus-orca_nvl-nvs-imc-dsy-0820-10028&amp;utm_campaign=BR_IMC_DSY_LANCH_ND_NC_2020Q3AUG_NVS_Nivus-Launch-Consideracao-Orca&amp;utm_term=%epid!_%ecid!_%eaid!</v>
      </c>
      <c r="AT28" s="15" t="str">
        <f t="shared" si="25"/>
        <v>other</v>
      </c>
      <c r="AU28" s="15" t="str">
        <f t="shared" si="10"/>
        <v>BR</v>
      </c>
      <c r="AV28" s="15" t="str">
        <f t="shared" si="26"/>
        <v>dv360</v>
      </c>
      <c r="AW28" s="15" t="str">
        <f t="shared" si="27"/>
        <v>dv360</v>
      </c>
      <c r="AX28" s="15" t="str">
        <f t="shared" si="13"/>
        <v>nivus-launch-consideracao-orca</v>
      </c>
      <c r="AY28" s="15" t="str">
        <f t="shared" si="28"/>
        <v>alp_vw_dv360_imc_dsy_lanch_nd_nc_nvs_nivus-launch-consideracao-orca__trafego_cpm_drct_all_300x250_lancamento-nivus-orca-categories_na_lancamento-consideracao-nivus-orca_nvl-nvs-imc-dsy-0820-10028</v>
      </c>
      <c r="AZ28" s="15" t="str">
        <f t="shared" si="29"/>
        <v>300x250</v>
      </c>
      <c r="BA28" s="15" t="str">
        <f t="shared" si="30"/>
        <v>lancamento-consideracao-nivus-orca</v>
      </c>
      <c r="BB28" s="28" t="s">
        <v>798</v>
      </c>
      <c r="BC28" s="28" t="s">
        <v>798</v>
      </c>
      <c r="BD28" s="38" t="str">
        <f t="shared" si="31"/>
        <v>nvl-nvs-imc-dsy-0820-10028</v>
      </c>
      <c r="BE28" s="15" t="str">
        <f t="shared" si="32"/>
        <v>BR</v>
      </c>
      <c r="BF28" s="15" t="str">
        <f t="shared" si="33"/>
        <v>paid</v>
      </c>
      <c r="BG28" s="28"/>
      <c r="BH28" s="28"/>
      <c r="BI28" s="36" t="str">
        <f t="shared" si="18"/>
        <v>https://www.vw.com.br/pt/configurador.html/__app/%2Fnivus/0.app?adlid=nvl-nvs-imc-dsy-0820-10028&amp;adplt=alp_vw_dv360_imc_dsy_lanch_nd_nc_nvs_nivus-launch-consideracao-orca__trafego_cpm_drct_all_300x250_lancamento-nivus-orca-categories_na_lancamento-consideracao-nivus-orca_nvl-nvs-imc-dsy-0820-10028</v>
      </c>
      <c r="BL28" t="str">
        <f t="shared" si="19"/>
        <v>alp_vw_dv360_imc_dsy_lanch_nd_nc_nvs_nivus-launch-consideracao-orca__trafego</v>
      </c>
      <c r="BM28" t="str">
        <f t="shared" si="20"/>
        <v>cpm_drct_all_300x250_lancamento-nivus-orca-categories_na</v>
      </c>
      <c r="BN28" t="str">
        <f t="shared" si="21"/>
        <v>alp_vw_dv360_imc_dsy_lanch_nd_nc_nvs_nivus-launch-consideracao-orca__trafego_cpm_drct_all_300x250_lancamento-nivus-orca-categories_na_generico_nvl-nvs-imc-dsy-0820-10028</v>
      </c>
    </row>
    <row r="29" spans="2:66" ht="15.75" customHeight="1" x14ac:dyDescent="0.25">
      <c r="B29" s="15" t="s">
        <v>1291</v>
      </c>
      <c r="C29" s="15" t="s">
        <v>1293</v>
      </c>
      <c r="D29" s="15"/>
      <c r="E29" s="22">
        <v>44069</v>
      </c>
      <c r="F29" s="22">
        <v>44135</v>
      </c>
      <c r="G29" s="15" t="s">
        <v>651</v>
      </c>
      <c r="H29" s="41" t="s">
        <v>1266</v>
      </c>
      <c r="I29" s="15" t="s">
        <v>801</v>
      </c>
      <c r="J29" s="42" t="s">
        <v>883</v>
      </c>
      <c r="K29" s="42" t="s">
        <v>883</v>
      </c>
      <c r="L29" s="15" t="s">
        <v>676</v>
      </c>
      <c r="M29" s="15" t="s">
        <v>276</v>
      </c>
      <c r="N29" s="15" t="s">
        <v>295</v>
      </c>
      <c r="O29" s="15" t="s">
        <v>677</v>
      </c>
      <c r="P29" s="15" t="str">
        <f>VLOOKUP(Y29,'All Codes'!$BF$3:$BG$278,2,FALSE)</f>
        <v>Skyscraper</v>
      </c>
      <c r="Q29" s="15" t="s">
        <v>179</v>
      </c>
      <c r="R29" s="15" t="s">
        <v>277</v>
      </c>
      <c r="S29" s="15" t="s">
        <v>865</v>
      </c>
      <c r="T29" s="46" t="s">
        <v>884</v>
      </c>
      <c r="U29" s="15" t="s">
        <v>876</v>
      </c>
      <c r="V29" s="50" t="s">
        <v>888</v>
      </c>
      <c r="W29" s="15" t="s">
        <v>866</v>
      </c>
      <c r="X29" s="15" t="s">
        <v>307</v>
      </c>
      <c r="Y29" s="46" t="s">
        <v>464</v>
      </c>
      <c r="Z29" s="15"/>
      <c r="AA29" s="15"/>
      <c r="AB29" s="15"/>
      <c r="AC29" s="15"/>
      <c r="AD29" s="15"/>
      <c r="AE29" s="15"/>
      <c r="AF29" s="15"/>
      <c r="AG29" s="15"/>
      <c r="AH29" s="15" t="str">
        <f t="shared" si="36"/>
        <v>281502744</v>
      </c>
      <c r="AI29" s="21" t="str">
        <f t="shared" si="35"/>
        <v>alp_vw_dv360_imc_dsy_lanch_nd_nc_nvs_nivus-launch-consideracao-orca__trafego_cpm_drct_all_300x600_lancamento-nivus-orca-categories_na_lancamento-consideracao-nivus-orca_nvl-nvs-imc-dsy-0820-10029</v>
      </c>
      <c r="AJ29" s="40" t="str">
        <f t="shared" si="35"/>
        <v>alp_vw_dv360_imc_dsy_lanch_nd_nc_nvs_nivus-launch-consideracao-orca__trafego_cpm_drct_all_300x600_lancamento-nivus-orca-categories_na_lancamento-consideracao-nivus-orca_nvl-nvs-imc-dsy-0820-10029</v>
      </c>
      <c r="AK29" s="21" t="str">
        <f t="shared" si="2"/>
        <v>vw_nivus_300x600_lancamento-consideracao-nivus-orca_adserver</v>
      </c>
      <c r="AL29" s="21" t="str">
        <f t="shared" si="22"/>
        <v>https://www.vw.com.br/pt/configurador.html/__app/%2Fnivus/0.app?adlid=nvl-nvs-imc-dsy-0820-10029&amp;adplt=alp_vw_dv360_imc_dsy_lanch_nd_nc_nvs_nivus-launch-consideracao-orca__trafego_cpm_drct_all_300x600_lancamento-nivus-orca-categories_na_lancamento-consideracao-nivus-orca_nvl-nvs-imc-dsy-0820-10029</v>
      </c>
      <c r="AM29" s="21" t="str">
        <f t="shared" si="4"/>
        <v>TAG</v>
      </c>
      <c r="AN29" s="15" t="str">
        <f t="shared" si="23"/>
        <v>DV360</v>
      </c>
      <c r="AO29" s="15" t="str">
        <f t="shared" si="24"/>
        <v>Paid-Display</v>
      </c>
      <c r="AP29" s="21" t="str">
        <f>Campanha!$B$3</f>
        <v>BR_IMC_DSY_LANCH_ND_NC_2020Q3AUG_NVS_Nivus-Launch-Consideracao-Orca</v>
      </c>
      <c r="AQ29" s="21" t="str">
        <f t="shared" si="7"/>
        <v>alp_vw_dv360_imc_dsy_lanch_nd_nc_nvs_nivus-launch-consideracao-orca__trafego_cpm_drct_all_300x600_lancamento-nivus-orca-categories_na_lancamento-consideracao-nivus-orca_nvl-nvs-imc-dsy-0820-10029</v>
      </c>
      <c r="AR29" s="15" t="s">
        <v>745</v>
      </c>
      <c r="AS29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categories_na_lancamento-consideracao-nivus-orca_nvl-nvs-imc-dsy-0820-10029&amp;utm_campaign=BR_IMC_DSY_LANCH_ND_NC_2020Q3AUG_NVS_Nivus-Launch-Consideracao-Orca&amp;utm_term=%epid!_%ecid!_%eaid!</v>
      </c>
      <c r="AT29" s="15" t="str">
        <f t="shared" si="25"/>
        <v>other</v>
      </c>
      <c r="AU29" s="15" t="str">
        <f t="shared" si="10"/>
        <v>BR</v>
      </c>
      <c r="AV29" s="15" t="str">
        <f t="shared" si="26"/>
        <v>dv360</v>
      </c>
      <c r="AW29" s="15" t="str">
        <f t="shared" si="27"/>
        <v>dv360</v>
      </c>
      <c r="AX29" s="15" t="str">
        <f t="shared" si="13"/>
        <v>nivus-launch-consideracao-orca</v>
      </c>
      <c r="AY29" s="15" t="str">
        <f t="shared" si="28"/>
        <v>alp_vw_dv360_imc_dsy_lanch_nd_nc_nvs_nivus-launch-consideracao-orca__trafego_cpm_drct_all_300x600_lancamento-nivus-orca-categories_na_lancamento-consideracao-nivus-orca_nvl-nvs-imc-dsy-0820-10029</v>
      </c>
      <c r="AZ29" s="15" t="str">
        <f t="shared" si="29"/>
        <v>300x600</v>
      </c>
      <c r="BA29" s="15" t="str">
        <f t="shared" si="30"/>
        <v>lancamento-consideracao-nivus-orca</v>
      </c>
      <c r="BB29" s="28" t="s">
        <v>798</v>
      </c>
      <c r="BC29" s="28" t="s">
        <v>798</v>
      </c>
      <c r="BD29" s="38" t="str">
        <f t="shared" si="31"/>
        <v>nvl-nvs-imc-dsy-0820-10029</v>
      </c>
      <c r="BE29" s="15" t="str">
        <f t="shared" si="32"/>
        <v>BR</v>
      </c>
      <c r="BF29" s="15" t="str">
        <f t="shared" si="33"/>
        <v>paid</v>
      </c>
      <c r="BG29" s="28"/>
      <c r="BH29" s="28"/>
      <c r="BI29" s="36" t="str">
        <f t="shared" si="18"/>
        <v>https://www.vw.com.br/pt/configurador.html/__app/%2Fnivus/0.app?adlid=nvl-nvs-imc-dsy-0820-10029&amp;adplt=alp_vw_dv360_imc_dsy_lanch_nd_nc_nvs_nivus-launch-consideracao-orca__trafego_cpm_drct_all_300x600_lancamento-nivus-orca-categories_na_lancamento-consideracao-nivus-orca_nvl-nvs-imc-dsy-0820-10029</v>
      </c>
      <c r="BL29" t="str">
        <f t="shared" si="19"/>
        <v>alp_vw_dv360_imc_dsy_lanch_nd_nc_nvs_nivus-launch-consideracao-orca__trafego</v>
      </c>
      <c r="BM29" t="str">
        <f t="shared" si="20"/>
        <v>cpm_drct_all_300x600_lancamento-nivus-orca-categories_na</v>
      </c>
      <c r="BN29" t="str">
        <f t="shared" si="21"/>
        <v>alp_vw_dv360_imc_dsy_lanch_nd_nc_nvs_nivus-launch-consideracao-orca__trafego_cpm_drct_all_300x600_lancamento-nivus-orca-categories_na_generico_nvl-nvs-imc-dsy-0820-10029</v>
      </c>
    </row>
    <row r="30" spans="2:66" ht="15.75" customHeight="1" x14ac:dyDescent="0.25">
      <c r="B30" s="15" t="s">
        <v>1291</v>
      </c>
      <c r="C30" s="15" t="s">
        <v>1293</v>
      </c>
      <c r="D30" s="15"/>
      <c r="E30" s="22">
        <v>44069</v>
      </c>
      <c r="F30" s="22">
        <v>44135</v>
      </c>
      <c r="G30" s="15" t="s">
        <v>651</v>
      </c>
      <c r="H30" s="41" t="s">
        <v>1266</v>
      </c>
      <c r="I30" s="15" t="s">
        <v>801</v>
      </c>
      <c r="J30" s="42" t="s">
        <v>883</v>
      </c>
      <c r="K30" s="42" t="s">
        <v>883</v>
      </c>
      <c r="L30" s="15" t="s">
        <v>676</v>
      </c>
      <c r="M30" s="15" t="s">
        <v>276</v>
      </c>
      <c r="N30" s="15" t="s">
        <v>295</v>
      </c>
      <c r="O30" s="15" t="s">
        <v>677</v>
      </c>
      <c r="P30" s="15" t="str">
        <f>VLOOKUP(Y30,'All Codes'!$BF$3:$BG$278,2,FALSE)</f>
        <v>MPU</v>
      </c>
      <c r="Q30" s="15" t="s">
        <v>179</v>
      </c>
      <c r="R30" s="15" t="s">
        <v>277</v>
      </c>
      <c r="S30" s="15" t="s">
        <v>865</v>
      </c>
      <c r="T30" s="46" t="s">
        <v>884</v>
      </c>
      <c r="U30" s="15" t="s">
        <v>876</v>
      </c>
      <c r="V30" s="50" t="s">
        <v>888</v>
      </c>
      <c r="W30" s="15" t="s">
        <v>866</v>
      </c>
      <c r="X30" s="15" t="s">
        <v>307</v>
      </c>
      <c r="Y30" s="46" t="s">
        <v>479</v>
      </c>
      <c r="Z30" s="15"/>
      <c r="AA30" s="15"/>
      <c r="AB30" s="15"/>
      <c r="AC30" s="15"/>
      <c r="AD30" s="15"/>
      <c r="AE30" s="15"/>
      <c r="AF30" s="15"/>
      <c r="AG30" s="15"/>
      <c r="AH30" s="15" t="str">
        <f t="shared" si="36"/>
        <v>281502738</v>
      </c>
      <c r="AI30" s="21" t="str">
        <f t="shared" si="35"/>
        <v>alp_vw_dv360_imc_dsy_lanch_nd_nc_nvs_nivus-launch-consideracao-orca__trafego_cpm_drct_all_320x50_lancamento-nivus-orca-categories_na_lancamento-consideracao-nivus-orca_nvl-nvs-imc-dsy-0820-10030</v>
      </c>
      <c r="AJ30" s="40" t="str">
        <f t="shared" si="35"/>
        <v>alp_vw_dv360_imc_dsy_lanch_nd_nc_nvs_nivus-launch-consideracao-orca__trafego_cpm_drct_all_320x50_lancamento-nivus-orca-categories_na_lancamento-consideracao-nivus-orca_nvl-nvs-imc-dsy-0820-10030</v>
      </c>
      <c r="AK30" s="21" t="str">
        <f t="shared" si="2"/>
        <v>vw_nivus_320x50_lancamento-consideracao-nivus-orca_adserver</v>
      </c>
      <c r="AL30" s="21" t="str">
        <f t="shared" si="22"/>
        <v>https://www.vw.com.br/pt/configurador.html/__app/%2Fnivus/0.app?adlid=nvl-nvs-imc-dsy-0820-10030&amp;adplt=alp_vw_dv360_imc_dsy_lanch_nd_nc_nvs_nivus-launch-consideracao-orca__trafego_cpm_drct_all_320x50_lancamento-nivus-orca-categories_na_lancamento-consideracao-nivus-orca_nvl-nvs-imc-dsy-0820-10030</v>
      </c>
      <c r="AM30" s="21" t="str">
        <f t="shared" si="4"/>
        <v>TAG</v>
      </c>
      <c r="AN30" s="15" t="str">
        <f t="shared" si="23"/>
        <v>DV360</v>
      </c>
      <c r="AO30" s="15" t="str">
        <f t="shared" si="24"/>
        <v>Paid-Display</v>
      </c>
      <c r="AP30" s="21" t="str">
        <f>Campanha!$B$3</f>
        <v>BR_IMC_DSY_LANCH_ND_NC_2020Q3AUG_NVS_Nivus-Launch-Consideracao-Orca</v>
      </c>
      <c r="AQ30" s="21" t="str">
        <f t="shared" si="7"/>
        <v>alp_vw_dv360_imc_dsy_lanch_nd_nc_nvs_nivus-launch-consideracao-orca__trafego_cpm_drct_all_320x50_lancamento-nivus-orca-categories_na_lancamento-consideracao-nivus-orca_nvl-nvs-imc-dsy-0820-10030</v>
      </c>
      <c r="AR30" s="15" t="s">
        <v>745</v>
      </c>
      <c r="AS30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categories_na_lancamento-consideracao-nivus-orca_nvl-nvs-imc-dsy-0820-10030&amp;utm_campaign=BR_IMC_DSY_LANCH_ND_NC_2020Q3AUG_NVS_Nivus-Launch-Consideracao-Orca&amp;utm_term=%epid!_%ecid!_%eaid!</v>
      </c>
      <c r="AT30" s="15" t="str">
        <f t="shared" si="25"/>
        <v>other</v>
      </c>
      <c r="AU30" s="15" t="str">
        <f t="shared" si="10"/>
        <v>BR</v>
      </c>
      <c r="AV30" s="15" t="str">
        <f t="shared" si="26"/>
        <v>dv360</v>
      </c>
      <c r="AW30" s="15" t="str">
        <f t="shared" si="27"/>
        <v>dv360</v>
      </c>
      <c r="AX30" s="15" t="str">
        <f t="shared" si="13"/>
        <v>nivus-launch-consideracao-orca</v>
      </c>
      <c r="AY30" s="15" t="str">
        <f t="shared" si="28"/>
        <v>alp_vw_dv360_imc_dsy_lanch_nd_nc_nvs_nivus-launch-consideracao-orca__trafego_cpm_drct_all_320x50_lancamento-nivus-orca-categories_na_lancamento-consideracao-nivus-orca_nvl-nvs-imc-dsy-0820-10030</v>
      </c>
      <c r="AZ30" s="15" t="str">
        <f t="shared" si="29"/>
        <v>320x50</v>
      </c>
      <c r="BA30" s="15" t="str">
        <f t="shared" si="30"/>
        <v>lancamento-consideracao-nivus-orca</v>
      </c>
      <c r="BB30" s="28" t="s">
        <v>798</v>
      </c>
      <c r="BC30" s="28" t="s">
        <v>798</v>
      </c>
      <c r="BD30" s="38" t="str">
        <f t="shared" si="31"/>
        <v>nvl-nvs-imc-dsy-0820-10030</v>
      </c>
      <c r="BE30" s="15" t="str">
        <f t="shared" si="32"/>
        <v>BR</v>
      </c>
      <c r="BF30" s="15" t="str">
        <f t="shared" si="33"/>
        <v>paid</v>
      </c>
      <c r="BG30" s="28"/>
      <c r="BH30" s="28"/>
      <c r="BI30" s="36" t="str">
        <f t="shared" si="18"/>
        <v>https://www.vw.com.br/pt/configurador.html/__app/%2Fnivus/0.app?adlid=nvl-nvs-imc-dsy-0820-10030&amp;adplt=alp_vw_dv360_imc_dsy_lanch_nd_nc_nvs_nivus-launch-consideracao-orca__trafego_cpm_drct_all_320x50_lancamento-nivus-orca-categories_na_lancamento-consideracao-nivus-orca_nvl-nvs-imc-dsy-0820-10030</v>
      </c>
      <c r="BL30" t="str">
        <f t="shared" si="19"/>
        <v>alp_vw_dv360_imc_dsy_lanch_nd_nc_nvs_nivus-launch-consideracao-orca__trafego</v>
      </c>
      <c r="BM30" t="str">
        <f t="shared" si="20"/>
        <v>cpm_drct_all_320x50_lancamento-nivus-orca-categories_na</v>
      </c>
      <c r="BN30" t="str">
        <f t="shared" si="21"/>
        <v>alp_vw_dv360_imc_dsy_lanch_nd_nc_nvs_nivus-launch-consideracao-orca__trafego_cpm_drct_all_320x50_lancamento-nivus-orca-categories_na_generico_nvl-nvs-imc-dsy-0820-10030</v>
      </c>
    </row>
    <row r="31" spans="2:66" ht="15.75" customHeight="1" x14ac:dyDescent="0.25">
      <c r="B31" s="15" t="s">
        <v>1291</v>
      </c>
      <c r="C31" s="15" t="s">
        <v>1293</v>
      </c>
      <c r="D31" s="15"/>
      <c r="E31" s="22">
        <v>44069</v>
      </c>
      <c r="F31" s="22">
        <v>44135</v>
      </c>
      <c r="G31" s="15" t="s">
        <v>651</v>
      </c>
      <c r="H31" s="41" t="s">
        <v>1266</v>
      </c>
      <c r="I31" s="15" t="s">
        <v>801</v>
      </c>
      <c r="J31" s="42" t="s">
        <v>883</v>
      </c>
      <c r="K31" s="42" t="s">
        <v>883</v>
      </c>
      <c r="L31" s="15" t="s">
        <v>676</v>
      </c>
      <c r="M31" s="15" t="s">
        <v>276</v>
      </c>
      <c r="N31" s="15" t="s">
        <v>295</v>
      </c>
      <c r="O31" s="15" t="s">
        <v>677</v>
      </c>
      <c r="P31" s="15" t="str">
        <f>VLOOKUP(Y31,'All Codes'!$BF$3:$BG$278,2,FALSE)</f>
        <v>Leaderboard</v>
      </c>
      <c r="Q31" s="15" t="s">
        <v>179</v>
      </c>
      <c r="R31" s="15" t="s">
        <v>277</v>
      </c>
      <c r="S31" s="15" t="s">
        <v>865</v>
      </c>
      <c r="T31" s="46" t="s">
        <v>884</v>
      </c>
      <c r="U31" s="15" t="s">
        <v>876</v>
      </c>
      <c r="V31" s="50" t="s">
        <v>888</v>
      </c>
      <c r="W31" s="15" t="s">
        <v>866</v>
      </c>
      <c r="X31" s="15" t="s">
        <v>307</v>
      </c>
      <c r="Y31" s="46" t="s">
        <v>591</v>
      </c>
      <c r="Z31" s="15"/>
      <c r="AA31" s="15"/>
      <c r="AB31" s="15"/>
      <c r="AC31" s="15"/>
      <c r="AD31" s="15"/>
      <c r="AE31" s="15"/>
      <c r="AF31" s="15"/>
      <c r="AG31" s="15"/>
      <c r="AH31" s="15" t="str">
        <f t="shared" si="36"/>
        <v>281502732</v>
      </c>
      <c r="AI31" s="21" t="str">
        <f t="shared" si="35"/>
        <v>alp_vw_dv360_imc_dsy_lanch_nd_nc_nvs_nivus-launch-consideracao-orca__trafego_cpm_drct_all_728x90_lancamento-nivus-orca-categories_na_lancamento-consideracao-nivus-orca_nvl-nvs-imc-dsy-0820-10031</v>
      </c>
      <c r="AJ31" s="40" t="str">
        <f t="shared" si="35"/>
        <v>alp_vw_dv360_imc_dsy_lanch_nd_nc_nvs_nivus-launch-consideracao-orca__trafego_cpm_drct_all_728x90_lancamento-nivus-orca-categories_na_lancamento-consideracao-nivus-orca_nvl-nvs-imc-dsy-0820-10031</v>
      </c>
      <c r="AK31" s="21" t="str">
        <f t="shared" si="2"/>
        <v>vw_nivus_728x90_lancamento-consideracao-nivus-orca_adserver</v>
      </c>
      <c r="AL31" s="21" t="str">
        <f t="shared" si="22"/>
        <v>https://www.vw.com.br/pt/configurador.html/__app/%2Fnivus/0.app?adlid=nvl-nvs-imc-dsy-0820-10031&amp;adplt=alp_vw_dv360_imc_dsy_lanch_nd_nc_nvs_nivus-launch-consideracao-orca__trafego_cpm_drct_all_728x90_lancamento-nivus-orca-categories_na_lancamento-consideracao-nivus-orca_nvl-nvs-imc-dsy-0820-10031</v>
      </c>
      <c r="AM31" s="21" t="str">
        <f t="shared" si="4"/>
        <v>TAG</v>
      </c>
      <c r="AN31" s="15" t="str">
        <f t="shared" si="23"/>
        <v>DV360</v>
      </c>
      <c r="AO31" s="15" t="str">
        <f t="shared" si="24"/>
        <v>Paid-Display</v>
      </c>
      <c r="AP31" s="21" t="str">
        <f>Campanha!$B$3</f>
        <v>BR_IMC_DSY_LANCH_ND_NC_2020Q3AUG_NVS_Nivus-Launch-Consideracao-Orca</v>
      </c>
      <c r="AQ31" s="21" t="str">
        <f t="shared" si="7"/>
        <v>alp_vw_dv360_imc_dsy_lanch_nd_nc_nvs_nivus-launch-consideracao-orca__trafego_cpm_drct_all_728x90_lancamento-nivus-orca-categories_na_lancamento-consideracao-nivus-orca_nvl-nvs-imc-dsy-0820-10031</v>
      </c>
      <c r="AR31" s="15" t="s">
        <v>745</v>
      </c>
      <c r="AS31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categories_na_lancamento-consideracao-nivus-orca_nvl-nvs-imc-dsy-0820-10031&amp;utm_campaign=BR_IMC_DSY_LANCH_ND_NC_2020Q3AUG_NVS_Nivus-Launch-Consideracao-Orca&amp;utm_term=%epid!_%ecid!_%eaid!</v>
      </c>
      <c r="AT31" s="15" t="str">
        <f t="shared" si="25"/>
        <v>other</v>
      </c>
      <c r="AU31" s="15" t="str">
        <f t="shared" si="10"/>
        <v>BR</v>
      </c>
      <c r="AV31" s="15" t="str">
        <f t="shared" si="26"/>
        <v>dv360</v>
      </c>
      <c r="AW31" s="15" t="str">
        <f t="shared" si="27"/>
        <v>dv360</v>
      </c>
      <c r="AX31" s="15" t="str">
        <f t="shared" si="13"/>
        <v>nivus-launch-consideracao-orca</v>
      </c>
      <c r="AY31" s="15" t="str">
        <f t="shared" si="28"/>
        <v>alp_vw_dv360_imc_dsy_lanch_nd_nc_nvs_nivus-launch-consideracao-orca__trafego_cpm_drct_all_728x90_lancamento-nivus-orca-categories_na_lancamento-consideracao-nivus-orca_nvl-nvs-imc-dsy-0820-10031</v>
      </c>
      <c r="AZ31" s="15" t="str">
        <f t="shared" si="29"/>
        <v>728x90</v>
      </c>
      <c r="BA31" s="15" t="str">
        <f t="shared" si="30"/>
        <v>lancamento-consideracao-nivus-orca</v>
      </c>
      <c r="BB31" s="28" t="s">
        <v>798</v>
      </c>
      <c r="BC31" s="28" t="s">
        <v>798</v>
      </c>
      <c r="BD31" s="38" t="str">
        <f t="shared" si="31"/>
        <v>nvl-nvs-imc-dsy-0820-10031</v>
      </c>
      <c r="BE31" s="15" t="str">
        <f t="shared" si="32"/>
        <v>BR</v>
      </c>
      <c r="BF31" s="15" t="str">
        <f t="shared" si="33"/>
        <v>paid</v>
      </c>
      <c r="BG31" s="28"/>
      <c r="BH31" s="28"/>
      <c r="BI31" s="36" t="str">
        <f t="shared" si="18"/>
        <v>https://www.vw.com.br/pt/configurador.html/__app/%2Fnivus/0.app?adlid=nvl-nvs-imc-dsy-0820-10031&amp;adplt=alp_vw_dv360_imc_dsy_lanch_nd_nc_nvs_nivus-launch-consideracao-orca__trafego_cpm_drct_all_728x90_lancamento-nivus-orca-categories_na_lancamento-consideracao-nivus-orca_nvl-nvs-imc-dsy-0820-10031</v>
      </c>
      <c r="BL31" t="str">
        <f t="shared" si="19"/>
        <v>alp_vw_dv360_imc_dsy_lanch_nd_nc_nvs_nivus-launch-consideracao-orca__trafego</v>
      </c>
      <c r="BM31" t="str">
        <f t="shared" si="20"/>
        <v>cpm_drct_all_728x90_lancamento-nivus-orca-categories_na</v>
      </c>
      <c r="BN31" t="str">
        <f t="shared" si="21"/>
        <v>alp_vw_dv360_imc_dsy_lanch_nd_nc_nvs_nivus-launch-consideracao-orca__trafego_cpm_drct_all_728x90_lancamento-nivus-orca-categories_na_generico_nvl-nvs-imc-dsy-0820-10031</v>
      </c>
    </row>
    <row r="32" spans="2:66" ht="15.75" customHeight="1" x14ac:dyDescent="0.25">
      <c r="B32" s="15" t="s">
        <v>1291</v>
      </c>
      <c r="C32" s="15" t="s">
        <v>1293</v>
      </c>
      <c r="D32" s="15"/>
      <c r="E32" s="22">
        <v>44069</v>
      </c>
      <c r="F32" s="22">
        <v>44135</v>
      </c>
      <c r="G32" s="15" t="s">
        <v>651</v>
      </c>
      <c r="H32" s="41" t="s">
        <v>1266</v>
      </c>
      <c r="I32" s="15" t="s">
        <v>801</v>
      </c>
      <c r="J32" s="42" t="s">
        <v>883</v>
      </c>
      <c r="K32" s="42" t="s">
        <v>883</v>
      </c>
      <c r="L32" s="15" t="s">
        <v>676</v>
      </c>
      <c r="M32" s="15" t="s">
        <v>276</v>
      </c>
      <c r="N32" s="15" t="s">
        <v>295</v>
      </c>
      <c r="O32" s="15" t="s">
        <v>677</v>
      </c>
      <c r="P32" s="15" t="str">
        <f>VLOOKUP(Y32,'All Codes'!$BF$3:$BG$278,2,FALSE)</f>
        <v>Leaderboard</v>
      </c>
      <c r="Q32" s="15" t="s">
        <v>179</v>
      </c>
      <c r="R32" s="15" t="s">
        <v>277</v>
      </c>
      <c r="S32" s="15" t="s">
        <v>865</v>
      </c>
      <c r="T32" s="46" t="s">
        <v>884</v>
      </c>
      <c r="U32" s="15" t="s">
        <v>876</v>
      </c>
      <c r="V32" s="50" t="s">
        <v>888</v>
      </c>
      <c r="W32" s="15" t="s">
        <v>866</v>
      </c>
      <c r="X32" s="15" t="s">
        <v>307</v>
      </c>
      <c r="Y32" s="46" t="s">
        <v>629</v>
      </c>
      <c r="Z32" s="15"/>
      <c r="AA32" s="15"/>
      <c r="AB32" s="15"/>
      <c r="AC32" s="15"/>
      <c r="AD32" s="15"/>
      <c r="AE32" s="15"/>
      <c r="AF32" s="15"/>
      <c r="AG32" s="15"/>
      <c r="AH32" s="15" t="str">
        <f t="shared" si="36"/>
        <v>281502726</v>
      </c>
      <c r="AI32" s="21" t="str">
        <f t="shared" si="35"/>
        <v>alp_vw_dv360_imc_dsy_lanch_nd_nc_nvs_nivus-launch-consideracao-orca__trafego_cpm_drct_all_970x250_lancamento-nivus-orca-categories_na_lancamento-consideracao-nivus-orca_nvl-nvs-imc-dsy-0820-10032</v>
      </c>
      <c r="AJ32" s="40" t="str">
        <f t="shared" si="35"/>
        <v>alp_vw_dv360_imc_dsy_lanch_nd_nc_nvs_nivus-launch-consideracao-orca__trafego_cpm_drct_all_970x250_lancamento-nivus-orca-categories_na_lancamento-consideracao-nivus-orca_nvl-nvs-imc-dsy-0820-10032</v>
      </c>
      <c r="AK32" s="21" t="str">
        <f t="shared" si="2"/>
        <v>vw_nivus_970x250_lancamento-consideracao-nivus-orca_adserver</v>
      </c>
      <c r="AL32" s="21" t="str">
        <f t="shared" si="22"/>
        <v>https://www.vw.com.br/pt/configurador.html/__app/%2Fnivus/0.app?adlid=nvl-nvs-imc-dsy-0820-10032&amp;adplt=alp_vw_dv360_imc_dsy_lanch_nd_nc_nvs_nivus-launch-consideracao-orca__trafego_cpm_drct_all_970x250_lancamento-nivus-orca-categories_na_lancamento-consideracao-nivus-orca_nvl-nvs-imc-dsy-0820-10032</v>
      </c>
      <c r="AM32" s="21" t="str">
        <f t="shared" si="4"/>
        <v>TAG</v>
      </c>
      <c r="AN32" s="15" t="str">
        <f t="shared" si="23"/>
        <v>DV360</v>
      </c>
      <c r="AO32" s="15" t="str">
        <f t="shared" si="24"/>
        <v>Paid-Display</v>
      </c>
      <c r="AP32" s="21" t="str">
        <f>Campanha!$B$3</f>
        <v>BR_IMC_DSY_LANCH_ND_NC_2020Q3AUG_NVS_Nivus-Launch-Consideracao-Orca</v>
      </c>
      <c r="AQ32" s="21" t="str">
        <f t="shared" si="7"/>
        <v>alp_vw_dv360_imc_dsy_lanch_nd_nc_nvs_nivus-launch-consideracao-orca__trafego_cpm_drct_all_970x250_lancamento-nivus-orca-categories_na_lancamento-consideracao-nivus-orca_nvl-nvs-imc-dsy-0820-10032</v>
      </c>
      <c r="AR32" s="15" t="s">
        <v>745</v>
      </c>
      <c r="AS32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categories_na_lancamento-consideracao-nivus-orca_nvl-nvs-imc-dsy-0820-10032&amp;utm_campaign=BR_IMC_DSY_LANCH_ND_NC_2020Q3AUG_NVS_Nivus-Launch-Consideracao-Orca&amp;utm_term=%epid!_%ecid!_%eaid!</v>
      </c>
      <c r="AT32" s="15" t="str">
        <f t="shared" si="25"/>
        <v>other</v>
      </c>
      <c r="AU32" s="15" t="str">
        <f t="shared" si="10"/>
        <v>BR</v>
      </c>
      <c r="AV32" s="15" t="str">
        <f t="shared" si="26"/>
        <v>dv360</v>
      </c>
      <c r="AW32" s="15" t="str">
        <f t="shared" si="27"/>
        <v>dv360</v>
      </c>
      <c r="AX32" s="15" t="str">
        <f t="shared" si="13"/>
        <v>nivus-launch-consideracao-orca</v>
      </c>
      <c r="AY32" s="15" t="str">
        <f t="shared" si="28"/>
        <v>alp_vw_dv360_imc_dsy_lanch_nd_nc_nvs_nivus-launch-consideracao-orca__trafego_cpm_drct_all_970x250_lancamento-nivus-orca-categories_na_lancamento-consideracao-nivus-orca_nvl-nvs-imc-dsy-0820-10032</v>
      </c>
      <c r="AZ32" s="15" t="str">
        <f t="shared" si="29"/>
        <v>970x250</v>
      </c>
      <c r="BA32" s="15" t="str">
        <f t="shared" si="30"/>
        <v>lancamento-consideracao-nivus-orca</v>
      </c>
      <c r="BB32" s="28" t="s">
        <v>798</v>
      </c>
      <c r="BC32" s="28" t="s">
        <v>798</v>
      </c>
      <c r="BD32" s="38" t="str">
        <f t="shared" si="31"/>
        <v>nvl-nvs-imc-dsy-0820-10032</v>
      </c>
      <c r="BE32" s="15" t="str">
        <f t="shared" si="32"/>
        <v>BR</v>
      </c>
      <c r="BF32" s="15" t="str">
        <f t="shared" si="33"/>
        <v>paid</v>
      </c>
      <c r="BG32" s="28"/>
      <c r="BH32" s="28"/>
      <c r="BI32" s="36" t="str">
        <f t="shared" si="18"/>
        <v>https://www.vw.com.br/pt/configurador.html/__app/%2Fnivus/0.app?adlid=nvl-nvs-imc-dsy-0820-10032&amp;adplt=alp_vw_dv360_imc_dsy_lanch_nd_nc_nvs_nivus-launch-consideracao-orca__trafego_cpm_drct_all_970x250_lancamento-nivus-orca-categories_na_lancamento-consideracao-nivus-orca_nvl-nvs-imc-dsy-0820-10032</v>
      </c>
      <c r="BL32" t="str">
        <f t="shared" si="19"/>
        <v>alp_vw_dv360_imc_dsy_lanch_nd_nc_nvs_nivus-launch-consideracao-orca__trafego</v>
      </c>
      <c r="BM32" t="str">
        <f t="shared" si="20"/>
        <v>cpm_drct_all_970x250_lancamento-nivus-orca-categories_na</v>
      </c>
      <c r="BN32" t="str">
        <f t="shared" si="21"/>
        <v>alp_vw_dv360_imc_dsy_lanch_nd_nc_nvs_nivus-launch-consideracao-orca__trafego_cpm_drct_all_970x250_lancamento-nivus-orca-categories_na_generico_nvl-nvs-imc-dsy-0820-10032</v>
      </c>
    </row>
    <row r="33" spans="2:66" ht="15.75" customHeight="1" x14ac:dyDescent="0.25">
      <c r="B33" s="15" t="s">
        <v>1291</v>
      </c>
      <c r="C33" s="15" t="s">
        <v>1293</v>
      </c>
      <c r="D33" s="15"/>
      <c r="E33" s="22">
        <v>44069</v>
      </c>
      <c r="F33" s="22">
        <v>44135</v>
      </c>
      <c r="G33" s="15" t="s">
        <v>651</v>
      </c>
      <c r="H33" s="41" t="s">
        <v>1266</v>
      </c>
      <c r="I33" s="15" t="s">
        <v>801</v>
      </c>
      <c r="J33" s="42" t="s">
        <v>883</v>
      </c>
      <c r="K33" s="42" t="s">
        <v>883</v>
      </c>
      <c r="L33" s="15" t="s">
        <v>676</v>
      </c>
      <c r="M33" s="15" t="s">
        <v>276</v>
      </c>
      <c r="N33" s="15" t="s">
        <v>295</v>
      </c>
      <c r="O33" s="15" t="s">
        <v>677</v>
      </c>
      <c r="P33" s="15" t="str">
        <f>VLOOKUP(Y33,'All Codes'!$BF$3:$BG$278,2,FALSE)</f>
        <v>MPU</v>
      </c>
      <c r="Q33" s="15" t="s">
        <v>179</v>
      </c>
      <c r="R33" s="15" t="s">
        <v>277</v>
      </c>
      <c r="S33" s="15" t="s">
        <v>865</v>
      </c>
      <c r="T33" s="46" t="s">
        <v>884</v>
      </c>
      <c r="U33" s="15" t="s">
        <v>876</v>
      </c>
      <c r="V33" s="51" t="s">
        <v>889</v>
      </c>
      <c r="W33" s="15" t="s">
        <v>866</v>
      </c>
      <c r="X33" s="15" t="s">
        <v>307</v>
      </c>
      <c r="Y33" s="46" t="s">
        <v>461</v>
      </c>
      <c r="Z33" s="15"/>
      <c r="AA33" s="15"/>
      <c r="AB33" s="15"/>
      <c r="AC33" s="15"/>
      <c r="AD33" s="15"/>
      <c r="AE33" s="15"/>
      <c r="AF33" s="15"/>
      <c r="AG33" s="15"/>
      <c r="AH33" s="15" t="str">
        <f t="shared" si="36"/>
        <v>281502723</v>
      </c>
      <c r="AI33" s="21" t="str">
        <f t="shared" si="35"/>
        <v>alp_vw_dv360_imc_dsy_lanch_nd_nc_nvs_nivus-launch-consideracao-orca__trafego_cpm_drct_all_300x50_lancamento-nivus-orca-lifeevents_na_lancamento-consideracao-nivus-orca_nvl-nvs-imc-dsy-0820-10033</v>
      </c>
      <c r="AJ33" s="40" t="str">
        <f t="shared" si="35"/>
        <v>alp_vw_dv360_imc_dsy_lanch_nd_nc_nvs_nivus-launch-consideracao-orca__trafego_cpm_drct_all_300x50_lancamento-nivus-orca-lifeevents_na_lancamento-consideracao-nivus-orca_nvl-nvs-imc-dsy-0820-10033</v>
      </c>
      <c r="AK33" s="21" t="str">
        <f t="shared" si="2"/>
        <v>vw_nivus_300x50_lancamento-consideracao-nivus-orca_adserver</v>
      </c>
      <c r="AL33" s="21" t="str">
        <f t="shared" si="22"/>
        <v>https://www.vw.com.br/pt/configurador.html/__app/%2Fnivus/0.app?adlid=nvl-nvs-imc-dsy-0820-10033&amp;adplt=alp_vw_dv360_imc_dsy_lanch_nd_nc_nvs_nivus-launch-consideracao-orca__trafego_cpm_drct_all_300x50_lancamento-nivus-orca-lifeevents_na_lancamento-consideracao-nivus-orca_nvl-nvs-imc-dsy-0820-10033</v>
      </c>
      <c r="AM33" s="21" t="str">
        <f t="shared" si="4"/>
        <v>TAG</v>
      </c>
      <c r="AN33" s="15" t="str">
        <f t="shared" si="23"/>
        <v>DV360</v>
      </c>
      <c r="AO33" s="15" t="str">
        <f t="shared" si="24"/>
        <v>Paid-Display</v>
      </c>
      <c r="AP33" s="21" t="str">
        <f>Campanha!$B$3</f>
        <v>BR_IMC_DSY_LANCH_ND_NC_2020Q3AUG_NVS_Nivus-Launch-Consideracao-Orca</v>
      </c>
      <c r="AQ33" s="21" t="str">
        <f t="shared" si="7"/>
        <v>alp_vw_dv360_imc_dsy_lanch_nd_nc_nvs_nivus-launch-consideracao-orca__trafego_cpm_drct_all_300x50_lancamento-nivus-orca-lifeevents_na_lancamento-consideracao-nivus-orca_nvl-nvs-imc-dsy-0820-10033</v>
      </c>
      <c r="AR33" s="15" t="s">
        <v>745</v>
      </c>
      <c r="AS33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lifeevents_na_lancamento-consideracao-nivus-orca_nvl-nvs-imc-dsy-0820-10033&amp;utm_campaign=BR_IMC_DSY_LANCH_ND_NC_2020Q3AUG_NVS_Nivus-Launch-Consideracao-Orca&amp;utm_term=%epid!_%ecid!_%eaid!</v>
      </c>
      <c r="AT33" s="15" t="str">
        <f t="shared" si="25"/>
        <v>other</v>
      </c>
      <c r="AU33" s="15" t="str">
        <f t="shared" si="10"/>
        <v>BR</v>
      </c>
      <c r="AV33" s="15" t="str">
        <f t="shared" si="26"/>
        <v>dv360</v>
      </c>
      <c r="AW33" s="15" t="str">
        <f t="shared" si="27"/>
        <v>dv360</v>
      </c>
      <c r="AX33" s="15" t="str">
        <f t="shared" si="13"/>
        <v>nivus-launch-consideracao-orca</v>
      </c>
      <c r="AY33" s="15" t="str">
        <f t="shared" si="28"/>
        <v>alp_vw_dv360_imc_dsy_lanch_nd_nc_nvs_nivus-launch-consideracao-orca__trafego_cpm_drct_all_300x50_lancamento-nivus-orca-lifeevents_na_lancamento-consideracao-nivus-orca_nvl-nvs-imc-dsy-0820-10033</v>
      </c>
      <c r="AZ33" s="15" t="str">
        <f t="shared" si="29"/>
        <v>300x50</v>
      </c>
      <c r="BA33" s="15" t="str">
        <f t="shared" si="30"/>
        <v>lancamento-consideracao-nivus-orca</v>
      </c>
      <c r="BB33" s="28" t="s">
        <v>798</v>
      </c>
      <c r="BC33" s="28" t="s">
        <v>798</v>
      </c>
      <c r="BD33" s="38" t="str">
        <f t="shared" si="31"/>
        <v>nvl-nvs-imc-dsy-0820-10033</v>
      </c>
      <c r="BE33" s="15" t="str">
        <f t="shared" si="32"/>
        <v>BR</v>
      </c>
      <c r="BF33" s="15" t="str">
        <f t="shared" si="33"/>
        <v>paid</v>
      </c>
      <c r="BG33" s="28"/>
      <c r="BH33" s="28"/>
      <c r="BI33" s="36" t="str">
        <f t="shared" si="18"/>
        <v>https://www.vw.com.br/pt/configurador.html/__app/%2Fnivus/0.app?adlid=nvl-nvs-imc-dsy-0820-10033&amp;adplt=alp_vw_dv360_imc_dsy_lanch_nd_nc_nvs_nivus-launch-consideracao-orca__trafego_cpm_drct_all_300x50_lancamento-nivus-orca-lifeevents_na_lancamento-consideracao-nivus-orca_nvl-nvs-imc-dsy-0820-10033</v>
      </c>
      <c r="BL33" t="str">
        <f t="shared" si="19"/>
        <v>alp_vw_dv360_imc_dsy_lanch_nd_nc_nvs_nivus-launch-consideracao-orca__trafego</v>
      </c>
      <c r="BM33" t="str">
        <f t="shared" si="20"/>
        <v>cpm_drct_all_300x50_lancamento-nivus-orca-lifeevents_na</v>
      </c>
      <c r="BN33" t="str">
        <f t="shared" si="21"/>
        <v>alp_vw_dv360_imc_dsy_lanch_nd_nc_nvs_nivus-launch-consideracao-orca__trafego_cpm_drct_all_300x50_lancamento-nivus-orca-lifeevents_na_generico_nvl-nvs-imc-dsy-0820-10033</v>
      </c>
    </row>
    <row r="34" spans="2:66" ht="15.75" customHeight="1" x14ac:dyDescent="0.25">
      <c r="B34" s="15" t="s">
        <v>1291</v>
      </c>
      <c r="C34" s="15" t="s">
        <v>1293</v>
      </c>
      <c r="D34" s="15"/>
      <c r="E34" s="22">
        <v>44069</v>
      </c>
      <c r="F34" s="22">
        <v>44135</v>
      </c>
      <c r="G34" s="15" t="s">
        <v>651</v>
      </c>
      <c r="H34" s="41" t="s">
        <v>1266</v>
      </c>
      <c r="I34" s="15" t="s">
        <v>801</v>
      </c>
      <c r="J34" s="42" t="s">
        <v>883</v>
      </c>
      <c r="K34" s="42" t="s">
        <v>883</v>
      </c>
      <c r="L34" s="15" t="s">
        <v>676</v>
      </c>
      <c r="M34" s="15" t="s">
        <v>276</v>
      </c>
      <c r="N34" s="15" t="s">
        <v>295</v>
      </c>
      <c r="O34" s="15" t="s">
        <v>677</v>
      </c>
      <c r="P34" s="15" t="str">
        <f>VLOOKUP(Y34,'All Codes'!$BF$3:$BG$278,2,FALSE)</f>
        <v>Skyscraper</v>
      </c>
      <c r="Q34" s="15" t="s">
        <v>179</v>
      </c>
      <c r="R34" s="15" t="s">
        <v>277</v>
      </c>
      <c r="S34" s="15" t="s">
        <v>865</v>
      </c>
      <c r="T34" s="46" t="s">
        <v>884</v>
      </c>
      <c r="U34" s="15" t="s">
        <v>876</v>
      </c>
      <c r="V34" s="51" t="s">
        <v>889</v>
      </c>
      <c r="W34" s="15" t="s">
        <v>866</v>
      </c>
      <c r="X34" s="15" t="s">
        <v>307</v>
      </c>
      <c r="Y34" s="46" t="s">
        <v>434</v>
      </c>
      <c r="Z34" s="15"/>
      <c r="AA34" s="15"/>
      <c r="AB34" s="15"/>
      <c r="AC34" s="15"/>
      <c r="AD34" s="15"/>
      <c r="AE34" s="15"/>
      <c r="AF34" s="15"/>
      <c r="AG34" s="15"/>
      <c r="AH34" s="15" t="str">
        <f t="shared" si="36"/>
        <v>281502720</v>
      </c>
      <c r="AI34" s="21" t="str">
        <f t="shared" si="35"/>
        <v>alp_vw_dv360_imc_dsy_lanch_nd_nc_nvs_nivus-launch-consideracao-orca__trafego_cpm_drct_all_160x600_lancamento-nivus-orca-lifeevents_na_lancamento-consideracao-nivus-orca_nvl-nvs-imc-dsy-0820-10034</v>
      </c>
      <c r="AJ34" s="40" t="str">
        <f t="shared" si="35"/>
        <v>alp_vw_dv360_imc_dsy_lanch_nd_nc_nvs_nivus-launch-consideracao-orca__trafego_cpm_drct_all_160x600_lancamento-nivus-orca-lifeevents_na_lancamento-consideracao-nivus-orca_nvl-nvs-imc-dsy-0820-10034</v>
      </c>
      <c r="AK34" s="21" t="str">
        <f t="shared" si="2"/>
        <v>vw_nivus_160x600_lancamento-consideracao-nivus-orca_adserver</v>
      </c>
      <c r="AL34" s="21" t="str">
        <f t="shared" si="22"/>
        <v>https://www.vw.com.br/pt/configurador.html/__app/%2Fnivus/0.app?adlid=nvl-nvs-imc-dsy-0820-10034&amp;adplt=alp_vw_dv360_imc_dsy_lanch_nd_nc_nvs_nivus-launch-consideracao-orca__trafego_cpm_drct_all_160x600_lancamento-nivus-orca-lifeevents_na_lancamento-consideracao-nivus-orca_nvl-nvs-imc-dsy-0820-10034</v>
      </c>
      <c r="AM34" s="21" t="str">
        <f t="shared" si="4"/>
        <v>TAG</v>
      </c>
      <c r="AN34" s="15" t="str">
        <f t="shared" si="23"/>
        <v>DV360</v>
      </c>
      <c r="AO34" s="15" t="str">
        <f t="shared" si="24"/>
        <v>Paid-Display</v>
      </c>
      <c r="AP34" s="21" t="str">
        <f>Campanha!$B$3</f>
        <v>BR_IMC_DSY_LANCH_ND_NC_2020Q3AUG_NVS_Nivus-Launch-Consideracao-Orca</v>
      </c>
      <c r="AQ34" s="21" t="str">
        <f t="shared" si="7"/>
        <v>alp_vw_dv360_imc_dsy_lanch_nd_nc_nvs_nivus-launch-consideracao-orca__trafego_cpm_drct_all_160x600_lancamento-nivus-orca-lifeevents_na_lancamento-consideracao-nivus-orca_nvl-nvs-imc-dsy-0820-10034</v>
      </c>
      <c r="AR34" s="15" t="s">
        <v>745</v>
      </c>
      <c r="AS34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lifeevents_na_lancamento-consideracao-nivus-orca_nvl-nvs-imc-dsy-0820-10034&amp;utm_campaign=BR_IMC_DSY_LANCH_ND_NC_2020Q3AUG_NVS_Nivus-Launch-Consideracao-Orca&amp;utm_term=%epid!_%ecid!_%eaid!</v>
      </c>
      <c r="AT34" s="15" t="str">
        <f t="shared" si="25"/>
        <v>other</v>
      </c>
      <c r="AU34" s="15" t="str">
        <f t="shared" si="10"/>
        <v>BR</v>
      </c>
      <c r="AV34" s="15" t="str">
        <f t="shared" si="26"/>
        <v>dv360</v>
      </c>
      <c r="AW34" s="15" t="str">
        <f t="shared" si="27"/>
        <v>dv360</v>
      </c>
      <c r="AX34" s="15" t="str">
        <f t="shared" si="13"/>
        <v>nivus-launch-consideracao-orca</v>
      </c>
      <c r="AY34" s="15" t="str">
        <f t="shared" si="28"/>
        <v>alp_vw_dv360_imc_dsy_lanch_nd_nc_nvs_nivus-launch-consideracao-orca__trafego_cpm_drct_all_160x600_lancamento-nivus-orca-lifeevents_na_lancamento-consideracao-nivus-orca_nvl-nvs-imc-dsy-0820-10034</v>
      </c>
      <c r="AZ34" s="15" t="str">
        <f t="shared" si="29"/>
        <v>160x600</v>
      </c>
      <c r="BA34" s="15" t="str">
        <f t="shared" si="30"/>
        <v>lancamento-consideracao-nivus-orca</v>
      </c>
      <c r="BB34" s="28" t="s">
        <v>798</v>
      </c>
      <c r="BC34" s="28" t="s">
        <v>798</v>
      </c>
      <c r="BD34" s="38" t="str">
        <f t="shared" si="31"/>
        <v>nvl-nvs-imc-dsy-0820-10034</v>
      </c>
      <c r="BE34" s="15" t="str">
        <f t="shared" si="32"/>
        <v>BR</v>
      </c>
      <c r="BF34" s="15" t="str">
        <f t="shared" si="33"/>
        <v>paid</v>
      </c>
      <c r="BG34" s="28"/>
      <c r="BH34" s="28"/>
      <c r="BI34" s="36" t="str">
        <f t="shared" si="18"/>
        <v>https://www.vw.com.br/pt/configurador.html/__app/%2Fnivus/0.app?adlid=nvl-nvs-imc-dsy-0820-10034&amp;adplt=alp_vw_dv360_imc_dsy_lanch_nd_nc_nvs_nivus-launch-consideracao-orca__trafego_cpm_drct_all_160x600_lancamento-nivus-orca-lifeevents_na_lancamento-consideracao-nivus-orca_nvl-nvs-imc-dsy-0820-10034</v>
      </c>
      <c r="BL34" t="str">
        <f t="shared" si="19"/>
        <v>alp_vw_dv360_imc_dsy_lanch_nd_nc_nvs_nivus-launch-consideracao-orca__trafego</v>
      </c>
      <c r="BM34" t="str">
        <f t="shared" si="20"/>
        <v>cpm_drct_all_160x600_lancamento-nivus-orca-lifeevents_na</v>
      </c>
      <c r="BN34" t="str">
        <f t="shared" si="21"/>
        <v>alp_vw_dv360_imc_dsy_lanch_nd_nc_nvs_nivus-launch-consideracao-orca__trafego_cpm_drct_all_160x600_lancamento-nivus-orca-lifeevents_na_generico_nvl-nvs-imc-dsy-0820-10034</v>
      </c>
    </row>
    <row r="35" spans="2:66" ht="15.75" customHeight="1" x14ac:dyDescent="0.25">
      <c r="B35" s="15" t="s">
        <v>1291</v>
      </c>
      <c r="C35" s="15" t="s">
        <v>1293</v>
      </c>
      <c r="D35" s="15"/>
      <c r="E35" s="22">
        <v>44069</v>
      </c>
      <c r="F35" s="22">
        <v>44135</v>
      </c>
      <c r="G35" s="15" t="s">
        <v>651</v>
      </c>
      <c r="H35" s="41" t="s">
        <v>1266</v>
      </c>
      <c r="I35" s="15" t="s">
        <v>801</v>
      </c>
      <c r="J35" s="42" t="s">
        <v>883</v>
      </c>
      <c r="K35" s="42" t="s">
        <v>883</v>
      </c>
      <c r="L35" s="15" t="s">
        <v>676</v>
      </c>
      <c r="M35" s="15" t="s">
        <v>276</v>
      </c>
      <c r="N35" s="15" t="s">
        <v>295</v>
      </c>
      <c r="O35" s="15" t="s">
        <v>677</v>
      </c>
      <c r="P35" s="15" t="str">
        <f>VLOOKUP(Y35,'All Codes'!$BF$3:$BG$278,2,FALSE)</f>
        <v>MPU</v>
      </c>
      <c r="Q35" s="15" t="s">
        <v>179</v>
      </c>
      <c r="R35" s="15" t="s">
        <v>277</v>
      </c>
      <c r="S35" s="15" t="s">
        <v>865</v>
      </c>
      <c r="T35" s="46" t="s">
        <v>884</v>
      </c>
      <c r="U35" s="15" t="s">
        <v>876</v>
      </c>
      <c r="V35" s="51" t="s">
        <v>889</v>
      </c>
      <c r="W35" s="15" t="s">
        <v>866</v>
      </c>
      <c r="X35" s="15" t="s">
        <v>307</v>
      </c>
      <c r="Y35" s="46" t="s">
        <v>455</v>
      </c>
      <c r="Z35" s="15"/>
      <c r="AA35" s="15"/>
      <c r="AB35" s="15"/>
      <c r="AC35" s="15"/>
      <c r="AD35" s="15"/>
      <c r="AE35" s="15"/>
      <c r="AF35" s="15"/>
      <c r="AG35" s="15"/>
      <c r="AH35" s="15" t="str">
        <f t="shared" si="36"/>
        <v>281502717</v>
      </c>
      <c r="AI35" s="21" t="str">
        <f t="shared" si="35"/>
        <v>alp_vw_dv360_imc_dsy_lanch_nd_nc_nvs_nivus-launch-consideracao-orca__trafego_cpm_drct_all_300x250_lancamento-nivus-orca-lifeevents_na_lancamento-consideracao-nivus-orca_nvl-nvs-imc-dsy-0820-10035</v>
      </c>
      <c r="AJ35" s="40" t="str">
        <f t="shared" si="35"/>
        <v>alp_vw_dv360_imc_dsy_lanch_nd_nc_nvs_nivus-launch-consideracao-orca__trafego_cpm_drct_all_300x250_lancamento-nivus-orca-lifeevents_na_lancamento-consideracao-nivus-orca_nvl-nvs-imc-dsy-0820-10035</v>
      </c>
      <c r="AK35" s="21" t="str">
        <f t="shared" si="2"/>
        <v>vw_nivus_300x250_lancamento-consideracao-nivus-orca_adserver</v>
      </c>
      <c r="AL35" s="21" t="str">
        <f t="shared" si="22"/>
        <v>https://www.vw.com.br/pt/configurador.html/__app/%2Fnivus/0.app?adlid=nvl-nvs-imc-dsy-0820-10035&amp;adplt=alp_vw_dv360_imc_dsy_lanch_nd_nc_nvs_nivus-launch-consideracao-orca__trafego_cpm_drct_all_300x250_lancamento-nivus-orca-lifeevents_na_lancamento-consideracao-nivus-orca_nvl-nvs-imc-dsy-0820-10035</v>
      </c>
      <c r="AM35" s="21" t="str">
        <f t="shared" si="4"/>
        <v>TAG</v>
      </c>
      <c r="AN35" s="15" t="str">
        <f t="shared" si="23"/>
        <v>DV360</v>
      </c>
      <c r="AO35" s="15" t="str">
        <f t="shared" si="24"/>
        <v>Paid-Display</v>
      </c>
      <c r="AP35" s="21" t="str">
        <f>Campanha!$B$3</f>
        <v>BR_IMC_DSY_LANCH_ND_NC_2020Q3AUG_NVS_Nivus-Launch-Consideracao-Orca</v>
      </c>
      <c r="AQ35" s="21" t="str">
        <f t="shared" si="7"/>
        <v>alp_vw_dv360_imc_dsy_lanch_nd_nc_nvs_nivus-launch-consideracao-orca__trafego_cpm_drct_all_300x250_lancamento-nivus-orca-lifeevents_na_lancamento-consideracao-nivus-orca_nvl-nvs-imc-dsy-0820-10035</v>
      </c>
      <c r="AR35" s="15" t="s">
        <v>745</v>
      </c>
      <c r="AS35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lifeevents_na_lancamento-consideracao-nivus-orca_nvl-nvs-imc-dsy-0820-10035&amp;utm_campaign=BR_IMC_DSY_LANCH_ND_NC_2020Q3AUG_NVS_Nivus-Launch-Consideracao-Orca&amp;utm_term=%epid!_%ecid!_%eaid!</v>
      </c>
      <c r="AT35" s="15" t="str">
        <f t="shared" si="25"/>
        <v>other</v>
      </c>
      <c r="AU35" s="15" t="str">
        <f t="shared" si="10"/>
        <v>BR</v>
      </c>
      <c r="AV35" s="15" t="str">
        <f t="shared" si="26"/>
        <v>dv360</v>
      </c>
      <c r="AW35" s="15" t="str">
        <f t="shared" si="27"/>
        <v>dv360</v>
      </c>
      <c r="AX35" s="15" t="str">
        <f t="shared" si="13"/>
        <v>nivus-launch-consideracao-orca</v>
      </c>
      <c r="AY35" s="15" t="str">
        <f t="shared" si="28"/>
        <v>alp_vw_dv360_imc_dsy_lanch_nd_nc_nvs_nivus-launch-consideracao-orca__trafego_cpm_drct_all_300x250_lancamento-nivus-orca-lifeevents_na_lancamento-consideracao-nivus-orca_nvl-nvs-imc-dsy-0820-10035</v>
      </c>
      <c r="AZ35" s="15" t="str">
        <f t="shared" si="29"/>
        <v>300x250</v>
      </c>
      <c r="BA35" s="15" t="str">
        <f t="shared" si="30"/>
        <v>lancamento-consideracao-nivus-orca</v>
      </c>
      <c r="BB35" s="28" t="s">
        <v>798</v>
      </c>
      <c r="BC35" s="28" t="s">
        <v>798</v>
      </c>
      <c r="BD35" s="38" t="str">
        <f t="shared" si="31"/>
        <v>nvl-nvs-imc-dsy-0820-10035</v>
      </c>
      <c r="BE35" s="15" t="str">
        <f t="shared" si="32"/>
        <v>BR</v>
      </c>
      <c r="BF35" s="15" t="str">
        <f t="shared" si="33"/>
        <v>paid</v>
      </c>
      <c r="BG35" s="28"/>
      <c r="BH35" s="28"/>
      <c r="BI35" s="36" t="str">
        <f t="shared" si="18"/>
        <v>https://www.vw.com.br/pt/configurador.html/__app/%2Fnivus/0.app?adlid=nvl-nvs-imc-dsy-0820-10035&amp;adplt=alp_vw_dv360_imc_dsy_lanch_nd_nc_nvs_nivus-launch-consideracao-orca__trafego_cpm_drct_all_300x250_lancamento-nivus-orca-lifeevents_na_lancamento-consideracao-nivus-orca_nvl-nvs-imc-dsy-0820-10035</v>
      </c>
      <c r="BL35" t="str">
        <f t="shared" si="19"/>
        <v>alp_vw_dv360_imc_dsy_lanch_nd_nc_nvs_nivus-launch-consideracao-orca__trafego</v>
      </c>
      <c r="BM35" t="str">
        <f t="shared" si="20"/>
        <v>cpm_drct_all_300x250_lancamento-nivus-orca-lifeevents_na</v>
      </c>
      <c r="BN35" t="str">
        <f t="shared" si="21"/>
        <v>alp_vw_dv360_imc_dsy_lanch_nd_nc_nvs_nivus-launch-consideracao-orca__trafego_cpm_drct_all_300x250_lancamento-nivus-orca-lifeevents_na_generico_nvl-nvs-imc-dsy-0820-10035</v>
      </c>
    </row>
    <row r="36" spans="2:66" ht="15.75" customHeight="1" x14ac:dyDescent="0.25">
      <c r="B36" s="15" t="s">
        <v>1291</v>
      </c>
      <c r="C36" s="15" t="s">
        <v>1293</v>
      </c>
      <c r="D36" s="15"/>
      <c r="E36" s="22">
        <v>44069</v>
      </c>
      <c r="F36" s="22">
        <v>44135</v>
      </c>
      <c r="G36" s="15" t="s">
        <v>651</v>
      </c>
      <c r="H36" s="41" t="s">
        <v>1266</v>
      </c>
      <c r="I36" s="15" t="s">
        <v>801</v>
      </c>
      <c r="J36" s="42" t="s">
        <v>883</v>
      </c>
      <c r="K36" s="42" t="s">
        <v>883</v>
      </c>
      <c r="L36" s="15" t="s">
        <v>676</v>
      </c>
      <c r="M36" s="15" t="s">
        <v>276</v>
      </c>
      <c r="N36" s="15" t="s">
        <v>295</v>
      </c>
      <c r="O36" s="15" t="s">
        <v>677</v>
      </c>
      <c r="P36" s="15" t="str">
        <f>VLOOKUP(Y36,'All Codes'!$BF$3:$BG$278,2,FALSE)</f>
        <v>Skyscraper</v>
      </c>
      <c r="Q36" s="15" t="s">
        <v>179</v>
      </c>
      <c r="R36" s="15" t="s">
        <v>277</v>
      </c>
      <c r="S36" s="15" t="s">
        <v>865</v>
      </c>
      <c r="T36" s="46" t="s">
        <v>884</v>
      </c>
      <c r="U36" s="15" t="s">
        <v>876</v>
      </c>
      <c r="V36" s="51" t="s">
        <v>889</v>
      </c>
      <c r="W36" s="15" t="s">
        <v>866</v>
      </c>
      <c r="X36" s="15" t="s">
        <v>307</v>
      </c>
      <c r="Y36" s="46" t="s">
        <v>464</v>
      </c>
      <c r="Z36" s="15"/>
      <c r="AA36" s="15"/>
      <c r="AB36" s="15"/>
      <c r="AC36" s="15"/>
      <c r="AD36" s="15"/>
      <c r="AE36" s="15"/>
      <c r="AF36" s="15"/>
      <c r="AG36" s="15"/>
      <c r="AH36" s="15" t="str">
        <f t="shared" si="36"/>
        <v>281502714</v>
      </c>
      <c r="AI36" s="21" t="str">
        <f t="shared" si="35"/>
        <v>alp_vw_dv360_imc_dsy_lanch_nd_nc_nvs_nivus-launch-consideracao-orca__trafego_cpm_drct_all_300x600_lancamento-nivus-orca-lifeevents_na_lancamento-consideracao-nivus-orca_nvl-nvs-imc-dsy-0820-10036</v>
      </c>
      <c r="AJ36" s="40" t="str">
        <f t="shared" si="35"/>
        <v>alp_vw_dv360_imc_dsy_lanch_nd_nc_nvs_nivus-launch-consideracao-orca__trafego_cpm_drct_all_300x600_lancamento-nivus-orca-lifeevents_na_lancamento-consideracao-nivus-orca_nvl-nvs-imc-dsy-0820-10036</v>
      </c>
      <c r="AK36" s="21" t="str">
        <f t="shared" si="2"/>
        <v>vw_nivus_300x600_lancamento-consideracao-nivus-orca_adserver</v>
      </c>
      <c r="AL36" s="21" t="str">
        <f t="shared" si="22"/>
        <v>https://www.vw.com.br/pt/configurador.html/__app/%2Fnivus/0.app?adlid=nvl-nvs-imc-dsy-0820-10036&amp;adplt=alp_vw_dv360_imc_dsy_lanch_nd_nc_nvs_nivus-launch-consideracao-orca__trafego_cpm_drct_all_300x600_lancamento-nivus-orca-lifeevents_na_lancamento-consideracao-nivus-orca_nvl-nvs-imc-dsy-0820-10036</v>
      </c>
      <c r="AM36" s="21" t="str">
        <f t="shared" si="4"/>
        <v>TAG</v>
      </c>
      <c r="AN36" s="15" t="str">
        <f t="shared" si="23"/>
        <v>DV360</v>
      </c>
      <c r="AO36" s="15" t="str">
        <f t="shared" si="24"/>
        <v>Paid-Display</v>
      </c>
      <c r="AP36" s="21" t="str">
        <f>Campanha!$B$3</f>
        <v>BR_IMC_DSY_LANCH_ND_NC_2020Q3AUG_NVS_Nivus-Launch-Consideracao-Orca</v>
      </c>
      <c r="AQ36" s="21" t="str">
        <f t="shared" si="7"/>
        <v>alp_vw_dv360_imc_dsy_lanch_nd_nc_nvs_nivus-launch-consideracao-orca__trafego_cpm_drct_all_300x600_lancamento-nivus-orca-lifeevents_na_lancamento-consideracao-nivus-orca_nvl-nvs-imc-dsy-0820-10036</v>
      </c>
      <c r="AR36" s="15" t="s">
        <v>745</v>
      </c>
      <c r="AS36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lifeevents_na_lancamento-consideracao-nivus-orca_nvl-nvs-imc-dsy-0820-10036&amp;utm_campaign=BR_IMC_DSY_LANCH_ND_NC_2020Q3AUG_NVS_Nivus-Launch-Consideracao-Orca&amp;utm_term=%epid!_%ecid!_%eaid!</v>
      </c>
      <c r="AT36" s="15" t="str">
        <f t="shared" si="25"/>
        <v>other</v>
      </c>
      <c r="AU36" s="15" t="str">
        <f t="shared" si="10"/>
        <v>BR</v>
      </c>
      <c r="AV36" s="15" t="str">
        <f t="shared" si="26"/>
        <v>dv360</v>
      </c>
      <c r="AW36" s="15" t="str">
        <f t="shared" si="27"/>
        <v>dv360</v>
      </c>
      <c r="AX36" s="15" t="str">
        <f t="shared" si="13"/>
        <v>nivus-launch-consideracao-orca</v>
      </c>
      <c r="AY36" s="15" t="str">
        <f t="shared" si="28"/>
        <v>alp_vw_dv360_imc_dsy_lanch_nd_nc_nvs_nivus-launch-consideracao-orca__trafego_cpm_drct_all_300x600_lancamento-nivus-orca-lifeevents_na_lancamento-consideracao-nivus-orca_nvl-nvs-imc-dsy-0820-10036</v>
      </c>
      <c r="AZ36" s="15" t="str">
        <f t="shared" si="29"/>
        <v>300x600</v>
      </c>
      <c r="BA36" s="15" t="str">
        <f t="shared" si="30"/>
        <v>lancamento-consideracao-nivus-orca</v>
      </c>
      <c r="BB36" s="28" t="s">
        <v>798</v>
      </c>
      <c r="BC36" s="28" t="s">
        <v>798</v>
      </c>
      <c r="BD36" s="38" t="str">
        <f t="shared" si="31"/>
        <v>nvl-nvs-imc-dsy-0820-10036</v>
      </c>
      <c r="BE36" s="15" t="str">
        <f t="shared" si="32"/>
        <v>BR</v>
      </c>
      <c r="BF36" s="15" t="str">
        <f t="shared" si="33"/>
        <v>paid</v>
      </c>
      <c r="BG36" s="28"/>
      <c r="BH36" s="28"/>
      <c r="BI36" s="36" t="str">
        <f t="shared" si="18"/>
        <v>https://www.vw.com.br/pt/configurador.html/__app/%2Fnivus/0.app?adlid=nvl-nvs-imc-dsy-0820-10036&amp;adplt=alp_vw_dv360_imc_dsy_lanch_nd_nc_nvs_nivus-launch-consideracao-orca__trafego_cpm_drct_all_300x600_lancamento-nivus-orca-lifeevents_na_lancamento-consideracao-nivus-orca_nvl-nvs-imc-dsy-0820-10036</v>
      </c>
      <c r="BL36" t="str">
        <f t="shared" si="19"/>
        <v>alp_vw_dv360_imc_dsy_lanch_nd_nc_nvs_nivus-launch-consideracao-orca__trafego</v>
      </c>
      <c r="BM36" t="str">
        <f t="shared" si="20"/>
        <v>cpm_drct_all_300x600_lancamento-nivus-orca-lifeevents_na</v>
      </c>
      <c r="BN36" t="str">
        <f t="shared" si="21"/>
        <v>alp_vw_dv360_imc_dsy_lanch_nd_nc_nvs_nivus-launch-consideracao-orca__trafego_cpm_drct_all_300x600_lancamento-nivus-orca-lifeevents_na_generico_nvl-nvs-imc-dsy-0820-10036</v>
      </c>
    </row>
    <row r="37" spans="2:66" ht="15.75" customHeight="1" x14ac:dyDescent="0.25">
      <c r="B37" s="15" t="s">
        <v>1291</v>
      </c>
      <c r="C37" s="15" t="s">
        <v>1293</v>
      </c>
      <c r="D37" s="15"/>
      <c r="E37" s="22">
        <v>44069</v>
      </c>
      <c r="F37" s="22">
        <v>44135</v>
      </c>
      <c r="G37" s="15" t="s">
        <v>651</v>
      </c>
      <c r="H37" s="41" t="s">
        <v>1266</v>
      </c>
      <c r="I37" s="15" t="s">
        <v>801</v>
      </c>
      <c r="J37" s="42" t="s">
        <v>883</v>
      </c>
      <c r="K37" s="42" t="s">
        <v>883</v>
      </c>
      <c r="L37" s="15" t="s">
        <v>676</v>
      </c>
      <c r="M37" s="15" t="s">
        <v>276</v>
      </c>
      <c r="N37" s="15" t="s">
        <v>295</v>
      </c>
      <c r="O37" s="15" t="s">
        <v>677</v>
      </c>
      <c r="P37" s="15" t="str">
        <f>VLOOKUP(Y37,'All Codes'!$BF$3:$BG$278,2,FALSE)</f>
        <v>MPU</v>
      </c>
      <c r="Q37" s="15" t="s">
        <v>179</v>
      </c>
      <c r="R37" s="15" t="s">
        <v>277</v>
      </c>
      <c r="S37" s="15" t="s">
        <v>865</v>
      </c>
      <c r="T37" s="46" t="s">
        <v>884</v>
      </c>
      <c r="U37" s="15" t="s">
        <v>876</v>
      </c>
      <c r="V37" s="51" t="s">
        <v>889</v>
      </c>
      <c r="W37" s="15" t="s">
        <v>866</v>
      </c>
      <c r="X37" s="15" t="s">
        <v>307</v>
      </c>
      <c r="Y37" s="46" t="s">
        <v>479</v>
      </c>
      <c r="Z37" s="15"/>
      <c r="AA37" s="15"/>
      <c r="AB37" s="15"/>
      <c r="AC37" s="15"/>
      <c r="AD37" s="15"/>
      <c r="AE37" s="15"/>
      <c r="AF37" s="15"/>
      <c r="AG37" s="15"/>
      <c r="AH37" s="15" t="str">
        <f t="shared" si="36"/>
        <v>281502711</v>
      </c>
      <c r="AI37" s="21" t="str">
        <f t="shared" si="35"/>
        <v>alp_vw_dv360_imc_dsy_lanch_nd_nc_nvs_nivus-launch-consideracao-orca__trafego_cpm_drct_all_320x50_lancamento-nivus-orca-lifeevents_na_lancamento-consideracao-nivus-orca_nvl-nvs-imc-dsy-0820-10037</v>
      </c>
      <c r="AJ37" s="40" t="str">
        <f t="shared" si="35"/>
        <v>alp_vw_dv360_imc_dsy_lanch_nd_nc_nvs_nivus-launch-consideracao-orca__trafego_cpm_drct_all_320x50_lancamento-nivus-orca-lifeevents_na_lancamento-consideracao-nivus-orca_nvl-nvs-imc-dsy-0820-10037</v>
      </c>
      <c r="AK37" s="21" t="str">
        <f t="shared" si="2"/>
        <v>vw_nivus_320x50_lancamento-consideracao-nivus-orca_adserver</v>
      </c>
      <c r="AL37" s="21" t="str">
        <f t="shared" si="22"/>
        <v>https://www.vw.com.br/pt/configurador.html/__app/%2Fnivus/0.app?adlid=nvl-nvs-imc-dsy-0820-10037&amp;adplt=alp_vw_dv360_imc_dsy_lanch_nd_nc_nvs_nivus-launch-consideracao-orca__trafego_cpm_drct_all_320x50_lancamento-nivus-orca-lifeevents_na_lancamento-consideracao-nivus-orca_nvl-nvs-imc-dsy-0820-10037</v>
      </c>
      <c r="AM37" s="21" t="str">
        <f t="shared" si="4"/>
        <v>TAG</v>
      </c>
      <c r="AN37" s="15" t="str">
        <f t="shared" si="23"/>
        <v>DV360</v>
      </c>
      <c r="AO37" s="15" t="str">
        <f t="shared" si="24"/>
        <v>Paid-Display</v>
      </c>
      <c r="AP37" s="21" t="str">
        <f>Campanha!$B$3</f>
        <v>BR_IMC_DSY_LANCH_ND_NC_2020Q3AUG_NVS_Nivus-Launch-Consideracao-Orca</v>
      </c>
      <c r="AQ37" s="21" t="str">
        <f t="shared" si="7"/>
        <v>alp_vw_dv360_imc_dsy_lanch_nd_nc_nvs_nivus-launch-consideracao-orca__trafego_cpm_drct_all_320x50_lancamento-nivus-orca-lifeevents_na_lancamento-consideracao-nivus-orca_nvl-nvs-imc-dsy-0820-10037</v>
      </c>
      <c r="AR37" s="15" t="s">
        <v>745</v>
      </c>
      <c r="AS37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lifeevents_na_lancamento-consideracao-nivus-orca_nvl-nvs-imc-dsy-0820-10037&amp;utm_campaign=BR_IMC_DSY_LANCH_ND_NC_2020Q3AUG_NVS_Nivus-Launch-Consideracao-Orca&amp;utm_term=%epid!_%ecid!_%eaid!</v>
      </c>
      <c r="AT37" s="15" t="str">
        <f t="shared" si="25"/>
        <v>other</v>
      </c>
      <c r="AU37" s="15" t="str">
        <f t="shared" si="10"/>
        <v>BR</v>
      </c>
      <c r="AV37" s="15" t="str">
        <f t="shared" si="26"/>
        <v>dv360</v>
      </c>
      <c r="AW37" s="15" t="str">
        <f t="shared" si="27"/>
        <v>dv360</v>
      </c>
      <c r="AX37" s="15" t="str">
        <f t="shared" si="13"/>
        <v>nivus-launch-consideracao-orca</v>
      </c>
      <c r="AY37" s="15" t="str">
        <f t="shared" si="28"/>
        <v>alp_vw_dv360_imc_dsy_lanch_nd_nc_nvs_nivus-launch-consideracao-orca__trafego_cpm_drct_all_320x50_lancamento-nivus-orca-lifeevents_na_lancamento-consideracao-nivus-orca_nvl-nvs-imc-dsy-0820-10037</v>
      </c>
      <c r="AZ37" s="15" t="str">
        <f t="shared" si="29"/>
        <v>320x50</v>
      </c>
      <c r="BA37" s="15" t="str">
        <f t="shared" si="30"/>
        <v>lancamento-consideracao-nivus-orca</v>
      </c>
      <c r="BB37" s="28" t="s">
        <v>798</v>
      </c>
      <c r="BC37" s="28" t="s">
        <v>798</v>
      </c>
      <c r="BD37" s="38" t="str">
        <f t="shared" si="31"/>
        <v>nvl-nvs-imc-dsy-0820-10037</v>
      </c>
      <c r="BE37" s="15" t="str">
        <f t="shared" si="32"/>
        <v>BR</v>
      </c>
      <c r="BF37" s="15" t="str">
        <f t="shared" si="33"/>
        <v>paid</v>
      </c>
      <c r="BG37" s="28"/>
      <c r="BH37" s="28"/>
      <c r="BI37" s="36" t="str">
        <f t="shared" si="18"/>
        <v>https://www.vw.com.br/pt/configurador.html/__app/%2Fnivus/0.app?adlid=nvl-nvs-imc-dsy-0820-10037&amp;adplt=alp_vw_dv360_imc_dsy_lanch_nd_nc_nvs_nivus-launch-consideracao-orca__trafego_cpm_drct_all_320x50_lancamento-nivus-orca-lifeevents_na_lancamento-consideracao-nivus-orca_nvl-nvs-imc-dsy-0820-10037</v>
      </c>
      <c r="BL37" t="str">
        <f t="shared" si="19"/>
        <v>alp_vw_dv360_imc_dsy_lanch_nd_nc_nvs_nivus-launch-consideracao-orca__trafego</v>
      </c>
      <c r="BM37" t="str">
        <f t="shared" si="20"/>
        <v>cpm_drct_all_320x50_lancamento-nivus-orca-lifeevents_na</v>
      </c>
      <c r="BN37" t="str">
        <f t="shared" si="21"/>
        <v>alp_vw_dv360_imc_dsy_lanch_nd_nc_nvs_nivus-launch-consideracao-orca__trafego_cpm_drct_all_320x50_lancamento-nivus-orca-lifeevents_na_generico_nvl-nvs-imc-dsy-0820-10037</v>
      </c>
    </row>
    <row r="38" spans="2:66" ht="15.75" customHeight="1" x14ac:dyDescent="0.25">
      <c r="B38" s="15" t="s">
        <v>1291</v>
      </c>
      <c r="C38" s="15" t="s">
        <v>1293</v>
      </c>
      <c r="D38" s="15"/>
      <c r="E38" s="22">
        <v>44069</v>
      </c>
      <c r="F38" s="22">
        <v>44135</v>
      </c>
      <c r="G38" s="15" t="s">
        <v>651</v>
      </c>
      <c r="H38" s="41" t="s">
        <v>1266</v>
      </c>
      <c r="I38" s="15" t="s">
        <v>801</v>
      </c>
      <c r="J38" s="42" t="s">
        <v>883</v>
      </c>
      <c r="K38" s="42" t="s">
        <v>883</v>
      </c>
      <c r="L38" s="15" t="s">
        <v>676</v>
      </c>
      <c r="M38" s="15" t="s">
        <v>276</v>
      </c>
      <c r="N38" s="15" t="s">
        <v>295</v>
      </c>
      <c r="O38" s="15" t="s">
        <v>677</v>
      </c>
      <c r="P38" s="15" t="str">
        <f>VLOOKUP(Y38,'All Codes'!$BF$3:$BG$278,2,FALSE)</f>
        <v>Leaderboard</v>
      </c>
      <c r="Q38" s="15" t="s">
        <v>179</v>
      </c>
      <c r="R38" s="15" t="s">
        <v>277</v>
      </c>
      <c r="S38" s="15" t="s">
        <v>865</v>
      </c>
      <c r="T38" s="46" t="s">
        <v>884</v>
      </c>
      <c r="U38" s="15" t="s">
        <v>876</v>
      </c>
      <c r="V38" s="51" t="s">
        <v>889</v>
      </c>
      <c r="W38" s="15" t="s">
        <v>866</v>
      </c>
      <c r="X38" s="15" t="s">
        <v>307</v>
      </c>
      <c r="Y38" s="46" t="s">
        <v>591</v>
      </c>
      <c r="Z38" s="15"/>
      <c r="AA38" s="15"/>
      <c r="AB38" s="15"/>
      <c r="AC38" s="15"/>
      <c r="AD38" s="15"/>
      <c r="AE38" s="15"/>
      <c r="AF38" s="15"/>
      <c r="AG38" s="15"/>
      <c r="AH38" s="15" t="str">
        <f t="shared" si="36"/>
        <v>281502708</v>
      </c>
      <c r="AI38" s="21" t="str">
        <f t="shared" si="35"/>
        <v>alp_vw_dv360_imc_dsy_lanch_nd_nc_nvs_nivus-launch-consideracao-orca__trafego_cpm_drct_all_728x90_lancamento-nivus-orca-lifeevents_na_lancamento-consideracao-nivus-orca_nvl-nvs-imc-dsy-0820-10038</v>
      </c>
      <c r="AJ38" s="40" t="str">
        <f t="shared" si="35"/>
        <v>alp_vw_dv360_imc_dsy_lanch_nd_nc_nvs_nivus-launch-consideracao-orca__trafego_cpm_drct_all_728x90_lancamento-nivus-orca-lifeevents_na_lancamento-consideracao-nivus-orca_nvl-nvs-imc-dsy-0820-10038</v>
      </c>
      <c r="AK38" s="21" t="str">
        <f t="shared" si="2"/>
        <v>vw_nivus_728x90_lancamento-consideracao-nivus-orca_adserver</v>
      </c>
      <c r="AL38" s="21" t="str">
        <f t="shared" si="22"/>
        <v>https://www.vw.com.br/pt/configurador.html/__app/%2Fnivus/0.app?adlid=nvl-nvs-imc-dsy-0820-10038&amp;adplt=alp_vw_dv360_imc_dsy_lanch_nd_nc_nvs_nivus-launch-consideracao-orca__trafego_cpm_drct_all_728x90_lancamento-nivus-orca-lifeevents_na_lancamento-consideracao-nivus-orca_nvl-nvs-imc-dsy-0820-10038</v>
      </c>
      <c r="AM38" s="21" t="str">
        <f t="shared" si="4"/>
        <v>TAG</v>
      </c>
      <c r="AN38" s="15" t="str">
        <f t="shared" si="23"/>
        <v>DV360</v>
      </c>
      <c r="AO38" s="15" t="str">
        <f t="shared" si="24"/>
        <v>Paid-Display</v>
      </c>
      <c r="AP38" s="21" t="str">
        <f>Campanha!$B$3</f>
        <v>BR_IMC_DSY_LANCH_ND_NC_2020Q3AUG_NVS_Nivus-Launch-Consideracao-Orca</v>
      </c>
      <c r="AQ38" s="21" t="str">
        <f t="shared" si="7"/>
        <v>alp_vw_dv360_imc_dsy_lanch_nd_nc_nvs_nivus-launch-consideracao-orca__trafego_cpm_drct_all_728x90_lancamento-nivus-orca-lifeevents_na_lancamento-consideracao-nivus-orca_nvl-nvs-imc-dsy-0820-10038</v>
      </c>
      <c r="AR38" s="15" t="s">
        <v>745</v>
      </c>
      <c r="AS38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lifeevents_na_lancamento-consideracao-nivus-orca_nvl-nvs-imc-dsy-0820-10038&amp;utm_campaign=BR_IMC_DSY_LANCH_ND_NC_2020Q3AUG_NVS_Nivus-Launch-Consideracao-Orca&amp;utm_term=%epid!_%ecid!_%eaid!</v>
      </c>
      <c r="AT38" s="15" t="str">
        <f t="shared" si="25"/>
        <v>other</v>
      </c>
      <c r="AU38" s="15" t="str">
        <f t="shared" si="10"/>
        <v>BR</v>
      </c>
      <c r="AV38" s="15" t="str">
        <f t="shared" si="26"/>
        <v>dv360</v>
      </c>
      <c r="AW38" s="15" t="str">
        <f t="shared" si="27"/>
        <v>dv360</v>
      </c>
      <c r="AX38" s="15" t="str">
        <f t="shared" si="13"/>
        <v>nivus-launch-consideracao-orca</v>
      </c>
      <c r="AY38" s="15" t="str">
        <f t="shared" si="28"/>
        <v>alp_vw_dv360_imc_dsy_lanch_nd_nc_nvs_nivus-launch-consideracao-orca__trafego_cpm_drct_all_728x90_lancamento-nivus-orca-lifeevents_na_lancamento-consideracao-nivus-orca_nvl-nvs-imc-dsy-0820-10038</v>
      </c>
      <c r="AZ38" s="15" t="str">
        <f t="shared" si="29"/>
        <v>728x90</v>
      </c>
      <c r="BA38" s="15" t="str">
        <f t="shared" si="30"/>
        <v>lancamento-consideracao-nivus-orca</v>
      </c>
      <c r="BB38" s="28" t="s">
        <v>798</v>
      </c>
      <c r="BC38" s="28" t="s">
        <v>798</v>
      </c>
      <c r="BD38" s="38" t="str">
        <f t="shared" si="31"/>
        <v>nvl-nvs-imc-dsy-0820-10038</v>
      </c>
      <c r="BE38" s="15" t="str">
        <f t="shared" si="32"/>
        <v>BR</v>
      </c>
      <c r="BF38" s="15" t="str">
        <f t="shared" si="33"/>
        <v>paid</v>
      </c>
      <c r="BG38" s="28"/>
      <c r="BH38" s="28"/>
      <c r="BI38" s="36" t="str">
        <f t="shared" si="18"/>
        <v>https://www.vw.com.br/pt/configurador.html/__app/%2Fnivus/0.app?adlid=nvl-nvs-imc-dsy-0820-10038&amp;adplt=alp_vw_dv360_imc_dsy_lanch_nd_nc_nvs_nivus-launch-consideracao-orca__trafego_cpm_drct_all_728x90_lancamento-nivus-orca-lifeevents_na_lancamento-consideracao-nivus-orca_nvl-nvs-imc-dsy-0820-10038</v>
      </c>
      <c r="BL38" t="str">
        <f t="shared" si="19"/>
        <v>alp_vw_dv360_imc_dsy_lanch_nd_nc_nvs_nivus-launch-consideracao-orca__trafego</v>
      </c>
      <c r="BM38" t="str">
        <f t="shared" si="20"/>
        <v>cpm_drct_all_728x90_lancamento-nivus-orca-lifeevents_na</v>
      </c>
      <c r="BN38" t="str">
        <f t="shared" si="21"/>
        <v>alp_vw_dv360_imc_dsy_lanch_nd_nc_nvs_nivus-launch-consideracao-orca__trafego_cpm_drct_all_728x90_lancamento-nivus-orca-lifeevents_na_generico_nvl-nvs-imc-dsy-0820-10038</v>
      </c>
    </row>
    <row r="39" spans="2:66" ht="15.75" customHeight="1" x14ac:dyDescent="0.25">
      <c r="B39" s="15" t="s">
        <v>1291</v>
      </c>
      <c r="C39" s="15" t="s">
        <v>1293</v>
      </c>
      <c r="D39" s="15"/>
      <c r="E39" s="22">
        <v>44069</v>
      </c>
      <c r="F39" s="22">
        <v>44135</v>
      </c>
      <c r="G39" s="15" t="s">
        <v>651</v>
      </c>
      <c r="H39" s="41" t="s">
        <v>1266</v>
      </c>
      <c r="I39" s="15" t="s">
        <v>801</v>
      </c>
      <c r="J39" s="42" t="s">
        <v>883</v>
      </c>
      <c r="K39" s="42" t="s">
        <v>883</v>
      </c>
      <c r="L39" s="15" t="s">
        <v>676</v>
      </c>
      <c r="M39" s="15" t="s">
        <v>276</v>
      </c>
      <c r="N39" s="15" t="s">
        <v>295</v>
      </c>
      <c r="O39" s="15" t="s">
        <v>677</v>
      </c>
      <c r="P39" s="15" t="str">
        <f>VLOOKUP(Y39,'All Codes'!$BF$3:$BG$278,2,FALSE)</f>
        <v>Leaderboard</v>
      </c>
      <c r="Q39" s="15" t="s">
        <v>179</v>
      </c>
      <c r="R39" s="15" t="s">
        <v>277</v>
      </c>
      <c r="S39" s="15" t="s">
        <v>865</v>
      </c>
      <c r="T39" s="46" t="s">
        <v>884</v>
      </c>
      <c r="U39" s="15" t="s">
        <v>876</v>
      </c>
      <c r="V39" s="51" t="s">
        <v>889</v>
      </c>
      <c r="W39" s="15" t="s">
        <v>866</v>
      </c>
      <c r="X39" s="15" t="s">
        <v>307</v>
      </c>
      <c r="Y39" s="46" t="s">
        <v>629</v>
      </c>
      <c r="Z39" s="15"/>
      <c r="AA39" s="15"/>
      <c r="AB39" s="15"/>
      <c r="AC39" s="15"/>
      <c r="AD39" s="15"/>
      <c r="AE39" s="15"/>
      <c r="AF39" s="15"/>
      <c r="AG39" s="15"/>
      <c r="AH39" s="15" t="str">
        <f t="shared" si="36"/>
        <v>281502705</v>
      </c>
      <c r="AI39" s="21" t="str">
        <f t="shared" si="35"/>
        <v>alp_vw_dv360_imc_dsy_lanch_nd_nc_nvs_nivus-launch-consideracao-orca__trafego_cpm_drct_all_970x250_lancamento-nivus-orca-lifeevents_na_lancamento-consideracao-nivus-orca_nvl-nvs-imc-dsy-0820-10039</v>
      </c>
      <c r="AJ39" s="40" t="str">
        <f t="shared" si="35"/>
        <v>alp_vw_dv360_imc_dsy_lanch_nd_nc_nvs_nivus-launch-consideracao-orca__trafego_cpm_drct_all_970x250_lancamento-nivus-orca-lifeevents_na_lancamento-consideracao-nivus-orca_nvl-nvs-imc-dsy-0820-10039</v>
      </c>
      <c r="AK39" s="21" t="str">
        <f t="shared" si="2"/>
        <v>vw_nivus_970x250_lancamento-consideracao-nivus-orca_adserver</v>
      </c>
      <c r="AL39" s="21" t="str">
        <f t="shared" si="22"/>
        <v>https://www.vw.com.br/pt/configurador.html/__app/%2Fnivus/0.app?adlid=nvl-nvs-imc-dsy-0820-10039&amp;adplt=alp_vw_dv360_imc_dsy_lanch_nd_nc_nvs_nivus-launch-consideracao-orca__trafego_cpm_drct_all_970x250_lancamento-nivus-orca-lifeevents_na_lancamento-consideracao-nivus-orca_nvl-nvs-imc-dsy-0820-10039</v>
      </c>
      <c r="AM39" s="21" t="str">
        <f t="shared" si="4"/>
        <v>TAG</v>
      </c>
      <c r="AN39" s="15" t="str">
        <f t="shared" si="23"/>
        <v>DV360</v>
      </c>
      <c r="AO39" s="15" t="str">
        <f t="shared" si="24"/>
        <v>Paid-Display</v>
      </c>
      <c r="AP39" s="21" t="str">
        <f>Campanha!$B$3</f>
        <v>BR_IMC_DSY_LANCH_ND_NC_2020Q3AUG_NVS_Nivus-Launch-Consideracao-Orca</v>
      </c>
      <c r="AQ39" s="21" t="str">
        <f t="shared" si="7"/>
        <v>alp_vw_dv360_imc_dsy_lanch_nd_nc_nvs_nivus-launch-consideracao-orca__trafego_cpm_drct_all_970x250_lancamento-nivus-orca-lifeevents_na_lancamento-consideracao-nivus-orca_nvl-nvs-imc-dsy-0820-10039</v>
      </c>
      <c r="AR39" s="15" t="s">
        <v>745</v>
      </c>
      <c r="AS39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lifeevents_na_lancamento-consideracao-nivus-orca_nvl-nvs-imc-dsy-0820-10039&amp;utm_campaign=BR_IMC_DSY_LANCH_ND_NC_2020Q3AUG_NVS_Nivus-Launch-Consideracao-Orca&amp;utm_term=%epid!_%ecid!_%eaid!</v>
      </c>
      <c r="AT39" s="15" t="str">
        <f t="shared" si="25"/>
        <v>other</v>
      </c>
      <c r="AU39" s="15" t="str">
        <f t="shared" si="10"/>
        <v>BR</v>
      </c>
      <c r="AV39" s="15" t="str">
        <f t="shared" si="26"/>
        <v>dv360</v>
      </c>
      <c r="AW39" s="15" t="str">
        <f t="shared" si="27"/>
        <v>dv360</v>
      </c>
      <c r="AX39" s="15" t="str">
        <f t="shared" si="13"/>
        <v>nivus-launch-consideracao-orca</v>
      </c>
      <c r="AY39" s="15" t="str">
        <f t="shared" si="28"/>
        <v>alp_vw_dv360_imc_dsy_lanch_nd_nc_nvs_nivus-launch-consideracao-orca__trafego_cpm_drct_all_970x250_lancamento-nivus-orca-lifeevents_na_lancamento-consideracao-nivus-orca_nvl-nvs-imc-dsy-0820-10039</v>
      </c>
      <c r="AZ39" s="15" t="str">
        <f t="shared" si="29"/>
        <v>970x250</v>
      </c>
      <c r="BA39" s="15" t="str">
        <f t="shared" si="30"/>
        <v>lancamento-consideracao-nivus-orca</v>
      </c>
      <c r="BB39" s="28" t="s">
        <v>798</v>
      </c>
      <c r="BC39" s="28" t="s">
        <v>798</v>
      </c>
      <c r="BD39" s="38" t="str">
        <f t="shared" si="31"/>
        <v>nvl-nvs-imc-dsy-0820-10039</v>
      </c>
      <c r="BE39" s="15" t="str">
        <f t="shared" si="32"/>
        <v>BR</v>
      </c>
      <c r="BF39" s="15" t="str">
        <f t="shared" si="33"/>
        <v>paid</v>
      </c>
      <c r="BG39" s="28"/>
      <c r="BH39" s="28"/>
      <c r="BI39" s="36" t="str">
        <f t="shared" si="18"/>
        <v>https://www.vw.com.br/pt/configurador.html/__app/%2Fnivus/0.app?adlid=nvl-nvs-imc-dsy-0820-10039&amp;adplt=alp_vw_dv360_imc_dsy_lanch_nd_nc_nvs_nivus-launch-consideracao-orca__trafego_cpm_drct_all_970x250_lancamento-nivus-orca-lifeevents_na_lancamento-consideracao-nivus-orca_nvl-nvs-imc-dsy-0820-10039</v>
      </c>
      <c r="BL39" t="str">
        <f t="shared" si="19"/>
        <v>alp_vw_dv360_imc_dsy_lanch_nd_nc_nvs_nivus-launch-consideracao-orca__trafego</v>
      </c>
      <c r="BM39" t="str">
        <f t="shared" si="20"/>
        <v>cpm_drct_all_970x250_lancamento-nivus-orca-lifeevents_na</v>
      </c>
      <c r="BN39" t="str">
        <f t="shared" si="21"/>
        <v>alp_vw_dv360_imc_dsy_lanch_nd_nc_nvs_nivus-launch-consideracao-orca__trafego_cpm_drct_all_970x250_lancamento-nivus-orca-lifeevents_na_generico_nvl-nvs-imc-dsy-0820-10039</v>
      </c>
    </row>
    <row r="40" spans="2:66" ht="15.75" customHeight="1" x14ac:dyDescent="0.25">
      <c r="B40" s="15" t="s">
        <v>1291</v>
      </c>
      <c r="C40" s="15" t="s">
        <v>1293</v>
      </c>
      <c r="D40" s="15"/>
      <c r="E40" s="22">
        <v>44069</v>
      </c>
      <c r="F40" s="22">
        <v>44135</v>
      </c>
      <c r="G40" s="15" t="s">
        <v>651</v>
      </c>
      <c r="H40" s="41" t="s">
        <v>1266</v>
      </c>
      <c r="I40" s="15" t="s">
        <v>801</v>
      </c>
      <c r="J40" s="42" t="s">
        <v>883</v>
      </c>
      <c r="K40" s="42" t="s">
        <v>883</v>
      </c>
      <c r="L40" s="15" t="s">
        <v>676</v>
      </c>
      <c r="M40" s="15" t="s">
        <v>276</v>
      </c>
      <c r="N40" s="15" t="s">
        <v>295</v>
      </c>
      <c r="O40" s="15" t="s">
        <v>677</v>
      </c>
      <c r="P40" s="15" t="str">
        <f>VLOOKUP(Y40,'All Codes'!$BF$3:$BG$278,2,FALSE)</f>
        <v>MPU</v>
      </c>
      <c r="Q40" s="15" t="s">
        <v>179</v>
      </c>
      <c r="R40" s="15" t="s">
        <v>277</v>
      </c>
      <c r="S40" s="15" t="s">
        <v>865</v>
      </c>
      <c r="T40" s="46" t="s">
        <v>884</v>
      </c>
      <c r="U40" s="15" t="s">
        <v>876</v>
      </c>
      <c r="V40" s="52" t="s">
        <v>890</v>
      </c>
      <c r="W40" s="15" t="s">
        <v>866</v>
      </c>
      <c r="X40" s="15" t="s">
        <v>307</v>
      </c>
      <c r="Y40" s="46" t="s">
        <v>461</v>
      </c>
      <c r="Z40" s="15"/>
      <c r="AA40" s="15"/>
      <c r="AB40" s="15"/>
      <c r="AC40" s="15"/>
      <c r="AD40" s="15"/>
      <c r="AE40" s="15"/>
      <c r="AF40" s="15"/>
      <c r="AG40" s="15"/>
      <c r="AH40" s="15" t="str">
        <f t="shared" si="34"/>
        <v>281502702</v>
      </c>
      <c r="AI40" s="21" t="str">
        <f t="shared" si="35"/>
        <v>alp_vw_dv360_imc_dsy_lanch_nd_nc_nvs_nivus-launch-consideracao-orca__trafego_cpm_drct_all_300x50_lancamento-nivus-orca-customaffinity_na_lancamento-consideracao-nivus-orca_nvl-nvs-imc-dsy-0820-10040</v>
      </c>
      <c r="AJ40" s="40" t="str">
        <f t="shared" si="35"/>
        <v>alp_vw_dv360_imc_dsy_lanch_nd_nc_nvs_nivus-launch-consideracao-orca__trafego_cpm_drct_all_300x50_lancamento-nivus-orca-customaffinity_na_lancamento-consideracao-nivus-orca_nvl-nvs-imc-dsy-0820-10040</v>
      </c>
      <c r="AK40" s="21" t="str">
        <f t="shared" si="2"/>
        <v>vw_nivus_300x50_lancamento-consideracao-nivus-orca_adserver</v>
      </c>
      <c r="AL40" s="21" t="str">
        <f t="shared" si="22"/>
        <v>https://www.vw.com.br/pt/configurador.html/__app/%2Fnivus/0.app?adlid=nvl-nvs-imc-dsy-0820-10040&amp;adplt=alp_vw_dv360_imc_dsy_lanch_nd_nc_nvs_nivus-launch-consideracao-orca__trafego_cpm_drct_all_300x50_lancamento-nivus-orca-customaffinity_na_lancamento-consideracao-nivus-orca_nvl-nvs-imc-dsy-0820-10040</v>
      </c>
      <c r="AM40" s="21" t="str">
        <f t="shared" si="4"/>
        <v>TAG</v>
      </c>
      <c r="AN40" s="15" t="str">
        <f t="shared" si="23"/>
        <v>DV360</v>
      </c>
      <c r="AO40" s="15" t="str">
        <f t="shared" si="24"/>
        <v>Paid-Display</v>
      </c>
      <c r="AP40" s="21" t="str">
        <f>Campanha!$B$3</f>
        <v>BR_IMC_DSY_LANCH_ND_NC_2020Q3AUG_NVS_Nivus-Launch-Consideracao-Orca</v>
      </c>
      <c r="AQ40" s="21" t="str">
        <f t="shared" si="7"/>
        <v>alp_vw_dv360_imc_dsy_lanch_nd_nc_nvs_nivus-launch-consideracao-orca__trafego_cpm_drct_all_300x50_lancamento-nivus-orca-customaffinity_na_lancamento-consideracao-nivus-orca_nvl-nvs-imc-dsy-0820-10040</v>
      </c>
      <c r="AR40" s="15" t="s">
        <v>745</v>
      </c>
      <c r="AS40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customaffinity_na_lancamento-consideracao-nivus-orca_nvl-nvs-imc-dsy-0820-10040&amp;utm_campaign=BR_IMC_DSY_LANCH_ND_NC_2020Q3AUG_NVS_Nivus-Launch-Consideracao-Orca&amp;utm_term=%epid!_%ecid!_%eaid!</v>
      </c>
      <c r="AT40" s="15" t="str">
        <f t="shared" si="25"/>
        <v>other</v>
      </c>
      <c r="AU40" s="15" t="str">
        <f t="shared" si="10"/>
        <v>BR</v>
      </c>
      <c r="AV40" s="15" t="str">
        <f t="shared" si="26"/>
        <v>dv360</v>
      </c>
      <c r="AW40" s="15" t="str">
        <f t="shared" si="27"/>
        <v>dv360</v>
      </c>
      <c r="AX40" s="15" t="str">
        <f t="shared" si="13"/>
        <v>nivus-launch-consideracao-orca</v>
      </c>
      <c r="AY40" s="15" t="str">
        <f t="shared" si="28"/>
        <v>alp_vw_dv360_imc_dsy_lanch_nd_nc_nvs_nivus-launch-consideracao-orca__trafego_cpm_drct_all_300x50_lancamento-nivus-orca-customaffinity_na_lancamento-consideracao-nivus-orca_nvl-nvs-imc-dsy-0820-10040</v>
      </c>
      <c r="AZ40" s="15" t="str">
        <f t="shared" si="29"/>
        <v>300x50</v>
      </c>
      <c r="BA40" s="15" t="str">
        <f t="shared" si="30"/>
        <v>lancamento-consideracao-nivus-orca</v>
      </c>
      <c r="BB40" s="28" t="s">
        <v>798</v>
      </c>
      <c r="BC40" s="28" t="s">
        <v>798</v>
      </c>
      <c r="BD40" s="38" t="str">
        <f t="shared" si="31"/>
        <v>nvl-nvs-imc-dsy-0820-10040</v>
      </c>
      <c r="BE40" s="15" t="str">
        <f t="shared" si="32"/>
        <v>BR</v>
      </c>
      <c r="BF40" s="15" t="str">
        <f t="shared" si="33"/>
        <v>paid</v>
      </c>
      <c r="BG40" s="28"/>
      <c r="BH40" s="28"/>
      <c r="BI40" s="36" t="str">
        <f t="shared" si="18"/>
        <v>https://www.vw.com.br/pt/configurador.html/__app/%2Fnivus/0.app?adlid=nvl-nvs-imc-dsy-0820-10040&amp;adplt=alp_vw_dv360_imc_dsy_lanch_nd_nc_nvs_nivus-launch-consideracao-orca__trafego_cpm_drct_all_300x50_lancamento-nivus-orca-customaffinity_na_lancamento-consideracao-nivus-orca_nvl-nvs-imc-dsy-0820-10040</v>
      </c>
      <c r="BL40" t="str">
        <f t="shared" si="19"/>
        <v>alp_vw_dv360_imc_dsy_lanch_nd_nc_nvs_nivus-launch-consideracao-orca__trafego</v>
      </c>
      <c r="BM40" t="str">
        <f t="shared" si="20"/>
        <v>cpm_drct_all_300x50_lancamento-nivus-orca-customaffinity_na</v>
      </c>
      <c r="BN40" t="str">
        <f t="shared" si="21"/>
        <v>alp_vw_dv360_imc_dsy_lanch_nd_nc_nvs_nivus-launch-consideracao-orca__trafego_cpm_drct_all_300x50_lancamento-nivus-orca-customaffinity_na_generico_nvl-nvs-imc-dsy-0820-10040</v>
      </c>
    </row>
    <row r="41" spans="2:66" ht="15.75" customHeight="1" x14ac:dyDescent="0.25">
      <c r="B41" s="15" t="s">
        <v>1291</v>
      </c>
      <c r="C41" s="15" t="s">
        <v>1293</v>
      </c>
      <c r="D41" s="15"/>
      <c r="E41" s="22">
        <v>44069</v>
      </c>
      <c r="F41" s="22">
        <v>44135</v>
      </c>
      <c r="G41" s="15" t="s">
        <v>651</v>
      </c>
      <c r="H41" s="41" t="s">
        <v>1266</v>
      </c>
      <c r="I41" s="15" t="s">
        <v>801</v>
      </c>
      <c r="J41" s="42" t="s">
        <v>883</v>
      </c>
      <c r="K41" s="42" t="s">
        <v>883</v>
      </c>
      <c r="L41" s="15" t="s">
        <v>676</v>
      </c>
      <c r="M41" s="15" t="s">
        <v>276</v>
      </c>
      <c r="N41" s="15" t="s">
        <v>295</v>
      </c>
      <c r="O41" s="15" t="s">
        <v>677</v>
      </c>
      <c r="P41" s="15" t="str">
        <f>VLOOKUP(Y41,'All Codes'!$BF$3:$BG$278,2,FALSE)</f>
        <v>Skyscraper</v>
      </c>
      <c r="Q41" s="15" t="s">
        <v>179</v>
      </c>
      <c r="R41" s="15" t="s">
        <v>277</v>
      </c>
      <c r="S41" s="15" t="s">
        <v>865</v>
      </c>
      <c r="T41" s="46" t="s">
        <v>884</v>
      </c>
      <c r="U41" s="15" t="s">
        <v>876</v>
      </c>
      <c r="V41" s="52" t="s">
        <v>890</v>
      </c>
      <c r="W41" s="15" t="s">
        <v>866</v>
      </c>
      <c r="X41" s="15" t="s">
        <v>307</v>
      </c>
      <c r="Y41" s="46" t="s">
        <v>434</v>
      </c>
      <c r="Z41" s="15"/>
      <c r="AA41" s="15"/>
      <c r="AB41" s="15"/>
      <c r="AC41" s="15"/>
      <c r="AD41" s="15"/>
      <c r="AE41" s="15"/>
      <c r="AF41" s="15"/>
      <c r="AG41" s="15"/>
      <c r="AH41" s="15" t="str">
        <f t="shared" ref="AH41" si="37">VLOOKUP(AI41,id_placement,2,FALSE)</f>
        <v>281502699</v>
      </c>
      <c r="AI41" s="21" t="str">
        <f t="shared" si="35"/>
        <v>alp_vw_dv360_imc_dsy_lanch_nd_nc_nvs_nivus-launch-consideracao-orca__trafego_cpm_drct_all_160x600_lancamento-nivus-orca-customaffinity_na_lancamento-consideracao-nivus-orca_nvl-nvs-imc-dsy-0820-10041</v>
      </c>
      <c r="AJ41" s="40" t="str">
        <f t="shared" si="35"/>
        <v>alp_vw_dv360_imc_dsy_lanch_nd_nc_nvs_nivus-launch-consideracao-orca__trafego_cpm_drct_all_160x600_lancamento-nivus-orca-customaffinity_na_lancamento-consideracao-nivus-orca_nvl-nvs-imc-dsy-0820-10041</v>
      </c>
      <c r="AK41" s="21" t="str">
        <f t="shared" si="2"/>
        <v>vw_nivus_160x600_lancamento-consideracao-nivus-orca_adserver</v>
      </c>
      <c r="AL41" s="21" t="str">
        <f t="shared" si="22"/>
        <v>https://www.vw.com.br/pt/configurador.html/__app/%2Fnivus/0.app?adlid=nvl-nvs-imc-dsy-0820-10041&amp;adplt=alp_vw_dv360_imc_dsy_lanch_nd_nc_nvs_nivus-launch-consideracao-orca__trafego_cpm_drct_all_160x600_lancamento-nivus-orca-customaffinity_na_lancamento-consideracao-nivus-orca_nvl-nvs-imc-dsy-0820-10041</v>
      </c>
      <c r="AM41" s="21" t="str">
        <f t="shared" si="4"/>
        <v>TAG</v>
      </c>
      <c r="AN41" s="15" t="str">
        <f t="shared" si="23"/>
        <v>DV360</v>
      </c>
      <c r="AO41" s="15" t="str">
        <f t="shared" si="24"/>
        <v>Paid-Display</v>
      </c>
      <c r="AP41" s="21" t="str">
        <f>Campanha!$B$3</f>
        <v>BR_IMC_DSY_LANCH_ND_NC_2020Q3AUG_NVS_Nivus-Launch-Consideracao-Orca</v>
      </c>
      <c r="AQ41" s="21" t="str">
        <f t="shared" si="7"/>
        <v>alp_vw_dv360_imc_dsy_lanch_nd_nc_nvs_nivus-launch-consideracao-orca__trafego_cpm_drct_all_160x600_lancamento-nivus-orca-customaffinity_na_lancamento-consideracao-nivus-orca_nvl-nvs-imc-dsy-0820-10041</v>
      </c>
      <c r="AR41" s="15" t="s">
        <v>745</v>
      </c>
      <c r="AS41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customaffinity_na_lancamento-consideracao-nivus-orca_nvl-nvs-imc-dsy-0820-10041&amp;utm_campaign=BR_IMC_DSY_LANCH_ND_NC_2020Q3AUG_NVS_Nivus-Launch-Consideracao-Orca&amp;utm_term=%epid!_%ecid!_%eaid!</v>
      </c>
      <c r="AT41" s="15" t="str">
        <f t="shared" si="25"/>
        <v>other</v>
      </c>
      <c r="AU41" s="15" t="str">
        <f t="shared" si="10"/>
        <v>BR</v>
      </c>
      <c r="AV41" s="15" t="str">
        <f t="shared" si="26"/>
        <v>dv360</v>
      </c>
      <c r="AW41" s="15" t="str">
        <f t="shared" si="27"/>
        <v>dv360</v>
      </c>
      <c r="AX41" s="15" t="str">
        <f t="shared" si="13"/>
        <v>nivus-launch-consideracao-orca</v>
      </c>
      <c r="AY41" s="15" t="str">
        <f t="shared" si="28"/>
        <v>alp_vw_dv360_imc_dsy_lanch_nd_nc_nvs_nivus-launch-consideracao-orca__trafego_cpm_drct_all_160x600_lancamento-nivus-orca-customaffinity_na_lancamento-consideracao-nivus-orca_nvl-nvs-imc-dsy-0820-10041</v>
      </c>
      <c r="AZ41" s="15" t="str">
        <f t="shared" si="29"/>
        <v>160x600</v>
      </c>
      <c r="BA41" s="15" t="str">
        <f t="shared" si="30"/>
        <v>lancamento-consideracao-nivus-orca</v>
      </c>
      <c r="BB41" s="28" t="s">
        <v>798</v>
      </c>
      <c r="BC41" s="28" t="s">
        <v>798</v>
      </c>
      <c r="BD41" s="38" t="str">
        <f t="shared" si="31"/>
        <v>nvl-nvs-imc-dsy-0820-10041</v>
      </c>
      <c r="BE41" s="15" t="str">
        <f t="shared" si="32"/>
        <v>BR</v>
      </c>
      <c r="BF41" s="15" t="str">
        <f t="shared" si="33"/>
        <v>paid</v>
      </c>
      <c r="BG41" s="28"/>
      <c r="BH41" s="28"/>
      <c r="BI41" s="36" t="str">
        <f t="shared" si="18"/>
        <v>https://www.vw.com.br/pt/configurador.html/__app/%2Fnivus/0.app?adlid=nvl-nvs-imc-dsy-0820-10041&amp;adplt=alp_vw_dv360_imc_dsy_lanch_nd_nc_nvs_nivus-launch-consideracao-orca__trafego_cpm_drct_all_160x600_lancamento-nivus-orca-customaffinity_na_lancamento-consideracao-nivus-orca_nvl-nvs-imc-dsy-0820-10041</v>
      </c>
      <c r="BL41" t="str">
        <f t="shared" si="19"/>
        <v>alp_vw_dv360_imc_dsy_lanch_nd_nc_nvs_nivus-launch-consideracao-orca__trafego</v>
      </c>
      <c r="BM41" t="str">
        <f t="shared" si="20"/>
        <v>cpm_drct_all_160x600_lancamento-nivus-orca-customaffinity_na</v>
      </c>
      <c r="BN41" t="str">
        <f t="shared" si="21"/>
        <v>alp_vw_dv360_imc_dsy_lanch_nd_nc_nvs_nivus-launch-consideracao-orca__trafego_cpm_drct_all_160x600_lancamento-nivus-orca-customaffinity_na_generico_nvl-nvs-imc-dsy-0820-10041</v>
      </c>
    </row>
    <row r="42" spans="2:66" ht="15.75" customHeight="1" x14ac:dyDescent="0.25">
      <c r="B42" s="15" t="s">
        <v>1291</v>
      </c>
      <c r="C42" s="15" t="s">
        <v>1293</v>
      </c>
      <c r="D42" s="15"/>
      <c r="E42" s="22">
        <v>44069</v>
      </c>
      <c r="F42" s="22">
        <v>44135</v>
      </c>
      <c r="G42" s="15" t="s">
        <v>651</v>
      </c>
      <c r="H42" s="41" t="s">
        <v>1266</v>
      </c>
      <c r="I42" s="15" t="s">
        <v>801</v>
      </c>
      <c r="J42" s="42" t="s">
        <v>883</v>
      </c>
      <c r="K42" s="42" t="s">
        <v>883</v>
      </c>
      <c r="L42" s="15" t="s">
        <v>676</v>
      </c>
      <c r="M42" s="15" t="s">
        <v>276</v>
      </c>
      <c r="N42" s="15" t="s">
        <v>295</v>
      </c>
      <c r="O42" s="15" t="s">
        <v>677</v>
      </c>
      <c r="P42" s="15" t="str">
        <f>VLOOKUP(Y42,'All Codes'!$BF$3:$BG$278,2,FALSE)</f>
        <v>MPU</v>
      </c>
      <c r="Q42" s="15" t="s">
        <v>179</v>
      </c>
      <c r="R42" s="15" t="s">
        <v>277</v>
      </c>
      <c r="S42" s="15" t="s">
        <v>865</v>
      </c>
      <c r="T42" s="46" t="s">
        <v>884</v>
      </c>
      <c r="U42" s="15" t="s">
        <v>876</v>
      </c>
      <c r="V42" s="52" t="s">
        <v>890</v>
      </c>
      <c r="W42" s="15" t="s">
        <v>866</v>
      </c>
      <c r="X42" s="15" t="s">
        <v>307</v>
      </c>
      <c r="Y42" s="46" t="s">
        <v>455</v>
      </c>
      <c r="Z42" s="15"/>
      <c r="AA42" s="15"/>
      <c r="AB42" s="15"/>
      <c r="AC42" s="15"/>
      <c r="AD42" s="15"/>
      <c r="AE42" s="15"/>
      <c r="AF42" s="15"/>
      <c r="AG42" s="15"/>
      <c r="AH42" s="15" t="str">
        <f t="shared" si="34"/>
        <v>281502696</v>
      </c>
      <c r="AI42" s="21" t="str">
        <f t="shared" si="35"/>
        <v>alp_vw_dv360_imc_dsy_lanch_nd_nc_nvs_nivus-launch-consideracao-orca__trafego_cpm_drct_all_300x250_lancamento-nivus-orca-customaffinity_na_lancamento-consideracao-nivus-orca_nvl-nvs-imc-dsy-0820-10042</v>
      </c>
      <c r="AJ42" s="40" t="str">
        <f t="shared" si="35"/>
        <v>alp_vw_dv360_imc_dsy_lanch_nd_nc_nvs_nivus-launch-consideracao-orca__trafego_cpm_drct_all_300x250_lancamento-nivus-orca-customaffinity_na_lancamento-consideracao-nivus-orca_nvl-nvs-imc-dsy-0820-10042</v>
      </c>
      <c r="AK42" s="21" t="str">
        <f t="shared" si="2"/>
        <v>vw_nivus_300x250_lancamento-consideracao-nivus-orca_adserver</v>
      </c>
      <c r="AL42" s="21" t="str">
        <f t="shared" si="22"/>
        <v>https://www.vw.com.br/pt/configurador.html/__app/%2Fnivus/0.app?adlid=nvl-nvs-imc-dsy-0820-10042&amp;adplt=alp_vw_dv360_imc_dsy_lanch_nd_nc_nvs_nivus-launch-consideracao-orca__trafego_cpm_drct_all_300x250_lancamento-nivus-orca-customaffinity_na_lancamento-consideracao-nivus-orca_nvl-nvs-imc-dsy-0820-10042</v>
      </c>
      <c r="AM42" s="21" t="str">
        <f t="shared" si="4"/>
        <v>TAG</v>
      </c>
      <c r="AN42" s="15" t="str">
        <f t="shared" si="23"/>
        <v>DV360</v>
      </c>
      <c r="AO42" s="15" t="str">
        <f t="shared" si="24"/>
        <v>Paid-Display</v>
      </c>
      <c r="AP42" s="21" t="str">
        <f>Campanha!$B$3</f>
        <v>BR_IMC_DSY_LANCH_ND_NC_2020Q3AUG_NVS_Nivus-Launch-Consideracao-Orca</v>
      </c>
      <c r="AQ42" s="21" t="str">
        <f t="shared" si="7"/>
        <v>alp_vw_dv360_imc_dsy_lanch_nd_nc_nvs_nivus-launch-consideracao-orca__trafego_cpm_drct_all_300x250_lancamento-nivus-orca-customaffinity_na_lancamento-consideracao-nivus-orca_nvl-nvs-imc-dsy-0820-10042</v>
      </c>
      <c r="AR42" s="15" t="s">
        <v>745</v>
      </c>
      <c r="AS42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customaffinity_na_lancamento-consideracao-nivus-orca_nvl-nvs-imc-dsy-0820-10042&amp;utm_campaign=BR_IMC_DSY_LANCH_ND_NC_2020Q3AUG_NVS_Nivus-Launch-Consideracao-Orca&amp;utm_term=%epid!_%ecid!_%eaid!</v>
      </c>
      <c r="AT42" s="15" t="str">
        <f t="shared" si="25"/>
        <v>other</v>
      </c>
      <c r="AU42" s="15" t="str">
        <f t="shared" si="10"/>
        <v>BR</v>
      </c>
      <c r="AV42" s="15" t="str">
        <f t="shared" si="26"/>
        <v>dv360</v>
      </c>
      <c r="AW42" s="15" t="str">
        <f t="shared" si="27"/>
        <v>dv360</v>
      </c>
      <c r="AX42" s="15" t="str">
        <f t="shared" si="13"/>
        <v>nivus-launch-consideracao-orca</v>
      </c>
      <c r="AY42" s="15" t="str">
        <f t="shared" si="28"/>
        <v>alp_vw_dv360_imc_dsy_lanch_nd_nc_nvs_nivus-launch-consideracao-orca__trafego_cpm_drct_all_300x250_lancamento-nivus-orca-customaffinity_na_lancamento-consideracao-nivus-orca_nvl-nvs-imc-dsy-0820-10042</v>
      </c>
      <c r="AZ42" s="15" t="str">
        <f t="shared" si="29"/>
        <v>300x250</v>
      </c>
      <c r="BA42" s="15" t="str">
        <f t="shared" si="30"/>
        <v>lancamento-consideracao-nivus-orca</v>
      </c>
      <c r="BB42" s="28" t="s">
        <v>798</v>
      </c>
      <c r="BC42" s="28" t="s">
        <v>798</v>
      </c>
      <c r="BD42" s="38" t="str">
        <f t="shared" si="31"/>
        <v>nvl-nvs-imc-dsy-0820-10042</v>
      </c>
      <c r="BE42" s="15" t="str">
        <f t="shared" si="32"/>
        <v>BR</v>
      </c>
      <c r="BF42" s="15" t="str">
        <f t="shared" si="33"/>
        <v>paid</v>
      </c>
      <c r="BG42" s="28"/>
      <c r="BH42" s="28"/>
      <c r="BI42" s="36" t="str">
        <f t="shared" si="18"/>
        <v>https://www.vw.com.br/pt/configurador.html/__app/%2Fnivus/0.app?adlid=nvl-nvs-imc-dsy-0820-10042&amp;adplt=alp_vw_dv360_imc_dsy_lanch_nd_nc_nvs_nivus-launch-consideracao-orca__trafego_cpm_drct_all_300x250_lancamento-nivus-orca-customaffinity_na_lancamento-consideracao-nivus-orca_nvl-nvs-imc-dsy-0820-10042</v>
      </c>
      <c r="BL42" t="str">
        <f t="shared" si="19"/>
        <v>alp_vw_dv360_imc_dsy_lanch_nd_nc_nvs_nivus-launch-consideracao-orca__trafego</v>
      </c>
      <c r="BM42" t="str">
        <f t="shared" si="20"/>
        <v>cpm_drct_all_300x250_lancamento-nivus-orca-customaffinity_na</v>
      </c>
      <c r="BN42" t="str">
        <f t="shared" si="21"/>
        <v>alp_vw_dv360_imc_dsy_lanch_nd_nc_nvs_nivus-launch-consideracao-orca__trafego_cpm_drct_all_300x250_lancamento-nivus-orca-customaffinity_na_generico_nvl-nvs-imc-dsy-0820-10042</v>
      </c>
    </row>
    <row r="43" spans="2:66" ht="15.75" customHeight="1" x14ac:dyDescent="0.25">
      <c r="B43" s="15" t="s">
        <v>1291</v>
      </c>
      <c r="C43" s="15" t="s">
        <v>1293</v>
      </c>
      <c r="D43" s="15"/>
      <c r="E43" s="22">
        <v>44069</v>
      </c>
      <c r="F43" s="22">
        <v>44135</v>
      </c>
      <c r="G43" s="15" t="s">
        <v>651</v>
      </c>
      <c r="H43" s="41" t="s">
        <v>1266</v>
      </c>
      <c r="I43" s="15" t="s">
        <v>801</v>
      </c>
      <c r="J43" s="42" t="s">
        <v>883</v>
      </c>
      <c r="K43" s="42" t="s">
        <v>883</v>
      </c>
      <c r="L43" s="15" t="s">
        <v>676</v>
      </c>
      <c r="M43" s="15" t="s">
        <v>276</v>
      </c>
      <c r="N43" s="15" t="s">
        <v>295</v>
      </c>
      <c r="O43" s="15" t="s">
        <v>677</v>
      </c>
      <c r="P43" s="15" t="str">
        <f>VLOOKUP(Y43,'All Codes'!$BF$3:$BG$278,2,FALSE)</f>
        <v>Skyscraper</v>
      </c>
      <c r="Q43" s="15" t="s">
        <v>179</v>
      </c>
      <c r="R43" s="15" t="s">
        <v>277</v>
      </c>
      <c r="S43" s="15" t="s">
        <v>865</v>
      </c>
      <c r="T43" s="46" t="s">
        <v>884</v>
      </c>
      <c r="U43" s="15" t="s">
        <v>876</v>
      </c>
      <c r="V43" s="52" t="s">
        <v>890</v>
      </c>
      <c r="W43" s="15" t="s">
        <v>866</v>
      </c>
      <c r="X43" s="15" t="s">
        <v>307</v>
      </c>
      <c r="Y43" s="46" t="s">
        <v>464</v>
      </c>
      <c r="Z43" s="15"/>
      <c r="AA43" s="15"/>
      <c r="AB43" s="15"/>
      <c r="AC43" s="15"/>
      <c r="AD43" s="15"/>
      <c r="AE43" s="15"/>
      <c r="AF43" s="15"/>
      <c r="AG43" s="15"/>
      <c r="AH43" s="15" t="str">
        <f t="shared" si="34"/>
        <v>281502693</v>
      </c>
      <c r="AI43" s="21" t="str">
        <f t="shared" si="35"/>
        <v>alp_vw_dv360_imc_dsy_lanch_nd_nc_nvs_nivus-launch-consideracao-orca__trafego_cpm_drct_all_300x600_lancamento-nivus-orca-customaffinity_na_lancamento-consideracao-nivus-orca_nvl-nvs-imc-dsy-0820-10043</v>
      </c>
      <c r="AJ43" s="40" t="str">
        <f t="shared" si="35"/>
        <v>alp_vw_dv360_imc_dsy_lanch_nd_nc_nvs_nivus-launch-consideracao-orca__trafego_cpm_drct_all_300x600_lancamento-nivus-orca-customaffinity_na_lancamento-consideracao-nivus-orca_nvl-nvs-imc-dsy-0820-10043</v>
      </c>
      <c r="AK43" s="21" t="str">
        <f t="shared" si="2"/>
        <v>vw_nivus_300x600_lancamento-consideracao-nivus-orca_adserver</v>
      </c>
      <c r="AL43" s="21" t="str">
        <f t="shared" si="22"/>
        <v>https://www.vw.com.br/pt/configurador.html/__app/%2Fnivus/0.app?adlid=nvl-nvs-imc-dsy-0820-10043&amp;adplt=alp_vw_dv360_imc_dsy_lanch_nd_nc_nvs_nivus-launch-consideracao-orca__trafego_cpm_drct_all_300x600_lancamento-nivus-orca-customaffinity_na_lancamento-consideracao-nivus-orca_nvl-nvs-imc-dsy-0820-10043</v>
      </c>
      <c r="AM43" s="21" t="str">
        <f t="shared" si="4"/>
        <v>TAG</v>
      </c>
      <c r="AN43" s="15" t="str">
        <f t="shared" si="23"/>
        <v>DV360</v>
      </c>
      <c r="AO43" s="15" t="str">
        <f t="shared" si="24"/>
        <v>Paid-Display</v>
      </c>
      <c r="AP43" s="21" t="str">
        <f>Campanha!$B$3</f>
        <v>BR_IMC_DSY_LANCH_ND_NC_2020Q3AUG_NVS_Nivus-Launch-Consideracao-Orca</v>
      </c>
      <c r="AQ43" s="21" t="str">
        <f t="shared" si="7"/>
        <v>alp_vw_dv360_imc_dsy_lanch_nd_nc_nvs_nivus-launch-consideracao-orca__trafego_cpm_drct_all_300x600_lancamento-nivus-orca-customaffinity_na_lancamento-consideracao-nivus-orca_nvl-nvs-imc-dsy-0820-10043</v>
      </c>
      <c r="AR43" s="15" t="s">
        <v>745</v>
      </c>
      <c r="AS43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customaffinity_na_lancamento-consideracao-nivus-orca_nvl-nvs-imc-dsy-0820-10043&amp;utm_campaign=BR_IMC_DSY_LANCH_ND_NC_2020Q3AUG_NVS_Nivus-Launch-Consideracao-Orca&amp;utm_term=%epid!_%ecid!_%eaid!</v>
      </c>
      <c r="AT43" s="15" t="str">
        <f t="shared" si="25"/>
        <v>other</v>
      </c>
      <c r="AU43" s="15" t="str">
        <f t="shared" si="10"/>
        <v>BR</v>
      </c>
      <c r="AV43" s="15" t="str">
        <f t="shared" si="26"/>
        <v>dv360</v>
      </c>
      <c r="AW43" s="15" t="str">
        <f t="shared" si="27"/>
        <v>dv360</v>
      </c>
      <c r="AX43" s="15" t="str">
        <f t="shared" si="13"/>
        <v>nivus-launch-consideracao-orca</v>
      </c>
      <c r="AY43" s="15" t="str">
        <f t="shared" si="28"/>
        <v>alp_vw_dv360_imc_dsy_lanch_nd_nc_nvs_nivus-launch-consideracao-orca__trafego_cpm_drct_all_300x600_lancamento-nivus-orca-customaffinity_na_lancamento-consideracao-nivus-orca_nvl-nvs-imc-dsy-0820-10043</v>
      </c>
      <c r="AZ43" s="15" t="str">
        <f t="shared" si="29"/>
        <v>300x600</v>
      </c>
      <c r="BA43" s="15" t="str">
        <f t="shared" si="30"/>
        <v>lancamento-consideracao-nivus-orca</v>
      </c>
      <c r="BB43" s="28" t="s">
        <v>798</v>
      </c>
      <c r="BC43" s="28" t="s">
        <v>798</v>
      </c>
      <c r="BD43" s="38" t="str">
        <f t="shared" si="31"/>
        <v>nvl-nvs-imc-dsy-0820-10043</v>
      </c>
      <c r="BE43" s="15" t="str">
        <f t="shared" si="32"/>
        <v>BR</v>
      </c>
      <c r="BF43" s="15" t="str">
        <f t="shared" si="33"/>
        <v>paid</v>
      </c>
      <c r="BG43" s="28"/>
      <c r="BH43" s="28"/>
      <c r="BI43" s="36" t="str">
        <f t="shared" si="18"/>
        <v>https://www.vw.com.br/pt/configurador.html/__app/%2Fnivus/0.app?adlid=nvl-nvs-imc-dsy-0820-10043&amp;adplt=alp_vw_dv360_imc_dsy_lanch_nd_nc_nvs_nivus-launch-consideracao-orca__trafego_cpm_drct_all_300x600_lancamento-nivus-orca-customaffinity_na_lancamento-consideracao-nivus-orca_nvl-nvs-imc-dsy-0820-10043</v>
      </c>
      <c r="BL43" t="str">
        <f t="shared" si="19"/>
        <v>alp_vw_dv360_imc_dsy_lanch_nd_nc_nvs_nivus-launch-consideracao-orca__trafego</v>
      </c>
      <c r="BM43" t="str">
        <f t="shared" si="20"/>
        <v>cpm_drct_all_300x600_lancamento-nivus-orca-customaffinity_na</v>
      </c>
      <c r="BN43" t="str">
        <f t="shared" si="21"/>
        <v>alp_vw_dv360_imc_dsy_lanch_nd_nc_nvs_nivus-launch-consideracao-orca__trafego_cpm_drct_all_300x600_lancamento-nivus-orca-customaffinity_na_generico_nvl-nvs-imc-dsy-0820-10043</v>
      </c>
    </row>
    <row r="44" spans="2:66" ht="15.75" customHeight="1" x14ac:dyDescent="0.25">
      <c r="B44" s="15" t="s">
        <v>1291</v>
      </c>
      <c r="C44" s="15" t="s">
        <v>1293</v>
      </c>
      <c r="D44" s="15"/>
      <c r="E44" s="22">
        <v>44069</v>
      </c>
      <c r="F44" s="22">
        <v>44135</v>
      </c>
      <c r="G44" s="15" t="s">
        <v>651</v>
      </c>
      <c r="H44" s="41" t="s">
        <v>1266</v>
      </c>
      <c r="I44" s="15" t="s">
        <v>801</v>
      </c>
      <c r="J44" s="42" t="s">
        <v>883</v>
      </c>
      <c r="K44" s="42" t="s">
        <v>883</v>
      </c>
      <c r="L44" s="15" t="s">
        <v>676</v>
      </c>
      <c r="M44" s="15" t="s">
        <v>276</v>
      </c>
      <c r="N44" s="15" t="s">
        <v>295</v>
      </c>
      <c r="O44" s="15" t="s">
        <v>677</v>
      </c>
      <c r="P44" s="15" t="str">
        <f>VLOOKUP(Y44,'All Codes'!$BF$3:$BG$278,2,FALSE)</f>
        <v>MPU</v>
      </c>
      <c r="Q44" s="15" t="s">
        <v>179</v>
      </c>
      <c r="R44" s="15" t="s">
        <v>277</v>
      </c>
      <c r="S44" s="15" t="s">
        <v>865</v>
      </c>
      <c r="T44" s="46" t="s">
        <v>884</v>
      </c>
      <c r="U44" s="15" t="s">
        <v>876</v>
      </c>
      <c r="V44" s="52" t="s">
        <v>890</v>
      </c>
      <c r="W44" s="15" t="s">
        <v>866</v>
      </c>
      <c r="X44" s="15" t="s">
        <v>307</v>
      </c>
      <c r="Y44" s="46" t="s">
        <v>479</v>
      </c>
      <c r="Z44" s="15"/>
      <c r="AA44" s="15"/>
      <c r="AB44" s="15"/>
      <c r="AC44" s="15"/>
      <c r="AD44" s="15"/>
      <c r="AE44" s="15"/>
      <c r="AF44" s="15"/>
      <c r="AG44" s="15"/>
      <c r="AH44" s="15" t="str">
        <f t="shared" si="34"/>
        <v>281502690</v>
      </c>
      <c r="AI44" s="21" t="str">
        <f t="shared" si="35"/>
        <v>alp_vw_dv360_imc_dsy_lanch_nd_nc_nvs_nivus-launch-consideracao-orca__trafego_cpm_drct_all_320x50_lancamento-nivus-orca-customaffinity_na_lancamento-consideracao-nivus-orca_nvl-nvs-imc-dsy-0820-10044</v>
      </c>
      <c r="AJ44" s="40" t="str">
        <f t="shared" si="35"/>
        <v>alp_vw_dv360_imc_dsy_lanch_nd_nc_nvs_nivus-launch-consideracao-orca__trafego_cpm_drct_all_320x50_lancamento-nivus-orca-customaffinity_na_lancamento-consideracao-nivus-orca_nvl-nvs-imc-dsy-0820-10044</v>
      </c>
      <c r="AK44" s="21" t="str">
        <f t="shared" si="2"/>
        <v>vw_nivus_320x50_lancamento-consideracao-nivus-orca_adserver</v>
      </c>
      <c r="AL44" s="21" t="str">
        <f t="shared" si="22"/>
        <v>https://www.vw.com.br/pt/configurador.html/__app/%2Fnivus/0.app?adlid=nvl-nvs-imc-dsy-0820-10044&amp;adplt=alp_vw_dv360_imc_dsy_lanch_nd_nc_nvs_nivus-launch-consideracao-orca__trafego_cpm_drct_all_320x50_lancamento-nivus-orca-customaffinity_na_lancamento-consideracao-nivus-orca_nvl-nvs-imc-dsy-0820-10044</v>
      </c>
      <c r="AM44" s="21" t="str">
        <f t="shared" si="4"/>
        <v>TAG</v>
      </c>
      <c r="AN44" s="15" t="str">
        <f t="shared" si="23"/>
        <v>DV360</v>
      </c>
      <c r="AO44" s="15" t="str">
        <f t="shared" si="24"/>
        <v>Paid-Display</v>
      </c>
      <c r="AP44" s="21" t="str">
        <f>Campanha!$B$3</f>
        <v>BR_IMC_DSY_LANCH_ND_NC_2020Q3AUG_NVS_Nivus-Launch-Consideracao-Orca</v>
      </c>
      <c r="AQ44" s="21" t="str">
        <f t="shared" si="7"/>
        <v>alp_vw_dv360_imc_dsy_lanch_nd_nc_nvs_nivus-launch-consideracao-orca__trafego_cpm_drct_all_320x50_lancamento-nivus-orca-customaffinity_na_lancamento-consideracao-nivus-orca_nvl-nvs-imc-dsy-0820-10044</v>
      </c>
      <c r="AR44" s="15" t="s">
        <v>745</v>
      </c>
      <c r="AS44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customaffinity_na_lancamento-consideracao-nivus-orca_nvl-nvs-imc-dsy-0820-10044&amp;utm_campaign=BR_IMC_DSY_LANCH_ND_NC_2020Q3AUG_NVS_Nivus-Launch-Consideracao-Orca&amp;utm_term=%epid!_%ecid!_%eaid!</v>
      </c>
      <c r="AT44" s="15" t="str">
        <f t="shared" si="25"/>
        <v>other</v>
      </c>
      <c r="AU44" s="15" t="str">
        <f t="shared" si="10"/>
        <v>BR</v>
      </c>
      <c r="AV44" s="15" t="str">
        <f t="shared" si="26"/>
        <v>dv360</v>
      </c>
      <c r="AW44" s="15" t="str">
        <f t="shared" si="27"/>
        <v>dv360</v>
      </c>
      <c r="AX44" s="15" t="str">
        <f t="shared" si="13"/>
        <v>nivus-launch-consideracao-orca</v>
      </c>
      <c r="AY44" s="15" t="str">
        <f t="shared" si="28"/>
        <v>alp_vw_dv360_imc_dsy_lanch_nd_nc_nvs_nivus-launch-consideracao-orca__trafego_cpm_drct_all_320x50_lancamento-nivus-orca-customaffinity_na_lancamento-consideracao-nivus-orca_nvl-nvs-imc-dsy-0820-10044</v>
      </c>
      <c r="AZ44" s="15" t="str">
        <f t="shared" si="29"/>
        <v>320x50</v>
      </c>
      <c r="BA44" s="15" t="str">
        <f t="shared" si="30"/>
        <v>lancamento-consideracao-nivus-orca</v>
      </c>
      <c r="BB44" s="28" t="s">
        <v>798</v>
      </c>
      <c r="BC44" s="28" t="s">
        <v>798</v>
      </c>
      <c r="BD44" s="38" t="str">
        <f t="shared" si="31"/>
        <v>nvl-nvs-imc-dsy-0820-10044</v>
      </c>
      <c r="BE44" s="15" t="str">
        <f t="shared" si="32"/>
        <v>BR</v>
      </c>
      <c r="BF44" s="15" t="str">
        <f t="shared" si="33"/>
        <v>paid</v>
      </c>
      <c r="BG44" s="28"/>
      <c r="BH44" s="28"/>
      <c r="BI44" s="36" t="str">
        <f t="shared" si="18"/>
        <v>https://www.vw.com.br/pt/configurador.html/__app/%2Fnivus/0.app?adlid=nvl-nvs-imc-dsy-0820-10044&amp;adplt=alp_vw_dv360_imc_dsy_lanch_nd_nc_nvs_nivus-launch-consideracao-orca__trafego_cpm_drct_all_320x50_lancamento-nivus-orca-customaffinity_na_lancamento-consideracao-nivus-orca_nvl-nvs-imc-dsy-0820-10044</v>
      </c>
      <c r="BL44" t="str">
        <f t="shared" si="19"/>
        <v>alp_vw_dv360_imc_dsy_lanch_nd_nc_nvs_nivus-launch-consideracao-orca__trafego</v>
      </c>
      <c r="BM44" t="str">
        <f t="shared" si="20"/>
        <v>cpm_drct_all_320x50_lancamento-nivus-orca-customaffinity_na</v>
      </c>
      <c r="BN44" t="str">
        <f t="shared" si="21"/>
        <v>alp_vw_dv360_imc_dsy_lanch_nd_nc_nvs_nivus-launch-consideracao-orca__trafego_cpm_drct_all_320x50_lancamento-nivus-orca-customaffinity_na_generico_nvl-nvs-imc-dsy-0820-10044</v>
      </c>
    </row>
    <row r="45" spans="2:66" ht="15.75" customHeight="1" x14ac:dyDescent="0.25">
      <c r="B45" s="15" t="s">
        <v>1291</v>
      </c>
      <c r="C45" s="15" t="s">
        <v>1293</v>
      </c>
      <c r="D45" s="15"/>
      <c r="E45" s="22">
        <v>44069</v>
      </c>
      <c r="F45" s="22">
        <v>44135</v>
      </c>
      <c r="G45" s="15" t="s">
        <v>651</v>
      </c>
      <c r="H45" s="41" t="s">
        <v>1266</v>
      </c>
      <c r="I45" s="15" t="s">
        <v>801</v>
      </c>
      <c r="J45" s="42" t="s">
        <v>883</v>
      </c>
      <c r="K45" s="42" t="s">
        <v>883</v>
      </c>
      <c r="L45" s="15" t="s">
        <v>676</v>
      </c>
      <c r="M45" s="15" t="s">
        <v>276</v>
      </c>
      <c r="N45" s="15" t="s">
        <v>295</v>
      </c>
      <c r="O45" s="15" t="s">
        <v>677</v>
      </c>
      <c r="P45" s="15" t="str">
        <f>VLOOKUP(Y45,'All Codes'!$BF$3:$BG$278,2,FALSE)</f>
        <v>Leaderboard</v>
      </c>
      <c r="Q45" s="15" t="s">
        <v>179</v>
      </c>
      <c r="R45" s="15" t="s">
        <v>277</v>
      </c>
      <c r="S45" s="15" t="s">
        <v>865</v>
      </c>
      <c r="T45" s="46" t="s">
        <v>884</v>
      </c>
      <c r="U45" s="15" t="s">
        <v>876</v>
      </c>
      <c r="V45" s="52" t="s">
        <v>890</v>
      </c>
      <c r="W45" s="15" t="s">
        <v>866</v>
      </c>
      <c r="X45" s="15" t="s">
        <v>307</v>
      </c>
      <c r="Y45" s="46" t="s">
        <v>591</v>
      </c>
      <c r="Z45" s="15"/>
      <c r="AA45" s="15"/>
      <c r="AB45" s="15"/>
      <c r="AC45" s="15"/>
      <c r="AD45" s="15"/>
      <c r="AE45" s="15"/>
      <c r="AF45" s="15"/>
      <c r="AG45" s="15"/>
      <c r="AH45" s="15" t="str">
        <f t="shared" si="34"/>
        <v>281502687</v>
      </c>
      <c r="AI45" s="21" t="str">
        <f t="shared" si="35"/>
        <v>alp_vw_dv360_imc_dsy_lanch_nd_nc_nvs_nivus-launch-consideracao-orca__trafego_cpm_drct_all_728x90_lancamento-nivus-orca-customaffinity_na_lancamento-consideracao-nivus-orca_nvl-nvs-imc-dsy-0820-10045</v>
      </c>
      <c r="AJ45" s="40" t="str">
        <f t="shared" si="35"/>
        <v>alp_vw_dv360_imc_dsy_lanch_nd_nc_nvs_nivus-launch-consideracao-orca__trafego_cpm_drct_all_728x90_lancamento-nivus-orca-customaffinity_na_lancamento-consideracao-nivus-orca_nvl-nvs-imc-dsy-0820-10045</v>
      </c>
      <c r="AK45" s="21" t="str">
        <f t="shared" si="2"/>
        <v>vw_nivus_728x90_lancamento-consideracao-nivus-orca_adserver</v>
      </c>
      <c r="AL45" s="21" t="str">
        <f t="shared" si="22"/>
        <v>https://www.vw.com.br/pt/configurador.html/__app/%2Fnivus/0.app?adlid=nvl-nvs-imc-dsy-0820-10045&amp;adplt=alp_vw_dv360_imc_dsy_lanch_nd_nc_nvs_nivus-launch-consideracao-orca__trafego_cpm_drct_all_728x90_lancamento-nivus-orca-customaffinity_na_lancamento-consideracao-nivus-orca_nvl-nvs-imc-dsy-0820-10045</v>
      </c>
      <c r="AM45" s="21" t="str">
        <f t="shared" si="4"/>
        <v>TAG</v>
      </c>
      <c r="AN45" s="15" t="str">
        <f t="shared" si="23"/>
        <v>DV360</v>
      </c>
      <c r="AO45" s="15" t="str">
        <f t="shared" si="24"/>
        <v>Paid-Display</v>
      </c>
      <c r="AP45" s="21" t="str">
        <f>Campanha!$B$3</f>
        <v>BR_IMC_DSY_LANCH_ND_NC_2020Q3AUG_NVS_Nivus-Launch-Consideracao-Orca</v>
      </c>
      <c r="AQ45" s="21" t="str">
        <f t="shared" si="7"/>
        <v>alp_vw_dv360_imc_dsy_lanch_nd_nc_nvs_nivus-launch-consideracao-orca__trafego_cpm_drct_all_728x90_lancamento-nivus-orca-customaffinity_na_lancamento-consideracao-nivus-orca_nvl-nvs-imc-dsy-0820-10045</v>
      </c>
      <c r="AR45" s="15" t="s">
        <v>745</v>
      </c>
      <c r="AS45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customaffinity_na_lancamento-consideracao-nivus-orca_nvl-nvs-imc-dsy-0820-10045&amp;utm_campaign=BR_IMC_DSY_LANCH_ND_NC_2020Q3AUG_NVS_Nivus-Launch-Consideracao-Orca&amp;utm_term=%epid!_%ecid!_%eaid!</v>
      </c>
      <c r="AT45" s="15" t="str">
        <f t="shared" si="25"/>
        <v>other</v>
      </c>
      <c r="AU45" s="15" t="str">
        <f t="shared" si="10"/>
        <v>BR</v>
      </c>
      <c r="AV45" s="15" t="str">
        <f t="shared" si="26"/>
        <v>dv360</v>
      </c>
      <c r="AW45" s="15" t="str">
        <f t="shared" si="27"/>
        <v>dv360</v>
      </c>
      <c r="AX45" s="15" t="str">
        <f t="shared" si="13"/>
        <v>nivus-launch-consideracao-orca</v>
      </c>
      <c r="AY45" s="15" t="str">
        <f t="shared" si="28"/>
        <v>alp_vw_dv360_imc_dsy_lanch_nd_nc_nvs_nivus-launch-consideracao-orca__trafego_cpm_drct_all_728x90_lancamento-nivus-orca-customaffinity_na_lancamento-consideracao-nivus-orca_nvl-nvs-imc-dsy-0820-10045</v>
      </c>
      <c r="AZ45" s="15" t="str">
        <f t="shared" si="29"/>
        <v>728x90</v>
      </c>
      <c r="BA45" s="15" t="str">
        <f t="shared" si="30"/>
        <v>lancamento-consideracao-nivus-orca</v>
      </c>
      <c r="BB45" s="28" t="s">
        <v>798</v>
      </c>
      <c r="BC45" s="28" t="s">
        <v>798</v>
      </c>
      <c r="BD45" s="38" t="str">
        <f t="shared" si="31"/>
        <v>nvl-nvs-imc-dsy-0820-10045</v>
      </c>
      <c r="BE45" s="15" t="str">
        <f t="shared" si="32"/>
        <v>BR</v>
      </c>
      <c r="BF45" s="15" t="str">
        <f t="shared" si="33"/>
        <v>paid</v>
      </c>
      <c r="BG45" s="28"/>
      <c r="BH45" s="28"/>
      <c r="BI45" s="36" t="str">
        <f t="shared" si="18"/>
        <v>https://www.vw.com.br/pt/configurador.html/__app/%2Fnivus/0.app?adlid=nvl-nvs-imc-dsy-0820-10045&amp;adplt=alp_vw_dv360_imc_dsy_lanch_nd_nc_nvs_nivus-launch-consideracao-orca__trafego_cpm_drct_all_728x90_lancamento-nivus-orca-customaffinity_na_lancamento-consideracao-nivus-orca_nvl-nvs-imc-dsy-0820-10045</v>
      </c>
      <c r="BL45" t="str">
        <f t="shared" si="19"/>
        <v>alp_vw_dv360_imc_dsy_lanch_nd_nc_nvs_nivus-launch-consideracao-orca__trafego</v>
      </c>
      <c r="BM45" t="str">
        <f t="shared" si="20"/>
        <v>cpm_drct_all_728x90_lancamento-nivus-orca-customaffinity_na</v>
      </c>
      <c r="BN45" t="str">
        <f t="shared" si="21"/>
        <v>alp_vw_dv360_imc_dsy_lanch_nd_nc_nvs_nivus-launch-consideracao-orca__trafego_cpm_drct_all_728x90_lancamento-nivus-orca-customaffinity_na_generico_nvl-nvs-imc-dsy-0820-10045</v>
      </c>
    </row>
    <row r="46" spans="2:66" ht="15.75" customHeight="1" x14ac:dyDescent="0.25">
      <c r="B46" s="15" t="s">
        <v>1291</v>
      </c>
      <c r="C46" s="15" t="s">
        <v>1293</v>
      </c>
      <c r="D46" s="15"/>
      <c r="E46" s="22">
        <v>44069</v>
      </c>
      <c r="F46" s="22">
        <v>44135</v>
      </c>
      <c r="G46" s="15" t="s">
        <v>651</v>
      </c>
      <c r="H46" s="41" t="s">
        <v>1266</v>
      </c>
      <c r="I46" s="15" t="s">
        <v>801</v>
      </c>
      <c r="J46" s="42" t="s">
        <v>883</v>
      </c>
      <c r="K46" s="42" t="s">
        <v>883</v>
      </c>
      <c r="L46" s="15" t="s">
        <v>676</v>
      </c>
      <c r="M46" s="15" t="s">
        <v>276</v>
      </c>
      <c r="N46" s="15" t="s">
        <v>295</v>
      </c>
      <c r="O46" s="15" t="s">
        <v>677</v>
      </c>
      <c r="P46" s="15" t="str">
        <f>VLOOKUP(Y46,'All Codes'!$BF$3:$BG$278,2,FALSE)</f>
        <v>Leaderboard</v>
      </c>
      <c r="Q46" s="15" t="s">
        <v>179</v>
      </c>
      <c r="R46" s="15" t="s">
        <v>277</v>
      </c>
      <c r="S46" s="15" t="s">
        <v>865</v>
      </c>
      <c r="T46" s="46" t="s">
        <v>884</v>
      </c>
      <c r="U46" s="15" t="s">
        <v>876</v>
      </c>
      <c r="V46" s="52" t="s">
        <v>890</v>
      </c>
      <c r="W46" s="15" t="s">
        <v>866</v>
      </c>
      <c r="X46" s="15" t="s">
        <v>307</v>
      </c>
      <c r="Y46" s="46" t="s">
        <v>629</v>
      </c>
      <c r="Z46" s="15"/>
      <c r="AA46" s="15"/>
      <c r="AB46" s="15"/>
      <c r="AC46" s="15"/>
      <c r="AD46" s="15"/>
      <c r="AE46" s="15"/>
      <c r="AF46" s="15"/>
      <c r="AG46" s="15"/>
      <c r="AH46" s="15" t="str">
        <f t="shared" si="34"/>
        <v>281502684</v>
      </c>
      <c r="AI46" s="21" t="str">
        <f t="shared" si="35"/>
        <v>alp_vw_dv360_imc_dsy_lanch_nd_nc_nvs_nivus-launch-consideracao-orca__trafego_cpm_drct_all_970x250_lancamento-nivus-orca-customaffinity_na_lancamento-consideracao-nivus-orca_nvl-nvs-imc-dsy-0820-10046</v>
      </c>
      <c r="AJ46" s="40" t="str">
        <f t="shared" si="35"/>
        <v>alp_vw_dv360_imc_dsy_lanch_nd_nc_nvs_nivus-launch-consideracao-orca__trafego_cpm_drct_all_970x250_lancamento-nivus-orca-customaffinity_na_lancamento-consideracao-nivus-orca_nvl-nvs-imc-dsy-0820-10046</v>
      </c>
      <c r="AK46" s="21" t="str">
        <f t="shared" si="2"/>
        <v>vw_nivus_970x250_lancamento-consideracao-nivus-orca_adserver</v>
      </c>
      <c r="AL46" s="21" t="str">
        <f t="shared" si="22"/>
        <v>https://www.vw.com.br/pt/configurador.html/__app/%2Fnivus/0.app?adlid=nvl-nvs-imc-dsy-0820-10046&amp;adplt=alp_vw_dv360_imc_dsy_lanch_nd_nc_nvs_nivus-launch-consideracao-orca__trafego_cpm_drct_all_970x250_lancamento-nivus-orca-customaffinity_na_lancamento-consideracao-nivus-orca_nvl-nvs-imc-dsy-0820-10046</v>
      </c>
      <c r="AM46" s="21" t="str">
        <f t="shared" si="4"/>
        <v>TAG</v>
      </c>
      <c r="AN46" s="15" t="str">
        <f t="shared" si="23"/>
        <v>DV360</v>
      </c>
      <c r="AO46" s="15" t="str">
        <f t="shared" si="24"/>
        <v>Paid-Display</v>
      </c>
      <c r="AP46" s="21" t="str">
        <f>Campanha!$B$3</f>
        <v>BR_IMC_DSY_LANCH_ND_NC_2020Q3AUG_NVS_Nivus-Launch-Consideracao-Orca</v>
      </c>
      <c r="AQ46" s="21" t="str">
        <f t="shared" si="7"/>
        <v>alp_vw_dv360_imc_dsy_lanch_nd_nc_nvs_nivus-launch-consideracao-orca__trafego_cpm_drct_all_970x250_lancamento-nivus-orca-customaffinity_na_lancamento-consideracao-nivus-orca_nvl-nvs-imc-dsy-0820-10046</v>
      </c>
      <c r="AR46" s="15" t="s">
        <v>745</v>
      </c>
      <c r="AS46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customaffinity_na_lancamento-consideracao-nivus-orca_nvl-nvs-imc-dsy-0820-10046&amp;utm_campaign=BR_IMC_DSY_LANCH_ND_NC_2020Q3AUG_NVS_Nivus-Launch-Consideracao-Orca&amp;utm_term=%epid!_%ecid!_%eaid!</v>
      </c>
      <c r="AT46" s="15" t="str">
        <f t="shared" si="25"/>
        <v>other</v>
      </c>
      <c r="AU46" s="15" t="str">
        <f t="shared" si="10"/>
        <v>BR</v>
      </c>
      <c r="AV46" s="15" t="str">
        <f t="shared" si="26"/>
        <v>dv360</v>
      </c>
      <c r="AW46" s="15" t="str">
        <f t="shared" si="27"/>
        <v>dv360</v>
      </c>
      <c r="AX46" s="15" t="str">
        <f t="shared" si="13"/>
        <v>nivus-launch-consideracao-orca</v>
      </c>
      <c r="AY46" s="15" t="str">
        <f t="shared" si="28"/>
        <v>alp_vw_dv360_imc_dsy_lanch_nd_nc_nvs_nivus-launch-consideracao-orca__trafego_cpm_drct_all_970x250_lancamento-nivus-orca-customaffinity_na_lancamento-consideracao-nivus-orca_nvl-nvs-imc-dsy-0820-10046</v>
      </c>
      <c r="AZ46" s="15" t="str">
        <f t="shared" si="29"/>
        <v>970x250</v>
      </c>
      <c r="BA46" s="15" t="str">
        <f t="shared" si="30"/>
        <v>lancamento-consideracao-nivus-orca</v>
      </c>
      <c r="BB46" s="28" t="s">
        <v>798</v>
      </c>
      <c r="BC46" s="28" t="s">
        <v>798</v>
      </c>
      <c r="BD46" s="38" t="str">
        <f t="shared" si="31"/>
        <v>nvl-nvs-imc-dsy-0820-10046</v>
      </c>
      <c r="BE46" s="15" t="str">
        <f t="shared" si="32"/>
        <v>BR</v>
      </c>
      <c r="BF46" s="15" t="str">
        <f t="shared" si="33"/>
        <v>paid</v>
      </c>
      <c r="BG46" s="28"/>
      <c r="BH46" s="28"/>
      <c r="BI46" s="36" t="str">
        <f t="shared" si="18"/>
        <v>https://www.vw.com.br/pt/configurador.html/__app/%2Fnivus/0.app?adlid=nvl-nvs-imc-dsy-0820-10046&amp;adplt=alp_vw_dv360_imc_dsy_lanch_nd_nc_nvs_nivus-launch-consideracao-orca__trafego_cpm_drct_all_970x250_lancamento-nivus-orca-customaffinity_na_lancamento-consideracao-nivus-orca_nvl-nvs-imc-dsy-0820-10046</v>
      </c>
      <c r="BL46" t="str">
        <f t="shared" si="19"/>
        <v>alp_vw_dv360_imc_dsy_lanch_nd_nc_nvs_nivus-launch-consideracao-orca__trafego</v>
      </c>
      <c r="BM46" t="str">
        <f t="shared" si="20"/>
        <v>cpm_drct_all_970x250_lancamento-nivus-orca-customaffinity_na</v>
      </c>
      <c r="BN46" t="str">
        <f t="shared" si="21"/>
        <v>alp_vw_dv360_imc_dsy_lanch_nd_nc_nvs_nivus-launch-consideracao-orca__trafego_cpm_drct_all_970x250_lancamento-nivus-orca-customaffinity_na_generico_nvl-nvs-imc-dsy-0820-10046</v>
      </c>
    </row>
    <row r="47" spans="2:66" ht="15.75" customHeight="1" x14ac:dyDescent="0.25">
      <c r="B47" s="15" t="s">
        <v>1291</v>
      </c>
      <c r="C47" s="15" t="s">
        <v>1293</v>
      </c>
      <c r="D47" s="15"/>
      <c r="E47" s="22">
        <v>44069</v>
      </c>
      <c r="F47" s="22">
        <v>44135</v>
      </c>
      <c r="G47" s="15" t="s">
        <v>651</v>
      </c>
      <c r="H47" s="41" t="s">
        <v>1266</v>
      </c>
      <c r="I47" s="15" t="s">
        <v>801</v>
      </c>
      <c r="J47" s="42" t="s">
        <v>883</v>
      </c>
      <c r="K47" s="42" t="s">
        <v>883</v>
      </c>
      <c r="L47" s="15" t="s">
        <v>676</v>
      </c>
      <c r="M47" s="15" t="s">
        <v>276</v>
      </c>
      <c r="N47" s="15" t="s">
        <v>295</v>
      </c>
      <c r="O47" s="15" t="s">
        <v>677</v>
      </c>
      <c r="P47" s="15" t="str">
        <f>VLOOKUP(Y47,'All Codes'!$BF$3:$BG$278,2,FALSE)</f>
        <v>MPU</v>
      </c>
      <c r="Q47" s="15" t="s">
        <v>179</v>
      </c>
      <c r="R47" s="15" t="s">
        <v>277</v>
      </c>
      <c r="S47" s="15" t="s">
        <v>865</v>
      </c>
      <c r="T47" s="46" t="s">
        <v>884</v>
      </c>
      <c r="U47" s="15" t="s">
        <v>876</v>
      </c>
      <c r="V47" s="53" t="s">
        <v>891</v>
      </c>
      <c r="W47" s="15" t="s">
        <v>866</v>
      </c>
      <c r="X47" s="15" t="s">
        <v>307</v>
      </c>
      <c r="Y47" s="46" t="s">
        <v>461</v>
      </c>
      <c r="Z47" s="15"/>
      <c r="AA47" s="15"/>
      <c r="AB47" s="15"/>
      <c r="AC47" s="15"/>
      <c r="AD47" s="15"/>
      <c r="AE47" s="15"/>
      <c r="AF47" s="15"/>
      <c r="AG47" s="15"/>
      <c r="AH47" s="15" t="str">
        <f t="shared" si="34"/>
        <v>281502681</v>
      </c>
      <c r="AI47" s="21" t="str">
        <f t="shared" si="35"/>
        <v>alp_vw_dv360_imc_dsy_lanch_nd_nc_nvs_nivus-launch-consideracao-orca__trafego_cpm_drct_all_300x50_lancamento-nivus-orca-customintent_na_lancamento-consideracao-nivus-orca_nvl-nvs-imc-dsy-0820-10047</v>
      </c>
      <c r="AJ47" s="40" t="str">
        <f t="shared" si="35"/>
        <v>alp_vw_dv360_imc_dsy_lanch_nd_nc_nvs_nivus-launch-consideracao-orca__trafego_cpm_drct_all_300x50_lancamento-nivus-orca-customintent_na_lancamento-consideracao-nivus-orca_nvl-nvs-imc-dsy-0820-10047</v>
      </c>
      <c r="AK47" s="21" t="str">
        <f t="shared" si="2"/>
        <v>vw_nivus_300x50_lancamento-consideracao-nivus-orca_adserver</v>
      </c>
      <c r="AL47" s="21" t="str">
        <f t="shared" si="22"/>
        <v>https://www.vw.com.br/pt/configurador.html/__app/%2Fnivus/0.app?adlid=nvl-nvs-imc-dsy-0820-10047&amp;adplt=alp_vw_dv360_imc_dsy_lanch_nd_nc_nvs_nivus-launch-consideracao-orca__trafego_cpm_drct_all_300x50_lancamento-nivus-orca-customintent_na_lancamento-consideracao-nivus-orca_nvl-nvs-imc-dsy-0820-10047</v>
      </c>
      <c r="AM47" s="21" t="str">
        <f t="shared" si="4"/>
        <v>TAG</v>
      </c>
      <c r="AN47" s="15" t="str">
        <f t="shared" si="23"/>
        <v>DV360</v>
      </c>
      <c r="AO47" s="15" t="str">
        <f t="shared" si="24"/>
        <v>Paid-Display</v>
      </c>
      <c r="AP47" s="21" t="str">
        <f>Campanha!$B$3</f>
        <v>BR_IMC_DSY_LANCH_ND_NC_2020Q3AUG_NVS_Nivus-Launch-Consideracao-Orca</v>
      </c>
      <c r="AQ47" s="21" t="str">
        <f t="shared" si="7"/>
        <v>alp_vw_dv360_imc_dsy_lanch_nd_nc_nvs_nivus-launch-consideracao-orca__trafego_cpm_drct_all_300x50_lancamento-nivus-orca-customintent_na_lancamento-consideracao-nivus-orca_nvl-nvs-imc-dsy-0820-10047</v>
      </c>
      <c r="AR47" s="15" t="s">
        <v>745</v>
      </c>
      <c r="AS47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customintent_na_lancamento-consideracao-nivus-orca_nvl-nvs-imc-dsy-0820-10047&amp;utm_campaign=BR_IMC_DSY_LANCH_ND_NC_2020Q3AUG_NVS_Nivus-Launch-Consideracao-Orca&amp;utm_term=%epid!_%ecid!_%eaid!</v>
      </c>
      <c r="AT47" s="15" t="str">
        <f t="shared" si="25"/>
        <v>other</v>
      </c>
      <c r="AU47" s="15" t="str">
        <f t="shared" si="10"/>
        <v>BR</v>
      </c>
      <c r="AV47" s="15" t="str">
        <f t="shared" si="26"/>
        <v>dv360</v>
      </c>
      <c r="AW47" s="15" t="str">
        <f t="shared" si="27"/>
        <v>dv360</v>
      </c>
      <c r="AX47" s="15" t="str">
        <f t="shared" si="13"/>
        <v>nivus-launch-consideracao-orca</v>
      </c>
      <c r="AY47" s="15" t="str">
        <f t="shared" si="28"/>
        <v>alp_vw_dv360_imc_dsy_lanch_nd_nc_nvs_nivus-launch-consideracao-orca__trafego_cpm_drct_all_300x50_lancamento-nivus-orca-customintent_na_lancamento-consideracao-nivus-orca_nvl-nvs-imc-dsy-0820-10047</v>
      </c>
      <c r="AZ47" s="15" t="str">
        <f t="shared" si="29"/>
        <v>300x50</v>
      </c>
      <c r="BA47" s="15" t="str">
        <f t="shared" si="30"/>
        <v>lancamento-consideracao-nivus-orca</v>
      </c>
      <c r="BB47" s="28" t="s">
        <v>798</v>
      </c>
      <c r="BC47" s="28" t="s">
        <v>798</v>
      </c>
      <c r="BD47" s="38" t="str">
        <f t="shared" si="31"/>
        <v>nvl-nvs-imc-dsy-0820-10047</v>
      </c>
      <c r="BE47" s="15" t="str">
        <f t="shared" si="32"/>
        <v>BR</v>
      </c>
      <c r="BF47" s="15" t="str">
        <f t="shared" si="33"/>
        <v>paid</v>
      </c>
      <c r="BG47" s="28"/>
      <c r="BH47" s="28"/>
      <c r="BI47" s="36" t="str">
        <f t="shared" si="18"/>
        <v>https://www.vw.com.br/pt/configurador.html/__app/%2Fnivus/0.app?adlid=nvl-nvs-imc-dsy-0820-10047&amp;adplt=alp_vw_dv360_imc_dsy_lanch_nd_nc_nvs_nivus-launch-consideracao-orca__trafego_cpm_drct_all_300x50_lancamento-nivus-orca-customintent_na_lancamento-consideracao-nivus-orca_nvl-nvs-imc-dsy-0820-10047</v>
      </c>
      <c r="BL47" t="str">
        <f t="shared" si="19"/>
        <v>alp_vw_dv360_imc_dsy_lanch_nd_nc_nvs_nivus-launch-consideracao-orca__trafego</v>
      </c>
      <c r="BM47" t="str">
        <f t="shared" si="20"/>
        <v>cpm_drct_all_300x50_lancamento-nivus-orca-customintent_na</v>
      </c>
      <c r="BN47" t="str">
        <f t="shared" si="21"/>
        <v>alp_vw_dv360_imc_dsy_lanch_nd_nc_nvs_nivus-launch-consideracao-orca__trafego_cpm_drct_all_300x50_lancamento-nivus-orca-customintent_na_generico_nvl-nvs-imc-dsy-0820-10047</v>
      </c>
    </row>
    <row r="48" spans="2:66" ht="15.75" customHeight="1" x14ac:dyDescent="0.25">
      <c r="B48" s="15" t="s">
        <v>1291</v>
      </c>
      <c r="C48" s="15" t="s">
        <v>1293</v>
      </c>
      <c r="D48" s="15"/>
      <c r="E48" s="22">
        <v>44069</v>
      </c>
      <c r="F48" s="22">
        <v>44135</v>
      </c>
      <c r="G48" s="15" t="s">
        <v>651</v>
      </c>
      <c r="H48" s="41" t="s">
        <v>1266</v>
      </c>
      <c r="I48" s="15" t="s">
        <v>801</v>
      </c>
      <c r="J48" s="42" t="s">
        <v>883</v>
      </c>
      <c r="K48" s="42" t="s">
        <v>883</v>
      </c>
      <c r="L48" s="15" t="s">
        <v>676</v>
      </c>
      <c r="M48" s="15" t="s">
        <v>276</v>
      </c>
      <c r="N48" s="15" t="s">
        <v>295</v>
      </c>
      <c r="O48" s="15" t="s">
        <v>677</v>
      </c>
      <c r="P48" s="15" t="str">
        <f>VLOOKUP(Y48,'All Codes'!$BF$3:$BG$278,2,FALSE)</f>
        <v>Skyscraper</v>
      </c>
      <c r="Q48" s="15" t="s">
        <v>179</v>
      </c>
      <c r="R48" s="15" t="s">
        <v>277</v>
      </c>
      <c r="S48" s="15" t="s">
        <v>865</v>
      </c>
      <c r="T48" s="46" t="s">
        <v>884</v>
      </c>
      <c r="U48" s="15" t="s">
        <v>876</v>
      </c>
      <c r="V48" s="53" t="s">
        <v>891</v>
      </c>
      <c r="W48" s="15" t="s">
        <v>866</v>
      </c>
      <c r="X48" s="15" t="s">
        <v>307</v>
      </c>
      <c r="Y48" s="46" t="s">
        <v>434</v>
      </c>
      <c r="Z48" s="15"/>
      <c r="AA48" s="15"/>
      <c r="AB48" s="15"/>
      <c r="AC48" s="15"/>
      <c r="AD48" s="15"/>
      <c r="AE48" s="15"/>
      <c r="AF48" s="15"/>
      <c r="AG48" s="15"/>
      <c r="AH48" s="15" t="str">
        <f t="shared" si="34"/>
        <v>281502678</v>
      </c>
      <c r="AI48" s="21" t="str">
        <f t="shared" si="35"/>
        <v>alp_vw_dv360_imc_dsy_lanch_nd_nc_nvs_nivus-launch-consideracao-orca__trafego_cpm_drct_all_160x600_lancamento-nivus-orca-customintent_na_lancamento-consideracao-nivus-orca_nvl-nvs-imc-dsy-0820-10048</v>
      </c>
      <c r="AJ48" s="40" t="str">
        <f t="shared" si="35"/>
        <v>alp_vw_dv360_imc_dsy_lanch_nd_nc_nvs_nivus-launch-consideracao-orca__trafego_cpm_drct_all_160x600_lancamento-nivus-orca-customintent_na_lancamento-consideracao-nivus-orca_nvl-nvs-imc-dsy-0820-10048</v>
      </c>
      <c r="AK48" s="21" t="str">
        <f t="shared" si="2"/>
        <v>vw_nivus_160x600_lancamento-consideracao-nivus-orca_adserver</v>
      </c>
      <c r="AL48" s="21" t="str">
        <f t="shared" si="22"/>
        <v>https://www.vw.com.br/pt/configurador.html/__app/%2Fnivus/0.app?adlid=nvl-nvs-imc-dsy-0820-10048&amp;adplt=alp_vw_dv360_imc_dsy_lanch_nd_nc_nvs_nivus-launch-consideracao-orca__trafego_cpm_drct_all_160x600_lancamento-nivus-orca-customintent_na_lancamento-consideracao-nivus-orca_nvl-nvs-imc-dsy-0820-10048</v>
      </c>
      <c r="AM48" s="21" t="str">
        <f t="shared" si="4"/>
        <v>TAG</v>
      </c>
      <c r="AN48" s="15" t="str">
        <f t="shared" si="23"/>
        <v>DV360</v>
      </c>
      <c r="AO48" s="15" t="str">
        <f t="shared" si="24"/>
        <v>Paid-Display</v>
      </c>
      <c r="AP48" s="21" t="str">
        <f>Campanha!$B$3</f>
        <v>BR_IMC_DSY_LANCH_ND_NC_2020Q3AUG_NVS_Nivus-Launch-Consideracao-Orca</v>
      </c>
      <c r="AQ48" s="21" t="str">
        <f t="shared" si="7"/>
        <v>alp_vw_dv360_imc_dsy_lanch_nd_nc_nvs_nivus-launch-consideracao-orca__trafego_cpm_drct_all_160x600_lancamento-nivus-orca-customintent_na_lancamento-consideracao-nivus-orca_nvl-nvs-imc-dsy-0820-10048</v>
      </c>
      <c r="AR48" s="15" t="s">
        <v>745</v>
      </c>
      <c r="AS48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customintent_na_lancamento-consideracao-nivus-orca_nvl-nvs-imc-dsy-0820-10048&amp;utm_campaign=BR_IMC_DSY_LANCH_ND_NC_2020Q3AUG_NVS_Nivus-Launch-Consideracao-Orca&amp;utm_term=%epid!_%ecid!_%eaid!</v>
      </c>
      <c r="AT48" s="15" t="str">
        <f t="shared" si="25"/>
        <v>other</v>
      </c>
      <c r="AU48" s="15" t="str">
        <f t="shared" si="10"/>
        <v>BR</v>
      </c>
      <c r="AV48" s="15" t="str">
        <f t="shared" si="26"/>
        <v>dv360</v>
      </c>
      <c r="AW48" s="15" t="str">
        <f t="shared" si="27"/>
        <v>dv360</v>
      </c>
      <c r="AX48" s="15" t="str">
        <f t="shared" si="13"/>
        <v>nivus-launch-consideracao-orca</v>
      </c>
      <c r="AY48" s="15" t="str">
        <f t="shared" si="28"/>
        <v>alp_vw_dv360_imc_dsy_lanch_nd_nc_nvs_nivus-launch-consideracao-orca__trafego_cpm_drct_all_160x600_lancamento-nivus-orca-customintent_na_lancamento-consideracao-nivus-orca_nvl-nvs-imc-dsy-0820-10048</v>
      </c>
      <c r="AZ48" s="15" t="str">
        <f t="shared" si="29"/>
        <v>160x600</v>
      </c>
      <c r="BA48" s="15" t="str">
        <f t="shared" si="30"/>
        <v>lancamento-consideracao-nivus-orca</v>
      </c>
      <c r="BB48" s="28" t="s">
        <v>798</v>
      </c>
      <c r="BC48" s="28" t="s">
        <v>798</v>
      </c>
      <c r="BD48" s="38" t="str">
        <f t="shared" si="31"/>
        <v>nvl-nvs-imc-dsy-0820-10048</v>
      </c>
      <c r="BE48" s="15" t="str">
        <f t="shared" si="32"/>
        <v>BR</v>
      </c>
      <c r="BF48" s="15" t="str">
        <f t="shared" si="33"/>
        <v>paid</v>
      </c>
      <c r="BG48" s="28"/>
      <c r="BH48" s="28"/>
      <c r="BI48" s="36" t="str">
        <f t="shared" si="18"/>
        <v>https://www.vw.com.br/pt/configurador.html/__app/%2Fnivus/0.app?adlid=nvl-nvs-imc-dsy-0820-10048&amp;adplt=alp_vw_dv360_imc_dsy_lanch_nd_nc_nvs_nivus-launch-consideracao-orca__trafego_cpm_drct_all_160x600_lancamento-nivus-orca-customintent_na_lancamento-consideracao-nivus-orca_nvl-nvs-imc-dsy-0820-10048</v>
      </c>
      <c r="BL48" t="str">
        <f t="shared" si="19"/>
        <v>alp_vw_dv360_imc_dsy_lanch_nd_nc_nvs_nivus-launch-consideracao-orca__trafego</v>
      </c>
      <c r="BM48" t="str">
        <f t="shared" si="20"/>
        <v>cpm_drct_all_160x600_lancamento-nivus-orca-customintent_na</v>
      </c>
      <c r="BN48" t="str">
        <f t="shared" si="21"/>
        <v>alp_vw_dv360_imc_dsy_lanch_nd_nc_nvs_nivus-launch-consideracao-orca__trafego_cpm_drct_all_160x600_lancamento-nivus-orca-customintent_na_generico_nvl-nvs-imc-dsy-0820-10048</v>
      </c>
    </row>
    <row r="49" spans="2:66" ht="15.75" customHeight="1" x14ac:dyDescent="0.25">
      <c r="B49" s="15" t="s">
        <v>1291</v>
      </c>
      <c r="C49" s="15" t="s">
        <v>1293</v>
      </c>
      <c r="D49" s="15"/>
      <c r="E49" s="22">
        <v>44069</v>
      </c>
      <c r="F49" s="22">
        <v>44135</v>
      </c>
      <c r="G49" s="15" t="s">
        <v>651</v>
      </c>
      <c r="H49" s="41" t="s">
        <v>1266</v>
      </c>
      <c r="I49" s="15" t="s">
        <v>801</v>
      </c>
      <c r="J49" s="42" t="s">
        <v>883</v>
      </c>
      <c r="K49" s="42" t="s">
        <v>883</v>
      </c>
      <c r="L49" s="15" t="s">
        <v>676</v>
      </c>
      <c r="M49" s="15" t="s">
        <v>276</v>
      </c>
      <c r="N49" s="15" t="s">
        <v>295</v>
      </c>
      <c r="O49" s="15" t="s">
        <v>677</v>
      </c>
      <c r="P49" s="15" t="str">
        <f>VLOOKUP(Y49,'All Codes'!$BF$3:$BG$278,2,FALSE)</f>
        <v>MPU</v>
      </c>
      <c r="Q49" s="15" t="s">
        <v>179</v>
      </c>
      <c r="R49" s="15" t="s">
        <v>277</v>
      </c>
      <c r="S49" s="15" t="s">
        <v>865</v>
      </c>
      <c r="T49" s="46" t="s">
        <v>884</v>
      </c>
      <c r="U49" s="15" t="s">
        <v>876</v>
      </c>
      <c r="V49" s="53" t="s">
        <v>891</v>
      </c>
      <c r="W49" s="15" t="s">
        <v>866</v>
      </c>
      <c r="X49" s="15" t="s">
        <v>307</v>
      </c>
      <c r="Y49" s="46" t="s">
        <v>455</v>
      </c>
      <c r="Z49" s="15"/>
      <c r="AA49" s="15"/>
      <c r="AB49" s="15"/>
      <c r="AC49" s="15"/>
      <c r="AD49" s="15"/>
      <c r="AE49" s="15"/>
      <c r="AF49" s="15"/>
      <c r="AG49" s="15"/>
      <c r="AH49" s="15" t="str">
        <f t="shared" si="34"/>
        <v>281502675</v>
      </c>
      <c r="AI49" s="21" t="str">
        <f t="shared" si="35"/>
        <v>alp_vw_dv360_imc_dsy_lanch_nd_nc_nvs_nivus-launch-consideracao-orca__trafego_cpm_drct_all_300x250_lancamento-nivus-orca-customintent_na_lancamento-consideracao-nivus-orca_nvl-nvs-imc-dsy-0820-10049</v>
      </c>
      <c r="AJ49" s="40" t="str">
        <f t="shared" si="35"/>
        <v>alp_vw_dv360_imc_dsy_lanch_nd_nc_nvs_nivus-launch-consideracao-orca__trafego_cpm_drct_all_300x250_lancamento-nivus-orca-customintent_na_lancamento-consideracao-nivus-orca_nvl-nvs-imc-dsy-0820-10049</v>
      </c>
      <c r="AK49" s="21" t="str">
        <f t="shared" si="2"/>
        <v>vw_nivus_300x250_lancamento-consideracao-nivus-orca_adserver</v>
      </c>
      <c r="AL49" s="21" t="str">
        <f t="shared" si="22"/>
        <v>https://www.vw.com.br/pt/configurador.html/__app/%2Fnivus/0.app?adlid=nvl-nvs-imc-dsy-0820-10049&amp;adplt=alp_vw_dv360_imc_dsy_lanch_nd_nc_nvs_nivus-launch-consideracao-orca__trafego_cpm_drct_all_300x250_lancamento-nivus-orca-customintent_na_lancamento-consideracao-nivus-orca_nvl-nvs-imc-dsy-0820-10049</v>
      </c>
      <c r="AM49" s="21" t="str">
        <f t="shared" si="4"/>
        <v>TAG</v>
      </c>
      <c r="AN49" s="15" t="str">
        <f t="shared" si="23"/>
        <v>DV360</v>
      </c>
      <c r="AO49" s="15" t="str">
        <f t="shared" si="24"/>
        <v>Paid-Display</v>
      </c>
      <c r="AP49" s="21" t="str">
        <f>Campanha!$B$3</f>
        <v>BR_IMC_DSY_LANCH_ND_NC_2020Q3AUG_NVS_Nivus-Launch-Consideracao-Orca</v>
      </c>
      <c r="AQ49" s="21" t="str">
        <f t="shared" si="7"/>
        <v>alp_vw_dv360_imc_dsy_lanch_nd_nc_nvs_nivus-launch-consideracao-orca__trafego_cpm_drct_all_300x250_lancamento-nivus-orca-customintent_na_lancamento-consideracao-nivus-orca_nvl-nvs-imc-dsy-0820-10049</v>
      </c>
      <c r="AR49" s="15" t="s">
        <v>745</v>
      </c>
      <c r="AS49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customintent_na_lancamento-consideracao-nivus-orca_nvl-nvs-imc-dsy-0820-10049&amp;utm_campaign=BR_IMC_DSY_LANCH_ND_NC_2020Q3AUG_NVS_Nivus-Launch-Consideracao-Orca&amp;utm_term=%epid!_%ecid!_%eaid!</v>
      </c>
      <c r="AT49" s="15" t="str">
        <f t="shared" si="25"/>
        <v>other</v>
      </c>
      <c r="AU49" s="15" t="str">
        <f t="shared" si="10"/>
        <v>BR</v>
      </c>
      <c r="AV49" s="15" t="str">
        <f t="shared" si="26"/>
        <v>dv360</v>
      </c>
      <c r="AW49" s="15" t="str">
        <f t="shared" si="27"/>
        <v>dv360</v>
      </c>
      <c r="AX49" s="15" t="str">
        <f t="shared" si="13"/>
        <v>nivus-launch-consideracao-orca</v>
      </c>
      <c r="AY49" s="15" t="str">
        <f t="shared" si="28"/>
        <v>alp_vw_dv360_imc_dsy_lanch_nd_nc_nvs_nivus-launch-consideracao-orca__trafego_cpm_drct_all_300x250_lancamento-nivus-orca-customintent_na_lancamento-consideracao-nivus-orca_nvl-nvs-imc-dsy-0820-10049</v>
      </c>
      <c r="AZ49" s="15" t="str">
        <f t="shared" si="29"/>
        <v>300x250</v>
      </c>
      <c r="BA49" s="15" t="str">
        <f t="shared" si="30"/>
        <v>lancamento-consideracao-nivus-orca</v>
      </c>
      <c r="BB49" s="28" t="s">
        <v>798</v>
      </c>
      <c r="BC49" s="28" t="s">
        <v>798</v>
      </c>
      <c r="BD49" s="38" t="str">
        <f t="shared" si="31"/>
        <v>nvl-nvs-imc-dsy-0820-10049</v>
      </c>
      <c r="BE49" s="15" t="str">
        <f t="shared" si="32"/>
        <v>BR</v>
      </c>
      <c r="BF49" s="15" t="str">
        <f t="shared" si="33"/>
        <v>paid</v>
      </c>
      <c r="BG49" s="28"/>
      <c r="BH49" s="28"/>
      <c r="BI49" s="36" t="str">
        <f t="shared" si="18"/>
        <v>https://www.vw.com.br/pt/configurador.html/__app/%2Fnivus/0.app?adlid=nvl-nvs-imc-dsy-0820-10049&amp;adplt=alp_vw_dv360_imc_dsy_lanch_nd_nc_nvs_nivus-launch-consideracao-orca__trafego_cpm_drct_all_300x250_lancamento-nivus-orca-customintent_na_lancamento-consideracao-nivus-orca_nvl-nvs-imc-dsy-0820-10049</v>
      </c>
      <c r="BL49" t="str">
        <f t="shared" si="19"/>
        <v>alp_vw_dv360_imc_dsy_lanch_nd_nc_nvs_nivus-launch-consideracao-orca__trafego</v>
      </c>
      <c r="BM49" t="str">
        <f t="shared" si="20"/>
        <v>cpm_drct_all_300x250_lancamento-nivus-orca-customintent_na</v>
      </c>
      <c r="BN49" t="str">
        <f t="shared" si="21"/>
        <v>alp_vw_dv360_imc_dsy_lanch_nd_nc_nvs_nivus-launch-consideracao-orca__trafego_cpm_drct_all_300x250_lancamento-nivus-orca-customintent_na_generico_nvl-nvs-imc-dsy-0820-10049</v>
      </c>
    </row>
    <row r="50" spans="2:66" ht="15.75" customHeight="1" x14ac:dyDescent="0.25">
      <c r="B50" s="15" t="s">
        <v>1291</v>
      </c>
      <c r="C50" s="15" t="s">
        <v>1293</v>
      </c>
      <c r="D50" s="15"/>
      <c r="E50" s="22">
        <v>44069</v>
      </c>
      <c r="F50" s="22">
        <v>44135</v>
      </c>
      <c r="G50" s="15" t="s">
        <v>651</v>
      </c>
      <c r="H50" s="41" t="s">
        <v>1266</v>
      </c>
      <c r="I50" s="15" t="s">
        <v>801</v>
      </c>
      <c r="J50" s="42" t="s">
        <v>883</v>
      </c>
      <c r="K50" s="42" t="s">
        <v>883</v>
      </c>
      <c r="L50" s="15" t="s">
        <v>676</v>
      </c>
      <c r="M50" s="15" t="s">
        <v>276</v>
      </c>
      <c r="N50" s="15" t="s">
        <v>295</v>
      </c>
      <c r="O50" s="15" t="s">
        <v>677</v>
      </c>
      <c r="P50" s="15" t="str">
        <f>VLOOKUP(Y50,'All Codes'!$BF$3:$BG$278,2,FALSE)</f>
        <v>Skyscraper</v>
      </c>
      <c r="Q50" s="15" t="s">
        <v>179</v>
      </c>
      <c r="R50" s="15" t="s">
        <v>277</v>
      </c>
      <c r="S50" s="15" t="s">
        <v>865</v>
      </c>
      <c r="T50" s="46" t="s">
        <v>884</v>
      </c>
      <c r="U50" s="15" t="s">
        <v>876</v>
      </c>
      <c r="V50" s="53" t="s">
        <v>891</v>
      </c>
      <c r="W50" s="15" t="s">
        <v>866</v>
      </c>
      <c r="X50" s="15" t="s">
        <v>307</v>
      </c>
      <c r="Y50" s="46" t="s">
        <v>464</v>
      </c>
      <c r="Z50" s="15"/>
      <c r="AA50" s="15"/>
      <c r="AB50" s="15"/>
      <c r="AC50" s="15"/>
      <c r="AD50" s="15"/>
      <c r="AE50" s="15"/>
      <c r="AF50" s="15"/>
      <c r="AG50" s="15"/>
      <c r="AH50" s="15" t="str">
        <f t="shared" ref="AH50:AH55" si="38">VLOOKUP(AI50,id_placement,2,FALSE)</f>
        <v>281502672</v>
      </c>
      <c r="AI50" s="21" t="str">
        <f t="shared" si="35"/>
        <v>alp_vw_dv360_imc_dsy_lanch_nd_nc_nvs_nivus-launch-consideracao-orca__trafego_cpm_drct_all_300x600_lancamento-nivus-orca-customintent_na_lancamento-consideracao-nivus-orca_nvl-nvs-imc-dsy-0820-10050</v>
      </c>
      <c r="AJ50" s="40" t="str">
        <f t="shared" si="35"/>
        <v>alp_vw_dv360_imc_dsy_lanch_nd_nc_nvs_nivus-launch-consideracao-orca__trafego_cpm_drct_all_300x600_lancamento-nivus-orca-customintent_na_lancamento-consideracao-nivus-orca_nvl-nvs-imc-dsy-0820-10050</v>
      </c>
      <c r="AK50" s="21" t="str">
        <f t="shared" si="2"/>
        <v>vw_nivus_300x600_lancamento-consideracao-nivus-orca_adserver</v>
      </c>
      <c r="AL50" s="21" t="str">
        <f t="shared" si="22"/>
        <v>https://www.vw.com.br/pt/configurador.html/__app/%2Fnivus/0.app?adlid=nvl-nvs-imc-dsy-0820-10050&amp;adplt=alp_vw_dv360_imc_dsy_lanch_nd_nc_nvs_nivus-launch-consideracao-orca__trafego_cpm_drct_all_300x600_lancamento-nivus-orca-customintent_na_lancamento-consideracao-nivus-orca_nvl-nvs-imc-dsy-0820-10050</v>
      </c>
      <c r="AM50" s="21" t="str">
        <f t="shared" si="4"/>
        <v>TAG</v>
      </c>
      <c r="AN50" s="15" t="str">
        <f t="shared" si="23"/>
        <v>DV360</v>
      </c>
      <c r="AO50" s="15" t="str">
        <f t="shared" si="24"/>
        <v>Paid-Display</v>
      </c>
      <c r="AP50" s="21" t="str">
        <f>Campanha!$B$3</f>
        <v>BR_IMC_DSY_LANCH_ND_NC_2020Q3AUG_NVS_Nivus-Launch-Consideracao-Orca</v>
      </c>
      <c r="AQ50" s="21" t="str">
        <f t="shared" si="7"/>
        <v>alp_vw_dv360_imc_dsy_lanch_nd_nc_nvs_nivus-launch-consideracao-orca__trafego_cpm_drct_all_300x600_lancamento-nivus-orca-customintent_na_lancamento-consideracao-nivus-orca_nvl-nvs-imc-dsy-0820-10050</v>
      </c>
      <c r="AR50" s="15" t="s">
        <v>745</v>
      </c>
      <c r="AS50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customintent_na_lancamento-consideracao-nivus-orca_nvl-nvs-imc-dsy-0820-10050&amp;utm_campaign=BR_IMC_DSY_LANCH_ND_NC_2020Q3AUG_NVS_Nivus-Launch-Consideracao-Orca&amp;utm_term=%epid!_%ecid!_%eaid!</v>
      </c>
      <c r="AT50" s="15" t="str">
        <f t="shared" si="25"/>
        <v>other</v>
      </c>
      <c r="AU50" s="15" t="str">
        <f t="shared" si="10"/>
        <v>BR</v>
      </c>
      <c r="AV50" s="15" t="str">
        <f t="shared" si="26"/>
        <v>dv360</v>
      </c>
      <c r="AW50" s="15" t="str">
        <f t="shared" si="27"/>
        <v>dv360</v>
      </c>
      <c r="AX50" s="15" t="str">
        <f t="shared" si="13"/>
        <v>nivus-launch-consideracao-orca</v>
      </c>
      <c r="AY50" s="15" t="str">
        <f t="shared" si="28"/>
        <v>alp_vw_dv360_imc_dsy_lanch_nd_nc_nvs_nivus-launch-consideracao-orca__trafego_cpm_drct_all_300x600_lancamento-nivus-orca-customintent_na_lancamento-consideracao-nivus-orca_nvl-nvs-imc-dsy-0820-10050</v>
      </c>
      <c r="AZ50" s="15" t="str">
        <f t="shared" si="29"/>
        <v>300x600</v>
      </c>
      <c r="BA50" s="15" t="str">
        <f t="shared" si="30"/>
        <v>lancamento-consideracao-nivus-orca</v>
      </c>
      <c r="BB50" s="28" t="s">
        <v>798</v>
      </c>
      <c r="BC50" s="28" t="s">
        <v>798</v>
      </c>
      <c r="BD50" s="38" t="str">
        <f t="shared" si="31"/>
        <v>nvl-nvs-imc-dsy-0820-10050</v>
      </c>
      <c r="BE50" s="15" t="str">
        <f t="shared" si="32"/>
        <v>BR</v>
      </c>
      <c r="BF50" s="15" t="str">
        <f t="shared" si="33"/>
        <v>paid</v>
      </c>
      <c r="BG50" s="28"/>
      <c r="BH50" s="28"/>
      <c r="BI50" s="36" t="str">
        <f t="shared" si="18"/>
        <v>https://www.vw.com.br/pt/configurador.html/__app/%2Fnivus/0.app?adlid=nvl-nvs-imc-dsy-0820-10050&amp;adplt=alp_vw_dv360_imc_dsy_lanch_nd_nc_nvs_nivus-launch-consideracao-orca__trafego_cpm_drct_all_300x600_lancamento-nivus-orca-customintent_na_lancamento-consideracao-nivus-orca_nvl-nvs-imc-dsy-0820-10050</v>
      </c>
      <c r="BL50" t="str">
        <f t="shared" si="19"/>
        <v>alp_vw_dv360_imc_dsy_lanch_nd_nc_nvs_nivus-launch-consideracao-orca__trafego</v>
      </c>
      <c r="BM50" t="str">
        <f t="shared" si="20"/>
        <v>cpm_drct_all_300x600_lancamento-nivus-orca-customintent_na</v>
      </c>
      <c r="BN50" t="str">
        <f t="shared" si="21"/>
        <v>alp_vw_dv360_imc_dsy_lanch_nd_nc_nvs_nivus-launch-consideracao-orca__trafego_cpm_drct_all_300x600_lancamento-nivus-orca-customintent_na_generico_nvl-nvs-imc-dsy-0820-10050</v>
      </c>
    </row>
    <row r="51" spans="2:66" ht="15.75" customHeight="1" x14ac:dyDescent="0.25">
      <c r="B51" s="15" t="s">
        <v>1291</v>
      </c>
      <c r="C51" s="15" t="s">
        <v>1293</v>
      </c>
      <c r="D51" s="15"/>
      <c r="E51" s="22">
        <v>44069</v>
      </c>
      <c r="F51" s="22">
        <v>44135</v>
      </c>
      <c r="G51" s="15" t="s">
        <v>651</v>
      </c>
      <c r="H51" s="41" t="s">
        <v>1266</v>
      </c>
      <c r="I51" s="15" t="s">
        <v>801</v>
      </c>
      <c r="J51" s="42" t="s">
        <v>883</v>
      </c>
      <c r="K51" s="42" t="s">
        <v>883</v>
      </c>
      <c r="L51" s="15" t="s">
        <v>676</v>
      </c>
      <c r="M51" s="15" t="s">
        <v>276</v>
      </c>
      <c r="N51" s="15" t="s">
        <v>295</v>
      </c>
      <c r="O51" s="15" t="s">
        <v>677</v>
      </c>
      <c r="P51" s="15" t="str">
        <f>VLOOKUP(Y51,'All Codes'!$BF$3:$BG$278,2,FALSE)</f>
        <v>MPU</v>
      </c>
      <c r="Q51" s="15" t="s">
        <v>179</v>
      </c>
      <c r="R51" s="15" t="s">
        <v>277</v>
      </c>
      <c r="S51" s="15" t="s">
        <v>865</v>
      </c>
      <c r="T51" s="46" t="s">
        <v>884</v>
      </c>
      <c r="U51" s="15" t="s">
        <v>876</v>
      </c>
      <c r="V51" s="53" t="s">
        <v>891</v>
      </c>
      <c r="W51" s="15" t="s">
        <v>866</v>
      </c>
      <c r="X51" s="15" t="s">
        <v>307</v>
      </c>
      <c r="Y51" s="46" t="s">
        <v>479</v>
      </c>
      <c r="Z51" s="15"/>
      <c r="AA51" s="15"/>
      <c r="AB51" s="15"/>
      <c r="AC51" s="15"/>
      <c r="AD51" s="15"/>
      <c r="AE51" s="15"/>
      <c r="AF51" s="15"/>
      <c r="AG51" s="15"/>
      <c r="AH51" s="15" t="str">
        <f t="shared" si="38"/>
        <v>281502669</v>
      </c>
      <c r="AI51" s="21" t="str">
        <f t="shared" si="35"/>
        <v>alp_vw_dv360_imc_dsy_lanch_nd_nc_nvs_nivus-launch-consideracao-orca__trafego_cpm_drct_all_320x50_lancamento-nivus-orca-customintent_na_lancamento-consideracao-nivus-orca_nvl-nvs-imc-dsy-0820-10051</v>
      </c>
      <c r="AJ51" s="40" t="str">
        <f t="shared" si="35"/>
        <v>alp_vw_dv360_imc_dsy_lanch_nd_nc_nvs_nivus-launch-consideracao-orca__trafego_cpm_drct_all_320x50_lancamento-nivus-orca-customintent_na_lancamento-consideracao-nivus-orca_nvl-nvs-imc-dsy-0820-10051</v>
      </c>
      <c r="AK51" s="21" t="str">
        <f t="shared" si="2"/>
        <v>vw_nivus_320x50_lancamento-consideracao-nivus-orca_adserver</v>
      </c>
      <c r="AL51" s="21" t="str">
        <f t="shared" si="22"/>
        <v>https://www.vw.com.br/pt/configurador.html/__app/%2Fnivus/0.app?adlid=nvl-nvs-imc-dsy-0820-10051&amp;adplt=alp_vw_dv360_imc_dsy_lanch_nd_nc_nvs_nivus-launch-consideracao-orca__trafego_cpm_drct_all_320x50_lancamento-nivus-orca-customintent_na_lancamento-consideracao-nivus-orca_nvl-nvs-imc-dsy-0820-10051</v>
      </c>
      <c r="AM51" s="21" t="str">
        <f t="shared" si="4"/>
        <v>TAG</v>
      </c>
      <c r="AN51" s="15" t="str">
        <f t="shared" si="23"/>
        <v>DV360</v>
      </c>
      <c r="AO51" s="15" t="str">
        <f t="shared" si="24"/>
        <v>Paid-Display</v>
      </c>
      <c r="AP51" s="21" t="str">
        <f>Campanha!$B$3</f>
        <v>BR_IMC_DSY_LANCH_ND_NC_2020Q3AUG_NVS_Nivus-Launch-Consideracao-Orca</v>
      </c>
      <c r="AQ51" s="21" t="str">
        <f t="shared" si="7"/>
        <v>alp_vw_dv360_imc_dsy_lanch_nd_nc_nvs_nivus-launch-consideracao-orca__trafego_cpm_drct_all_320x50_lancamento-nivus-orca-customintent_na_lancamento-consideracao-nivus-orca_nvl-nvs-imc-dsy-0820-10051</v>
      </c>
      <c r="AR51" s="15" t="s">
        <v>745</v>
      </c>
      <c r="AS51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customintent_na_lancamento-consideracao-nivus-orca_nvl-nvs-imc-dsy-0820-10051&amp;utm_campaign=BR_IMC_DSY_LANCH_ND_NC_2020Q3AUG_NVS_Nivus-Launch-Consideracao-Orca&amp;utm_term=%epid!_%ecid!_%eaid!</v>
      </c>
      <c r="AT51" s="15" t="str">
        <f t="shared" si="25"/>
        <v>other</v>
      </c>
      <c r="AU51" s="15" t="str">
        <f t="shared" si="10"/>
        <v>BR</v>
      </c>
      <c r="AV51" s="15" t="str">
        <f t="shared" si="26"/>
        <v>dv360</v>
      </c>
      <c r="AW51" s="15" t="str">
        <f t="shared" si="27"/>
        <v>dv360</v>
      </c>
      <c r="AX51" s="15" t="str">
        <f t="shared" si="13"/>
        <v>nivus-launch-consideracao-orca</v>
      </c>
      <c r="AY51" s="15" t="str">
        <f t="shared" si="28"/>
        <v>alp_vw_dv360_imc_dsy_lanch_nd_nc_nvs_nivus-launch-consideracao-orca__trafego_cpm_drct_all_320x50_lancamento-nivus-orca-customintent_na_lancamento-consideracao-nivus-orca_nvl-nvs-imc-dsy-0820-10051</v>
      </c>
      <c r="AZ51" s="15" t="str">
        <f t="shared" si="29"/>
        <v>320x50</v>
      </c>
      <c r="BA51" s="15" t="str">
        <f t="shared" si="30"/>
        <v>lancamento-consideracao-nivus-orca</v>
      </c>
      <c r="BB51" s="28" t="s">
        <v>798</v>
      </c>
      <c r="BC51" s="28" t="s">
        <v>798</v>
      </c>
      <c r="BD51" s="38" t="str">
        <f t="shared" si="31"/>
        <v>nvl-nvs-imc-dsy-0820-10051</v>
      </c>
      <c r="BE51" s="15" t="str">
        <f t="shared" si="32"/>
        <v>BR</v>
      </c>
      <c r="BF51" s="15" t="str">
        <f t="shared" si="33"/>
        <v>paid</v>
      </c>
      <c r="BG51" s="28"/>
      <c r="BH51" s="28"/>
      <c r="BI51" s="36" t="str">
        <f t="shared" si="18"/>
        <v>https://www.vw.com.br/pt/configurador.html/__app/%2Fnivus/0.app?adlid=nvl-nvs-imc-dsy-0820-10051&amp;adplt=alp_vw_dv360_imc_dsy_lanch_nd_nc_nvs_nivus-launch-consideracao-orca__trafego_cpm_drct_all_320x50_lancamento-nivus-orca-customintent_na_lancamento-consideracao-nivus-orca_nvl-nvs-imc-dsy-0820-10051</v>
      </c>
      <c r="BL51" t="str">
        <f t="shared" si="19"/>
        <v>alp_vw_dv360_imc_dsy_lanch_nd_nc_nvs_nivus-launch-consideracao-orca__trafego</v>
      </c>
      <c r="BM51" t="str">
        <f t="shared" si="20"/>
        <v>cpm_drct_all_320x50_lancamento-nivus-orca-customintent_na</v>
      </c>
      <c r="BN51" t="str">
        <f t="shared" si="21"/>
        <v>alp_vw_dv360_imc_dsy_lanch_nd_nc_nvs_nivus-launch-consideracao-orca__trafego_cpm_drct_all_320x50_lancamento-nivus-orca-customintent_na_generico_nvl-nvs-imc-dsy-0820-10051</v>
      </c>
    </row>
    <row r="52" spans="2:66" ht="15.75" customHeight="1" x14ac:dyDescent="0.25">
      <c r="B52" s="15" t="s">
        <v>1291</v>
      </c>
      <c r="C52" s="15" t="s">
        <v>1293</v>
      </c>
      <c r="D52" s="15"/>
      <c r="E52" s="22">
        <v>44069</v>
      </c>
      <c r="F52" s="22">
        <v>44135</v>
      </c>
      <c r="G52" s="15" t="s">
        <v>651</v>
      </c>
      <c r="H52" s="41" t="s">
        <v>1266</v>
      </c>
      <c r="I52" s="15" t="s">
        <v>801</v>
      </c>
      <c r="J52" s="42" t="s">
        <v>883</v>
      </c>
      <c r="K52" s="42" t="s">
        <v>883</v>
      </c>
      <c r="L52" s="15" t="s">
        <v>676</v>
      </c>
      <c r="M52" s="15" t="s">
        <v>276</v>
      </c>
      <c r="N52" s="15" t="s">
        <v>295</v>
      </c>
      <c r="O52" s="15" t="s">
        <v>677</v>
      </c>
      <c r="P52" s="15" t="str">
        <f>VLOOKUP(Y52,'All Codes'!$BF$3:$BG$278,2,FALSE)</f>
        <v>Leaderboard</v>
      </c>
      <c r="Q52" s="15" t="s">
        <v>179</v>
      </c>
      <c r="R52" s="15" t="s">
        <v>277</v>
      </c>
      <c r="S52" s="15" t="s">
        <v>865</v>
      </c>
      <c r="T52" s="46" t="s">
        <v>884</v>
      </c>
      <c r="U52" s="15" t="s">
        <v>876</v>
      </c>
      <c r="V52" s="53" t="s">
        <v>891</v>
      </c>
      <c r="W52" s="15" t="s">
        <v>866</v>
      </c>
      <c r="X52" s="15" t="s">
        <v>307</v>
      </c>
      <c r="Y52" s="46" t="s">
        <v>591</v>
      </c>
      <c r="Z52" s="15"/>
      <c r="AA52" s="15"/>
      <c r="AB52" s="15"/>
      <c r="AC52" s="15"/>
      <c r="AD52" s="15"/>
      <c r="AE52" s="15"/>
      <c r="AF52" s="15"/>
      <c r="AG52" s="15"/>
      <c r="AH52" s="15" t="str">
        <f t="shared" si="38"/>
        <v>281502666</v>
      </c>
      <c r="AI52" s="21" t="str">
        <f t="shared" si="35"/>
        <v>alp_vw_dv360_imc_dsy_lanch_nd_nc_nvs_nivus-launch-consideracao-orca__trafego_cpm_drct_all_728x90_lancamento-nivus-orca-customintent_na_lancamento-consideracao-nivus-orca_nvl-nvs-imc-dsy-0820-10052</v>
      </c>
      <c r="AJ52" s="40" t="str">
        <f t="shared" si="35"/>
        <v>alp_vw_dv360_imc_dsy_lanch_nd_nc_nvs_nivus-launch-consideracao-orca__trafego_cpm_drct_all_728x90_lancamento-nivus-orca-customintent_na_lancamento-consideracao-nivus-orca_nvl-nvs-imc-dsy-0820-10052</v>
      </c>
      <c r="AK52" s="21" t="str">
        <f t="shared" si="2"/>
        <v>vw_nivus_728x90_lancamento-consideracao-nivus-orca_adserver</v>
      </c>
      <c r="AL52" s="21" t="str">
        <f t="shared" si="22"/>
        <v>https://www.vw.com.br/pt/configurador.html/__app/%2Fnivus/0.app?adlid=nvl-nvs-imc-dsy-0820-10052&amp;adplt=alp_vw_dv360_imc_dsy_lanch_nd_nc_nvs_nivus-launch-consideracao-orca__trafego_cpm_drct_all_728x90_lancamento-nivus-orca-customintent_na_lancamento-consideracao-nivus-orca_nvl-nvs-imc-dsy-0820-10052</v>
      </c>
      <c r="AM52" s="21" t="str">
        <f t="shared" si="4"/>
        <v>TAG</v>
      </c>
      <c r="AN52" s="15" t="str">
        <f t="shared" si="23"/>
        <v>DV360</v>
      </c>
      <c r="AO52" s="15" t="str">
        <f t="shared" si="24"/>
        <v>Paid-Display</v>
      </c>
      <c r="AP52" s="21" t="str">
        <f>Campanha!$B$3</f>
        <v>BR_IMC_DSY_LANCH_ND_NC_2020Q3AUG_NVS_Nivus-Launch-Consideracao-Orca</v>
      </c>
      <c r="AQ52" s="21" t="str">
        <f t="shared" si="7"/>
        <v>alp_vw_dv360_imc_dsy_lanch_nd_nc_nvs_nivus-launch-consideracao-orca__trafego_cpm_drct_all_728x90_lancamento-nivus-orca-customintent_na_lancamento-consideracao-nivus-orca_nvl-nvs-imc-dsy-0820-10052</v>
      </c>
      <c r="AR52" s="15" t="s">
        <v>745</v>
      </c>
      <c r="AS52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customintent_na_lancamento-consideracao-nivus-orca_nvl-nvs-imc-dsy-0820-10052&amp;utm_campaign=BR_IMC_DSY_LANCH_ND_NC_2020Q3AUG_NVS_Nivus-Launch-Consideracao-Orca&amp;utm_term=%epid!_%ecid!_%eaid!</v>
      </c>
      <c r="AT52" s="15" t="str">
        <f t="shared" si="25"/>
        <v>other</v>
      </c>
      <c r="AU52" s="15" t="str">
        <f t="shared" si="10"/>
        <v>BR</v>
      </c>
      <c r="AV52" s="15" t="str">
        <f t="shared" si="26"/>
        <v>dv360</v>
      </c>
      <c r="AW52" s="15" t="str">
        <f t="shared" si="27"/>
        <v>dv360</v>
      </c>
      <c r="AX52" s="15" t="str">
        <f t="shared" si="13"/>
        <v>nivus-launch-consideracao-orca</v>
      </c>
      <c r="AY52" s="15" t="str">
        <f t="shared" si="28"/>
        <v>alp_vw_dv360_imc_dsy_lanch_nd_nc_nvs_nivus-launch-consideracao-orca__trafego_cpm_drct_all_728x90_lancamento-nivus-orca-customintent_na_lancamento-consideracao-nivus-orca_nvl-nvs-imc-dsy-0820-10052</v>
      </c>
      <c r="AZ52" s="15" t="str">
        <f t="shared" si="29"/>
        <v>728x90</v>
      </c>
      <c r="BA52" s="15" t="str">
        <f t="shared" si="30"/>
        <v>lancamento-consideracao-nivus-orca</v>
      </c>
      <c r="BB52" s="28" t="s">
        <v>798</v>
      </c>
      <c r="BC52" s="28" t="s">
        <v>798</v>
      </c>
      <c r="BD52" s="38" t="str">
        <f t="shared" si="31"/>
        <v>nvl-nvs-imc-dsy-0820-10052</v>
      </c>
      <c r="BE52" s="15" t="str">
        <f t="shared" si="32"/>
        <v>BR</v>
      </c>
      <c r="BF52" s="15" t="str">
        <f t="shared" si="33"/>
        <v>paid</v>
      </c>
      <c r="BG52" s="28"/>
      <c r="BH52" s="28"/>
      <c r="BI52" s="36" t="str">
        <f t="shared" si="18"/>
        <v>https://www.vw.com.br/pt/configurador.html/__app/%2Fnivus/0.app?adlid=nvl-nvs-imc-dsy-0820-10052&amp;adplt=alp_vw_dv360_imc_dsy_lanch_nd_nc_nvs_nivus-launch-consideracao-orca__trafego_cpm_drct_all_728x90_lancamento-nivus-orca-customintent_na_lancamento-consideracao-nivus-orca_nvl-nvs-imc-dsy-0820-10052</v>
      </c>
      <c r="BL52" t="str">
        <f t="shared" si="19"/>
        <v>alp_vw_dv360_imc_dsy_lanch_nd_nc_nvs_nivus-launch-consideracao-orca__trafego</v>
      </c>
      <c r="BM52" t="str">
        <f t="shared" si="20"/>
        <v>cpm_drct_all_728x90_lancamento-nivus-orca-customintent_na</v>
      </c>
      <c r="BN52" t="str">
        <f t="shared" si="21"/>
        <v>alp_vw_dv360_imc_dsy_lanch_nd_nc_nvs_nivus-launch-consideracao-orca__trafego_cpm_drct_all_728x90_lancamento-nivus-orca-customintent_na_generico_nvl-nvs-imc-dsy-0820-10052</v>
      </c>
    </row>
    <row r="53" spans="2:66" ht="15.75" customHeight="1" x14ac:dyDescent="0.25">
      <c r="B53" s="15" t="s">
        <v>1291</v>
      </c>
      <c r="C53" s="15" t="s">
        <v>1293</v>
      </c>
      <c r="D53" s="15"/>
      <c r="E53" s="22">
        <v>44069</v>
      </c>
      <c r="F53" s="22">
        <v>44135</v>
      </c>
      <c r="G53" s="15" t="s">
        <v>651</v>
      </c>
      <c r="H53" s="41" t="s">
        <v>1266</v>
      </c>
      <c r="I53" s="15" t="s">
        <v>801</v>
      </c>
      <c r="J53" s="42" t="s">
        <v>883</v>
      </c>
      <c r="K53" s="42" t="s">
        <v>883</v>
      </c>
      <c r="L53" s="15" t="s">
        <v>676</v>
      </c>
      <c r="M53" s="15" t="s">
        <v>276</v>
      </c>
      <c r="N53" s="15" t="s">
        <v>295</v>
      </c>
      <c r="O53" s="15" t="s">
        <v>677</v>
      </c>
      <c r="P53" s="15" t="str">
        <f>VLOOKUP(Y53,'All Codes'!$BF$3:$BG$278,2,FALSE)</f>
        <v>Leaderboard</v>
      </c>
      <c r="Q53" s="15" t="s">
        <v>179</v>
      </c>
      <c r="R53" s="15" t="s">
        <v>277</v>
      </c>
      <c r="S53" s="15" t="s">
        <v>865</v>
      </c>
      <c r="T53" s="46" t="s">
        <v>884</v>
      </c>
      <c r="U53" s="15" t="s">
        <v>876</v>
      </c>
      <c r="V53" s="53" t="s">
        <v>891</v>
      </c>
      <c r="W53" s="15" t="s">
        <v>866</v>
      </c>
      <c r="X53" s="15" t="s">
        <v>307</v>
      </c>
      <c r="Y53" s="46" t="s">
        <v>629</v>
      </c>
      <c r="Z53" s="15"/>
      <c r="AA53" s="15"/>
      <c r="AB53" s="15"/>
      <c r="AC53" s="15"/>
      <c r="AD53" s="15"/>
      <c r="AE53" s="15"/>
      <c r="AF53" s="15"/>
      <c r="AG53" s="15"/>
      <c r="AH53" s="15" t="str">
        <f t="shared" si="38"/>
        <v>281502663</v>
      </c>
      <c r="AI53" s="21" t="str">
        <f t="shared" si="35"/>
        <v>alp_vw_dv360_imc_dsy_lanch_nd_nc_nvs_nivus-launch-consideracao-orca__trafego_cpm_drct_all_970x250_lancamento-nivus-orca-customintent_na_lancamento-consideracao-nivus-orca_nvl-nvs-imc-dsy-0820-10053</v>
      </c>
      <c r="AJ53" s="40" t="str">
        <f t="shared" si="35"/>
        <v>alp_vw_dv360_imc_dsy_lanch_nd_nc_nvs_nivus-launch-consideracao-orca__trafego_cpm_drct_all_970x250_lancamento-nivus-orca-customintent_na_lancamento-consideracao-nivus-orca_nvl-nvs-imc-dsy-0820-10053</v>
      </c>
      <c r="AK53" s="21" t="str">
        <f t="shared" si="2"/>
        <v>vw_nivus_970x250_lancamento-consideracao-nivus-orca_adserver</v>
      </c>
      <c r="AL53" s="21" t="str">
        <f t="shared" si="22"/>
        <v>https://www.vw.com.br/pt/configurador.html/__app/%2Fnivus/0.app?adlid=nvl-nvs-imc-dsy-0820-10053&amp;adplt=alp_vw_dv360_imc_dsy_lanch_nd_nc_nvs_nivus-launch-consideracao-orca__trafego_cpm_drct_all_970x250_lancamento-nivus-orca-customintent_na_lancamento-consideracao-nivus-orca_nvl-nvs-imc-dsy-0820-10053</v>
      </c>
      <c r="AM53" s="21" t="str">
        <f t="shared" si="4"/>
        <v>TAG</v>
      </c>
      <c r="AN53" s="15" t="str">
        <f t="shared" si="23"/>
        <v>DV360</v>
      </c>
      <c r="AO53" s="15" t="str">
        <f t="shared" si="24"/>
        <v>Paid-Display</v>
      </c>
      <c r="AP53" s="21" t="str">
        <f>Campanha!$B$3</f>
        <v>BR_IMC_DSY_LANCH_ND_NC_2020Q3AUG_NVS_Nivus-Launch-Consideracao-Orca</v>
      </c>
      <c r="AQ53" s="21" t="str">
        <f t="shared" si="7"/>
        <v>alp_vw_dv360_imc_dsy_lanch_nd_nc_nvs_nivus-launch-consideracao-orca__trafego_cpm_drct_all_970x250_lancamento-nivus-orca-customintent_na_lancamento-consideracao-nivus-orca_nvl-nvs-imc-dsy-0820-10053</v>
      </c>
      <c r="AR53" s="15" t="s">
        <v>745</v>
      </c>
      <c r="AS53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customintent_na_lancamento-consideracao-nivus-orca_nvl-nvs-imc-dsy-0820-10053&amp;utm_campaign=BR_IMC_DSY_LANCH_ND_NC_2020Q3AUG_NVS_Nivus-Launch-Consideracao-Orca&amp;utm_term=%epid!_%ecid!_%eaid!</v>
      </c>
      <c r="AT53" s="15" t="str">
        <f t="shared" si="25"/>
        <v>other</v>
      </c>
      <c r="AU53" s="15" t="str">
        <f t="shared" si="10"/>
        <v>BR</v>
      </c>
      <c r="AV53" s="15" t="str">
        <f t="shared" si="26"/>
        <v>dv360</v>
      </c>
      <c r="AW53" s="15" t="str">
        <f t="shared" si="27"/>
        <v>dv360</v>
      </c>
      <c r="AX53" s="15" t="str">
        <f t="shared" si="13"/>
        <v>nivus-launch-consideracao-orca</v>
      </c>
      <c r="AY53" s="15" t="str">
        <f t="shared" si="28"/>
        <v>alp_vw_dv360_imc_dsy_lanch_nd_nc_nvs_nivus-launch-consideracao-orca__trafego_cpm_drct_all_970x250_lancamento-nivus-orca-customintent_na_lancamento-consideracao-nivus-orca_nvl-nvs-imc-dsy-0820-10053</v>
      </c>
      <c r="AZ53" s="15" t="str">
        <f t="shared" si="29"/>
        <v>970x250</v>
      </c>
      <c r="BA53" s="15" t="str">
        <f t="shared" si="30"/>
        <v>lancamento-consideracao-nivus-orca</v>
      </c>
      <c r="BB53" s="28" t="s">
        <v>798</v>
      </c>
      <c r="BC53" s="28" t="s">
        <v>798</v>
      </c>
      <c r="BD53" s="38" t="str">
        <f t="shared" si="31"/>
        <v>nvl-nvs-imc-dsy-0820-10053</v>
      </c>
      <c r="BE53" s="15" t="str">
        <f t="shared" si="32"/>
        <v>BR</v>
      </c>
      <c r="BF53" s="15" t="str">
        <f t="shared" si="33"/>
        <v>paid</v>
      </c>
      <c r="BG53" s="28"/>
      <c r="BH53" s="28"/>
      <c r="BI53" s="36" t="str">
        <f t="shared" si="18"/>
        <v>https://www.vw.com.br/pt/configurador.html/__app/%2Fnivus/0.app?adlid=nvl-nvs-imc-dsy-0820-10053&amp;adplt=alp_vw_dv360_imc_dsy_lanch_nd_nc_nvs_nivus-launch-consideracao-orca__trafego_cpm_drct_all_970x250_lancamento-nivus-orca-customintent_na_lancamento-consideracao-nivus-orca_nvl-nvs-imc-dsy-0820-10053</v>
      </c>
      <c r="BL53" t="str">
        <f t="shared" si="19"/>
        <v>alp_vw_dv360_imc_dsy_lanch_nd_nc_nvs_nivus-launch-consideracao-orca__trafego</v>
      </c>
      <c r="BM53" t="str">
        <f t="shared" si="20"/>
        <v>cpm_drct_all_970x250_lancamento-nivus-orca-customintent_na</v>
      </c>
      <c r="BN53" t="str">
        <f t="shared" si="21"/>
        <v>alp_vw_dv360_imc_dsy_lanch_nd_nc_nvs_nivus-launch-consideracao-orca__trafego_cpm_drct_all_970x250_lancamento-nivus-orca-customintent_na_generico_nvl-nvs-imc-dsy-0820-10053</v>
      </c>
    </row>
    <row r="54" spans="2:66" ht="15.75" customHeight="1" x14ac:dyDescent="0.25">
      <c r="B54" s="15" t="s">
        <v>1291</v>
      </c>
      <c r="C54" s="15" t="s">
        <v>1293</v>
      </c>
      <c r="D54" s="15"/>
      <c r="E54" s="22">
        <v>44069</v>
      </c>
      <c r="F54" s="22">
        <v>44135</v>
      </c>
      <c r="G54" s="15" t="s">
        <v>651</v>
      </c>
      <c r="H54" s="41" t="s">
        <v>1266</v>
      </c>
      <c r="I54" s="15" t="s">
        <v>801</v>
      </c>
      <c r="J54" s="42" t="s">
        <v>883</v>
      </c>
      <c r="K54" s="42" t="s">
        <v>883</v>
      </c>
      <c r="L54" s="15" t="s">
        <v>676</v>
      </c>
      <c r="M54" s="15" t="s">
        <v>276</v>
      </c>
      <c r="N54" s="15" t="s">
        <v>295</v>
      </c>
      <c r="O54" s="15" t="s">
        <v>677</v>
      </c>
      <c r="P54" s="15" t="str">
        <f>VLOOKUP(Y54,'All Codes'!$BF$3:$BG$278,2,FALSE)</f>
        <v>MPU</v>
      </c>
      <c r="Q54" s="15" t="s">
        <v>179</v>
      </c>
      <c r="R54" s="15" t="s">
        <v>277</v>
      </c>
      <c r="S54" s="15" t="s">
        <v>865</v>
      </c>
      <c r="T54" s="46" t="s">
        <v>884</v>
      </c>
      <c r="U54" s="15" t="s">
        <v>876</v>
      </c>
      <c r="V54" s="54" t="s">
        <v>892</v>
      </c>
      <c r="W54" s="15" t="s">
        <v>866</v>
      </c>
      <c r="X54" s="15" t="s">
        <v>307</v>
      </c>
      <c r="Y54" s="46" t="s">
        <v>461</v>
      </c>
      <c r="Z54" s="15"/>
      <c r="AA54" s="15"/>
      <c r="AB54" s="15"/>
      <c r="AC54" s="15"/>
      <c r="AD54" s="15"/>
      <c r="AE54" s="15"/>
      <c r="AF54" s="15"/>
      <c r="AG54" s="15"/>
      <c r="AH54" s="15" t="str">
        <f t="shared" si="38"/>
        <v>281502660</v>
      </c>
      <c r="AI54" s="21" t="str">
        <f t="shared" si="35"/>
        <v>alp_vw_dv360_imc_dsy_lanch_nd_nc_nvs_nivus-launch-consideracao-orca__trafego_cpm_drct_all_300x50_lancamento-nivus-orca-customerlist_na_lancamento-consideracao-nivus-orca_nvl-nvs-imc-dsy-0820-10054</v>
      </c>
      <c r="AJ54" s="40" t="str">
        <f t="shared" si="35"/>
        <v>alp_vw_dv360_imc_dsy_lanch_nd_nc_nvs_nivus-launch-consideracao-orca__trafego_cpm_drct_all_300x50_lancamento-nivus-orca-customerlist_na_lancamento-consideracao-nivus-orca_nvl-nvs-imc-dsy-0820-10054</v>
      </c>
      <c r="AK54" s="21" t="str">
        <f t="shared" si="2"/>
        <v>vw_nivus_300x50_lancamento-consideracao-nivus-orca_adserver</v>
      </c>
      <c r="AL54" s="21" t="str">
        <f t="shared" si="22"/>
        <v>https://www.vw.com.br/pt/configurador.html/__app/%2Fnivus/0.app?adlid=nvl-nvs-imc-dsy-0820-10054&amp;adplt=alp_vw_dv360_imc_dsy_lanch_nd_nc_nvs_nivus-launch-consideracao-orca__trafego_cpm_drct_all_300x50_lancamento-nivus-orca-customerlist_na_lancamento-consideracao-nivus-orca_nvl-nvs-imc-dsy-0820-10054</v>
      </c>
      <c r="AM54" s="21" t="str">
        <f t="shared" si="4"/>
        <v>TAG</v>
      </c>
      <c r="AN54" s="15" t="str">
        <f t="shared" si="23"/>
        <v>DV360</v>
      </c>
      <c r="AO54" s="15" t="str">
        <f t="shared" si="24"/>
        <v>Paid-Display</v>
      </c>
      <c r="AP54" s="21" t="str">
        <f>Campanha!$B$3</f>
        <v>BR_IMC_DSY_LANCH_ND_NC_2020Q3AUG_NVS_Nivus-Launch-Consideracao-Orca</v>
      </c>
      <c r="AQ54" s="21" t="str">
        <f t="shared" si="7"/>
        <v>alp_vw_dv360_imc_dsy_lanch_nd_nc_nvs_nivus-launch-consideracao-orca__trafego_cpm_drct_all_300x50_lancamento-nivus-orca-customerlist_na_lancamento-consideracao-nivus-orca_nvl-nvs-imc-dsy-0820-10054</v>
      </c>
      <c r="AR54" s="15" t="s">
        <v>745</v>
      </c>
      <c r="AS54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customerlist_na_lancamento-consideracao-nivus-orca_nvl-nvs-imc-dsy-0820-10054&amp;utm_campaign=BR_IMC_DSY_LANCH_ND_NC_2020Q3AUG_NVS_Nivus-Launch-Consideracao-Orca&amp;utm_term=%epid!_%ecid!_%eaid!</v>
      </c>
      <c r="AT54" s="15" t="str">
        <f t="shared" si="25"/>
        <v>other</v>
      </c>
      <c r="AU54" s="15" t="str">
        <f t="shared" si="10"/>
        <v>BR</v>
      </c>
      <c r="AV54" s="15" t="str">
        <f t="shared" si="26"/>
        <v>dv360</v>
      </c>
      <c r="AW54" s="15" t="str">
        <f t="shared" si="27"/>
        <v>dv360</v>
      </c>
      <c r="AX54" s="15" t="str">
        <f t="shared" si="13"/>
        <v>nivus-launch-consideracao-orca</v>
      </c>
      <c r="AY54" s="15" t="str">
        <f t="shared" si="28"/>
        <v>alp_vw_dv360_imc_dsy_lanch_nd_nc_nvs_nivus-launch-consideracao-orca__trafego_cpm_drct_all_300x50_lancamento-nivus-orca-customerlist_na_lancamento-consideracao-nivus-orca_nvl-nvs-imc-dsy-0820-10054</v>
      </c>
      <c r="AZ54" s="15" t="str">
        <f t="shared" si="29"/>
        <v>300x50</v>
      </c>
      <c r="BA54" s="15" t="str">
        <f t="shared" si="30"/>
        <v>lancamento-consideracao-nivus-orca</v>
      </c>
      <c r="BB54" s="28" t="s">
        <v>798</v>
      </c>
      <c r="BC54" s="28" t="s">
        <v>798</v>
      </c>
      <c r="BD54" s="38" t="str">
        <f t="shared" si="31"/>
        <v>nvl-nvs-imc-dsy-0820-10054</v>
      </c>
      <c r="BE54" s="15" t="str">
        <f t="shared" si="32"/>
        <v>BR</v>
      </c>
      <c r="BF54" s="15" t="str">
        <f t="shared" si="33"/>
        <v>paid</v>
      </c>
      <c r="BG54" s="28"/>
      <c r="BH54" s="28"/>
      <c r="BI54" s="36" t="str">
        <f t="shared" si="18"/>
        <v>https://www.vw.com.br/pt/configurador.html/__app/%2Fnivus/0.app?adlid=nvl-nvs-imc-dsy-0820-10054&amp;adplt=alp_vw_dv360_imc_dsy_lanch_nd_nc_nvs_nivus-launch-consideracao-orca__trafego_cpm_drct_all_300x50_lancamento-nivus-orca-customerlist_na_lancamento-consideracao-nivus-orca_nvl-nvs-imc-dsy-0820-10054</v>
      </c>
      <c r="BL54" t="str">
        <f t="shared" si="19"/>
        <v>alp_vw_dv360_imc_dsy_lanch_nd_nc_nvs_nivus-launch-consideracao-orca__trafego</v>
      </c>
      <c r="BM54" t="str">
        <f t="shared" si="20"/>
        <v>cpm_drct_all_300x50_lancamento-nivus-orca-customerlist_na</v>
      </c>
      <c r="BN54" t="str">
        <f t="shared" si="21"/>
        <v>alp_vw_dv360_imc_dsy_lanch_nd_nc_nvs_nivus-launch-consideracao-orca__trafego_cpm_drct_all_300x50_lancamento-nivus-orca-customerlist_na_generico_nvl-nvs-imc-dsy-0820-10054</v>
      </c>
    </row>
    <row r="55" spans="2:66" ht="15.75" customHeight="1" x14ac:dyDescent="0.25">
      <c r="B55" s="15" t="s">
        <v>1291</v>
      </c>
      <c r="C55" s="15" t="s">
        <v>1293</v>
      </c>
      <c r="D55" s="15"/>
      <c r="E55" s="22">
        <v>44069</v>
      </c>
      <c r="F55" s="22">
        <v>44135</v>
      </c>
      <c r="G55" s="15" t="s">
        <v>651</v>
      </c>
      <c r="H55" s="41" t="s">
        <v>1266</v>
      </c>
      <c r="I55" s="15" t="s">
        <v>801</v>
      </c>
      <c r="J55" s="42" t="s">
        <v>883</v>
      </c>
      <c r="K55" s="42" t="s">
        <v>883</v>
      </c>
      <c r="L55" s="15" t="s">
        <v>676</v>
      </c>
      <c r="M55" s="15" t="s">
        <v>276</v>
      </c>
      <c r="N55" s="15" t="s">
        <v>295</v>
      </c>
      <c r="O55" s="15" t="s">
        <v>677</v>
      </c>
      <c r="P55" s="15" t="str">
        <f>VLOOKUP(Y55,'All Codes'!$BF$3:$BG$278,2,FALSE)</f>
        <v>Skyscraper</v>
      </c>
      <c r="Q55" s="15" t="s">
        <v>179</v>
      </c>
      <c r="R55" s="15" t="s">
        <v>277</v>
      </c>
      <c r="S55" s="15" t="s">
        <v>865</v>
      </c>
      <c r="T55" s="46" t="s">
        <v>884</v>
      </c>
      <c r="U55" s="15" t="s">
        <v>876</v>
      </c>
      <c r="V55" s="54" t="s">
        <v>892</v>
      </c>
      <c r="W55" s="15" t="s">
        <v>866</v>
      </c>
      <c r="X55" s="15" t="s">
        <v>307</v>
      </c>
      <c r="Y55" s="46" t="s">
        <v>434</v>
      </c>
      <c r="Z55" s="15"/>
      <c r="AA55" s="15"/>
      <c r="AB55" s="15"/>
      <c r="AC55" s="15"/>
      <c r="AD55" s="15"/>
      <c r="AE55" s="15"/>
      <c r="AF55" s="15"/>
      <c r="AG55" s="15"/>
      <c r="AH55" s="15" t="str">
        <f t="shared" si="38"/>
        <v>281502657</v>
      </c>
      <c r="AI55" s="21" t="str">
        <f t="shared" si="35"/>
        <v>alp_vw_dv360_imc_dsy_lanch_nd_nc_nvs_nivus-launch-consideracao-orca__trafego_cpm_drct_all_160x600_lancamento-nivus-orca-customerlist_na_lancamento-consideracao-nivus-orca_nvl-nvs-imc-dsy-0820-10055</v>
      </c>
      <c r="AJ55" s="40" t="str">
        <f t="shared" si="35"/>
        <v>alp_vw_dv360_imc_dsy_lanch_nd_nc_nvs_nivus-launch-consideracao-orca__trafego_cpm_drct_all_160x600_lancamento-nivus-orca-customerlist_na_lancamento-consideracao-nivus-orca_nvl-nvs-imc-dsy-0820-10055</v>
      </c>
      <c r="AK55" s="21" t="str">
        <f t="shared" si="2"/>
        <v>vw_nivus_160x600_lancamento-consideracao-nivus-orca_adserver</v>
      </c>
      <c r="AL55" s="21" t="str">
        <f t="shared" si="22"/>
        <v>https://www.vw.com.br/pt/configurador.html/__app/%2Fnivus/0.app?adlid=nvl-nvs-imc-dsy-0820-10055&amp;adplt=alp_vw_dv360_imc_dsy_lanch_nd_nc_nvs_nivus-launch-consideracao-orca__trafego_cpm_drct_all_160x600_lancamento-nivus-orca-customerlist_na_lancamento-consideracao-nivus-orca_nvl-nvs-imc-dsy-0820-10055</v>
      </c>
      <c r="AM55" s="21" t="str">
        <f t="shared" si="4"/>
        <v>TAG</v>
      </c>
      <c r="AN55" s="15" t="str">
        <f t="shared" si="23"/>
        <v>DV360</v>
      </c>
      <c r="AO55" s="15" t="str">
        <f t="shared" si="24"/>
        <v>Paid-Display</v>
      </c>
      <c r="AP55" s="21" t="str">
        <f>Campanha!$B$3</f>
        <v>BR_IMC_DSY_LANCH_ND_NC_2020Q3AUG_NVS_Nivus-Launch-Consideracao-Orca</v>
      </c>
      <c r="AQ55" s="21" t="str">
        <f t="shared" si="7"/>
        <v>alp_vw_dv360_imc_dsy_lanch_nd_nc_nvs_nivus-launch-consideracao-orca__trafego_cpm_drct_all_160x600_lancamento-nivus-orca-customerlist_na_lancamento-consideracao-nivus-orca_nvl-nvs-imc-dsy-0820-10055</v>
      </c>
      <c r="AR55" s="15" t="s">
        <v>745</v>
      </c>
      <c r="AS55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customerlist_na_lancamento-consideracao-nivus-orca_nvl-nvs-imc-dsy-0820-10055&amp;utm_campaign=BR_IMC_DSY_LANCH_ND_NC_2020Q3AUG_NVS_Nivus-Launch-Consideracao-Orca&amp;utm_term=%epid!_%ecid!_%eaid!</v>
      </c>
      <c r="AT55" s="15" t="str">
        <f t="shared" si="25"/>
        <v>other</v>
      </c>
      <c r="AU55" s="15" t="str">
        <f t="shared" si="10"/>
        <v>BR</v>
      </c>
      <c r="AV55" s="15" t="str">
        <f t="shared" si="26"/>
        <v>dv360</v>
      </c>
      <c r="AW55" s="15" t="str">
        <f t="shared" si="27"/>
        <v>dv360</v>
      </c>
      <c r="AX55" s="15" t="str">
        <f t="shared" si="13"/>
        <v>nivus-launch-consideracao-orca</v>
      </c>
      <c r="AY55" s="15" t="str">
        <f t="shared" si="28"/>
        <v>alp_vw_dv360_imc_dsy_lanch_nd_nc_nvs_nivus-launch-consideracao-orca__trafego_cpm_drct_all_160x600_lancamento-nivus-orca-customerlist_na_lancamento-consideracao-nivus-orca_nvl-nvs-imc-dsy-0820-10055</v>
      </c>
      <c r="AZ55" s="15" t="str">
        <f t="shared" si="29"/>
        <v>160x600</v>
      </c>
      <c r="BA55" s="15" t="str">
        <f t="shared" si="30"/>
        <v>lancamento-consideracao-nivus-orca</v>
      </c>
      <c r="BB55" s="28" t="s">
        <v>798</v>
      </c>
      <c r="BC55" s="28" t="s">
        <v>798</v>
      </c>
      <c r="BD55" s="38" t="str">
        <f t="shared" si="31"/>
        <v>nvl-nvs-imc-dsy-0820-10055</v>
      </c>
      <c r="BE55" s="15" t="str">
        <f t="shared" si="32"/>
        <v>BR</v>
      </c>
      <c r="BF55" s="15" t="str">
        <f t="shared" si="33"/>
        <v>paid</v>
      </c>
      <c r="BG55" s="28"/>
      <c r="BH55" s="28"/>
      <c r="BI55" s="36" t="str">
        <f t="shared" si="18"/>
        <v>https://www.vw.com.br/pt/configurador.html/__app/%2Fnivus/0.app?adlid=nvl-nvs-imc-dsy-0820-10055&amp;adplt=alp_vw_dv360_imc_dsy_lanch_nd_nc_nvs_nivus-launch-consideracao-orca__trafego_cpm_drct_all_160x600_lancamento-nivus-orca-customerlist_na_lancamento-consideracao-nivus-orca_nvl-nvs-imc-dsy-0820-10055</v>
      </c>
      <c r="BL55" t="str">
        <f t="shared" si="19"/>
        <v>alp_vw_dv360_imc_dsy_lanch_nd_nc_nvs_nivus-launch-consideracao-orca__trafego</v>
      </c>
      <c r="BM55" t="str">
        <f t="shared" si="20"/>
        <v>cpm_drct_all_160x600_lancamento-nivus-orca-customerlist_na</v>
      </c>
      <c r="BN55" t="str">
        <f t="shared" si="21"/>
        <v>alp_vw_dv360_imc_dsy_lanch_nd_nc_nvs_nivus-launch-consideracao-orca__trafego_cpm_drct_all_160x600_lancamento-nivus-orca-customerlist_na_generico_nvl-nvs-imc-dsy-0820-10055</v>
      </c>
    </row>
    <row r="56" spans="2:66" ht="15.75" customHeight="1" x14ac:dyDescent="0.25">
      <c r="B56" s="15" t="s">
        <v>1291</v>
      </c>
      <c r="C56" s="15" t="s">
        <v>1293</v>
      </c>
      <c r="D56" s="15"/>
      <c r="E56" s="22">
        <v>44069</v>
      </c>
      <c r="F56" s="22">
        <v>44135</v>
      </c>
      <c r="G56" s="15" t="s">
        <v>651</v>
      </c>
      <c r="H56" s="41" t="s">
        <v>1266</v>
      </c>
      <c r="I56" s="15" t="s">
        <v>801</v>
      </c>
      <c r="J56" s="42" t="s">
        <v>883</v>
      </c>
      <c r="K56" s="42" t="s">
        <v>883</v>
      </c>
      <c r="L56" s="15" t="s">
        <v>676</v>
      </c>
      <c r="M56" s="15" t="s">
        <v>276</v>
      </c>
      <c r="N56" s="15" t="s">
        <v>295</v>
      </c>
      <c r="O56" s="15" t="s">
        <v>677</v>
      </c>
      <c r="P56" s="15" t="str">
        <f>VLOOKUP(Y56,'All Codes'!$BF$3:$BG$278,2,FALSE)</f>
        <v>MPU</v>
      </c>
      <c r="Q56" s="15" t="s">
        <v>179</v>
      </c>
      <c r="R56" s="15" t="s">
        <v>277</v>
      </c>
      <c r="S56" s="15" t="s">
        <v>865</v>
      </c>
      <c r="T56" s="46" t="s">
        <v>884</v>
      </c>
      <c r="U56" s="15" t="s">
        <v>876</v>
      </c>
      <c r="V56" s="54" t="s">
        <v>892</v>
      </c>
      <c r="W56" s="15" t="s">
        <v>866</v>
      </c>
      <c r="X56" s="15" t="s">
        <v>307</v>
      </c>
      <c r="Y56" s="46" t="s">
        <v>455</v>
      </c>
      <c r="Z56" s="15"/>
      <c r="AA56" s="15"/>
      <c r="AB56" s="15"/>
      <c r="AC56" s="15"/>
      <c r="AD56" s="15"/>
      <c r="AE56" s="15"/>
      <c r="AF56" s="15"/>
      <c r="AG56" s="15"/>
      <c r="AH56" s="15" t="str">
        <f t="shared" si="34"/>
        <v>281502654</v>
      </c>
      <c r="AI56" s="21" t="str">
        <f t="shared" si="35"/>
        <v>alp_vw_dv360_imc_dsy_lanch_nd_nc_nvs_nivus-launch-consideracao-orca__trafego_cpm_drct_all_300x250_lancamento-nivus-orca-customerlist_na_lancamento-consideracao-nivus-orca_nvl-nvs-imc-dsy-0820-10056</v>
      </c>
      <c r="AJ56" s="40" t="str">
        <f t="shared" si="35"/>
        <v>alp_vw_dv360_imc_dsy_lanch_nd_nc_nvs_nivus-launch-consideracao-orca__trafego_cpm_drct_all_300x250_lancamento-nivus-orca-customerlist_na_lancamento-consideracao-nivus-orca_nvl-nvs-imc-dsy-0820-10056</v>
      </c>
      <c r="AK56" s="21" t="str">
        <f t="shared" si="2"/>
        <v>vw_nivus_300x250_lancamento-consideracao-nivus-orca_adserver</v>
      </c>
      <c r="AL56" s="21" t="str">
        <f t="shared" si="22"/>
        <v>https://www.vw.com.br/pt/configurador.html/__app/%2Fnivus/0.app?adlid=nvl-nvs-imc-dsy-0820-10056&amp;adplt=alp_vw_dv360_imc_dsy_lanch_nd_nc_nvs_nivus-launch-consideracao-orca__trafego_cpm_drct_all_300x250_lancamento-nivus-orca-customerlist_na_lancamento-consideracao-nivus-orca_nvl-nvs-imc-dsy-0820-10056</v>
      </c>
      <c r="AM56" s="21" t="str">
        <f t="shared" si="4"/>
        <v>TAG</v>
      </c>
      <c r="AN56" s="15" t="str">
        <f t="shared" si="23"/>
        <v>DV360</v>
      </c>
      <c r="AO56" s="15" t="str">
        <f t="shared" si="24"/>
        <v>Paid-Display</v>
      </c>
      <c r="AP56" s="21" t="str">
        <f>Campanha!$B$3</f>
        <v>BR_IMC_DSY_LANCH_ND_NC_2020Q3AUG_NVS_Nivus-Launch-Consideracao-Orca</v>
      </c>
      <c r="AQ56" s="21" t="str">
        <f t="shared" si="7"/>
        <v>alp_vw_dv360_imc_dsy_lanch_nd_nc_nvs_nivus-launch-consideracao-orca__trafego_cpm_drct_all_300x250_lancamento-nivus-orca-customerlist_na_lancamento-consideracao-nivus-orca_nvl-nvs-imc-dsy-0820-10056</v>
      </c>
      <c r="AR56" s="15" t="s">
        <v>745</v>
      </c>
      <c r="AS56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customerlist_na_lancamento-consideracao-nivus-orca_nvl-nvs-imc-dsy-0820-10056&amp;utm_campaign=BR_IMC_DSY_LANCH_ND_NC_2020Q3AUG_NVS_Nivus-Launch-Consideracao-Orca&amp;utm_term=%epid!_%ecid!_%eaid!</v>
      </c>
      <c r="AT56" s="15" t="str">
        <f t="shared" si="25"/>
        <v>other</v>
      </c>
      <c r="AU56" s="15" t="str">
        <f t="shared" si="10"/>
        <v>BR</v>
      </c>
      <c r="AV56" s="15" t="str">
        <f t="shared" si="26"/>
        <v>dv360</v>
      </c>
      <c r="AW56" s="15" t="str">
        <f t="shared" si="27"/>
        <v>dv360</v>
      </c>
      <c r="AX56" s="15" t="str">
        <f t="shared" si="13"/>
        <v>nivus-launch-consideracao-orca</v>
      </c>
      <c r="AY56" s="15" t="str">
        <f t="shared" si="28"/>
        <v>alp_vw_dv360_imc_dsy_lanch_nd_nc_nvs_nivus-launch-consideracao-orca__trafego_cpm_drct_all_300x250_lancamento-nivus-orca-customerlist_na_lancamento-consideracao-nivus-orca_nvl-nvs-imc-dsy-0820-10056</v>
      </c>
      <c r="AZ56" s="15" t="str">
        <f t="shared" si="29"/>
        <v>300x250</v>
      </c>
      <c r="BA56" s="15" t="str">
        <f t="shared" si="30"/>
        <v>lancamento-consideracao-nivus-orca</v>
      </c>
      <c r="BB56" s="28" t="s">
        <v>798</v>
      </c>
      <c r="BC56" s="28" t="s">
        <v>798</v>
      </c>
      <c r="BD56" s="38" t="str">
        <f t="shared" si="31"/>
        <v>nvl-nvs-imc-dsy-0820-10056</v>
      </c>
      <c r="BE56" s="15" t="str">
        <f t="shared" si="32"/>
        <v>BR</v>
      </c>
      <c r="BF56" s="15" t="str">
        <f t="shared" si="33"/>
        <v>paid</v>
      </c>
      <c r="BG56" s="28"/>
      <c r="BH56" s="28"/>
      <c r="BI56" s="36" t="str">
        <f t="shared" si="18"/>
        <v>https://www.vw.com.br/pt/configurador.html/__app/%2Fnivus/0.app?adlid=nvl-nvs-imc-dsy-0820-10056&amp;adplt=alp_vw_dv360_imc_dsy_lanch_nd_nc_nvs_nivus-launch-consideracao-orca__trafego_cpm_drct_all_300x250_lancamento-nivus-orca-customerlist_na_lancamento-consideracao-nivus-orca_nvl-nvs-imc-dsy-0820-10056</v>
      </c>
      <c r="BL56" t="str">
        <f t="shared" si="19"/>
        <v>alp_vw_dv360_imc_dsy_lanch_nd_nc_nvs_nivus-launch-consideracao-orca__trafego</v>
      </c>
      <c r="BM56" t="str">
        <f t="shared" si="20"/>
        <v>cpm_drct_all_300x250_lancamento-nivus-orca-customerlist_na</v>
      </c>
      <c r="BN56" t="str">
        <f t="shared" si="21"/>
        <v>alp_vw_dv360_imc_dsy_lanch_nd_nc_nvs_nivus-launch-consideracao-orca__trafego_cpm_drct_all_300x250_lancamento-nivus-orca-customerlist_na_generico_nvl-nvs-imc-dsy-0820-10056</v>
      </c>
    </row>
    <row r="57" spans="2:66" ht="15.75" customHeight="1" x14ac:dyDescent="0.25">
      <c r="B57" s="15" t="s">
        <v>1291</v>
      </c>
      <c r="C57" s="15" t="s">
        <v>1293</v>
      </c>
      <c r="D57" s="15"/>
      <c r="E57" s="22">
        <v>44069</v>
      </c>
      <c r="F57" s="22">
        <v>44135</v>
      </c>
      <c r="G57" s="15" t="s">
        <v>651</v>
      </c>
      <c r="H57" s="41" t="s">
        <v>1266</v>
      </c>
      <c r="I57" s="15" t="s">
        <v>801</v>
      </c>
      <c r="J57" s="42" t="s">
        <v>883</v>
      </c>
      <c r="K57" s="42" t="s">
        <v>883</v>
      </c>
      <c r="L57" s="15" t="s">
        <v>676</v>
      </c>
      <c r="M57" s="15" t="s">
        <v>276</v>
      </c>
      <c r="N57" s="15" t="s">
        <v>295</v>
      </c>
      <c r="O57" s="15" t="s">
        <v>677</v>
      </c>
      <c r="P57" s="15" t="str">
        <f>VLOOKUP(Y57,'All Codes'!$BF$3:$BG$278,2,FALSE)</f>
        <v>Skyscraper</v>
      </c>
      <c r="Q57" s="15" t="s">
        <v>179</v>
      </c>
      <c r="R57" s="15" t="s">
        <v>277</v>
      </c>
      <c r="S57" s="15" t="s">
        <v>865</v>
      </c>
      <c r="T57" s="46" t="s">
        <v>884</v>
      </c>
      <c r="U57" s="15" t="s">
        <v>876</v>
      </c>
      <c r="V57" s="54" t="s">
        <v>892</v>
      </c>
      <c r="W57" s="15" t="s">
        <v>866</v>
      </c>
      <c r="X57" s="15" t="s">
        <v>307</v>
      </c>
      <c r="Y57" s="46" t="s">
        <v>464</v>
      </c>
      <c r="Z57" s="15"/>
      <c r="AA57" s="15"/>
      <c r="AB57" s="15"/>
      <c r="AC57" s="15"/>
      <c r="AD57" s="15"/>
      <c r="AE57" s="15"/>
      <c r="AF57" s="15"/>
      <c r="AG57" s="15"/>
      <c r="AH57" s="15" t="str">
        <f t="shared" si="34"/>
        <v>281502651</v>
      </c>
      <c r="AI57" s="21" t="str">
        <f t="shared" si="35"/>
        <v>alp_vw_dv360_imc_dsy_lanch_nd_nc_nvs_nivus-launch-consideracao-orca__trafego_cpm_drct_all_300x600_lancamento-nivus-orca-customerlist_na_lancamento-consideracao-nivus-orca_nvl-nvs-imc-dsy-0820-10057</v>
      </c>
      <c r="AJ57" s="40" t="str">
        <f t="shared" si="35"/>
        <v>alp_vw_dv360_imc_dsy_lanch_nd_nc_nvs_nivus-launch-consideracao-orca__trafego_cpm_drct_all_300x600_lancamento-nivus-orca-customerlist_na_lancamento-consideracao-nivus-orca_nvl-nvs-imc-dsy-0820-10057</v>
      </c>
      <c r="AK57" s="21" t="str">
        <f t="shared" si="2"/>
        <v>vw_nivus_300x600_lancamento-consideracao-nivus-orca_adserver</v>
      </c>
      <c r="AL57" s="21" t="str">
        <f t="shared" si="22"/>
        <v>https://www.vw.com.br/pt/configurador.html/__app/%2Fnivus/0.app?adlid=nvl-nvs-imc-dsy-0820-10057&amp;adplt=alp_vw_dv360_imc_dsy_lanch_nd_nc_nvs_nivus-launch-consideracao-orca__trafego_cpm_drct_all_300x600_lancamento-nivus-orca-customerlist_na_lancamento-consideracao-nivus-orca_nvl-nvs-imc-dsy-0820-10057</v>
      </c>
      <c r="AM57" s="21" t="str">
        <f t="shared" si="4"/>
        <v>TAG</v>
      </c>
      <c r="AN57" s="15" t="str">
        <f t="shared" si="23"/>
        <v>DV360</v>
      </c>
      <c r="AO57" s="15" t="str">
        <f t="shared" si="24"/>
        <v>Paid-Display</v>
      </c>
      <c r="AP57" s="21" t="str">
        <f>Campanha!$B$3</f>
        <v>BR_IMC_DSY_LANCH_ND_NC_2020Q3AUG_NVS_Nivus-Launch-Consideracao-Orca</v>
      </c>
      <c r="AQ57" s="21" t="str">
        <f t="shared" si="7"/>
        <v>alp_vw_dv360_imc_dsy_lanch_nd_nc_nvs_nivus-launch-consideracao-orca__trafego_cpm_drct_all_300x600_lancamento-nivus-orca-customerlist_na_lancamento-consideracao-nivus-orca_nvl-nvs-imc-dsy-0820-10057</v>
      </c>
      <c r="AR57" s="15" t="s">
        <v>745</v>
      </c>
      <c r="AS57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customerlist_na_lancamento-consideracao-nivus-orca_nvl-nvs-imc-dsy-0820-10057&amp;utm_campaign=BR_IMC_DSY_LANCH_ND_NC_2020Q3AUG_NVS_Nivus-Launch-Consideracao-Orca&amp;utm_term=%epid!_%ecid!_%eaid!</v>
      </c>
      <c r="AT57" s="15" t="str">
        <f t="shared" si="25"/>
        <v>other</v>
      </c>
      <c r="AU57" s="15" t="str">
        <f t="shared" si="10"/>
        <v>BR</v>
      </c>
      <c r="AV57" s="15" t="str">
        <f t="shared" si="26"/>
        <v>dv360</v>
      </c>
      <c r="AW57" s="15" t="str">
        <f t="shared" si="27"/>
        <v>dv360</v>
      </c>
      <c r="AX57" s="15" t="str">
        <f t="shared" si="13"/>
        <v>nivus-launch-consideracao-orca</v>
      </c>
      <c r="AY57" s="15" t="str">
        <f t="shared" si="28"/>
        <v>alp_vw_dv360_imc_dsy_lanch_nd_nc_nvs_nivus-launch-consideracao-orca__trafego_cpm_drct_all_300x600_lancamento-nivus-orca-customerlist_na_lancamento-consideracao-nivus-orca_nvl-nvs-imc-dsy-0820-10057</v>
      </c>
      <c r="AZ57" s="15" t="str">
        <f t="shared" si="29"/>
        <v>300x600</v>
      </c>
      <c r="BA57" s="15" t="str">
        <f t="shared" si="30"/>
        <v>lancamento-consideracao-nivus-orca</v>
      </c>
      <c r="BB57" s="28" t="s">
        <v>798</v>
      </c>
      <c r="BC57" s="28" t="s">
        <v>798</v>
      </c>
      <c r="BD57" s="38" t="str">
        <f t="shared" si="31"/>
        <v>nvl-nvs-imc-dsy-0820-10057</v>
      </c>
      <c r="BE57" s="15" t="str">
        <f t="shared" si="32"/>
        <v>BR</v>
      </c>
      <c r="BF57" s="15" t="str">
        <f t="shared" si="33"/>
        <v>paid</v>
      </c>
      <c r="BG57" s="28"/>
      <c r="BH57" s="28"/>
      <c r="BI57" s="36" t="str">
        <f t="shared" si="18"/>
        <v>https://www.vw.com.br/pt/configurador.html/__app/%2Fnivus/0.app?adlid=nvl-nvs-imc-dsy-0820-10057&amp;adplt=alp_vw_dv360_imc_dsy_lanch_nd_nc_nvs_nivus-launch-consideracao-orca__trafego_cpm_drct_all_300x600_lancamento-nivus-orca-customerlist_na_lancamento-consideracao-nivus-orca_nvl-nvs-imc-dsy-0820-10057</v>
      </c>
      <c r="BL57" t="str">
        <f t="shared" si="19"/>
        <v>alp_vw_dv360_imc_dsy_lanch_nd_nc_nvs_nivus-launch-consideracao-orca__trafego</v>
      </c>
      <c r="BM57" t="str">
        <f t="shared" si="20"/>
        <v>cpm_drct_all_300x600_lancamento-nivus-orca-customerlist_na</v>
      </c>
      <c r="BN57" t="str">
        <f t="shared" si="21"/>
        <v>alp_vw_dv360_imc_dsy_lanch_nd_nc_nvs_nivus-launch-consideracao-orca__trafego_cpm_drct_all_300x600_lancamento-nivus-orca-customerlist_na_generico_nvl-nvs-imc-dsy-0820-10057</v>
      </c>
    </row>
    <row r="58" spans="2:66" ht="15.75" customHeight="1" x14ac:dyDescent="0.25">
      <c r="B58" s="15" t="s">
        <v>1291</v>
      </c>
      <c r="C58" s="15" t="s">
        <v>1293</v>
      </c>
      <c r="D58" s="15"/>
      <c r="E58" s="22">
        <v>44069</v>
      </c>
      <c r="F58" s="22">
        <v>44135</v>
      </c>
      <c r="G58" s="15" t="s">
        <v>651</v>
      </c>
      <c r="H58" s="41" t="s">
        <v>1266</v>
      </c>
      <c r="I58" s="15" t="s">
        <v>801</v>
      </c>
      <c r="J58" s="42" t="s">
        <v>883</v>
      </c>
      <c r="K58" s="42" t="s">
        <v>883</v>
      </c>
      <c r="L58" s="15" t="s">
        <v>676</v>
      </c>
      <c r="M58" s="15" t="s">
        <v>276</v>
      </c>
      <c r="N58" s="15" t="s">
        <v>295</v>
      </c>
      <c r="O58" s="15" t="s">
        <v>677</v>
      </c>
      <c r="P58" s="15" t="str">
        <f>VLOOKUP(Y58,'All Codes'!$BF$3:$BG$278,2,FALSE)</f>
        <v>MPU</v>
      </c>
      <c r="Q58" s="15" t="s">
        <v>179</v>
      </c>
      <c r="R58" s="15" t="s">
        <v>277</v>
      </c>
      <c r="S58" s="15" t="s">
        <v>865</v>
      </c>
      <c r="T58" s="46" t="s">
        <v>884</v>
      </c>
      <c r="U58" s="15" t="s">
        <v>876</v>
      </c>
      <c r="V58" s="54" t="s">
        <v>892</v>
      </c>
      <c r="W58" s="15" t="s">
        <v>866</v>
      </c>
      <c r="X58" s="15" t="s">
        <v>307</v>
      </c>
      <c r="Y58" s="46" t="s">
        <v>479</v>
      </c>
      <c r="Z58" s="15"/>
      <c r="AA58" s="15"/>
      <c r="AB58" s="15"/>
      <c r="AC58" s="15"/>
      <c r="AD58" s="15"/>
      <c r="AE58" s="15"/>
      <c r="AF58" s="15"/>
      <c r="AG58" s="15"/>
      <c r="AH58" s="15" t="str">
        <f t="shared" si="34"/>
        <v>281502648</v>
      </c>
      <c r="AI58" s="21" t="str">
        <f t="shared" si="35"/>
        <v>alp_vw_dv360_imc_dsy_lanch_nd_nc_nvs_nivus-launch-consideracao-orca__trafego_cpm_drct_all_320x50_lancamento-nivus-orca-customerlist_na_lancamento-consideracao-nivus-orca_nvl-nvs-imc-dsy-0820-10058</v>
      </c>
      <c r="AJ58" s="40" t="str">
        <f t="shared" si="35"/>
        <v>alp_vw_dv360_imc_dsy_lanch_nd_nc_nvs_nivus-launch-consideracao-orca__trafego_cpm_drct_all_320x50_lancamento-nivus-orca-customerlist_na_lancamento-consideracao-nivus-orca_nvl-nvs-imc-dsy-0820-10058</v>
      </c>
      <c r="AK58" s="21" t="str">
        <f t="shared" si="2"/>
        <v>vw_nivus_320x50_lancamento-consideracao-nivus-orca_adserver</v>
      </c>
      <c r="AL58" s="21" t="str">
        <f t="shared" si="22"/>
        <v>https://www.vw.com.br/pt/configurador.html/__app/%2Fnivus/0.app?adlid=nvl-nvs-imc-dsy-0820-10058&amp;adplt=alp_vw_dv360_imc_dsy_lanch_nd_nc_nvs_nivus-launch-consideracao-orca__trafego_cpm_drct_all_320x50_lancamento-nivus-orca-customerlist_na_lancamento-consideracao-nivus-orca_nvl-nvs-imc-dsy-0820-10058</v>
      </c>
      <c r="AM58" s="21" t="str">
        <f t="shared" si="4"/>
        <v>TAG</v>
      </c>
      <c r="AN58" s="15" t="str">
        <f t="shared" si="23"/>
        <v>DV360</v>
      </c>
      <c r="AO58" s="15" t="str">
        <f t="shared" si="24"/>
        <v>Paid-Display</v>
      </c>
      <c r="AP58" s="21" t="str">
        <f>Campanha!$B$3</f>
        <v>BR_IMC_DSY_LANCH_ND_NC_2020Q3AUG_NVS_Nivus-Launch-Consideracao-Orca</v>
      </c>
      <c r="AQ58" s="21" t="str">
        <f t="shared" si="7"/>
        <v>alp_vw_dv360_imc_dsy_lanch_nd_nc_nvs_nivus-launch-consideracao-orca__trafego_cpm_drct_all_320x50_lancamento-nivus-orca-customerlist_na_lancamento-consideracao-nivus-orca_nvl-nvs-imc-dsy-0820-10058</v>
      </c>
      <c r="AR58" s="15" t="s">
        <v>745</v>
      </c>
      <c r="AS58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customerlist_na_lancamento-consideracao-nivus-orca_nvl-nvs-imc-dsy-0820-10058&amp;utm_campaign=BR_IMC_DSY_LANCH_ND_NC_2020Q3AUG_NVS_Nivus-Launch-Consideracao-Orca&amp;utm_term=%epid!_%ecid!_%eaid!</v>
      </c>
      <c r="AT58" s="15" t="str">
        <f t="shared" si="25"/>
        <v>other</v>
      </c>
      <c r="AU58" s="15" t="str">
        <f t="shared" si="10"/>
        <v>BR</v>
      </c>
      <c r="AV58" s="15" t="str">
        <f t="shared" si="26"/>
        <v>dv360</v>
      </c>
      <c r="AW58" s="15" t="str">
        <f t="shared" si="27"/>
        <v>dv360</v>
      </c>
      <c r="AX58" s="15" t="str">
        <f t="shared" si="13"/>
        <v>nivus-launch-consideracao-orca</v>
      </c>
      <c r="AY58" s="15" t="str">
        <f t="shared" si="28"/>
        <v>alp_vw_dv360_imc_dsy_lanch_nd_nc_nvs_nivus-launch-consideracao-orca__trafego_cpm_drct_all_320x50_lancamento-nivus-orca-customerlist_na_lancamento-consideracao-nivus-orca_nvl-nvs-imc-dsy-0820-10058</v>
      </c>
      <c r="AZ58" s="15" t="str">
        <f t="shared" si="29"/>
        <v>320x50</v>
      </c>
      <c r="BA58" s="15" t="str">
        <f t="shared" si="30"/>
        <v>lancamento-consideracao-nivus-orca</v>
      </c>
      <c r="BB58" s="28" t="s">
        <v>798</v>
      </c>
      <c r="BC58" s="28" t="s">
        <v>798</v>
      </c>
      <c r="BD58" s="38" t="str">
        <f t="shared" si="31"/>
        <v>nvl-nvs-imc-dsy-0820-10058</v>
      </c>
      <c r="BE58" s="15" t="str">
        <f t="shared" si="32"/>
        <v>BR</v>
      </c>
      <c r="BF58" s="15" t="str">
        <f t="shared" si="33"/>
        <v>paid</v>
      </c>
      <c r="BG58" s="28"/>
      <c r="BH58" s="28"/>
      <c r="BI58" s="36" t="str">
        <f t="shared" si="18"/>
        <v>https://www.vw.com.br/pt/configurador.html/__app/%2Fnivus/0.app?adlid=nvl-nvs-imc-dsy-0820-10058&amp;adplt=alp_vw_dv360_imc_dsy_lanch_nd_nc_nvs_nivus-launch-consideracao-orca__trafego_cpm_drct_all_320x50_lancamento-nivus-orca-customerlist_na_lancamento-consideracao-nivus-orca_nvl-nvs-imc-dsy-0820-10058</v>
      </c>
      <c r="BL58" t="str">
        <f t="shared" si="19"/>
        <v>alp_vw_dv360_imc_dsy_lanch_nd_nc_nvs_nivus-launch-consideracao-orca__trafego</v>
      </c>
      <c r="BM58" t="str">
        <f t="shared" si="20"/>
        <v>cpm_drct_all_320x50_lancamento-nivus-orca-customerlist_na</v>
      </c>
      <c r="BN58" t="str">
        <f t="shared" si="21"/>
        <v>alp_vw_dv360_imc_dsy_lanch_nd_nc_nvs_nivus-launch-consideracao-orca__trafego_cpm_drct_all_320x50_lancamento-nivus-orca-customerlist_na_generico_nvl-nvs-imc-dsy-0820-10058</v>
      </c>
    </row>
    <row r="59" spans="2:66" ht="15.75" customHeight="1" x14ac:dyDescent="0.25">
      <c r="B59" s="15" t="s">
        <v>1291</v>
      </c>
      <c r="C59" s="15" t="s">
        <v>1293</v>
      </c>
      <c r="D59" s="15"/>
      <c r="E59" s="22">
        <v>44069</v>
      </c>
      <c r="F59" s="22">
        <v>44135</v>
      </c>
      <c r="G59" s="15" t="s">
        <v>651</v>
      </c>
      <c r="H59" s="41" t="s">
        <v>1266</v>
      </c>
      <c r="I59" s="15" t="s">
        <v>801</v>
      </c>
      <c r="J59" s="42" t="s">
        <v>883</v>
      </c>
      <c r="K59" s="42" t="s">
        <v>883</v>
      </c>
      <c r="L59" s="15" t="s">
        <v>676</v>
      </c>
      <c r="M59" s="15" t="s">
        <v>276</v>
      </c>
      <c r="N59" s="15" t="s">
        <v>295</v>
      </c>
      <c r="O59" s="15" t="s">
        <v>677</v>
      </c>
      <c r="P59" s="15" t="str">
        <f>VLOOKUP(Y59,'All Codes'!$BF$3:$BG$278,2,FALSE)</f>
        <v>Leaderboard</v>
      </c>
      <c r="Q59" s="15" t="s">
        <v>179</v>
      </c>
      <c r="R59" s="15" t="s">
        <v>277</v>
      </c>
      <c r="S59" s="15" t="s">
        <v>865</v>
      </c>
      <c r="T59" s="46" t="s">
        <v>884</v>
      </c>
      <c r="U59" s="15" t="s">
        <v>876</v>
      </c>
      <c r="V59" s="54" t="s">
        <v>892</v>
      </c>
      <c r="W59" s="15" t="s">
        <v>866</v>
      </c>
      <c r="X59" s="15" t="s">
        <v>307</v>
      </c>
      <c r="Y59" s="46" t="s">
        <v>591</v>
      </c>
      <c r="Z59" s="15"/>
      <c r="AA59" s="15"/>
      <c r="AB59" s="15"/>
      <c r="AC59" s="15"/>
      <c r="AD59" s="15"/>
      <c r="AE59" s="15"/>
      <c r="AF59" s="15"/>
      <c r="AG59" s="15"/>
      <c r="AH59" s="15" t="str">
        <f t="shared" ref="AH59:AH88" si="39">VLOOKUP(AI59,id_placement,2,FALSE)</f>
        <v>281502645</v>
      </c>
      <c r="AI59" s="21" t="str">
        <f t="shared" si="35"/>
        <v>alp_vw_dv360_imc_dsy_lanch_nd_nc_nvs_nivus-launch-consideracao-orca__trafego_cpm_drct_all_728x90_lancamento-nivus-orca-customerlist_na_lancamento-consideracao-nivus-orca_nvl-nvs-imc-dsy-0820-10059</v>
      </c>
      <c r="AJ59" s="40" t="str">
        <f t="shared" si="35"/>
        <v>alp_vw_dv360_imc_dsy_lanch_nd_nc_nvs_nivus-launch-consideracao-orca__trafego_cpm_drct_all_728x90_lancamento-nivus-orca-customerlist_na_lancamento-consideracao-nivus-orca_nvl-nvs-imc-dsy-0820-10059</v>
      </c>
      <c r="AK59" s="21" t="str">
        <f t="shared" si="2"/>
        <v>vw_nivus_728x90_lancamento-consideracao-nivus-orca_adserver</v>
      </c>
      <c r="AL59" s="21" t="str">
        <f t="shared" si="22"/>
        <v>https://www.vw.com.br/pt/configurador.html/__app/%2Fnivus/0.app?adlid=nvl-nvs-imc-dsy-0820-10059&amp;adplt=alp_vw_dv360_imc_dsy_lanch_nd_nc_nvs_nivus-launch-consideracao-orca__trafego_cpm_drct_all_728x90_lancamento-nivus-orca-customerlist_na_lancamento-consideracao-nivus-orca_nvl-nvs-imc-dsy-0820-10059</v>
      </c>
      <c r="AM59" s="21" t="str">
        <f t="shared" si="4"/>
        <v>TAG</v>
      </c>
      <c r="AN59" s="15" t="str">
        <f t="shared" si="23"/>
        <v>DV360</v>
      </c>
      <c r="AO59" s="15" t="str">
        <f t="shared" si="24"/>
        <v>Paid-Display</v>
      </c>
      <c r="AP59" s="21" t="str">
        <f>Campanha!$B$3</f>
        <v>BR_IMC_DSY_LANCH_ND_NC_2020Q3AUG_NVS_Nivus-Launch-Consideracao-Orca</v>
      </c>
      <c r="AQ59" s="21" t="str">
        <f t="shared" si="7"/>
        <v>alp_vw_dv360_imc_dsy_lanch_nd_nc_nvs_nivus-launch-consideracao-orca__trafego_cpm_drct_all_728x90_lancamento-nivus-orca-customerlist_na_lancamento-consideracao-nivus-orca_nvl-nvs-imc-dsy-0820-10059</v>
      </c>
      <c r="AR59" s="15" t="s">
        <v>745</v>
      </c>
      <c r="AS59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customerlist_na_lancamento-consideracao-nivus-orca_nvl-nvs-imc-dsy-0820-10059&amp;utm_campaign=BR_IMC_DSY_LANCH_ND_NC_2020Q3AUG_NVS_Nivus-Launch-Consideracao-Orca&amp;utm_term=%epid!_%ecid!_%eaid!</v>
      </c>
      <c r="AT59" s="15" t="str">
        <f t="shared" si="25"/>
        <v>other</v>
      </c>
      <c r="AU59" s="15" t="str">
        <f t="shared" si="10"/>
        <v>BR</v>
      </c>
      <c r="AV59" s="15" t="str">
        <f t="shared" si="26"/>
        <v>dv360</v>
      </c>
      <c r="AW59" s="15" t="str">
        <f t="shared" si="27"/>
        <v>dv360</v>
      </c>
      <c r="AX59" s="15" t="str">
        <f t="shared" si="13"/>
        <v>nivus-launch-consideracao-orca</v>
      </c>
      <c r="AY59" s="15" t="str">
        <f t="shared" si="28"/>
        <v>alp_vw_dv360_imc_dsy_lanch_nd_nc_nvs_nivus-launch-consideracao-orca__trafego_cpm_drct_all_728x90_lancamento-nivus-orca-customerlist_na_lancamento-consideracao-nivus-orca_nvl-nvs-imc-dsy-0820-10059</v>
      </c>
      <c r="AZ59" s="15" t="str">
        <f t="shared" si="29"/>
        <v>728x90</v>
      </c>
      <c r="BA59" s="15" t="str">
        <f t="shared" si="30"/>
        <v>lancamento-consideracao-nivus-orca</v>
      </c>
      <c r="BB59" s="28" t="s">
        <v>798</v>
      </c>
      <c r="BC59" s="28" t="s">
        <v>798</v>
      </c>
      <c r="BD59" s="38" t="str">
        <f t="shared" si="31"/>
        <v>nvl-nvs-imc-dsy-0820-10059</v>
      </c>
      <c r="BE59" s="15" t="str">
        <f t="shared" si="32"/>
        <v>BR</v>
      </c>
      <c r="BF59" s="15" t="str">
        <f t="shared" si="33"/>
        <v>paid</v>
      </c>
      <c r="BG59" s="28"/>
      <c r="BH59" s="28"/>
      <c r="BI59" s="36" t="str">
        <f t="shared" si="18"/>
        <v>https://www.vw.com.br/pt/configurador.html/__app/%2Fnivus/0.app?adlid=nvl-nvs-imc-dsy-0820-10059&amp;adplt=alp_vw_dv360_imc_dsy_lanch_nd_nc_nvs_nivus-launch-consideracao-orca__trafego_cpm_drct_all_728x90_lancamento-nivus-orca-customerlist_na_lancamento-consideracao-nivus-orca_nvl-nvs-imc-dsy-0820-10059</v>
      </c>
      <c r="BL59" t="str">
        <f t="shared" si="19"/>
        <v>alp_vw_dv360_imc_dsy_lanch_nd_nc_nvs_nivus-launch-consideracao-orca__trafego</v>
      </c>
      <c r="BM59" t="str">
        <f t="shared" si="20"/>
        <v>cpm_drct_all_728x90_lancamento-nivus-orca-customerlist_na</v>
      </c>
      <c r="BN59" t="str">
        <f t="shared" si="21"/>
        <v>alp_vw_dv360_imc_dsy_lanch_nd_nc_nvs_nivus-launch-consideracao-orca__trafego_cpm_drct_all_728x90_lancamento-nivus-orca-customerlist_na_generico_nvl-nvs-imc-dsy-0820-10059</v>
      </c>
    </row>
    <row r="60" spans="2:66" ht="15.75" customHeight="1" x14ac:dyDescent="0.25">
      <c r="B60" s="15" t="s">
        <v>1291</v>
      </c>
      <c r="C60" s="15" t="s">
        <v>1293</v>
      </c>
      <c r="D60" s="15"/>
      <c r="E60" s="22">
        <v>44069</v>
      </c>
      <c r="F60" s="22">
        <v>44135</v>
      </c>
      <c r="G60" s="15" t="s">
        <v>651</v>
      </c>
      <c r="H60" s="41" t="s">
        <v>1266</v>
      </c>
      <c r="I60" s="15" t="s">
        <v>801</v>
      </c>
      <c r="J60" s="42" t="s">
        <v>883</v>
      </c>
      <c r="K60" s="42" t="s">
        <v>883</v>
      </c>
      <c r="L60" s="15" t="s">
        <v>676</v>
      </c>
      <c r="M60" s="15" t="s">
        <v>276</v>
      </c>
      <c r="N60" s="15" t="s">
        <v>295</v>
      </c>
      <c r="O60" s="15" t="s">
        <v>677</v>
      </c>
      <c r="P60" s="15" t="str">
        <f>VLOOKUP(Y60,'All Codes'!$BF$3:$BG$278,2,FALSE)</f>
        <v>Leaderboard</v>
      </c>
      <c r="Q60" s="15" t="s">
        <v>179</v>
      </c>
      <c r="R60" s="15" t="s">
        <v>277</v>
      </c>
      <c r="S60" s="15" t="s">
        <v>865</v>
      </c>
      <c r="T60" s="46" t="s">
        <v>884</v>
      </c>
      <c r="U60" s="15" t="s">
        <v>876</v>
      </c>
      <c r="V60" s="54" t="s">
        <v>892</v>
      </c>
      <c r="W60" s="15" t="s">
        <v>866</v>
      </c>
      <c r="X60" s="15" t="s">
        <v>307</v>
      </c>
      <c r="Y60" s="46" t="s">
        <v>629</v>
      </c>
      <c r="Z60" s="15"/>
      <c r="AA60" s="15"/>
      <c r="AB60" s="15"/>
      <c r="AC60" s="15"/>
      <c r="AD60" s="15"/>
      <c r="AE60" s="15"/>
      <c r="AF60" s="15"/>
      <c r="AG60" s="15"/>
      <c r="AH60" s="15" t="str">
        <f t="shared" si="39"/>
        <v>281502642</v>
      </c>
      <c r="AI60" s="21" t="str">
        <f t="shared" si="35"/>
        <v>alp_vw_dv360_imc_dsy_lanch_nd_nc_nvs_nivus-launch-consideracao-orca__trafego_cpm_drct_all_970x250_lancamento-nivus-orca-customerlist_na_lancamento-consideracao-nivus-orca_nvl-nvs-imc-dsy-0820-10060</v>
      </c>
      <c r="AJ60" s="40" t="str">
        <f t="shared" si="35"/>
        <v>alp_vw_dv360_imc_dsy_lanch_nd_nc_nvs_nivus-launch-consideracao-orca__trafego_cpm_drct_all_970x250_lancamento-nivus-orca-customerlist_na_lancamento-consideracao-nivus-orca_nvl-nvs-imc-dsy-0820-10060</v>
      </c>
      <c r="AK60" s="21" t="str">
        <f t="shared" si="2"/>
        <v>vw_nivus_970x250_lancamento-consideracao-nivus-orca_adserver</v>
      </c>
      <c r="AL60" s="21" t="str">
        <f t="shared" si="22"/>
        <v>https://www.vw.com.br/pt/configurador.html/__app/%2Fnivus/0.app?adlid=nvl-nvs-imc-dsy-0820-10060&amp;adplt=alp_vw_dv360_imc_dsy_lanch_nd_nc_nvs_nivus-launch-consideracao-orca__trafego_cpm_drct_all_970x250_lancamento-nivus-orca-customerlist_na_lancamento-consideracao-nivus-orca_nvl-nvs-imc-dsy-0820-10060</v>
      </c>
      <c r="AM60" s="21" t="str">
        <f t="shared" si="4"/>
        <v>TAG</v>
      </c>
      <c r="AN60" s="15" t="str">
        <f t="shared" si="23"/>
        <v>DV360</v>
      </c>
      <c r="AO60" s="15" t="str">
        <f t="shared" si="24"/>
        <v>Paid-Display</v>
      </c>
      <c r="AP60" s="21" t="str">
        <f>Campanha!$B$3</f>
        <v>BR_IMC_DSY_LANCH_ND_NC_2020Q3AUG_NVS_Nivus-Launch-Consideracao-Orca</v>
      </c>
      <c r="AQ60" s="21" t="str">
        <f t="shared" si="7"/>
        <v>alp_vw_dv360_imc_dsy_lanch_nd_nc_nvs_nivus-launch-consideracao-orca__trafego_cpm_drct_all_970x250_lancamento-nivus-orca-customerlist_na_lancamento-consideracao-nivus-orca_nvl-nvs-imc-dsy-0820-10060</v>
      </c>
      <c r="AR60" s="15" t="s">
        <v>745</v>
      </c>
      <c r="AS60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customerlist_na_lancamento-consideracao-nivus-orca_nvl-nvs-imc-dsy-0820-10060&amp;utm_campaign=BR_IMC_DSY_LANCH_ND_NC_2020Q3AUG_NVS_Nivus-Launch-Consideracao-Orca&amp;utm_term=%epid!_%ecid!_%eaid!</v>
      </c>
      <c r="AT60" s="15" t="str">
        <f t="shared" si="25"/>
        <v>other</v>
      </c>
      <c r="AU60" s="15" t="str">
        <f t="shared" si="10"/>
        <v>BR</v>
      </c>
      <c r="AV60" s="15" t="str">
        <f t="shared" si="26"/>
        <v>dv360</v>
      </c>
      <c r="AW60" s="15" t="str">
        <f t="shared" si="27"/>
        <v>dv360</v>
      </c>
      <c r="AX60" s="15" t="str">
        <f t="shared" si="13"/>
        <v>nivus-launch-consideracao-orca</v>
      </c>
      <c r="AY60" s="15" t="str">
        <f t="shared" si="28"/>
        <v>alp_vw_dv360_imc_dsy_lanch_nd_nc_nvs_nivus-launch-consideracao-orca__trafego_cpm_drct_all_970x250_lancamento-nivus-orca-customerlist_na_lancamento-consideracao-nivus-orca_nvl-nvs-imc-dsy-0820-10060</v>
      </c>
      <c r="AZ60" s="15" t="str">
        <f t="shared" si="29"/>
        <v>970x250</v>
      </c>
      <c r="BA60" s="15" t="str">
        <f t="shared" si="30"/>
        <v>lancamento-consideracao-nivus-orca</v>
      </c>
      <c r="BB60" s="28" t="s">
        <v>798</v>
      </c>
      <c r="BC60" s="28" t="s">
        <v>798</v>
      </c>
      <c r="BD60" s="38" t="str">
        <f t="shared" si="31"/>
        <v>nvl-nvs-imc-dsy-0820-10060</v>
      </c>
      <c r="BE60" s="15" t="str">
        <f t="shared" si="32"/>
        <v>BR</v>
      </c>
      <c r="BF60" s="15" t="str">
        <f t="shared" si="33"/>
        <v>paid</v>
      </c>
      <c r="BG60" s="28"/>
      <c r="BH60" s="28"/>
      <c r="BI60" s="36" t="str">
        <f t="shared" si="18"/>
        <v>https://www.vw.com.br/pt/configurador.html/__app/%2Fnivus/0.app?adlid=nvl-nvs-imc-dsy-0820-10060&amp;adplt=alp_vw_dv360_imc_dsy_lanch_nd_nc_nvs_nivus-launch-consideracao-orca__trafego_cpm_drct_all_970x250_lancamento-nivus-orca-customerlist_na_lancamento-consideracao-nivus-orca_nvl-nvs-imc-dsy-0820-10060</v>
      </c>
      <c r="BL60" t="str">
        <f t="shared" si="19"/>
        <v>alp_vw_dv360_imc_dsy_lanch_nd_nc_nvs_nivus-launch-consideracao-orca__trafego</v>
      </c>
      <c r="BM60" t="str">
        <f t="shared" si="20"/>
        <v>cpm_drct_all_970x250_lancamento-nivus-orca-customerlist_na</v>
      </c>
      <c r="BN60" t="str">
        <f t="shared" si="21"/>
        <v>alp_vw_dv360_imc_dsy_lanch_nd_nc_nvs_nivus-launch-consideracao-orca__trafego_cpm_drct_all_970x250_lancamento-nivus-orca-customerlist_na_generico_nvl-nvs-imc-dsy-0820-10060</v>
      </c>
    </row>
    <row r="61" spans="2:66" ht="15.75" customHeight="1" x14ac:dyDescent="0.25">
      <c r="B61" s="15" t="s">
        <v>1268</v>
      </c>
      <c r="C61" s="15" t="s">
        <v>1208</v>
      </c>
      <c r="D61" s="15"/>
      <c r="E61" s="22">
        <v>44069</v>
      </c>
      <c r="F61" s="22">
        <v>44135</v>
      </c>
      <c r="G61" s="15" t="s">
        <v>651</v>
      </c>
      <c r="H61" s="41" t="s">
        <v>1266</v>
      </c>
      <c r="I61" s="15" t="s">
        <v>801</v>
      </c>
      <c r="J61" s="42" t="s">
        <v>883</v>
      </c>
      <c r="K61" s="42" t="s">
        <v>883</v>
      </c>
      <c r="L61" s="15" t="s">
        <v>676</v>
      </c>
      <c r="M61" s="15" t="s">
        <v>276</v>
      </c>
      <c r="N61" s="15" t="s">
        <v>295</v>
      </c>
      <c r="O61" s="15" t="s">
        <v>677</v>
      </c>
      <c r="P61" s="15" t="str">
        <f>VLOOKUP(Y61,'All Codes'!$BF$3:$BG$278,2,FALSE)</f>
        <v>MPU</v>
      </c>
      <c r="Q61" s="15" t="s">
        <v>179</v>
      </c>
      <c r="R61" s="15" t="s">
        <v>277</v>
      </c>
      <c r="S61" s="15" t="s">
        <v>865</v>
      </c>
      <c r="T61" s="46" t="s">
        <v>884</v>
      </c>
      <c r="U61" s="15" t="s">
        <v>876</v>
      </c>
      <c r="V61" s="55" t="s">
        <v>1080</v>
      </c>
      <c r="W61" s="15" t="s">
        <v>866</v>
      </c>
      <c r="X61" s="15" t="s">
        <v>307</v>
      </c>
      <c r="Y61" s="46" t="s">
        <v>461</v>
      </c>
      <c r="Z61" s="15"/>
      <c r="AA61" s="15"/>
      <c r="AB61" s="15"/>
      <c r="AC61" s="15"/>
      <c r="AD61" s="15"/>
      <c r="AE61" s="15"/>
      <c r="AF61" s="15"/>
      <c r="AG61" s="15"/>
      <c r="AH61" s="15" t="str">
        <f t="shared" si="39"/>
        <v>281502639</v>
      </c>
      <c r="AI61" s="21" t="str">
        <f t="shared" si="35"/>
        <v>alp_vw_dv360_imc_dsy_lanch_nd_nc_nvs_nivus-launch-consideracao-orca__trafego_cpm_drct_all_300x50_lancamento-nivus-orca-customerlist1st_na_lancamento-consideracao-nivus-orca_nvl-nvs-imc-dsy-0820-10061</v>
      </c>
      <c r="AJ61" s="40" t="str">
        <f t="shared" si="35"/>
        <v>alp_vw_dv360_imc_dsy_lanch_nd_nc_nvs_nivus-launch-consideracao-orca__trafego_cpm_drct_all_300x50_lancamento-nivus-orca-customerlist1st_na_lancamento-consideracao-nivus-orca_nvl-nvs-imc-dsy-0820-10061</v>
      </c>
      <c r="AK61" s="21" t="str">
        <f t="shared" si="2"/>
        <v>vw_nivus_300x50_lancamento-consideracao-nivus-orca_adserver</v>
      </c>
      <c r="AL61" s="21" t="str">
        <f t="shared" si="22"/>
        <v>https://www.vw.com.br/pt/configurador.html/__app/%2Fnivus/0.app?adlid=nvl-nvs-imc-dsy-0820-10061&amp;adplt=alp_vw_dv360_imc_dsy_lanch_nd_nc_nvs_nivus-launch-consideracao-orca__trafego_cpm_drct_all_300x50_lancamento-nivus-orca-customerlist1st_na_lancamento-consideracao-nivus-orca_nvl-nvs-imc-dsy-0820-10061</v>
      </c>
      <c r="AM61" s="21" t="str">
        <f t="shared" si="4"/>
        <v>TAG</v>
      </c>
      <c r="AN61" s="15" t="str">
        <f t="shared" si="23"/>
        <v>DV360</v>
      </c>
      <c r="AO61" s="15" t="str">
        <f t="shared" si="24"/>
        <v>Paid-Display</v>
      </c>
      <c r="AP61" s="21" t="str">
        <f>Campanha!$B$3</f>
        <v>BR_IMC_DSY_LANCH_ND_NC_2020Q3AUG_NVS_Nivus-Launch-Consideracao-Orca</v>
      </c>
      <c r="AQ61" s="21" t="str">
        <f t="shared" si="7"/>
        <v>alp_vw_dv360_imc_dsy_lanch_nd_nc_nvs_nivus-launch-consideracao-orca__trafego_cpm_drct_all_300x50_lancamento-nivus-orca-customerlist1st_na_lancamento-consideracao-nivus-orca_nvl-nvs-imc-dsy-0820-10061</v>
      </c>
      <c r="AR61" s="15" t="s">
        <v>745</v>
      </c>
      <c r="AS61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customerlist1st_na_lancamento-consideracao-nivus-orca_nvl-nvs-imc-dsy-0820-10061&amp;utm_campaign=BR_IMC_DSY_LANCH_ND_NC_2020Q3AUG_NVS_Nivus-Launch-Consideracao-Orca&amp;utm_term=%epid!_%ecid!_%eaid!</v>
      </c>
      <c r="AT61" s="15" t="str">
        <f t="shared" si="25"/>
        <v>other</v>
      </c>
      <c r="AU61" s="15" t="str">
        <f t="shared" si="10"/>
        <v>BR</v>
      </c>
      <c r="AV61" s="15" t="str">
        <f t="shared" si="26"/>
        <v>dv360</v>
      </c>
      <c r="AW61" s="15" t="str">
        <f t="shared" si="27"/>
        <v>dv360</v>
      </c>
      <c r="AX61" s="15" t="str">
        <f t="shared" si="13"/>
        <v>nivus-launch-consideracao-orca</v>
      </c>
      <c r="AY61" s="15" t="str">
        <f t="shared" si="28"/>
        <v>alp_vw_dv360_imc_dsy_lanch_nd_nc_nvs_nivus-launch-consideracao-orca__trafego_cpm_drct_all_300x50_lancamento-nivus-orca-customerlist1st_na_lancamento-consideracao-nivus-orca_nvl-nvs-imc-dsy-0820-10061</v>
      </c>
      <c r="AZ61" s="15" t="str">
        <f t="shared" si="29"/>
        <v>300x50</v>
      </c>
      <c r="BA61" s="15" t="str">
        <f t="shared" si="30"/>
        <v>lancamento-consideracao-nivus-orca</v>
      </c>
      <c r="BB61" s="28" t="s">
        <v>798</v>
      </c>
      <c r="BC61" s="28" t="s">
        <v>798</v>
      </c>
      <c r="BD61" s="38" t="str">
        <f t="shared" si="31"/>
        <v>nvl-nvs-imc-dsy-0820-10061</v>
      </c>
      <c r="BE61" s="15" t="str">
        <f t="shared" si="32"/>
        <v>BR</v>
      </c>
      <c r="BF61" s="15" t="str">
        <f t="shared" si="33"/>
        <v>paid</v>
      </c>
      <c r="BG61" s="28"/>
      <c r="BH61" s="28"/>
      <c r="BI61" s="36" t="str">
        <f t="shared" si="18"/>
        <v>https://www.vw.com.br/pt/configurador.html/__app/%2Fnivus/0.app?adlid=nvl-nvs-imc-dsy-0820-10061&amp;adplt=alp_vw_dv360_imc_dsy_lanch_nd_nc_nvs_nivus-launch-consideracao-orca__trafego_cpm_drct_all_300x50_lancamento-nivus-orca-customerlist1st_na_lancamento-consideracao-nivus-orca_nvl-nvs-imc-dsy-0820-10061</v>
      </c>
      <c r="BL61" t="str">
        <f t="shared" si="19"/>
        <v>alp_vw_dv360_imc_dsy_lanch_nd_nc_nvs_nivus-launch-consideracao-orca__trafego</v>
      </c>
      <c r="BM61" t="str">
        <f t="shared" si="20"/>
        <v>cpm_drct_all_300x50_lancamento-nivus-orca-customerlist1st_na</v>
      </c>
      <c r="BN61" t="str">
        <f t="shared" si="21"/>
        <v>alp_vw_dv360_imc_dsy_lanch_nd_nc_nvs_nivus-launch-consideracao-orca__trafego_cpm_drct_all_300x50_lancamento-nivus-orca-customerlist1st_na_generico_nvl-nvs-imc-dsy-0820-10061</v>
      </c>
    </row>
    <row r="62" spans="2:66" ht="15.75" customHeight="1" x14ac:dyDescent="0.25">
      <c r="B62" s="15" t="s">
        <v>1268</v>
      </c>
      <c r="C62" s="15" t="s">
        <v>1208</v>
      </c>
      <c r="D62" s="15"/>
      <c r="E62" s="22">
        <v>44069</v>
      </c>
      <c r="F62" s="22">
        <v>44135</v>
      </c>
      <c r="G62" s="15" t="s">
        <v>651</v>
      </c>
      <c r="H62" s="41" t="s">
        <v>1266</v>
      </c>
      <c r="I62" s="15" t="s">
        <v>801</v>
      </c>
      <c r="J62" s="42" t="s">
        <v>883</v>
      </c>
      <c r="K62" s="42" t="s">
        <v>883</v>
      </c>
      <c r="L62" s="15" t="s">
        <v>676</v>
      </c>
      <c r="M62" s="15" t="s">
        <v>276</v>
      </c>
      <c r="N62" s="15" t="s">
        <v>295</v>
      </c>
      <c r="O62" s="15" t="s">
        <v>677</v>
      </c>
      <c r="P62" s="15" t="str">
        <f>VLOOKUP(Y62,'All Codes'!$BF$3:$BG$278,2,FALSE)</f>
        <v>Skyscraper</v>
      </c>
      <c r="Q62" s="15" t="s">
        <v>179</v>
      </c>
      <c r="R62" s="15" t="s">
        <v>277</v>
      </c>
      <c r="S62" s="15" t="s">
        <v>865</v>
      </c>
      <c r="T62" s="46" t="s">
        <v>884</v>
      </c>
      <c r="U62" s="15" t="s">
        <v>876</v>
      </c>
      <c r="V62" s="55" t="s">
        <v>1080</v>
      </c>
      <c r="W62" s="15" t="s">
        <v>866</v>
      </c>
      <c r="X62" s="15" t="s">
        <v>307</v>
      </c>
      <c r="Y62" s="46" t="s">
        <v>434</v>
      </c>
      <c r="Z62" s="15"/>
      <c r="AA62" s="15"/>
      <c r="AB62" s="15"/>
      <c r="AC62" s="15"/>
      <c r="AD62" s="15"/>
      <c r="AE62" s="15"/>
      <c r="AF62" s="15"/>
      <c r="AG62" s="15"/>
      <c r="AH62" s="15" t="str">
        <f t="shared" si="39"/>
        <v>281502636</v>
      </c>
      <c r="AI62" s="21" t="str">
        <f t="shared" si="35"/>
        <v>alp_vw_dv360_imc_dsy_lanch_nd_nc_nvs_nivus-launch-consideracao-orca__trafego_cpm_drct_all_160x600_lancamento-nivus-orca-customerlist1st_na_lancamento-consideracao-nivus-orca_nvl-nvs-imc-dsy-0820-10062</v>
      </c>
      <c r="AJ62" s="40" t="str">
        <f t="shared" si="35"/>
        <v>alp_vw_dv360_imc_dsy_lanch_nd_nc_nvs_nivus-launch-consideracao-orca__trafego_cpm_drct_all_160x600_lancamento-nivus-orca-customerlist1st_na_lancamento-consideracao-nivus-orca_nvl-nvs-imc-dsy-0820-10062</v>
      </c>
      <c r="AK62" s="21" t="str">
        <f t="shared" si="2"/>
        <v>vw_nivus_160x600_lancamento-consideracao-nivus-orca_adserver</v>
      </c>
      <c r="AL62" s="21" t="str">
        <f t="shared" si="22"/>
        <v>https://www.vw.com.br/pt/configurador.html/__app/%2Fnivus/0.app?adlid=nvl-nvs-imc-dsy-0820-10062&amp;adplt=alp_vw_dv360_imc_dsy_lanch_nd_nc_nvs_nivus-launch-consideracao-orca__trafego_cpm_drct_all_160x600_lancamento-nivus-orca-customerlist1st_na_lancamento-consideracao-nivus-orca_nvl-nvs-imc-dsy-0820-10062</v>
      </c>
      <c r="AM62" s="21" t="str">
        <f t="shared" si="4"/>
        <v>TAG</v>
      </c>
      <c r="AN62" s="15" t="str">
        <f t="shared" si="23"/>
        <v>DV360</v>
      </c>
      <c r="AO62" s="15" t="str">
        <f t="shared" si="24"/>
        <v>Paid-Display</v>
      </c>
      <c r="AP62" s="21" t="str">
        <f>Campanha!$B$3</f>
        <v>BR_IMC_DSY_LANCH_ND_NC_2020Q3AUG_NVS_Nivus-Launch-Consideracao-Orca</v>
      </c>
      <c r="AQ62" s="21" t="str">
        <f t="shared" si="7"/>
        <v>alp_vw_dv360_imc_dsy_lanch_nd_nc_nvs_nivus-launch-consideracao-orca__trafego_cpm_drct_all_160x600_lancamento-nivus-orca-customerlist1st_na_lancamento-consideracao-nivus-orca_nvl-nvs-imc-dsy-0820-10062</v>
      </c>
      <c r="AR62" s="15" t="s">
        <v>745</v>
      </c>
      <c r="AS62" s="21" t="str">
        <f t="shared" si="8"/>
        <v>https://www.vw.com.br/pt/configurador.html/__app/%2Fnivus/0.app?utm_source=DV360&amp;utm_medium=Paid-Display&amp;utm_content=alp_vw_dv360_imc_dsy_lanch_nd_nc_nvs_nivus-launch-consideracao-orca__trafego_cpm_drct_all_160x600_lancamento-nivus-orca-customerlist1st_na_lancamento-consideracao-nivus-orca_nvl-nvs-imc-dsy-0820-10062&amp;utm_campaign=BR_IMC_DSY_LANCH_ND_NC_2020Q3AUG_NVS_Nivus-Launch-Consideracao-Orca&amp;utm_term=%epid!_%ecid!_%eaid!</v>
      </c>
      <c r="AT62" s="15" t="str">
        <f t="shared" si="25"/>
        <v>other</v>
      </c>
      <c r="AU62" s="15" t="str">
        <f t="shared" si="10"/>
        <v>BR</v>
      </c>
      <c r="AV62" s="15" t="str">
        <f t="shared" si="26"/>
        <v>dv360</v>
      </c>
      <c r="AW62" s="15" t="str">
        <f t="shared" si="27"/>
        <v>dv360</v>
      </c>
      <c r="AX62" s="15" t="str">
        <f t="shared" si="13"/>
        <v>nivus-launch-consideracao-orca</v>
      </c>
      <c r="AY62" s="15" t="str">
        <f t="shared" si="28"/>
        <v>alp_vw_dv360_imc_dsy_lanch_nd_nc_nvs_nivus-launch-consideracao-orca__trafego_cpm_drct_all_160x600_lancamento-nivus-orca-customerlist1st_na_lancamento-consideracao-nivus-orca_nvl-nvs-imc-dsy-0820-10062</v>
      </c>
      <c r="AZ62" s="15" t="str">
        <f t="shared" si="29"/>
        <v>160x600</v>
      </c>
      <c r="BA62" s="15" t="str">
        <f t="shared" si="30"/>
        <v>lancamento-consideracao-nivus-orca</v>
      </c>
      <c r="BB62" s="28" t="s">
        <v>798</v>
      </c>
      <c r="BC62" s="28" t="s">
        <v>798</v>
      </c>
      <c r="BD62" s="38" t="str">
        <f t="shared" si="31"/>
        <v>nvl-nvs-imc-dsy-0820-10062</v>
      </c>
      <c r="BE62" s="15" t="str">
        <f t="shared" si="32"/>
        <v>BR</v>
      </c>
      <c r="BF62" s="15" t="str">
        <f t="shared" si="33"/>
        <v>paid</v>
      </c>
      <c r="BG62" s="28"/>
      <c r="BH62" s="28"/>
      <c r="BI62" s="36" t="str">
        <f t="shared" si="18"/>
        <v>https://www.vw.com.br/pt/configurador.html/__app/%2Fnivus/0.app?adlid=nvl-nvs-imc-dsy-0820-10062&amp;adplt=alp_vw_dv360_imc_dsy_lanch_nd_nc_nvs_nivus-launch-consideracao-orca__trafego_cpm_drct_all_160x600_lancamento-nivus-orca-customerlist1st_na_lancamento-consideracao-nivus-orca_nvl-nvs-imc-dsy-0820-10062</v>
      </c>
      <c r="BL62" t="str">
        <f t="shared" si="19"/>
        <v>alp_vw_dv360_imc_dsy_lanch_nd_nc_nvs_nivus-launch-consideracao-orca__trafego</v>
      </c>
      <c r="BM62" t="str">
        <f t="shared" si="20"/>
        <v>cpm_drct_all_160x600_lancamento-nivus-orca-customerlist1st_na</v>
      </c>
      <c r="BN62" t="str">
        <f t="shared" si="21"/>
        <v>alp_vw_dv360_imc_dsy_lanch_nd_nc_nvs_nivus-launch-consideracao-orca__trafego_cpm_drct_all_160x600_lancamento-nivus-orca-customerlist1st_na_generico_nvl-nvs-imc-dsy-0820-10062</v>
      </c>
    </row>
    <row r="63" spans="2:66" ht="15.75" customHeight="1" x14ac:dyDescent="0.25">
      <c r="B63" s="15" t="s">
        <v>1268</v>
      </c>
      <c r="C63" s="15" t="s">
        <v>1208</v>
      </c>
      <c r="D63" s="15"/>
      <c r="E63" s="22">
        <v>44069</v>
      </c>
      <c r="F63" s="22">
        <v>44135</v>
      </c>
      <c r="G63" s="15" t="s">
        <v>651</v>
      </c>
      <c r="H63" s="41" t="s">
        <v>1266</v>
      </c>
      <c r="I63" s="15" t="s">
        <v>801</v>
      </c>
      <c r="J63" s="42" t="s">
        <v>883</v>
      </c>
      <c r="K63" s="42" t="s">
        <v>883</v>
      </c>
      <c r="L63" s="15" t="s">
        <v>676</v>
      </c>
      <c r="M63" s="15" t="s">
        <v>276</v>
      </c>
      <c r="N63" s="15" t="s">
        <v>295</v>
      </c>
      <c r="O63" s="15" t="s">
        <v>677</v>
      </c>
      <c r="P63" s="15" t="str">
        <f>VLOOKUP(Y63,'All Codes'!$BF$3:$BG$278,2,FALSE)</f>
        <v>MPU</v>
      </c>
      <c r="Q63" s="15" t="s">
        <v>179</v>
      </c>
      <c r="R63" s="15" t="s">
        <v>277</v>
      </c>
      <c r="S63" s="15" t="s">
        <v>865</v>
      </c>
      <c r="T63" s="46" t="s">
        <v>884</v>
      </c>
      <c r="U63" s="15" t="s">
        <v>876</v>
      </c>
      <c r="V63" s="55" t="s">
        <v>1080</v>
      </c>
      <c r="W63" s="15" t="s">
        <v>866</v>
      </c>
      <c r="X63" s="15" t="s">
        <v>307</v>
      </c>
      <c r="Y63" s="46" t="s">
        <v>455</v>
      </c>
      <c r="Z63" s="15"/>
      <c r="AA63" s="15"/>
      <c r="AB63" s="15"/>
      <c r="AC63" s="15"/>
      <c r="AD63" s="15"/>
      <c r="AE63" s="15"/>
      <c r="AF63" s="15"/>
      <c r="AG63" s="15"/>
      <c r="AH63" s="15" t="str">
        <f t="shared" si="39"/>
        <v>281502633</v>
      </c>
      <c r="AI63" s="21" t="str">
        <f t="shared" si="35"/>
        <v>alp_vw_dv360_imc_dsy_lanch_nd_nc_nvs_nivus-launch-consideracao-orca__trafego_cpm_drct_all_300x250_lancamento-nivus-orca-customerlist1st_na_lancamento-consideracao-nivus-orca_nvl-nvs-imc-dsy-0820-10063</v>
      </c>
      <c r="AJ63" s="40" t="str">
        <f t="shared" si="35"/>
        <v>alp_vw_dv360_imc_dsy_lanch_nd_nc_nvs_nivus-launch-consideracao-orca__trafego_cpm_drct_all_300x250_lancamento-nivus-orca-customerlist1st_na_lancamento-consideracao-nivus-orca_nvl-nvs-imc-dsy-0820-10063</v>
      </c>
      <c r="AK63" s="21" t="str">
        <f t="shared" si="2"/>
        <v>vw_nivus_300x250_lancamento-consideracao-nivus-orca_adserver</v>
      </c>
      <c r="AL63" s="21" t="str">
        <f t="shared" si="22"/>
        <v>https://www.vw.com.br/pt/configurador.html/__app/%2Fnivus/0.app?adlid=nvl-nvs-imc-dsy-0820-10063&amp;adplt=alp_vw_dv360_imc_dsy_lanch_nd_nc_nvs_nivus-launch-consideracao-orca__trafego_cpm_drct_all_300x250_lancamento-nivus-orca-customerlist1st_na_lancamento-consideracao-nivus-orca_nvl-nvs-imc-dsy-0820-10063</v>
      </c>
      <c r="AM63" s="21" t="str">
        <f t="shared" si="4"/>
        <v>TAG</v>
      </c>
      <c r="AN63" s="15" t="str">
        <f t="shared" si="23"/>
        <v>DV360</v>
      </c>
      <c r="AO63" s="15" t="str">
        <f t="shared" si="24"/>
        <v>Paid-Display</v>
      </c>
      <c r="AP63" s="21" t="str">
        <f>Campanha!$B$3</f>
        <v>BR_IMC_DSY_LANCH_ND_NC_2020Q3AUG_NVS_Nivus-Launch-Consideracao-Orca</v>
      </c>
      <c r="AQ63" s="21" t="str">
        <f t="shared" si="7"/>
        <v>alp_vw_dv360_imc_dsy_lanch_nd_nc_nvs_nivus-launch-consideracao-orca__trafego_cpm_drct_all_300x250_lancamento-nivus-orca-customerlist1st_na_lancamento-consideracao-nivus-orca_nvl-nvs-imc-dsy-0820-10063</v>
      </c>
      <c r="AR63" s="15" t="s">
        <v>745</v>
      </c>
      <c r="AS63" s="21" t="str">
        <f t="shared" si="8"/>
        <v>https://www.vw.com.br/pt/configurador.html/__app/%2Fnivus/0.app?utm_source=DV360&amp;utm_medium=Paid-Display&amp;utm_content=alp_vw_dv360_imc_dsy_lanch_nd_nc_nvs_nivus-launch-consideracao-orca__trafego_cpm_drct_all_300x250_lancamento-nivus-orca-customerlist1st_na_lancamento-consideracao-nivus-orca_nvl-nvs-imc-dsy-0820-10063&amp;utm_campaign=BR_IMC_DSY_LANCH_ND_NC_2020Q3AUG_NVS_Nivus-Launch-Consideracao-Orca&amp;utm_term=%epid!_%ecid!_%eaid!</v>
      </c>
      <c r="AT63" s="15" t="str">
        <f t="shared" si="25"/>
        <v>other</v>
      </c>
      <c r="AU63" s="15" t="str">
        <f t="shared" si="10"/>
        <v>BR</v>
      </c>
      <c r="AV63" s="15" t="str">
        <f t="shared" si="26"/>
        <v>dv360</v>
      </c>
      <c r="AW63" s="15" t="str">
        <f t="shared" si="27"/>
        <v>dv360</v>
      </c>
      <c r="AX63" s="15" t="str">
        <f t="shared" si="13"/>
        <v>nivus-launch-consideracao-orca</v>
      </c>
      <c r="AY63" s="15" t="str">
        <f t="shared" si="28"/>
        <v>alp_vw_dv360_imc_dsy_lanch_nd_nc_nvs_nivus-launch-consideracao-orca__trafego_cpm_drct_all_300x250_lancamento-nivus-orca-customerlist1st_na_lancamento-consideracao-nivus-orca_nvl-nvs-imc-dsy-0820-10063</v>
      </c>
      <c r="AZ63" s="15" t="str">
        <f t="shared" si="29"/>
        <v>300x250</v>
      </c>
      <c r="BA63" s="15" t="str">
        <f t="shared" si="30"/>
        <v>lancamento-consideracao-nivus-orca</v>
      </c>
      <c r="BB63" s="28" t="s">
        <v>798</v>
      </c>
      <c r="BC63" s="28" t="s">
        <v>798</v>
      </c>
      <c r="BD63" s="38" t="str">
        <f t="shared" si="31"/>
        <v>nvl-nvs-imc-dsy-0820-10063</v>
      </c>
      <c r="BE63" s="15" t="str">
        <f t="shared" si="32"/>
        <v>BR</v>
      </c>
      <c r="BF63" s="15" t="str">
        <f t="shared" si="33"/>
        <v>paid</v>
      </c>
      <c r="BG63" s="28"/>
      <c r="BH63" s="28"/>
      <c r="BI63" s="36" t="str">
        <f t="shared" si="18"/>
        <v>https://www.vw.com.br/pt/configurador.html/__app/%2Fnivus/0.app?adlid=nvl-nvs-imc-dsy-0820-10063&amp;adplt=alp_vw_dv360_imc_dsy_lanch_nd_nc_nvs_nivus-launch-consideracao-orca__trafego_cpm_drct_all_300x250_lancamento-nivus-orca-customerlist1st_na_lancamento-consideracao-nivus-orca_nvl-nvs-imc-dsy-0820-10063</v>
      </c>
      <c r="BL63" t="str">
        <f t="shared" si="19"/>
        <v>alp_vw_dv360_imc_dsy_lanch_nd_nc_nvs_nivus-launch-consideracao-orca__trafego</v>
      </c>
      <c r="BM63" t="str">
        <f t="shared" si="20"/>
        <v>cpm_drct_all_300x250_lancamento-nivus-orca-customerlist1st_na</v>
      </c>
      <c r="BN63" t="str">
        <f t="shared" si="21"/>
        <v>alp_vw_dv360_imc_dsy_lanch_nd_nc_nvs_nivus-launch-consideracao-orca__trafego_cpm_drct_all_300x250_lancamento-nivus-orca-customerlist1st_na_generico_nvl-nvs-imc-dsy-0820-10063</v>
      </c>
    </row>
    <row r="64" spans="2:66" ht="15.75" customHeight="1" x14ac:dyDescent="0.25">
      <c r="B64" s="15" t="s">
        <v>1268</v>
      </c>
      <c r="C64" s="15" t="s">
        <v>1208</v>
      </c>
      <c r="D64" s="15"/>
      <c r="E64" s="22">
        <v>44069</v>
      </c>
      <c r="F64" s="22">
        <v>44135</v>
      </c>
      <c r="G64" s="15" t="s">
        <v>651</v>
      </c>
      <c r="H64" s="41" t="s">
        <v>1266</v>
      </c>
      <c r="I64" s="15" t="s">
        <v>801</v>
      </c>
      <c r="J64" s="42" t="s">
        <v>883</v>
      </c>
      <c r="K64" s="42" t="s">
        <v>883</v>
      </c>
      <c r="L64" s="15" t="s">
        <v>676</v>
      </c>
      <c r="M64" s="15" t="s">
        <v>276</v>
      </c>
      <c r="N64" s="15" t="s">
        <v>295</v>
      </c>
      <c r="O64" s="15" t="s">
        <v>677</v>
      </c>
      <c r="P64" s="15" t="str">
        <f>VLOOKUP(Y64,'All Codes'!$BF$3:$BG$278,2,FALSE)</f>
        <v>Skyscraper</v>
      </c>
      <c r="Q64" s="15" t="s">
        <v>179</v>
      </c>
      <c r="R64" s="15" t="s">
        <v>277</v>
      </c>
      <c r="S64" s="15" t="s">
        <v>865</v>
      </c>
      <c r="T64" s="46" t="s">
        <v>884</v>
      </c>
      <c r="U64" s="15" t="s">
        <v>876</v>
      </c>
      <c r="V64" s="55" t="s">
        <v>1080</v>
      </c>
      <c r="W64" s="15" t="s">
        <v>866</v>
      </c>
      <c r="X64" s="15" t="s">
        <v>307</v>
      </c>
      <c r="Y64" s="46" t="s">
        <v>464</v>
      </c>
      <c r="Z64" s="15"/>
      <c r="AA64" s="15"/>
      <c r="AB64" s="15"/>
      <c r="AC64" s="15"/>
      <c r="AD64" s="15"/>
      <c r="AE64" s="15"/>
      <c r="AF64" s="15"/>
      <c r="AG64" s="15"/>
      <c r="AH64" s="15" t="str">
        <f t="shared" si="39"/>
        <v>281516563</v>
      </c>
      <c r="AI64" s="21" t="str">
        <f t="shared" si="35"/>
        <v>alp_vw_dv360_imc_dsy_lanch_nd_nc_nvs_nivus-launch-consideracao-orca__trafego_cpm_drct_all_300x600_lancamento-nivus-orca-customerlist1st_na_lancamento-consideracao-nivus-orca_nvl-nvs-imc-dsy-0820-10064</v>
      </c>
      <c r="AJ64" s="40" t="str">
        <f t="shared" si="35"/>
        <v>alp_vw_dv360_imc_dsy_lanch_nd_nc_nvs_nivus-launch-consideracao-orca__trafego_cpm_drct_all_300x600_lancamento-nivus-orca-customerlist1st_na_lancamento-consideracao-nivus-orca_nvl-nvs-imc-dsy-0820-10064</v>
      </c>
      <c r="AK64" s="21" t="str">
        <f t="shared" si="2"/>
        <v>vw_nivus_300x600_lancamento-consideracao-nivus-orca_adserver</v>
      </c>
      <c r="AL64" s="21" t="str">
        <f t="shared" si="22"/>
        <v>https://www.vw.com.br/pt/configurador.html/__app/%2Fnivus/0.app?adlid=nvl-nvs-imc-dsy-0820-10064&amp;adplt=alp_vw_dv360_imc_dsy_lanch_nd_nc_nvs_nivus-launch-consideracao-orca__trafego_cpm_drct_all_300x600_lancamento-nivus-orca-customerlist1st_na_lancamento-consideracao-nivus-orca_nvl-nvs-imc-dsy-0820-10064</v>
      </c>
      <c r="AM64" s="21" t="str">
        <f t="shared" si="4"/>
        <v>TAG</v>
      </c>
      <c r="AN64" s="15" t="str">
        <f t="shared" si="23"/>
        <v>DV360</v>
      </c>
      <c r="AO64" s="15" t="str">
        <f t="shared" si="24"/>
        <v>Paid-Display</v>
      </c>
      <c r="AP64" s="21" t="str">
        <f>Campanha!$B$3</f>
        <v>BR_IMC_DSY_LANCH_ND_NC_2020Q3AUG_NVS_Nivus-Launch-Consideracao-Orca</v>
      </c>
      <c r="AQ64" s="21" t="str">
        <f t="shared" si="7"/>
        <v>alp_vw_dv360_imc_dsy_lanch_nd_nc_nvs_nivus-launch-consideracao-orca__trafego_cpm_drct_all_300x600_lancamento-nivus-orca-customerlist1st_na_lancamento-consideracao-nivus-orca_nvl-nvs-imc-dsy-0820-10064</v>
      </c>
      <c r="AR64" s="15" t="s">
        <v>745</v>
      </c>
      <c r="AS64" s="21" t="str">
        <f t="shared" si="8"/>
        <v>https://www.vw.com.br/pt/configurador.html/__app/%2Fnivus/0.app?utm_source=DV360&amp;utm_medium=Paid-Display&amp;utm_content=alp_vw_dv360_imc_dsy_lanch_nd_nc_nvs_nivus-launch-consideracao-orca__trafego_cpm_drct_all_300x600_lancamento-nivus-orca-customerlist1st_na_lancamento-consideracao-nivus-orca_nvl-nvs-imc-dsy-0820-10064&amp;utm_campaign=BR_IMC_DSY_LANCH_ND_NC_2020Q3AUG_NVS_Nivus-Launch-Consideracao-Orca&amp;utm_term=%epid!_%ecid!_%eaid!</v>
      </c>
      <c r="AT64" s="15" t="str">
        <f t="shared" si="25"/>
        <v>other</v>
      </c>
      <c r="AU64" s="15" t="str">
        <f t="shared" si="10"/>
        <v>BR</v>
      </c>
      <c r="AV64" s="15" t="str">
        <f t="shared" si="26"/>
        <v>dv360</v>
      </c>
      <c r="AW64" s="15" t="str">
        <f t="shared" si="27"/>
        <v>dv360</v>
      </c>
      <c r="AX64" s="15" t="str">
        <f t="shared" si="13"/>
        <v>nivus-launch-consideracao-orca</v>
      </c>
      <c r="AY64" s="15" t="str">
        <f t="shared" si="28"/>
        <v>alp_vw_dv360_imc_dsy_lanch_nd_nc_nvs_nivus-launch-consideracao-orca__trafego_cpm_drct_all_300x600_lancamento-nivus-orca-customerlist1st_na_lancamento-consideracao-nivus-orca_nvl-nvs-imc-dsy-0820-10064</v>
      </c>
      <c r="AZ64" s="15" t="str">
        <f t="shared" si="29"/>
        <v>300x600</v>
      </c>
      <c r="BA64" s="15" t="str">
        <f t="shared" si="30"/>
        <v>lancamento-consideracao-nivus-orca</v>
      </c>
      <c r="BB64" s="28" t="s">
        <v>798</v>
      </c>
      <c r="BC64" s="28" t="s">
        <v>798</v>
      </c>
      <c r="BD64" s="38" t="str">
        <f t="shared" si="31"/>
        <v>nvl-nvs-imc-dsy-0820-10064</v>
      </c>
      <c r="BE64" s="15" t="str">
        <f t="shared" si="32"/>
        <v>BR</v>
      </c>
      <c r="BF64" s="15" t="str">
        <f t="shared" si="33"/>
        <v>paid</v>
      </c>
      <c r="BG64" s="28"/>
      <c r="BH64" s="28"/>
      <c r="BI64" s="36" t="str">
        <f t="shared" si="18"/>
        <v>https://www.vw.com.br/pt/configurador.html/__app/%2Fnivus/0.app?adlid=nvl-nvs-imc-dsy-0820-10064&amp;adplt=alp_vw_dv360_imc_dsy_lanch_nd_nc_nvs_nivus-launch-consideracao-orca__trafego_cpm_drct_all_300x600_lancamento-nivus-orca-customerlist1st_na_lancamento-consideracao-nivus-orca_nvl-nvs-imc-dsy-0820-10064</v>
      </c>
      <c r="BL64" t="str">
        <f t="shared" si="19"/>
        <v>alp_vw_dv360_imc_dsy_lanch_nd_nc_nvs_nivus-launch-consideracao-orca__trafego</v>
      </c>
      <c r="BM64" t="str">
        <f t="shared" si="20"/>
        <v>cpm_drct_all_300x600_lancamento-nivus-orca-customerlist1st_na</v>
      </c>
      <c r="BN64" t="str">
        <f t="shared" si="21"/>
        <v>alp_vw_dv360_imc_dsy_lanch_nd_nc_nvs_nivus-launch-consideracao-orca__trafego_cpm_drct_all_300x600_lancamento-nivus-orca-customerlist1st_na_generico_nvl-nvs-imc-dsy-0820-10064</v>
      </c>
    </row>
    <row r="65" spans="2:66" ht="15.75" customHeight="1" x14ac:dyDescent="0.25">
      <c r="B65" s="15" t="s">
        <v>1268</v>
      </c>
      <c r="C65" s="15" t="s">
        <v>1208</v>
      </c>
      <c r="D65" s="15"/>
      <c r="E65" s="22">
        <v>44069</v>
      </c>
      <c r="F65" s="22">
        <v>44135</v>
      </c>
      <c r="G65" s="15" t="s">
        <v>651</v>
      </c>
      <c r="H65" s="41" t="s">
        <v>1266</v>
      </c>
      <c r="I65" s="15" t="s">
        <v>801</v>
      </c>
      <c r="J65" s="42" t="s">
        <v>883</v>
      </c>
      <c r="K65" s="42" t="s">
        <v>883</v>
      </c>
      <c r="L65" s="15" t="s">
        <v>676</v>
      </c>
      <c r="M65" s="15" t="s">
        <v>276</v>
      </c>
      <c r="N65" s="15" t="s">
        <v>295</v>
      </c>
      <c r="O65" s="15" t="s">
        <v>677</v>
      </c>
      <c r="P65" s="15" t="str">
        <f>VLOOKUP(Y65,'All Codes'!$BF$3:$BG$278,2,FALSE)</f>
        <v>MPU</v>
      </c>
      <c r="Q65" s="15" t="s">
        <v>179</v>
      </c>
      <c r="R65" s="15" t="s">
        <v>277</v>
      </c>
      <c r="S65" s="15" t="s">
        <v>865</v>
      </c>
      <c r="T65" s="46" t="s">
        <v>884</v>
      </c>
      <c r="U65" s="15" t="s">
        <v>876</v>
      </c>
      <c r="V65" s="55" t="s">
        <v>1080</v>
      </c>
      <c r="W65" s="15" t="s">
        <v>866</v>
      </c>
      <c r="X65" s="15" t="s">
        <v>307</v>
      </c>
      <c r="Y65" s="46" t="s">
        <v>479</v>
      </c>
      <c r="Z65" s="15"/>
      <c r="AA65" s="15"/>
      <c r="AB65" s="15"/>
      <c r="AC65" s="15"/>
      <c r="AD65" s="15"/>
      <c r="AE65" s="15"/>
      <c r="AF65" s="15"/>
      <c r="AG65" s="15"/>
      <c r="AH65" s="15" t="str">
        <f t="shared" si="39"/>
        <v>281516560</v>
      </c>
      <c r="AI65" s="21" t="str">
        <f t="shared" si="35"/>
        <v>alp_vw_dv360_imc_dsy_lanch_nd_nc_nvs_nivus-launch-consideracao-orca__trafego_cpm_drct_all_320x50_lancamento-nivus-orca-customerlist1st_na_lancamento-consideracao-nivus-orca_nvl-nvs-imc-dsy-0820-10065</v>
      </c>
      <c r="AJ65" s="40" t="str">
        <f t="shared" si="35"/>
        <v>alp_vw_dv360_imc_dsy_lanch_nd_nc_nvs_nivus-launch-consideracao-orca__trafego_cpm_drct_all_320x50_lancamento-nivus-orca-customerlist1st_na_lancamento-consideracao-nivus-orca_nvl-nvs-imc-dsy-0820-10065</v>
      </c>
      <c r="AK65" s="21" t="str">
        <f t="shared" si="2"/>
        <v>vw_nivus_320x50_lancamento-consideracao-nivus-orca_adserver</v>
      </c>
      <c r="AL65" s="21" t="str">
        <f t="shared" si="22"/>
        <v>https://www.vw.com.br/pt/configurador.html/__app/%2Fnivus/0.app?adlid=nvl-nvs-imc-dsy-0820-10065&amp;adplt=alp_vw_dv360_imc_dsy_lanch_nd_nc_nvs_nivus-launch-consideracao-orca__trafego_cpm_drct_all_320x50_lancamento-nivus-orca-customerlist1st_na_lancamento-consideracao-nivus-orca_nvl-nvs-imc-dsy-0820-10065</v>
      </c>
      <c r="AM65" s="21" t="str">
        <f t="shared" si="4"/>
        <v>TAG</v>
      </c>
      <c r="AN65" s="15" t="str">
        <f t="shared" si="23"/>
        <v>DV360</v>
      </c>
      <c r="AO65" s="15" t="str">
        <f t="shared" si="24"/>
        <v>Paid-Display</v>
      </c>
      <c r="AP65" s="21" t="str">
        <f>Campanha!$B$3</f>
        <v>BR_IMC_DSY_LANCH_ND_NC_2020Q3AUG_NVS_Nivus-Launch-Consideracao-Orca</v>
      </c>
      <c r="AQ65" s="21" t="str">
        <f t="shared" si="7"/>
        <v>alp_vw_dv360_imc_dsy_lanch_nd_nc_nvs_nivus-launch-consideracao-orca__trafego_cpm_drct_all_320x50_lancamento-nivus-orca-customerlist1st_na_lancamento-consideracao-nivus-orca_nvl-nvs-imc-dsy-0820-10065</v>
      </c>
      <c r="AR65" s="15" t="s">
        <v>745</v>
      </c>
      <c r="AS65" s="21" t="str">
        <f t="shared" si="8"/>
        <v>https://www.vw.com.br/pt/configurador.html/__app/%2Fnivus/0.app?utm_source=DV360&amp;utm_medium=Paid-Display&amp;utm_content=alp_vw_dv360_imc_dsy_lanch_nd_nc_nvs_nivus-launch-consideracao-orca__trafego_cpm_drct_all_320x50_lancamento-nivus-orca-customerlist1st_na_lancamento-consideracao-nivus-orca_nvl-nvs-imc-dsy-0820-10065&amp;utm_campaign=BR_IMC_DSY_LANCH_ND_NC_2020Q3AUG_NVS_Nivus-Launch-Consideracao-Orca&amp;utm_term=%epid!_%ecid!_%eaid!</v>
      </c>
      <c r="AT65" s="15" t="str">
        <f t="shared" si="25"/>
        <v>other</v>
      </c>
      <c r="AU65" s="15" t="str">
        <f t="shared" si="10"/>
        <v>BR</v>
      </c>
      <c r="AV65" s="15" t="str">
        <f t="shared" si="26"/>
        <v>dv360</v>
      </c>
      <c r="AW65" s="15" t="str">
        <f t="shared" si="27"/>
        <v>dv360</v>
      </c>
      <c r="AX65" s="15" t="str">
        <f t="shared" si="13"/>
        <v>nivus-launch-consideracao-orca</v>
      </c>
      <c r="AY65" s="15" t="str">
        <f t="shared" si="28"/>
        <v>alp_vw_dv360_imc_dsy_lanch_nd_nc_nvs_nivus-launch-consideracao-orca__trafego_cpm_drct_all_320x50_lancamento-nivus-orca-customerlist1st_na_lancamento-consideracao-nivus-orca_nvl-nvs-imc-dsy-0820-10065</v>
      </c>
      <c r="AZ65" s="15" t="str">
        <f t="shared" si="29"/>
        <v>320x50</v>
      </c>
      <c r="BA65" s="15" t="str">
        <f t="shared" si="30"/>
        <v>lancamento-consideracao-nivus-orca</v>
      </c>
      <c r="BB65" s="28" t="s">
        <v>798</v>
      </c>
      <c r="BC65" s="28" t="s">
        <v>798</v>
      </c>
      <c r="BD65" s="38" t="str">
        <f t="shared" si="31"/>
        <v>nvl-nvs-imc-dsy-0820-10065</v>
      </c>
      <c r="BE65" s="15" t="str">
        <f t="shared" si="32"/>
        <v>BR</v>
      </c>
      <c r="BF65" s="15" t="str">
        <f t="shared" si="33"/>
        <v>paid</v>
      </c>
      <c r="BG65" s="28"/>
      <c r="BH65" s="28"/>
      <c r="BI65" s="36" t="str">
        <f t="shared" si="18"/>
        <v>https://www.vw.com.br/pt/configurador.html/__app/%2Fnivus/0.app?adlid=nvl-nvs-imc-dsy-0820-10065&amp;adplt=alp_vw_dv360_imc_dsy_lanch_nd_nc_nvs_nivus-launch-consideracao-orca__trafego_cpm_drct_all_320x50_lancamento-nivus-orca-customerlist1st_na_lancamento-consideracao-nivus-orca_nvl-nvs-imc-dsy-0820-10065</v>
      </c>
      <c r="BL65" t="str">
        <f t="shared" si="19"/>
        <v>alp_vw_dv360_imc_dsy_lanch_nd_nc_nvs_nivus-launch-consideracao-orca__trafego</v>
      </c>
      <c r="BM65" t="str">
        <f t="shared" si="20"/>
        <v>cpm_drct_all_320x50_lancamento-nivus-orca-customerlist1st_na</v>
      </c>
      <c r="BN65" t="str">
        <f t="shared" si="21"/>
        <v>alp_vw_dv360_imc_dsy_lanch_nd_nc_nvs_nivus-launch-consideracao-orca__trafego_cpm_drct_all_320x50_lancamento-nivus-orca-customerlist1st_na_generico_nvl-nvs-imc-dsy-0820-10065</v>
      </c>
    </row>
    <row r="66" spans="2:66" ht="15.75" customHeight="1" x14ac:dyDescent="0.25">
      <c r="B66" s="15" t="s">
        <v>1268</v>
      </c>
      <c r="C66" s="15" t="s">
        <v>1208</v>
      </c>
      <c r="D66" s="15"/>
      <c r="E66" s="22">
        <v>44069</v>
      </c>
      <c r="F66" s="22">
        <v>44135</v>
      </c>
      <c r="G66" s="15" t="s">
        <v>651</v>
      </c>
      <c r="H66" s="41" t="s">
        <v>1266</v>
      </c>
      <c r="I66" s="15" t="s">
        <v>801</v>
      </c>
      <c r="J66" s="42" t="s">
        <v>883</v>
      </c>
      <c r="K66" s="42" t="s">
        <v>883</v>
      </c>
      <c r="L66" s="15" t="s">
        <v>676</v>
      </c>
      <c r="M66" s="15" t="s">
        <v>276</v>
      </c>
      <c r="N66" s="15" t="s">
        <v>295</v>
      </c>
      <c r="O66" s="15" t="s">
        <v>677</v>
      </c>
      <c r="P66" s="15" t="str">
        <f>VLOOKUP(Y66,'All Codes'!$BF$3:$BG$278,2,FALSE)</f>
        <v>Leaderboard</v>
      </c>
      <c r="Q66" s="15" t="s">
        <v>179</v>
      </c>
      <c r="R66" s="15" t="s">
        <v>277</v>
      </c>
      <c r="S66" s="15" t="s">
        <v>865</v>
      </c>
      <c r="T66" s="46" t="s">
        <v>884</v>
      </c>
      <c r="U66" s="15" t="s">
        <v>876</v>
      </c>
      <c r="V66" s="55" t="s">
        <v>1080</v>
      </c>
      <c r="W66" s="15" t="s">
        <v>866</v>
      </c>
      <c r="X66" s="15" t="s">
        <v>307</v>
      </c>
      <c r="Y66" s="46" t="s">
        <v>591</v>
      </c>
      <c r="Z66" s="15"/>
      <c r="AA66" s="15"/>
      <c r="AB66" s="15"/>
      <c r="AC66" s="15"/>
      <c r="AD66" s="15"/>
      <c r="AE66" s="15"/>
      <c r="AF66" s="15"/>
      <c r="AG66" s="15"/>
      <c r="AH66" s="15" t="str">
        <f t="shared" si="39"/>
        <v>281516557</v>
      </c>
      <c r="AI66" s="21" t="str">
        <f t="shared" si="35"/>
        <v>alp_vw_dv360_imc_dsy_lanch_nd_nc_nvs_nivus-launch-consideracao-orca__trafego_cpm_drct_all_728x90_lancamento-nivus-orca-customerlist1st_na_lancamento-consideracao-nivus-orca_nvl-nvs-imc-dsy-0820-10066</v>
      </c>
      <c r="AJ66" s="40" t="str">
        <f t="shared" si="35"/>
        <v>alp_vw_dv360_imc_dsy_lanch_nd_nc_nvs_nivus-launch-consideracao-orca__trafego_cpm_drct_all_728x90_lancamento-nivus-orca-customerlist1st_na_lancamento-consideracao-nivus-orca_nvl-nvs-imc-dsy-0820-10066</v>
      </c>
      <c r="AK66" s="21" t="str">
        <f t="shared" si="2"/>
        <v>vw_nivus_728x90_lancamento-consideracao-nivus-orca_adserver</v>
      </c>
      <c r="AL66" s="21" t="str">
        <f t="shared" si="22"/>
        <v>https://www.vw.com.br/pt/configurador.html/__app/%2Fnivus/0.app?adlid=nvl-nvs-imc-dsy-0820-10066&amp;adplt=alp_vw_dv360_imc_dsy_lanch_nd_nc_nvs_nivus-launch-consideracao-orca__trafego_cpm_drct_all_728x90_lancamento-nivus-orca-customerlist1st_na_lancamento-consideracao-nivus-orca_nvl-nvs-imc-dsy-0820-10066</v>
      </c>
      <c r="AM66" s="21" t="str">
        <f t="shared" si="4"/>
        <v>TAG</v>
      </c>
      <c r="AN66" s="15" t="str">
        <f t="shared" si="23"/>
        <v>DV360</v>
      </c>
      <c r="AO66" s="15" t="str">
        <f t="shared" si="24"/>
        <v>Paid-Display</v>
      </c>
      <c r="AP66" s="21" t="str">
        <f>Campanha!$B$3</f>
        <v>BR_IMC_DSY_LANCH_ND_NC_2020Q3AUG_NVS_Nivus-Launch-Consideracao-Orca</v>
      </c>
      <c r="AQ66" s="21" t="str">
        <f t="shared" si="7"/>
        <v>alp_vw_dv360_imc_dsy_lanch_nd_nc_nvs_nivus-launch-consideracao-orca__trafego_cpm_drct_all_728x90_lancamento-nivus-orca-customerlist1st_na_lancamento-consideracao-nivus-orca_nvl-nvs-imc-dsy-0820-10066</v>
      </c>
      <c r="AR66" s="15" t="s">
        <v>745</v>
      </c>
      <c r="AS66" s="21" t="str">
        <f t="shared" si="8"/>
        <v>https://www.vw.com.br/pt/configurador.html/__app/%2Fnivus/0.app?utm_source=DV360&amp;utm_medium=Paid-Display&amp;utm_content=alp_vw_dv360_imc_dsy_lanch_nd_nc_nvs_nivus-launch-consideracao-orca__trafego_cpm_drct_all_728x90_lancamento-nivus-orca-customerlist1st_na_lancamento-consideracao-nivus-orca_nvl-nvs-imc-dsy-0820-10066&amp;utm_campaign=BR_IMC_DSY_LANCH_ND_NC_2020Q3AUG_NVS_Nivus-Launch-Consideracao-Orca&amp;utm_term=%epid!_%ecid!_%eaid!</v>
      </c>
      <c r="AT66" s="15" t="str">
        <f t="shared" si="25"/>
        <v>other</v>
      </c>
      <c r="AU66" s="15" t="str">
        <f t="shared" si="10"/>
        <v>BR</v>
      </c>
      <c r="AV66" s="15" t="str">
        <f t="shared" si="26"/>
        <v>dv360</v>
      </c>
      <c r="AW66" s="15" t="str">
        <f t="shared" si="27"/>
        <v>dv360</v>
      </c>
      <c r="AX66" s="15" t="str">
        <f t="shared" si="13"/>
        <v>nivus-launch-consideracao-orca</v>
      </c>
      <c r="AY66" s="15" t="str">
        <f t="shared" si="28"/>
        <v>alp_vw_dv360_imc_dsy_lanch_nd_nc_nvs_nivus-launch-consideracao-orca__trafego_cpm_drct_all_728x90_lancamento-nivus-orca-customerlist1st_na_lancamento-consideracao-nivus-orca_nvl-nvs-imc-dsy-0820-10066</v>
      </c>
      <c r="AZ66" s="15" t="str">
        <f t="shared" si="29"/>
        <v>728x90</v>
      </c>
      <c r="BA66" s="15" t="str">
        <f t="shared" si="30"/>
        <v>lancamento-consideracao-nivus-orca</v>
      </c>
      <c r="BB66" s="28" t="s">
        <v>798</v>
      </c>
      <c r="BC66" s="28" t="s">
        <v>798</v>
      </c>
      <c r="BD66" s="38" t="str">
        <f t="shared" si="31"/>
        <v>nvl-nvs-imc-dsy-0820-10066</v>
      </c>
      <c r="BE66" s="15" t="str">
        <f t="shared" si="32"/>
        <v>BR</v>
      </c>
      <c r="BF66" s="15" t="str">
        <f t="shared" si="33"/>
        <v>paid</v>
      </c>
      <c r="BG66" s="28"/>
      <c r="BH66" s="28"/>
      <c r="BI66" s="36" t="str">
        <f t="shared" si="18"/>
        <v>https://www.vw.com.br/pt/configurador.html/__app/%2Fnivus/0.app?adlid=nvl-nvs-imc-dsy-0820-10066&amp;adplt=alp_vw_dv360_imc_dsy_lanch_nd_nc_nvs_nivus-launch-consideracao-orca__trafego_cpm_drct_all_728x90_lancamento-nivus-orca-customerlist1st_na_lancamento-consideracao-nivus-orca_nvl-nvs-imc-dsy-0820-10066</v>
      </c>
      <c r="BL66" t="str">
        <f t="shared" si="19"/>
        <v>alp_vw_dv360_imc_dsy_lanch_nd_nc_nvs_nivus-launch-consideracao-orca__trafego</v>
      </c>
      <c r="BM66" t="str">
        <f t="shared" si="20"/>
        <v>cpm_drct_all_728x90_lancamento-nivus-orca-customerlist1st_na</v>
      </c>
      <c r="BN66" t="str">
        <f t="shared" si="21"/>
        <v>alp_vw_dv360_imc_dsy_lanch_nd_nc_nvs_nivus-launch-consideracao-orca__trafego_cpm_drct_all_728x90_lancamento-nivus-orca-customerlist1st_na_generico_nvl-nvs-imc-dsy-0820-10066</v>
      </c>
    </row>
    <row r="67" spans="2:66" ht="15.75" customHeight="1" x14ac:dyDescent="0.25">
      <c r="B67" s="15" t="s">
        <v>1268</v>
      </c>
      <c r="C67" s="15" t="s">
        <v>1208</v>
      </c>
      <c r="D67" s="15"/>
      <c r="E67" s="22">
        <v>44069</v>
      </c>
      <c r="F67" s="22">
        <v>44135</v>
      </c>
      <c r="G67" s="15" t="s">
        <v>651</v>
      </c>
      <c r="H67" s="41" t="s">
        <v>1266</v>
      </c>
      <c r="I67" s="15" t="s">
        <v>801</v>
      </c>
      <c r="J67" s="42" t="s">
        <v>883</v>
      </c>
      <c r="K67" s="42" t="s">
        <v>883</v>
      </c>
      <c r="L67" s="15" t="s">
        <v>676</v>
      </c>
      <c r="M67" s="15" t="s">
        <v>276</v>
      </c>
      <c r="N67" s="15" t="s">
        <v>295</v>
      </c>
      <c r="O67" s="15" t="s">
        <v>677</v>
      </c>
      <c r="P67" s="15" t="str">
        <f>VLOOKUP(Y67,'All Codes'!$BF$3:$BG$278,2,FALSE)</f>
        <v>Leaderboard</v>
      </c>
      <c r="Q67" s="15" t="s">
        <v>179</v>
      </c>
      <c r="R67" s="15" t="s">
        <v>277</v>
      </c>
      <c r="S67" s="15" t="s">
        <v>865</v>
      </c>
      <c r="T67" s="46" t="s">
        <v>884</v>
      </c>
      <c r="U67" s="15" t="s">
        <v>876</v>
      </c>
      <c r="V67" s="55" t="s">
        <v>1080</v>
      </c>
      <c r="W67" s="15" t="s">
        <v>866</v>
      </c>
      <c r="X67" s="15" t="s">
        <v>307</v>
      </c>
      <c r="Y67" s="46" t="s">
        <v>629</v>
      </c>
      <c r="Z67" s="15"/>
      <c r="AA67" s="15"/>
      <c r="AB67" s="15"/>
      <c r="AC67" s="15"/>
      <c r="AD67" s="15"/>
      <c r="AE67" s="15"/>
      <c r="AF67" s="15"/>
      <c r="AG67" s="15"/>
      <c r="AH67" s="15" t="str">
        <f t="shared" si="39"/>
        <v>281516554</v>
      </c>
      <c r="AI67" s="21" t="str">
        <f t="shared" si="35"/>
        <v>alp_vw_dv360_imc_dsy_lanch_nd_nc_nvs_nivus-launch-consideracao-orca__trafego_cpm_drct_all_970x250_lancamento-nivus-orca-customerlist1st_na_lancamento-consideracao-nivus-orca_nvl-nvs-imc-dsy-0820-10067</v>
      </c>
      <c r="AJ67" s="40" t="str">
        <f t="shared" si="35"/>
        <v>alp_vw_dv360_imc_dsy_lanch_nd_nc_nvs_nivus-launch-consideracao-orca__trafego_cpm_drct_all_970x250_lancamento-nivus-orca-customerlist1st_na_lancamento-consideracao-nivus-orca_nvl-nvs-imc-dsy-0820-10067</v>
      </c>
      <c r="AK67" s="21" t="str">
        <f t="shared" si="2"/>
        <v>vw_nivus_970x250_lancamento-consideracao-nivus-orca_adserver</v>
      </c>
      <c r="AL67" s="21" t="str">
        <f t="shared" si="22"/>
        <v>https://www.vw.com.br/pt/configurador.html/__app/%2Fnivus/0.app?adlid=nvl-nvs-imc-dsy-0820-10067&amp;adplt=alp_vw_dv360_imc_dsy_lanch_nd_nc_nvs_nivus-launch-consideracao-orca__trafego_cpm_drct_all_970x250_lancamento-nivus-orca-customerlist1st_na_lancamento-consideracao-nivus-orca_nvl-nvs-imc-dsy-0820-10067</v>
      </c>
      <c r="AM67" s="21" t="str">
        <f t="shared" si="4"/>
        <v>TAG</v>
      </c>
      <c r="AN67" s="15" t="str">
        <f t="shared" si="23"/>
        <v>DV360</v>
      </c>
      <c r="AO67" s="15" t="str">
        <f t="shared" si="24"/>
        <v>Paid-Display</v>
      </c>
      <c r="AP67" s="21" t="str">
        <f>Campanha!$B$3</f>
        <v>BR_IMC_DSY_LANCH_ND_NC_2020Q3AUG_NVS_Nivus-Launch-Consideracao-Orca</v>
      </c>
      <c r="AQ67" s="21" t="str">
        <f t="shared" si="7"/>
        <v>alp_vw_dv360_imc_dsy_lanch_nd_nc_nvs_nivus-launch-consideracao-orca__trafego_cpm_drct_all_970x250_lancamento-nivus-orca-customerlist1st_na_lancamento-consideracao-nivus-orca_nvl-nvs-imc-dsy-0820-10067</v>
      </c>
      <c r="AR67" s="15" t="s">
        <v>745</v>
      </c>
      <c r="AS67" s="21" t="str">
        <f t="shared" si="8"/>
        <v>https://www.vw.com.br/pt/configurador.html/__app/%2Fnivus/0.app?utm_source=DV360&amp;utm_medium=Paid-Display&amp;utm_content=alp_vw_dv360_imc_dsy_lanch_nd_nc_nvs_nivus-launch-consideracao-orca__trafego_cpm_drct_all_970x250_lancamento-nivus-orca-customerlist1st_na_lancamento-consideracao-nivus-orca_nvl-nvs-imc-dsy-0820-10067&amp;utm_campaign=BR_IMC_DSY_LANCH_ND_NC_2020Q3AUG_NVS_Nivus-Launch-Consideracao-Orca&amp;utm_term=%epid!_%ecid!_%eaid!</v>
      </c>
      <c r="AT67" s="15" t="str">
        <f t="shared" si="25"/>
        <v>other</v>
      </c>
      <c r="AU67" s="15" t="str">
        <f t="shared" si="10"/>
        <v>BR</v>
      </c>
      <c r="AV67" s="15" t="str">
        <f t="shared" si="26"/>
        <v>dv360</v>
      </c>
      <c r="AW67" s="15" t="str">
        <f t="shared" si="27"/>
        <v>dv360</v>
      </c>
      <c r="AX67" s="15" t="str">
        <f t="shared" si="13"/>
        <v>nivus-launch-consideracao-orca</v>
      </c>
      <c r="AY67" s="15" t="str">
        <f t="shared" si="28"/>
        <v>alp_vw_dv360_imc_dsy_lanch_nd_nc_nvs_nivus-launch-consideracao-orca__trafego_cpm_drct_all_970x250_lancamento-nivus-orca-customerlist1st_na_lancamento-consideracao-nivus-orca_nvl-nvs-imc-dsy-0820-10067</v>
      </c>
      <c r="AZ67" s="15" t="str">
        <f t="shared" si="29"/>
        <v>970x250</v>
      </c>
      <c r="BA67" s="15" t="str">
        <f t="shared" si="30"/>
        <v>lancamento-consideracao-nivus-orca</v>
      </c>
      <c r="BB67" s="28" t="s">
        <v>798</v>
      </c>
      <c r="BC67" s="28" t="s">
        <v>798</v>
      </c>
      <c r="BD67" s="38" t="str">
        <f t="shared" si="31"/>
        <v>nvl-nvs-imc-dsy-0820-10067</v>
      </c>
      <c r="BE67" s="15" t="str">
        <f t="shared" si="32"/>
        <v>BR</v>
      </c>
      <c r="BF67" s="15" t="str">
        <f t="shared" si="33"/>
        <v>paid</v>
      </c>
      <c r="BG67" s="28"/>
      <c r="BH67" s="28"/>
      <c r="BI67" s="36" t="str">
        <f t="shared" si="18"/>
        <v>https://www.vw.com.br/pt/configurador.html/__app/%2Fnivus/0.app?adlid=nvl-nvs-imc-dsy-0820-10067&amp;adplt=alp_vw_dv360_imc_dsy_lanch_nd_nc_nvs_nivus-launch-consideracao-orca__trafego_cpm_drct_all_970x250_lancamento-nivus-orca-customerlist1st_na_lancamento-consideracao-nivus-orca_nvl-nvs-imc-dsy-0820-10067</v>
      </c>
      <c r="BL67" t="str">
        <f t="shared" si="19"/>
        <v>alp_vw_dv360_imc_dsy_lanch_nd_nc_nvs_nivus-launch-consideracao-orca__trafego</v>
      </c>
      <c r="BM67" t="str">
        <f t="shared" si="20"/>
        <v>cpm_drct_all_970x250_lancamento-nivus-orca-customerlist1st_na</v>
      </c>
      <c r="BN67" t="str">
        <f t="shared" si="21"/>
        <v>alp_vw_dv360_imc_dsy_lanch_nd_nc_nvs_nivus-launch-consideracao-orca__trafego_cpm_drct_all_970x250_lancamento-nivus-orca-customerlist1st_na_generico_nvl-nvs-imc-dsy-0820-10067</v>
      </c>
    </row>
    <row r="68" spans="2:66" ht="15.75" customHeight="1" x14ac:dyDescent="0.25">
      <c r="B68" s="15" t="s">
        <v>1291</v>
      </c>
      <c r="C68" s="15" t="s">
        <v>1293</v>
      </c>
      <c r="D68" s="15"/>
      <c r="E68" s="22">
        <v>44069</v>
      </c>
      <c r="F68" s="22">
        <v>44135</v>
      </c>
      <c r="G68" s="15" t="s">
        <v>651</v>
      </c>
      <c r="H68" s="41" t="s">
        <v>1266</v>
      </c>
      <c r="I68" s="15" t="s">
        <v>801</v>
      </c>
      <c r="J68" s="42" t="s">
        <v>883</v>
      </c>
      <c r="K68" s="42" t="s">
        <v>883</v>
      </c>
      <c r="L68" s="15" t="s">
        <v>676</v>
      </c>
      <c r="M68" s="15" t="s">
        <v>276</v>
      </c>
      <c r="N68" s="15" t="s">
        <v>295</v>
      </c>
      <c r="O68" s="15" t="s">
        <v>677</v>
      </c>
      <c r="P68" s="15" t="str">
        <f>VLOOKUP(Y68,'All Codes'!$BF$3:$BG$278,2,FALSE)</f>
        <v>MPU</v>
      </c>
      <c r="Q68" s="15" t="s">
        <v>179</v>
      </c>
      <c r="R68" s="15" t="s">
        <v>277</v>
      </c>
      <c r="S68" s="15" t="s">
        <v>865</v>
      </c>
      <c r="T68" s="46" t="s">
        <v>884</v>
      </c>
      <c r="U68" s="15" t="s">
        <v>876</v>
      </c>
      <c r="V68" s="56" t="s">
        <v>893</v>
      </c>
      <c r="W68" s="15" t="s">
        <v>866</v>
      </c>
      <c r="X68" s="15" t="s">
        <v>307</v>
      </c>
      <c r="Y68" s="46" t="s">
        <v>461</v>
      </c>
      <c r="Z68" s="15"/>
      <c r="AA68" s="15"/>
      <c r="AB68" s="15"/>
      <c r="AC68" s="15"/>
      <c r="AD68" s="15"/>
      <c r="AE68" s="15"/>
      <c r="AF68" s="15"/>
      <c r="AG68" s="15"/>
      <c r="AH68" s="15" t="str">
        <f t="shared" ref="AH68:AH79" si="40">VLOOKUP(AI68,id_placement,2,FALSE)</f>
        <v>281516551</v>
      </c>
      <c r="AI68" s="21" t="str">
        <f t="shared" si="35"/>
        <v>alp_vw_dv360_imc_dsy_lanch_nd_nc_nvs_nivus-launch-consideracao-orca__trafego_cpm_drct_all_300x50_lancamento-nivus-orca-similaraudiences1stparty_na_lancamento-consideracao-nivus-orca_nvl-nvs-imc-dsy-0820-10068</v>
      </c>
      <c r="AJ68" s="40" t="str">
        <f t="shared" si="35"/>
        <v>alp_vw_dv360_imc_dsy_lanch_nd_nc_nvs_nivus-launch-consideracao-orca__trafego_cpm_drct_all_300x50_lancamento-nivus-orca-similaraudiences1stparty_na_lancamento-consideracao-nivus-orca_nvl-nvs-imc-dsy-0820-10068</v>
      </c>
      <c r="AK68" s="21" t="str">
        <f t="shared" si="2"/>
        <v>vw_nivus_300x50_lancamento-consideracao-nivus-orca_adserver</v>
      </c>
      <c r="AL68" s="21" t="str">
        <f t="shared" si="22"/>
        <v>https://www.vw.com.br/pt/configurador.html/__app/%2Fnivus/0.app?adlid=nvl-nvs-imc-dsy-0820-10068&amp;adplt=alp_vw_dv360_imc_dsy_lanch_nd_nc_nvs_nivus-launch-consideracao-orca__trafego_cpm_drct_all_300x50_lancamento-nivus-orca-similaraudiences1stparty_na_lancamento-consideracao-nivus-orca_nvl-nvs-imc-dsy-0820-10068</v>
      </c>
      <c r="AM68" s="21" t="str">
        <f t="shared" si="4"/>
        <v>TAG</v>
      </c>
      <c r="AN68" s="15" t="str">
        <f t="shared" si="23"/>
        <v>DV360</v>
      </c>
      <c r="AO68" s="15" t="str">
        <f t="shared" si="24"/>
        <v>Paid-Display</v>
      </c>
      <c r="AP68" s="21" t="str">
        <f>Campanha!$B$3</f>
        <v>BR_IMC_DSY_LANCH_ND_NC_2020Q3AUG_NVS_Nivus-Launch-Consideracao-Orca</v>
      </c>
      <c r="AQ68" s="21" t="str">
        <f t="shared" si="7"/>
        <v>alp_vw_dv360_imc_dsy_lanch_nd_nc_nvs_nivus-launch-consideracao-orca__trafego_cpm_drct_all_300x50_lancamento-nivus-orca-similaraudiences1stparty_na_lancamento-consideracao-nivus-orca_nvl-nvs-imc-dsy-0820-10068</v>
      </c>
      <c r="AR68" s="15" t="s">
        <v>745</v>
      </c>
      <c r="AS68" s="21" t="str">
        <f t="shared" si="8"/>
        <v>https://www.vw.com.br/pt/configurador.html/__app/%2Fnivus/0.app?utm_source=DV360&amp;utm_medium=Paid-Display&amp;utm_content=alp_vw_dv360_imc_dsy_lanch_nd_nc_nvs_nivus-launch-consideracao-orca__trafego_cpm_drct_all_300x50_lancamento-nivus-orca-similaraudiences1stparty_na_lancamento-consideracao-nivus-orca_nvl-nvs-imc-dsy-0820-10068&amp;utm_campaign=BR_IMC_DSY_LANCH_ND_NC_2020Q3AUG_NVS_Nivus-Launch-Consideracao-Orca&amp;utm_term=%epid!_%ecid!_%eaid!</v>
      </c>
      <c r="AT68" s="15" t="str">
        <f t="shared" si="25"/>
        <v>other</v>
      </c>
      <c r="AU68" s="15" t="str">
        <f t="shared" si="10"/>
        <v>BR</v>
      </c>
      <c r="AV68" s="15" t="str">
        <f t="shared" si="26"/>
        <v>dv360</v>
      </c>
      <c r="AW68" s="15" t="str">
        <f t="shared" si="27"/>
        <v>dv360</v>
      </c>
      <c r="AX68" s="15" t="str">
        <f t="shared" si="13"/>
        <v>nivus-launch-consideracao-orca</v>
      </c>
      <c r="AY68" s="15" t="str">
        <f t="shared" si="28"/>
        <v>alp_vw_dv360_imc_dsy_lanch_nd_nc_nvs_nivus-launch-consideracao-orca__trafego_cpm_drct_all_300x50_lancamento-nivus-orca-similaraudiences1stparty_na_lancamento-consideracao-nivus-orca_nvl-nvs-imc-dsy-0820-10068</v>
      </c>
      <c r="AZ68" s="15" t="str">
        <f t="shared" si="29"/>
        <v>300x50</v>
      </c>
      <c r="BA68" s="15" t="str">
        <f t="shared" si="30"/>
        <v>lancamento-consideracao-nivus-orca</v>
      </c>
      <c r="BB68" s="28" t="s">
        <v>798</v>
      </c>
      <c r="BC68" s="28" t="s">
        <v>798</v>
      </c>
      <c r="BD68" s="38" t="str">
        <f t="shared" si="31"/>
        <v>nvl-nvs-imc-dsy-0820-10068</v>
      </c>
      <c r="BE68" s="15" t="str">
        <f t="shared" si="32"/>
        <v>BR</v>
      </c>
      <c r="BF68" s="15" t="str">
        <f t="shared" si="33"/>
        <v>paid</v>
      </c>
      <c r="BG68" s="28"/>
      <c r="BH68" s="28"/>
      <c r="BI68" s="36" t="str">
        <f t="shared" si="18"/>
        <v>https://www.vw.com.br/pt/configurador.html/__app/%2Fnivus/0.app?adlid=nvl-nvs-imc-dsy-0820-10068&amp;adplt=alp_vw_dv360_imc_dsy_lanch_nd_nc_nvs_nivus-launch-consideracao-orca__trafego_cpm_drct_all_300x50_lancamento-nivus-orca-similaraudiences1stparty_na_lancamento-consideracao-nivus-orca_nvl-nvs-imc-dsy-0820-10068</v>
      </c>
      <c r="BL68" t="str">
        <f t="shared" si="19"/>
        <v>alp_vw_dv360_imc_dsy_lanch_nd_nc_nvs_nivus-launch-consideracao-orca__trafego</v>
      </c>
      <c r="BM68" t="str">
        <f t="shared" si="20"/>
        <v>cpm_drct_all_300x50_lancamento-nivus-orca-similaraudiences1stparty_na</v>
      </c>
      <c r="BN68" t="str">
        <f t="shared" si="21"/>
        <v>alp_vw_dv360_imc_dsy_lanch_nd_nc_nvs_nivus-launch-consideracao-orca__trafego_cpm_drct_all_300x50_lancamento-nivus-orca-similaraudiences1stparty_na_generico_nvl-nvs-imc-dsy-0820-10068</v>
      </c>
    </row>
    <row r="69" spans="2:66" ht="15.75" customHeight="1" x14ac:dyDescent="0.25">
      <c r="B69" s="15" t="s">
        <v>1291</v>
      </c>
      <c r="C69" s="15" t="s">
        <v>1293</v>
      </c>
      <c r="D69" s="15"/>
      <c r="E69" s="22">
        <v>44069</v>
      </c>
      <c r="F69" s="22">
        <v>44135</v>
      </c>
      <c r="G69" s="15" t="s">
        <v>651</v>
      </c>
      <c r="H69" s="41" t="s">
        <v>1266</v>
      </c>
      <c r="I69" s="15" t="s">
        <v>801</v>
      </c>
      <c r="J69" s="42" t="s">
        <v>883</v>
      </c>
      <c r="K69" s="42" t="s">
        <v>883</v>
      </c>
      <c r="L69" s="15" t="s">
        <v>676</v>
      </c>
      <c r="M69" s="15" t="s">
        <v>276</v>
      </c>
      <c r="N69" s="15" t="s">
        <v>295</v>
      </c>
      <c r="O69" s="15" t="s">
        <v>677</v>
      </c>
      <c r="P69" s="15" t="str">
        <f>VLOOKUP(Y69,'All Codes'!$BF$3:$BG$278,2,FALSE)</f>
        <v>Skyscraper</v>
      </c>
      <c r="Q69" s="15" t="s">
        <v>179</v>
      </c>
      <c r="R69" s="15" t="s">
        <v>277</v>
      </c>
      <c r="S69" s="15" t="s">
        <v>865</v>
      </c>
      <c r="T69" s="46" t="s">
        <v>884</v>
      </c>
      <c r="U69" s="15" t="s">
        <v>876</v>
      </c>
      <c r="V69" s="56" t="s">
        <v>893</v>
      </c>
      <c r="W69" s="15" t="s">
        <v>866</v>
      </c>
      <c r="X69" s="15" t="s">
        <v>307</v>
      </c>
      <c r="Y69" s="46" t="s">
        <v>434</v>
      </c>
      <c r="Z69" s="15"/>
      <c r="AA69" s="15"/>
      <c r="AB69" s="15"/>
      <c r="AC69" s="15"/>
      <c r="AD69" s="15"/>
      <c r="AE69" s="15"/>
      <c r="AF69" s="15"/>
      <c r="AG69" s="15"/>
      <c r="AH69" s="15" t="str">
        <f t="shared" si="40"/>
        <v>281516548</v>
      </c>
      <c r="AI69" s="21" t="str">
        <f t="shared" si="35"/>
        <v>alp_vw_dv360_imc_dsy_lanch_nd_nc_nvs_nivus-launch-consideracao-orca__trafego_cpm_drct_all_160x600_lancamento-nivus-orca-similaraudiences1stparty_na_lancamento-consideracao-nivus-orca_nvl-nvs-imc-dsy-0820-10069</v>
      </c>
      <c r="AJ69" s="40" t="str">
        <f t="shared" si="35"/>
        <v>alp_vw_dv360_imc_dsy_lanch_nd_nc_nvs_nivus-launch-consideracao-orca__trafego_cpm_drct_all_160x600_lancamento-nivus-orca-similaraudiences1stparty_na_lancamento-consideracao-nivus-orca_nvl-nvs-imc-dsy-0820-10069</v>
      </c>
      <c r="AK69" s="21" t="str">
        <f t="shared" ref="AK69:AK132" si="41">LOWER(faxineiro(CONCATENATE("VW","_",cel_modelvariant,"_",col_size,"_",col_localfreetype,"_",IF(col_servidopor="portal",col_supplier,"adserver"))))</f>
        <v>vw_nivus_160x600_lancamento-consideracao-nivus-orca_adserver</v>
      </c>
      <c r="AL69" s="21" t="str">
        <f t="shared" si="22"/>
        <v>https://www.vw.com.br/pt/configurador.html/__app/%2Fnivus/0.app?adlid=nvl-nvs-imc-dsy-0820-10069&amp;adplt=alp_vw_dv360_imc_dsy_lanch_nd_nc_nvs_nivus-launch-consideracao-orca__trafego_cpm_drct_all_160x600_lancamento-nivus-orca-similaraudiences1stparty_na_lancamento-consideracao-nivus-orca_nvl-nvs-imc-dsy-0820-10069</v>
      </c>
      <c r="AM69" s="21" t="str">
        <f t="shared" ref="AM69:AM132" si="42">IFERROR(IF(col_servidopor="portal",VLOOKUP(col_placement,tab_contadores,2,FALSE),"TAG"),"Contador")</f>
        <v>TAG</v>
      </c>
      <c r="AN69" s="15" t="str">
        <f t="shared" si="23"/>
        <v>DV360</v>
      </c>
      <c r="AO69" s="15" t="str">
        <f t="shared" si="24"/>
        <v>Paid-Display</v>
      </c>
      <c r="AP69" s="21" t="str">
        <f>Campanha!$B$3</f>
        <v>BR_IMC_DSY_LANCH_ND_NC_2020Q3AUG_NVS_Nivus-Launch-Consideracao-Orca</v>
      </c>
      <c r="AQ69" s="21" t="str">
        <f t="shared" ref="AQ69:AQ132" si="43">col_adname</f>
        <v>alp_vw_dv360_imc_dsy_lanch_nd_nc_nvs_nivus-launch-consideracao-orca__trafego_cpm_drct_all_160x600_lancamento-nivus-orca-similaraudiences1stparty_na_lancamento-consideracao-nivus-orca_nvl-nvs-imc-dsy-0820-10069</v>
      </c>
      <c r="AR69" s="15" t="s">
        <v>745</v>
      </c>
      <c r="AS69" s="21" t="str">
        <f t="shared" ref="AS69:AS132" si="44">faxineiro(CONCATENATE(col_url,IF(ISNUMBER(FIND("?",col_url)),"&amp;","?"),"utm_source=",col_utmsource,"&amp;utm_medium=",col_utmmedium,"&amp;utm_content=",col_utmcontent,"&amp;utm_campaign=",col_utmcampaign,"&amp;utm_term=",col_keyword))</f>
        <v>https://www.vw.com.br/pt/configurador.html/__app/%2Fnivus/0.app?utm_source=DV360&amp;utm_medium=Paid-Display&amp;utm_content=alp_vw_dv360_imc_dsy_lanch_nd_nc_nvs_nivus-launch-consideracao-orca__trafego_cpm_drct_all_160x600_lancamento-nivus-orca-similaraudiences1stparty_na_lancamento-consideracao-nivus-orca_nvl-nvs-imc-dsy-0820-10069&amp;utm_campaign=BR_IMC_DSY_LANCH_ND_NC_2020Q3AUG_NVS_Nivus-Launch-Consideracao-Orca&amp;utm_term=%epid!_%ecid!_%eaid!</v>
      </c>
      <c r="AT69" s="15" t="str">
        <f t="shared" si="25"/>
        <v>other</v>
      </c>
      <c r="AU69" s="15" t="str">
        <f t="shared" ref="AU69:AU132" si="45">VLOOKUP(cel_country,tab_country,2,FALSE)</f>
        <v>BR</v>
      </c>
      <c r="AV69" s="15" t="str">
        <f t="shared" si="26"/>
        <v>dv360</v>
      </c>
      <c r="AW69" s="15" t="str">
        <f t="shared" si="27"/>
        <v>dv360</v>
      </c>
      <c r="AX69" s="15" t="str">
        <f t="shared" ref="AX69:AX132" si="46">LOWER(cel_campaing)</f>
        <v>nivus-launch-consideracao-orca</v>
      </c>
      <c r="AY69" s="15" t="str">
        <f t="shared" si="28"/>
        <v>alp_vw_dv360_imc_dsy_lanch_nd_nc_nvs_nivus-launch-consideracao-orca__trafego_cpm_drct_all_160x600_lancamento-nivus-orca-similaraudiences1stparty_na_lancamento-consideracao-nivus-orca_nvl-nvs-imc-dsy-0820-10069</v>
      </c>
      <c r="AZ69" s="15" t="str">
        <f t="shared" si="29"/>
        <v>160x600</v>
      </c>
      <c r="BA69" s="15" t="str">
        <f t="shared" si="30"/>
        <v>lancamento-consideracao-nivus-orca</v>
      </c>
      <c r="BB69" s="28" t="s">
        <v>798</v>
      </c>
      <c r="BC69" s="28" t="s">
        <v>798</v>
      </c>
      <c r="BD69" s="38" t="str">
        <f t="shared" si="31"/>
        <v>nvl-nvs-imc-dsy-0820-10069</v>
      </c>
      <c r="BE69" s="15" t="str">
        <f t="shared" si="32"/>
        <v>BR</v>
      </c>
      <c r="BF69" s="15" t="str">
        <f t="shared" si="33"/>
        <v>paid</v>
      </c>
      <c r="BG69" s="28"/>
      <c r="BH69" s="28"/>
      <c r="BI69" s="36" t="str">
        <f t="shared" ref="BI69:BI132" si="47">faxineiro(CONCATENATE(col_url,IF(ISNUMBER(FIND("?",col_url)),"&amp;","?"),CONCATENATE("adlid=",col_adlid,"&amp;adplt=",adplt)))</f>
        <v>https://www.vw.com.br/pt/configurador.html/__app/%2Fnivus/0.app?adlid=nvl-nvs-imc-dsy-0820-10069&amp;adplt=alp_vw_dv360_imc_dsy_lanch_nd_nc_nvs_nivus-launch-consideracao-orca__trafego_cpm_drct_all_160x600_lancamento-nivus-orca-similaraudiences1stparty_na_lancamento-consideracao-nivus-orca_nvl-nvs-imc-dsy-0820-10069</v>
      </c>
      <c r="BL69" t="str">
        <f t="shared" ref="BL69:BL132" si="48">LOWER(CONCATENATE("alp","_","vw","_",col_supplier,"_",cel_structurename,"_",col_objetivo))</f>
        <v>alp_vw_dv360_imc_dsy_lanch_nd_nc_nvs_nivus-launch-consideracao-orca__trafego</v>
      </c>
      <c r="BM69" t="str">
        <f t="shared" ref="BM69:BM132" si="49">LOWER(CONCATENATE(col_buyingmetric,"_",VLOOKUP(col_buyingtype,tab_buyingtype,2,FALSE),"_",col_device,"_",col_size,"_",col_segmentacao,"_",col_segmentacaodeanun))</f>
        <v>cpm_drct_all_160x600_lancamento-nivus-orca-similaraudiences1stparty_na</v>
      </c>
      <c r="BN69" t="str">
        <f t="shared" ref="BN69:BN132" si="50">faxineiro(LOWER(CONCATENATE(col_campanhaanunciante,"_",col_grupoanunciante,"_",col_linhacriativa2,"_",col_adlid)))</f>
        <v>alp_vw_dv360_imc_dsy_lanch_nd_nc_nvs_nivus-launch-consideracao-orca__trafego_cpm_drct_all_160x600_lancamento-nivus-orca-similaraudiences1stparty_na_generico_nvl-nvs-imc-dsy-0820-10069</v>
      </c>
    </row>
    <row r="70" spans="2:66" ht="15.75" customHeight="1" x14ac:dyDescent="0.25">
      <c r="B70" s="15" t="s">
        <v>1291</v>
      </c>
      <c r="C70" s="15" t="s">
        <v>1293</v>
      </c>
      <c r="D70" s="15"/>
      <c r="E70" s="22">
        <v>44069</v>
      </c>
      <c r="F70" s="22">
        <v>44135</v>
      </c>
      <c r="G70" s="15" t="s">
        <v>651</v>
      </c>
      <c r="H70" s="41" t="s">
        <v>1266</v>
      </c>
      <c r="I70" s="15" t="s">
        <v>801</v>
      </c>
      <c r="J70" s="42" t="s">
        <v>883</v>
      </c>
      <c r="K70" s="42" t="s">
        <v>883</v>
      </c>
      <c r="L70" s="15" t="s">
        <v>676</v>
      </c>
      <c r="M70" s="15" t="s">
        <v>276</v>
      </c>
      <c r="N70" s="15" t="s">
        <v>295</v>
      </c>
      <c r="O70" s="15" t="s">
        <v>677</v>
      </c>
      <c r="P70" s="15" t="str">
        <f>VLOOKUP(Y70,'All Codes'!$BF$3:$BG$278,2,FALSE)</f>
        <v>MPU</v>
      </c>
      <c r="Q70" s="15" t="s">
        <v>179</v>
      </c>
      <c r="R70" s="15" t="s">
        <v>277</v>
      </c>
      <c r="S70" s="15" t="s">
        <v>865</v>
      </c>
      <c r="T70" s="46" t="s">
        <v>884</v>
      </c>
      <c r="U70" s="15" t="s">
        <v>876</v>
      </c>
      <c r="V70" s="56" t="s">
        <v>893</v>
      </c>
      <c r="W70" s="15" t="s">
        <v>866</v>
      </c>
      <c r="X70" s="15" t="s">
        <v>307</v>
      </c>
      <c r="Y70" s="46" t="s">
        <v>455</v>
      </c>
      <c r="Z70" s="15"/>
      <c r="AA70" s="15"/>
      <c r="AB70" s="15"/>
      <c r="AC70" s="15"/>
      <c r="AD70" s="15"/>
      <c r="AE70" s="15"/>
      <c r="AF70" s="15"/>
      <c r="AG70" s="15"/>
      <c r="AH70" s="15" t="str">
        <f t="shared" si="40"/>
        <v>281502879</v>
      </c>
      <c r="AI70" s="21" t="str">
        <f t="shared" si="35"/>
        <v>alp_vw_dv360_imc_dsy_lanch_nd_nc_nvs_nivus-launch-consideracao-orca__trafego_cpm_drct_all_300x250_lancamento-nivus-orca-similaraudiences1stparty_na_lancamento-consideracao-nivus-orca_nvl-nvs-imc-dsy-0820-10070</v>
      </c>
      <c r="AJ70" s="40" t="str">
        <f t="shared" si="35"/>
        <v>alp_vw_dv360_imc_dsy_lanch_nd_nc_nvs_nivus-launch-consideracao-orca__trafego_cpm_drct_all_300x250_lancamento-nivus-orca-similaraudiences1stparty_na_lancamento-consideracao-nivus-orca_nvl-nvs-imc-dsy-0820-10070</v>
      </c>
      <c r="AK70" s="21" t="str">
        <f t="shared" si="41"/>
        <v>vw_nivus_300x250_lancamento-consideracao-nivus-orca_adserver</v>
      </c>
      <c r="AL70" s="21" t="str">
        <f t="shared" ref="AL70:AL133" si="51">IF(col_parametrizacao="GA",AS70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70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www.vw.com.br/pt/configurador.html/__app/%2Fnivus/0.app?adlid=nvl-nvs-imc-dsy-0820-10070&amp;adplt=alp_vw_dv360_imc_dsy_lanch_nd_nc_nvs_nivus-launch-consideracao-orca__trafego_cpm_drct_all_300x250_lancamento-nivus-orca-similaraudiences1stparty_na_lancamento-consideracao-nivus-orca_nvl-nvs-imc-dsy-0820-10070</v>
      </c>
      <c r="AM70" s="21" t="str">
        <f t="shared" si="42"/>
        <v>TAG</v>
      </c>
      <c r="AN70" s="15" t="str">
        <f t="shared" ref="AN70:AN133" si="52">J70</f>
        <v>DV360</v>
      </c>
      <c r="AO70" s="15" t="str">
        <f t="shared" ref="AO70:AO133" si="53">L70</f>
        <v>Paid-Display</v>
      </c>
      <c r="AP70" s="21" t="str">
        <f>Campanha!$B$3</f>
        <v>BR_IMC_DSY_LANCH_ND_NC_2020Q3AUG_NVS_Nivus-Launch-Consideracao-Orca</v>
      </c>
      <c r="AQ70" s="21" t="str">
        <f t="shared" si="43"/>
        <v>alp_vw_dv360_imc_dsy_lanch_nd_nc_nvs_nivus-launch-consideracao-orca__trafego_cpm_drct_all_300x250_lancamento-nivus-orca-similaraudiences1stparty_na_lancamento-consideracao-nivus-orca_nvl-nvs-imc-dsy-0820-10070</v>
      </c>
      <c r="AR70" s="15" t="s">
        <v>745</v>
      </c>
      <c r="AS70" s="21" t="str">
        <f t="shared" si="44"/>
        <v>https://www.vw.com.br/pt/configurador.html/__app/%2Fnivus/0.app?utm_source=DV360&amp;utm_medium=Paid-Display&amp;utm_content=alp_vw_dv360_imc_dsy_lanch_nd_nc_nvs_nivus-launch-consideracao-orca__trafego_cpm_drct_all_300x250_lancamento-nivus-orca-similaraudiences1stparty_na_lancamento-consideracao-nivus-orca_nvl-nvs-imc-dsy-0820-10070&amp;utm_campaign=BR_IMC_DSY_LANCH_ND_NC_2020Q3AUG_NVS_Nivus-Launch-Consideracao-Orca&amp;utm_term=%epid!_%ecid!_%eaid!</v>
      </c>
      <c r="AT70" s="15" t="str">
        <f t="shared" ref="AT70:AT133" si="54">LOWER(Q70)</f>
        <v>other</v>
      </c>
      <c r="AU70" s="15" t="str">
        <f t="shared" si="45"/>
        <v>BR</v>
      </c>
      <c r="AV70" s="15" t="str">
        <f t="shared" ref="AV70:AV133" si="55">LOWER(K70)</f>
        <v>dv360</v>
      </c>
      <c r="AW70" s="15" t="str">
        <f t="shared" ref="AW70:AW133" si="56">LOWER(J70)</f>
        <v>dv360</v>
      </c>
      <c r="AX70" s="15" t="str">
        <f t="shared" si="46"/>
        <v>nivus-launch-consideracao-orca</v>
      </c>
      <c r="AY70" s="15" t="str">
        <f t="shared" ref="AY70:AY133" si="57">LOWER(AI70)</f>
        <v>alp_vw_dv360_imc_dsy_lanch_nd_nc_nvs_nivus-launch-consideracao-orca__trafego_cpm_drct_all_300x250_lancamento-nivus-orca-similaraudiences1stparty_na_lancamento-consideracao-nivus-orca_nvl-nvs-imc-dsy-0820-10070</v>
      </c>
      <c r="AZ70" s="15" t="str">
        <f t="shared" ref="AZ70:AZ133" si="58">LOWER(Y70)</f>
        <v>300x250</v>
      </c>
      <c r="BA70" s="15" t="str">
        <f t="shared" ref="BA70:BA133" si="59">LOWER(T70)</f>
        <v>lancamento-consideracao-nivus-orca</v>
      </c>
      <c r="BB70" s="28" t="s">
        <v>798</v>
      </c>
      <c r="BC70" s="28" t="s">
        <v>798</v>
      </c>
      <c r="BD70" s="38" t="str">
        <f t="shared" ref="BD70:BD133" si="60">LOWER(CONCATENATE(cel_idcampaign,"-",SUM(10000+ROW(A70))))</f>
        <v>nvl-nvs-imc-dsy-0820-10070</v>
      </c>
      <c r="BE70" s="15" t="str">
        <f t="shared" ref="BE70:BE133" si="61">AU70</f>
        <v>BR</v>
      </c>
      <c r="BF70" s="15" t="str">
        <f t="shared" ref="BF70:BF133" si="62">LOWER(X70)</f>
        <v>paid</v>
      </c>
      <c r="BG70" s="28"/>
      <c r="BH70" s="28"/>
      <c r="BI70" s="36" t="str">
        <f t="shared" si="47"/>
        <v>https://www.vw.com.br/pt/configurador.html/__app/%2Fnivus/0.app?adlid=nvl-nvs-imc-dsy-0820-10070&amp;adplt=alp_vw_dv360_imc_dsy_lanch_nd_nc_nvs_nivus-launch-consideracao-orca__trafego_cpm_drct_all_300x250_lancamento-nivus-orca-similaraudiences1stparty_na_lancamento-consideracao-nivus-orca_nvl-nvs-imc-dsy-0820-10070</v>
      </c>
      <c r="BL70" t="str">
        <f t="shared" si="48"/>
        <v>alp_vw_dv360_imc_dsy_lanch_nd_nc_nvs_nivus-launch-consideracao-orca__trafego</v>
      </c>
      <c r="BM70" t="str">
        <f t="shared" si="49"/>
        <v>cpm_drct_all_300x250_lancamento-nivus-orca-similaraudiences1stparty_na</v>
      </c>
      <c r="BN70" t="str">
        <f t="shared" si="50"/>
        <v>alp_vw_dv360_imc_dsy_lanch_nd_nc_nvs_nivus-launch-consideracao-orca__trafego_cpm_drct_all_300x250_lancamento-nivus-orca-similaraudiences1stparty_na_generico_nvl-nvs-imc-dsy-0820-10070</v>
      </c>
    </row>
    <row r="71" spans="2:66" ht="15.75" customHeight="1" x14ac:dyDescent="0.25">
      <c r="B71" s="15" t="s">
        <v>1291</v>
      </c>
      <c r="C71" s="15" t="s">
        <v>1293</v>
      </c>
      <c r="D71" s="15"/>
      <c r="E71" s="22">
        <v>44069</v>
      </c>
      <c r="F71" s="22">
        <v>44135</v>
      </c>
      <c r="G71" s="15" t="s">
        <v>651</v>
      </c>
      <c r="H71" s="41" t="s">
        <v>1266</v>
      </c>
      <c r="I71" s="15" t="s">
        <v>801</v>
      </c>
      <c r="J71" s="42" t="s">
        <v>883</v>
      </c>
      <c r="K71" s="42" t="s">
        <v>883</v>
      </c>
      <c r="L71" s="15" t="s">
        <v>676</v>
      </c>
      <c r="M71" s="15" t="s">
        <v>276</v>
      </c>
      <c r="N71" s="15" t="s">
        <v>295</v>
      </c>
      <c r="O71" s="15" t="s">
        <v>677</v>
      </c>
      <c r="P71" s="15" t="str">
        <f>VLOOKUP(Y71,'All Codes'!$BF$3:$BG$278,2,FALSE)</f>
        <v>Skyscraper</v>
      </c>
      <c r="Q71" s="15" t="s">
        <v>179</v>
      </c>
      <c r="R71" s="15" t="s">
        <v>277</v>
      </c>
      <c r="S71" s="15" t="s">
        <v>865</v>
      </c>
      <c r="T71" s="46" t="s">
        <v>884</v>
      </c>
      <c r="U71" s="15" t="s">
        <v>876</v>
      </c>
      <c r="V71" s="56" t="s">
        <v>893</v>
      </c>
      <c r="W71" s="15" t="s">
        <v>866</v>
      </c>
      <c r="X71" s="15" t="s">
        <v>307</v>
      </c>
      <c r="Y71" s="46" t="s">
        <v>464</v>
      </c>
      <c r="Z71" s="15"/>
      <c r="AA71" s="15"/>
      <c r="AB71" s="15"/>
      <c r="AC71" s="15"/>
      <c r="AD71" s="15"/>
      <c r="AE71" s="15"/>
      <c r="AF71" s="15"/>
      <c r="AG71" s="15"/>
      <c r="AH71" s="15" t="str">
        <f t="shared" si="40"/>
        <v>281502873</v>
      </c>
      <c r="AI71" s="21" t="str">
        <f t="shared" si="35"/>
        <v>alp_vw_dv360_imc_dsy_lanch_nd_nc_nvs_nivus-launch-consideracao-orca__trafego_cpm_drct_all_300x600_lancamento-nivus-orca-similaraudiences1stparty_na_lancamento-consideracao-nivus-orca_nvl-nvs-imc-dsy-0820-10071</v>
      </c>
      <c r="AJ71" s="40" t="str">
        <f t="shared" si="35"/>
        <v>alp_vw_dv360_imc_dsy_lanch_nd_nc_nvs_nivus-launch-consideracao-orca__trafego_cpm_drct_all_300x600_lancamento-nivus-orca-similaraudiences1stparty_na_lancamento-consideracao-nivus-orca_nvl-nvs-imc-dsy-0820-10071</v>
      </c>
      <c r="AK71" s="21" t="str">
        <f t="shared" si="41"/>
        <v>vw_nivus_300x600_lancamento-consideracao-nivus-orca_adserver</v>
      </c>
      <c r="AL71" s="21" t="str">
        <f t="shared" si="51"/>
        <v>https://www.vw.com.br/pt/configurador.html/__app/%2Fnivus/0.app?adlid=nvl-nvs-imc-dsy-0820-10071&amp;adplt=alp_vw_dv360_imc_dsy_lanch_nd_nc_nvs_nivus-launch-consideracao-orca__trafego_cpm_drct_all_300x600_lancamento-nivus-orca-similaraudiences1stparty_na_lancamento-consideracao-nivus-orca_nvl-nvs-imc-dsy-0820-10071</v>
      </c>
      <c r="AM71" s="21" t="str">
        <f t="shared" si="42"/>
        <v>TAG</v>
      </c>
      <c r="AN71" s="15" t="str">
        <f t="shared" si="52"/>
        <v>DV360</v>
      </c>
      <c r="AO71" s="15" t="str">
        <f t="shared" si="53"/>
        <v>Paid-Display</v>
      </c>
      <c r="AP71" s="21" t="str">
        <f>Campanha!$B$3</f>
        <v>BR_IMC_DSY_LANCH_ND_NC_2020Q3AUG_NVS_Nivus-Launch-Consideracao-Orca</v>
      </c>
      <c r="AQ71" s="21" t="str">
        <f t="shared" si="43"/>
        <v>alp_vw_dv360_imc_dsy_lanch_nd_nc_nvs_nivus-launch-consideracao-orca__trafego_cpm_drct_all_300x600_lancamento-nivus-orca-similaraudiences1stparty_na_lancamento-consideracao-nivus-orca_nvl-nvs-imc-dsy-0820-10071</v>
      </c>
      <c r="AR71" s="15" t="s">
        <v>745</v>
      </c>
      <c r="AS71" s="21" t="str">
        <f t="shared" si="44"/>
        <v>https://www.vw.com.br/pt/configurador.html/__app/%2Fnivus/0.app?utm_source=DV360&amp;utm_medium=Paid-Display&amp;utm_content=alp_vw_dv360_imc_dsy_lanch_nd_nc_nvs_nivus-launch-consideracao-orca__trafego_cpm_drct_all_300x600_lancamento-nivus-orca-similaraudiences1stparty_na_lancamento-consideracao-nivus-orca_nvl-nvs-imc-dsy-0820-10071&amp;utm_campaign=BR_IMC_DSY_LANCH_ND_NC_2020Q3AUG_NVS_Nivus-Launch-Consideracao-Orca&amp;utm_term=%epid!_%ecid!_%eaid!</v>
      </c>
      <c r="AT71" s="15" t="str">
        <f t="shared" si="54"/>
        <v>other</v>
      </c>
      <c r="AU71" s="15" t="str">
        <f t="shared" si="45"/>
        <v>BR</v>
      </c>
      <c r="AV71" s="15" t="str">
        <f t="shared" si="55"/>
        <v>dv360</v>
      </c>
      <c r="AW71" s="15" t="str">
        <f t="shared" si="56"/>
        <v>dv360</v>
      </c>
      <c r="AX71" s="15" t="str">
        <f t="shared" si="46"/>
        <v>nivus-launch-consideracao-orca</v>
      </c>
      <c r="AY71" s="15" t="str">
        <f t="shared" si="57"/>
        <v>alp_vw_dv360_imc_dsy_lanch_nd_nc_nvs_nivus-launch-consideracao-orca__trafego_cpm_drct_all_300x600_lancamento-nivus-orca-similaraudiences1stparty_na_lancamento-consideracao-nivus-orca_nvl-nvs-imc-dsy-0820-10071</v>
      </c>
      <c r="AZ71" s="15" t="str">
        <f t="shared" si="58"/>
        <v>300x600</v>
      </c>
      <c r="BA71" s="15" t="str">
        <f t="shared" si="59"/>
        <v>lancamento-consideracao-nivus-orca</v>
      </c>
      <c r="BB71" s="28" t="s">
        <v>798</v>
      </c>
      <c r="BC71" s="28" t="s">
        <v>798</v>
      </c>
      <c r="BD71" s="38" t="str">
        <f t="shared" si="60"/>
        <v>nvl-nvs-imc-dsy-0820-10071</v>
      </c>
      <c r="BE71" s="15" t="str">
        <f t="shared" si="61"/>
        <v>BR</v>
      </c>
      <c r="BF71" s="15" t="str">
        <f t="shared" si="62"/>
        <v>paid</v>
      </c>
      <c r="BG71" s="28"/>
      <c r="BH71" s="28"/>
      <c r="BI71" s="36" t="str">
        <f t="shared" si="47"/>
        <v>https://www.vw.com.br/pt/configurador.html/__app/%2Fnivus/0.app?adlid=nvl-nvs-imc-dsy-0820-10071&amp;adplt=alp_vw_dv360_imc_dsy_lanch_nd_nc_nvs_nivus-launch-consideracao-orca__trafego_cpm_drct_all_300x600_lancamento-nivus-orca-similaraudiences1stparty_na_lancamento-consideracao-nivus-orca_nvl-nvs-imc-dsy-0820-10071</v>
      </c>
      <c r="BL71" t="str">
        <f t="shared" si="48"/>
        <v>alp_vw_dv360_imc_dsy_lanch_nd_nc_nvs_nivus-launch-consideracao-orca__trafego</v>
      </c>
      <c r="BM71" t="str">
        <f t="shared" si="49"/>
        <v>cpm_drct_all_300x600_lancamento-nivus-orca-similaraudiences1stparty_na</v>
      </c>
      <c r="BN71" t="str">
        <f t="shared" si="50"/>
        <v>alp_vw_dv360_imc_dsy_lanch_nd_nc_nvs_nivus-launch-consideracao-orca__trafego_cpm_drct_all_300x600_lancamento-nivus-orca-similaraudiences1stparty_na_generico_nvl-nvs-imc-dsy-0820-10071</v>
      </c>
    </row>
    <row r="72" spans="2:66" ht="15.75" customHeight="1" x14ac:dyDescent="0.25">
      <c r="B72" s="15" t="s">
        <v>1291</v>
      </c>
      <c r="C72" s="15" t="s">
        <v>1293</v>
      </c>
      <c r="D72" s="15"/>
      <c r="E72" s="22">
        <v>44069</v>
      </c>
      <c r="F72" s="22">
        <v>44135</v>
      </c>
      <c r="G72" s="15" t="s">
        <v>651</v>
      </c>
      <c r="H72" s="41" t="s">
        <v>1266</v>
      </c>
      <c r="I72" s="15" t="s">
        <v>801</v>
      </c>
      <c r="J72" s="42" t="s">
        <v>883</v>
      </c>
      <c r="K72" s="42" t="s">
        <v>883</v>
      </c>
      <c r="L72" s="15" t="s">
        <v>676</v>
      </c>
      <c r="M72" s="15" t="s">
        <v>276</v>
      </c>
      <c r="N72" s="15" t="s">
        <v>295</v>
      </c>
      <c r="O72" s="15" t="s">
        <v>677</v>
      </c>
      <c r="P72" s="15" t="str">
        <f>VLOOKUP(Y72,'All Codes'!$BF$3:$BG$278,2,FALSE)</f>
        <v>MPU</v>
      </c>
      <c r="Q72" s="15" t="s">
        <v>179</v>
      </c>
      <c r="R72" s="15" t="s">
        <v>277</v>
      </c>
      <c r="S72" s="15" t="s">
        <v>865</v>
      </c>
      <c r="T72" s="46" t="s">
        <v>884</v>
      </c>
      <c r="U72" s="15" t="s">
        <v>876</v>
      </c>
      <c r="V72" s="56" t="s">
        <v>893</v>
      </c>
      <c r="W72" s="15" t="s">
        <v>866</v>
      </c>
      <c r="X72" s="15" t="s">
        <v>307</v>
      </c>
      <c r="Y72" s="46" t="s">
        <v>479</v>
      </c>
      <c r="Z72" s="15"/>
      <c r="AA72" s="15"/>
      <c r="AB72" s="15"/>
      <c r="AC72" s="15"/>
      <c r="AD72" s="15"/>
      <c r="AE72" s="15"/>
      <c r="AF72" s="15"/>
      <c r="AG72" s="15"/>
      <c r="AH72" s="15" t="str">
        <f t="shared" si="40"/>
        <v>281502867</v>
      </c>
      <c r="AI72" s="21" t="str">
        <f t="shared" si="35"/>
        <v>alp_vw_dv360_imc_dsy_lanch_nd_nc_nvs_nivus-launch-consideracao-orca__trafego_cpm_drct_all_320x50_lancamento-nivus-orca-similaraudiences1stparty_na_lancamento-consideracao-nivus-orca_nvl-nvs-imc-dsy-0820-10072</v>
      </c>
      <c r="AJ72" s="40" t="str">
        <f t="shared" si="35"/>
        <v>alp_vw_dv360_imc_dsy_lanch_nd_nc_nvs_nivus-launch-consideracao-orca__trafego_cpm_drct_all_320x50_lancamento-nivus-orca-similaraudiences1stparty_na_lancamento-consideracao-nivus-orca_nvl-nvs-imc-dsy-0820-10072</v>
      </c>
      <c r="AK72" s="21" t="str">
        <f t="shared" si="41"/>
        <v>vw_nivus_320x50_lancamento-consideracao-nivus-orca_adserver</v>
      </c>
      <c r="AL72" s="21" t="str">
        <f t="shared" si="51"/>
        <v>https://www.vw.com.br/pt/configurador.html/__app/%2Fnivus/0.app?adlid=nvl-nvs-imc-dsy-0820-10072&amp;adplt=alp_vw_dv360_imc_dsy_lanch_nd_nc_nvs_nivus-launch-consideracao-orca__trafego_cpm_drct_all_320x50_lancamento-nivus-orca-similaraudiences1stparty_na_lancamento-consideracao-nivus-orca_nvl-nvs-imc-dsy-0820-10072</v>
      </c>
      <c r="AM72" s="21" t="str">
        <f t="shared" si="42"/>
        <v>TAG</v>
      </c>
      <c r="AN72" s="15" t="str">
        <f t="shared" si="52"/>
        <v>DV360</v>
      </c>
      <c r="AO72" s="15" t="str">
        <f t="shared" si="53"/>
        <v>Paid-Display</v>
      </c>
      <c r="AP72" s="21" t="str">
        <f>Campanha!$B$3</f>
        <v>BR_IMC_DSY_LANCH_ND_NC_2020Q3AUG_NVS_Nivus-Launch-Consideracao-Orca</v>
      </c>
      <c r="AQ72" s="21" t="str">
        <f t="shared" si="43"/>
        <v>alp_vw_dv360_imc_dsy_lanch_nd_nc_nvs_nivus-launch-consideracao-orca__trafego_cpm_drct_all_320x50_lancamento-nivus-orca-similaraudiences1stparty_na_lancamento-consideracao-nivus-orca_nvl-nvs-imc-dsy-0820-10072</v>
      </c>
      <c r="AR72" s="15" t="s">
        <v>745</v>
      </c>
      <c r="AS72" s="21" t="str">
        <f t="shared" si="44"/>
        <v>https://www.vw.com.br/pt/configurador.html/__app/%2Fnivus/0.app?utm_source=DV360&amp;utm_medium=Paid-Display&amp;utm_content=alp_vw_dv360_imc_dsy_lanch_nd_nc_nvs_nivus-launch-consideracao-orca__trafego_cpm_drct_all_320x50_lancamento-nivus-orca-similaraudiences1stparty_na_lancamento-consideracao-nivus-orca_nvl-nvs-imc-dsy-0820-10072&amp;utm_campaign=BR_IMC_DSY_LANCH_ND_NC_2020Q3AUG_NVS_Nivus-Launch-Consideracao-Orca&amp;utm_term=%epid!_%ecid!_%eaid!</v>
      </c>
      <c r="AT72" s="15" t="str">
        <f t="shared" si="54"/>
        <v>other</v>
      </c>
      <c r="AU72" s="15" t="str">
        <f t="shared" si="45"/>
        <v>BR</v>
      </c>
      <c r="AV72" s="15" t="str">
        <f t="shared" si="55"/>
        <v>dv360</v>
      </c>
      <c r="AW72" s="15" t="str">
        <f t="shared" si="56"/>
        <v>dv360</v>
      </c>
      <c r="AX72" s="15" t="str">
        <f t="shared" si="46"/>
        <v>nivus-launch-consideracao-orca</v>
      </c>
      <c r="AY72" s="15" t="str">
        <f t="shared" si="57"/>
        <v>alp_vw_dv360_imc_dsy_lanch_nd_nc_nvs_nivus-launch-consideracao-orca__trafego_cpm_drct_all_320x50_lancamento-nivus-orca-similaraudiences1stparty_na_lancamento-consideracao-nivus-orca_nvl-nvs-imc-dsy-0820-10072</v>
      </c>
      <c r="AZ72" s="15" t="str">
        <f t="shared" si="58"/>
        <v>320x50</v>
      </c>
      <c r="BA72" s="15" t="str">
        <f t="shared" si="59"/>
        <v>lancamento-consideracao-nivus-orca</v>
      </c>
      <c r="BB72" s="28" t="s">
        <v>798</v>
      </c>
      <c r="BC72" s="28" t="s">
        <v>798</v>
      </c>
      <c r="BD72" s="38" t="str">
        <f t="shared" si="60"/>
        <v>nvl-nvs-imc-dsy-0820-10072</v>
      </c>
      <c r="BE72" s="15" t="str">
        <f t="shared" si="61"/>
        <v>BR</v>
      </c>
      <c r="BF72" s="15" t="str">
        <f t="shared" si="62"/>
        <v>paid</v>
      </c>
      <c r="BG72" s="28"/>
      <c r="BH72" s="28"/>
      <c r="BI72" s="36" t="str">
        <f t="shared" si="47"/>
        <v>https://www.vw.com.br/pt/configurador.html/__app/%2Fnivus/0.app?adlid=nvl-nvs-imc-dsy-0820-10072&amp;adplt=alp_vw_dv360_imc_dsy_lanch_nd_nc_nvs_nivus-launch-consideracao-orca__trafego_cpm_drct_all_320x50_lancamento-nivus-orca-similaraudiences1stparty_na_lancamento-consideracao-nivus-orca_nvl-nvs-imc-dsy-0820-10072</v>
      </c>
      <c r="BL72" t="str">
        <f t="shared" si="48"/>
        <v>alp_vw_dv360_imc_dsy_lanch_nd_nc_nvs_nivus-launch-consideracao-orca__trafego</v>
      </c>
      <c r="BM72" t="str">
        <f t="shared" si="49"/>
        <v>cpm_drct_all_320x50_lancamento-nivus-orca-similaraudiences1stparty_na</v>
      </c>
      <c r="BN72" t="str">
        <f t="shared" si="50"/>
        <v>alp_vw_dv360_imc_dsy_lanch_nd_nc_nvs_nivus-launch-consideracao-orca__trafego_cpm_drct_all_320x50_lancamento-nivus-orca-similaraudiences1stparty_na_generico_nvl-nvs-imc-dsy-0820-10072</v>
      </c>
    </row>
    <row r="73" spans="2:66" ht="15.75" customHeight="1" x14ac:dyDescent="0.25">
      <c r="B73" s="15" t="s">
        <v>1291</v>
      </c>
      <c r="C73" s="15" t="s">
        <v>1293</v>
      </c>
      <c r="D73" s="15"/>
      <c r="E73" s="22">
        <v>44069</v>
      </c>
      <c r="F73" s="22">
        <v>44135</v>
      </c>
      <c r="G73" s="15" t="s">
        <v>651</v>
      </c>
      <c r="H73" s="41" t="s">
        <v>1266</v>
      </c>
      <c r="I73" s="15" t="s">
        <v>801</v>
      </c>
      <c r="J73" s="42" t="s">
        <v>883</v>
      </c>
      <c r="K73" s="42" t="s">
        <v>883</v>
      </c>
      <c r="L73" s="15" t="s">
        <v>676</v>
      </c>
      <c r="M73" s="15" t="s">
        <v>276</v>
      </c>
      <c r="N73" s="15" t="s">
        <v>295</v>
      </c>
      <c r="O73" s="15" t="s">
        <v>677</v>
      </c>
      <c r="P73" s="15" t="str">
        <f>VLOOKUP(Y73,'All Codes'!$BF$3:$BG$278,2,FALSE)</f>
        <v>Leaderboard</v>
      </c>
      <c r="Q73" s="15" t="s">
        <v>179</v>
      </c>
      <c r="R73" s="15" t="s">
        <v>277</v>
      </c>
      <c r="S73" s="15" t="s">
        <v>865</v>
      </c>
      <c r="T73" s="46" t="s">
        <v>884</v>
      </c>
      <c r="U73" s="15" t="s">
        <v>876</v>
      </c>
      <c r="V73" s="56" t="s">
        <v>893</v>
      </c>
      <c r="W73" s="15" t="s">
        <v>866</v>
      </c>
      <c r="X73" s="15" t="s">
        <v>307</v>
      </c>
      <c r="Y73" s="46" t="s">
        <v>591</v>
      </c>
      <c r="Z73" s="15"/>
      <c r="AA73" s="15"/>
      <c r="AB73" s="15"/>
      <c r="AC73" s="15"/>
      <c r="AD73" s="15"/>
      <c r="AE73" s="15"/>
      <c r="AF73" s="15"/>
      <c r="AG73" s="15"/>
      <c r="AH73" s="15" t="str">
        <f t="shared" si="40"/>
        <v>281502861</v>
      </c>
      <c r="AI73" s="21" t="str">
        <f t="shared" si="35"/>
        <v>alp_vw_dv360_imc_dsy_lanch_nd_nc_nvs_nivus-launch-consideracao-orca__trafego_cpm_drct_all_728x90_lancamento-nivus-orca-similaraudiences1stparty_na_lancamento-consideracao-nivus-orca_nvl-nvs-imc-dsy-0820-10073</v>
      </c>
      <c r="AJ73" s="40" t="str">
        <f t="shared" si="35"/>
        <v>alp_vw_dv360_imc_dsy_lanch_nd_nc_nvs_nivus-launch-consideracao-orca__trafego_cpm_drct_all_728x90_lancamento-nivus-orca-similaraudiences1stparty_na_lancamento-consideracao-nivus-orca_nvl-nvs-imc-dsy-0820-10073</v>
      </c>
      <c r="AK73" s="21" t="str">
        <f t="shared" si="41"/>
        <v>vw_nivus_728x90_lancamento-consideracao-nivus-orca_adserver</v>
      </c>
      <c r="AL73" s="21" t="str">
        <f t="shared" si="51"/>
        <v>https://www.vw.com.br/pt/configurador.html/__app/%2Fnivus/0.app?adlid=nvl-nvs-imc-dsy-0820-10073&amp;adplt=alp_vw_dv360_imc_dsy_lanch_nd_nc_nvs_nivus-launch-consideracao-orca__trafego_cpm_drct_all_728x90_lancamento-nivus-orca-similaraudiences1stparty_na_lancamento-consideracao-nivus-orca_nvl-nvs-imc-dsy-0820-10073</v>
      </c>
      <c r="AM73" s="21" t="str">
        <f t="shared" si="42"/>
        <v>TAG</v>
      </c>
      <c r="AN73" s="15" t="str">
        <f t="shared" si="52"/>
        <v>DV360</v>
      </c>
      <c r="AO73" s="15" t="str">
        <f t="shared" si="53"/>
        <v>Paid-Display</v>
      </c>
      <c r="AP73" s="21" t="str">
        <f>Campanha!$B$3</f>
        <v>BR_IMC_DSY_LANCH_ND_NC_2020Q3AUG_NVS_Nivus-Launch-Consideracao-Orca</v>
      </c>
      <c r="AQ73" s="21" t="str">
        <f t="shared" si="43"/>
        <v>alp_vw_dv360_imc_dsy_lanch_nd_nc_nvs_nivus-launch-consideracao-orca__trafego_cpm_drct_all_728x90_lancamento-nivus-orca-similaraudiences1stparty_na_lancamento-consideracao-nivus-orca_nvl-nvs-imc-dsy-0820-10073</v>
      </c>
      <c r="AR73" s="15" t="s">
        <v>745</v>
      </c>
      <c r="AS73" s="21" t="str">
        <f t="shared" si="44"/>
        <v>https://www.vw.com.br/pt/configurador.html/__app/%2Fnivus/0.app?utm_source=DV360&amp;utm_medium=Paid-Display&amp;utm_content=alp_vw_dv360_imc_dsy_lanch_nd_nc_nvs_nivus-launch-consideracao-orca__trafego_cpm_drct_all_728x90_lancamento-nivus-orca-similaraudiences1stparty_na_lancamento-consideracao-nivus-orca_nvl-nvs-imc-dsy-0820-10073&amp;utm_campaign=BR_IMC_DSY_LANCH_ND_NC_2020Q3AUG_NVS_Nivus-Launch-Consideracao-Orca&amp;utm_term=%epid!_%ecid!_%eaid!</v>
      </c>
      <c r="AT73" s="15" t="str">
        <f t="shared" si="54"/>
        <v>other</v>
      </c>
      <c r="AU73" s="15" t="str">
        <f t="shared" si="45"/>
        <v>BR</v>
      </c>
      <c r="AV73" s="15" t="str">
        <f t="shared" si="55"/>
        <v>dv360</v>
      </c>
      <c r="AW73" s="15" t="str">
        <f t="shared" si="56"/>
        <v>dv360</v>
      </c>
      <c r="AX73" s="15" t="str">
        <f t="shared" si="46"/>
        <v>nivus-launch-consideracao-orca</v>
      </c>
      <c r="AY73" s="15" t="str">
        <f t="shared" si="57"/>
        <v>alp_vw_dv360_imc_dsy_lanch_nd_nc_nvs_nivus-launch-consideracao-orca__trafego_cpm_drct_all_728x90_lancamento-nivus-orca-similaraudiences1stparty_na_lancamento-consideracao-nivus-orca_nvl-nvs-imc-dsy-0820-10073</v>
      </c>
      <c r="AZ73" s="15" t="str">
        <f t="shared" si="58"/>
        <v>728x90</v>
      </c>
      <c r="BA73" s="15" t="str">
        <f t="shared" si="59"/>
        <v>lancamento-consideracao-nivus-orca</v>
      </c>
      <c r="BB73" s="28" t="s">
        <v>798</v>
      </c>
      <c r="BC73" s="28" t="s">
        <v>798</v>
      </c>
      <c r="BD73" s="38" t="str">
        <f t="shared" si="60"/>
        <v>nvl-nvs-imc-dsy-0820-10073</v>
      </c>
      <c r="BE73" s="15" t="str">
        <f t="shared" si="61"/>
        <v>BR</v>
      </c>
      <c r="BF73" s="15" t="str">
        <f t="shared" si="62"/>
        <v>paid</v>
      </c>
      <c r="BG73" s="28"/>
      <c r="BH73" s="28"/>
      <c r="BI73" s="36" t="str">
        <f t="shared" si="47"/>
        <v>https://www.vw.com.br/pt/configurador.html/__app/%2Fnivus/0.app?adlid=nvl-nvs-imc-dsy-0820-10073&amp;adplt=alp_vw_dv360_imc_dsy_lanch_nd_nc_nvs_nivus-launch-consideracao-orca__trafego_cpm_drct_all_728x90_lancamento-nivus-orca-similaraudiences1stparty_na_lancamento-consideracao-nivus-orca_nvl-nvs-imc-dsy-0820-10073</v>
      </c>
      <c r="BL73" t="str">
        <f t="shared" si="48"/>
        <v>alp_vw_dv360_imc_dsy_lanch_nd_nc_nvs_nivus-launch-consideracao-orca__trafego</v>
      </c>
      <c r="BM73" t="str">
        <f t="shared" si="49"/>
        <v>cpm_drct_all_728x90_lancamento-nivus-orca-similaraudiences1stparty_na</v>
      </c>
      <c r="BN73" t="str">
        <f t="shared" si="50"/>
        <v>alp_vw_dv360_imc_dsy_lanch_nd_nc_nvs_nivus-launch-consideracao-orca__trafego_cpm_drct_all_728x90_lancamento-nivus-orca-similaraudiences1stparty_na_generico_nvl-nvs-imc-dsy-0820-10073</v>
      </c>
    </row>
    <row r="74" spans="2:66" ht="15.75" customHeight="1" x14ac:dyDescent="0.25">
      <c r="B74" s="15" t="s">
        <v>1291</v>
      </c>
      <c r="C74" s="15" t="s">
        <v>1293</v>
      </c>
      <c r="D74" s="15"/>
      <c r="E74" s="22">
        <v>44069</v>
      </c>
      <c r="F74" s="22">
        <v>44135</v>
      </c>
      <c r="G74" s="15" t="s">
        <v>651</v>
      </c>
      <c r="H74" s="41" t="s">
        <v>1266</v>
      </c>
      <c r="I74" s="15" t="s">
        <v>801</v>
      </c>
      <c r="J74" s="42" t="s">
        <v>883</v>
      </c>
      <c r="K74" s="42" t="s">
        <v>883</v>
      </c>
      <c r="L74" s="15" t="s">
        <v>676</v>
      </c>
      <c r="M74" s="15" t="s">
        <v>276</v>
      </c>
      <c r="N74" s="15" t="s">
        <v>295</v>
      </c>
      <c r="O74" s="15" t="s">
        <v>677</v>
      </c>
      <c r="P74" s="15" t="str">
        <f>VLOOKUP(Y74,'All Codes'!$BF$3:$BG$278,2,FALSE)</f>
        <v>Leaderboard</v>
      </c>
      <c r="Q74" s="15" t="s">
        <v>179</v>
      </c>
      <c r="R74" s="15" t="s">
        <v>277</v>
      </c>
      <c r="S74" s="15" t="s">
        <v>865</v>
      </c>
      <c r="T74" s="46" t="s">
        <v>884</v>
      </c>
      <c r="U74" s="15" t="s">
        <v>876</v>
      </c>
      <c r="V74" s="56" t="s">
        <v>893</v>
      </c>
      <c r="W74" s="15" t="s">
        <v>866</v>
      </c>
      <c r="X74" s="15" t="s">
        <v>307</v>
      </c>
      <c r="Y74" s="46" t="s">
        <v>629</v>
      </c>
      <c r="Z74" s="15"/>
      <c r="AA74" s="15"/>
      <c r="AB74" s="15"/>
      <c r="AC74" s="15"/>
      <c r="AD74" s="15"/>
      <c r="AE74" s="15"/>
      <c r="AF74" s="15"/>
      <c r="AG74" s="15"/>
      <c r="AH74" s="15" t="str">
        <f t="shared" si="40"/>
        <v>281502855</v>
      </c>
      <c r="AI74" s="21" t="str">
        <f t="shared" si="35"/>
        <v>alp_vw_dv360_imc_dsy_lanch_nd_nc_nvs_nivus-launch-consideracao-orca__trafego_cpm_drct_all_970x250_lancamento-nivus-orca-similaraudiences1stparty_na_lancamento-consideracao-nivus-orca_nvl-nvs-imc-dsy-0820-10074</v>
      </c>
      <c r="AJ74" s="40" t="str">
        <f t="shared" si="35"/>
        <v>alp_vw_dv360_imc_dsy_lanch_nd_nc_nvs_nivus-launch-consideracao-orca__trafego_cpm_drct_all_970x250_lancamento-nivus-orca-similaraudiences1stparty_na_lancamento-consideracao-nivus-orca_nvl-nvs-imc-dsy-0820-10074</v>
      </c>
      <c r="AK74" s="21" t="str">
        <f t="shared" si="41"/>
        <v>vw_nivus_970x250_lancamento-consideracao-nivus-orca_adserver</v>
      </c>
      <c r="AL74" s="21" t="str">
        <f t="shared" si="51"/>
        <v>https://www.vw.com.br/pt/configurador.html/__app/%2Fnivus/0.app?adlid=nvl-nvs-imc-dsy-0820-10074&amp;adplt=alp_vw_dv360_imc_dsy_lanch_nd_nc_nvs_nivus-launch-consideracao-orca__trafego_cpm_drct_all_970x250_lancamento-nivus-orca-similaraudiences1stparty_na_lancamento-consideracao-nivus-orca_nvl-nvs-imc-dsy-0820-10074</v>
      </c>
      <c r="AM74" s="21" t="str">
        <f t="shared" si="42"/>
        <v>TAG</v>
      </c>
      <c r="AN74" s="15" t="str">
        <f t="shared" si="52"/>
        <v>DV360</v>
      </c>
      <c r="AO74" s="15" t="str">
        <f t="shared" si="53"/>
        <v>Paid-Display</v>
      </c>
      <c r="AP74" s="21" t="str">
        <f>Campanha!$B$3</f>
        <v>BR_IMC_DSY_LANCH_ND_NC_2020Q3AUG_NVS_Nivus-Launch-Consideracao-Orca</v>
      </c>
      <c r="AQ74" s="21" t="str">
        <f t="shared" si="43"/>
        <v>alp_vw_dv360_imc_dsy_lanch_nd_nc_nvs_nivus-launch-consideracao-orca__trafego_cpm_drct_all_970x250_lancamento-nivus-orca-similaraudiences1stparty_na_lancamento-consideracao-nivus-orca_nvl-nvs-imc-dsy-0820-10074</v>
      </c>
      <c r="AR74" s="15" t="s">
        <v>745</v>
      </c>
      <c r="AS74" s="21" t="str">
        <f t="shared" si="44"/>
        <v>https://www.vw.com.br/pt/configurador.html/__app/%2Fnivus/0.app?utm_source=DV360&amp;utm_medium=Paid-Display&amp;utm_content=alp_vw_dv360_imc_dsy_lanch_nd_nc_nvs_nivus-launch-consideracao-orca__trafego_cpm_drct_all_970x250_lancamento-nivus-orca-similaraudiences1stparty_na_lancamento-consideracao-nivus-orca_nvl-nvs-imc-dsy-0820-10074&amp;utm_campaign=BR_IMC_DSY_LANCH_ND_NC_2020Q3AUG_NVS_Nivus-Launch-Consideracao-Orca&amp;utm_term=%epid!_%ecid!_%eaid!</v>
      </c>
      <c r="AT74" s="15" t="str">
        <f t="shared" si="54"/>
        <v>other</v>
      </c>
      <c r="AU74" s="15" t="str">
        <f t="shared" si="45"/>
        <v>BR</v>
      </c>
      <c r="AV74" s="15" t="str">
        <f t="shared" si="55"/>
        <v>dv360</v>
      </c>
      <c r="AW74" s="15" t="str">
        <f t="shared" si="56"/>
        <v>dv360</v>
      </c>
      <c r="AX74" s="15" t="str">
        <f t="shared" si="46"/>
        <v>nivus-launch-consideracao-orca</v>
      </c>
      <c r="AY74" s="15" t="str">
        <f t="shared" si="57"/>
        <v>alp_vw_dv360_imc_dsy_lanch_nd_nc_nvs_nivus-launch-consideracao-orca__trafego_cpm_drct_all_970x250_lancamento-nivus-orca-similaraudiences1stparty_na_lancamento-consideracao-nivus-orca_nvl-nvs-imc-dsy-0820-10074</v>
      </c>
      <c r="AZ74" s="15" t="str">
        <f t="shared" si="58"/>
        <v>970x250</v>
      </c>
      <c r="BA74" s="15" t="str">
        <f t="shared" si="59"/>
        <v>lancamento-consideracao-nivus-orca</v>
      </c>
      <c r="BB74" s="28" t="s">
        <v>798</v>
      </c>
      <c r="BC74" s="28" t="s">
        <v>798</v>
      </c>
      <c r="BD74" s="38" t="str">
        <f t="shared" si="60"/>
        <v>nvl-nvs-imc-dsy-0820-10074</v>
      </c>
      <c r="BE74" s="15" t="str">
        <f t="shared" si="61"/>
        <v>BR</v>
      </c>
      <c r="BF74" s="15" t="str">
        <f t="shared" si="62"/>
        <v>paid</v>
      </c>
      <c r="BG74" s="28"/>
      <c r="BH74" s="28"/>
      <c r="BI74" s="36" t="str">
        <f t="shared" si="47"/>
        <v>https://www.vw.com.br/pt/configurador.html/__app/%2Fnivus/0.app?adlid=nvl-nvs-imc-dsy-0820-10074&amp;adplt=alp_vw_dv360_imc_dsy_lanch_nd_nc_nvs_nivus-launch-consideracao-orca__trafego_cpm_drct_all_970x250_lancamento-nivus-orca-similaraudiences1stparty_na_lancamento-consideracao-nivus-orca_nvl-nvs-imc-dsy-0820-10074</v>
      </c>
      <c r="BL74" t="str">
        <f t="shared" si="48"/>
        <v>alp_vw_dv360_imc_dsy_lanch_nd_nc_nvs_nivus-launch-consideracao-orca__trafego</v>
      </c>
      <c r="BM74" t="str">
        <f t="shared" si="49"/>
        <v>cpm_drct_all_970x250_lancamento-nivus-orca-similaraudiences1stparty_na</v>
      </c>
      <c r="BN74" t="str">
        <f t="shared" si="50"/>
        <v>alp_vw_dv360_imc_dsy_lanch_nd_nc_nvs_nivus-launch-consideracao-orca__trafego_cpm_drct_all_970x250_lancamento-nivus-orca-similaraudiences1stparty_na_generico_nvl-nvs-imc-dsy-0820-10074</v>
      </c>
    </row>
    <row r="75" spans="2:66" ht="15.75" customHeight="1" x14ac:dyDescent="0.25">
      <c r="B75" s="15" t="s">
        <v>1291</v>
      </c>
      <c r="C75" s="15" t="s">
        <v>1293</v>
      </c>
      <c r="D75" s="15"/>
      <c r="E75" s="22">
        <v>44069</v>
      </c>
      <c r="F75" s="22">
        <v>44135</v>
      </c>
      <c r="G75" s="15" t="s">
        <v>651</v>
      </c>
      <c r="H75" s="41" t="s">
        <v>1266</v>
      </c>
      <c r="I75" s="15" t="s">
        <v>801</v>
      </c>
      <c r="J75" s="42" t="s">
        <v>883</v>
      </c>
      <c r="K75" s="42" t="s">
        <v>883</v>
      </c>
      <c r="L75" s="15" t="s">
        <v>676</v>
      </c>
      <c r="M75" s="15" t="s">
        <v>276</v>
      </c>
      <c r="N75" s="15" t="s">
        <v>295</v>
      </c>
      <c r="O75" s="15" t="s">
        <v>677</v>
      </c>
      <c r="P75" s="15" t="str">
        <f>VLOOKUP(Y75,'All Codes'!$BF$3:$BG$278,2,FALSE)</f>
        <v>MPU</v>
      </c>
      <c r="Q75" s="15" t="s">
        <v>179</v>
      </c>
      <c r="R75" s="15" t="s">
        <v>277</v>
      </c>
      <c r="S75" s="15" t="s">
        <v>865</v>
      </c>
      <c r="T75" s="46" t="s">
        <v>884</v>
      </c>
      <c r="U75" s="15" t="s">
        <v>876</v>
      </c>
      <c r="V75" s="57" t="s">
        <v>894</v>
      </c>
      <c r="W75" s="15" t="s">
        <v>866</v>
      </c>
      <c r="X75" s="15" t="s">
        <v>307</v>
      </c>
      <c r="Y75" s="46" t="s">
        <v>461</v>
      </c>
      <c r="Z75" s="15"/>
      <c r="AA75" s="15"/>
      <c r="AB75" s="15"/>
      <c r="AC75" s="15"/>
      <c r="AD75" s="15"/>
      <c r="AE75" s="15"/>
      <c r="AF75" s="15"/>
      <c r="AG75" s="15"/>
      <c r="AH75" s="15" t="str">
        <f t="shared" si="40"/>
        <v>281502849</v>
      </c>
      <c r="AI75" s="21" t="str">
        <f t="shared" si="35"/>
        <v>alp_vw_dv360_imc_dsy_lanch_nd_nc_nvs_nivus-launch-consideracao-orca__trafego_cpm_drct_all_300x50_lancamento-nivus-orca-in-marketaudience_na_lancamento-consideracao-nivus-orca_nvl-nvs-imc-dsy-0820-10075</v>
      </c>
      <c r="AJ75" s="40" t="str">
        <f t="shared" si="35"/>
        <v>alp_vw_dv360_imc_dsy_lanch_nd_nc_nvs_nivus-launch-consideracao-orca__trafego_cpm_drct_all_300x50_lancamento-nivus-orca-in-marketaudience_na_lancamento-consideracao-nivus-orca_nvl-nvs-imc-dsy-0820-10075</v>
      </c>
      <c r="AK75" s="21" t="str">
        <f t="shared" si="41"/>
        <v>vw_nivus_300x50_lancamento-consideracao-nivus-orca_adserver</v>
      </c>
      <c r="AL75" s="21" t="str">
        <f t="shared" si="51"/>
        <v>https://www.vw.com.br/pt/configurador.html/__app/%2Fnivus/0.app?adlid=nvl-nvs-imc-dsy-0820-10075&amp;adplt=alp_vw_dv360_imc_dsy_lanch_nd_nc_nvs_nivus-launch-consideracao-orca__trafego_cpm_drct_all_300x50_lancamento-nivus-orca-in-marketaudience_na_lancamento-consideracao-nivus-orca_nvl-nvs-imc-dsy-0820-10075</v>
      </c>
      <c r="AM75" s="21" t="str">
        <f t="shared" si="42"/>
        <v>TAG</v>
      </c>
      <c r="AN75" s="15" t="str">
        <f t="shared" si="52"/>
        <v>DV360</v>
      </c>
      <c r="AO75" s="15" t="str">
        <f t="shared" si="53"/>
        <v>Paid-Display</v>
      </c>
      <c r="AP75" s="21" t="str">
        <f>Campanha!$B$3</f>
        <v>BR_IMC_DSY_LANCH_ND_NC_2020Q3AUG_NVS_Nivus-Launch-Consideracao-Orca</v>
      </c>
      <c r="AQ75" s="21" t="str">
        <f t="shared" si="43"/>
        <v>alp_vw_dv360_imc_dsy_lanch_nd_nc_nvs_nivus-launch-consideracao-orca__trafego_cpm_drct_all_300x50_lancamento-nivus-orca-in-marketaudience_na_lancamento-consideracao-nivus-orca_nvl-nvs-imc-dsy-0820-10075</v>
      </c>
      <c r="AR75" s="15" t="s">
        <v>745</v>
      </c>
      <c r="AS75" s="21" t="str">
        <f t="shared" si="44"/>
        <v>https://www.vw.com.br/pt/configurador.html/__app/%2Fnivus/0.app?utm_source=DV360&amp;utm_medium=Paid-Display&amp;utm_content=alp_vw_dv360_imc_dsy_lanch_nd_nc_nvs_nivus-launch-consideracao-orca__trafego_cpm_drct_all_300x50_lancamento-nivus-orca-in-marketaudience_na_lancamento-consideracao-nivus-orca_nvl-nvs-imc-dsy-0820-10075&amp;utm_campaign=BR_IMC_DSY_LANCH_ND_NC_2020Q3AUG_NVS_Nivus-Launch-Consideracao-Orca&amp;utm_term=%epid!_%ecid!_%eaid!</v>
      </c>
      <c r="AT75" s="15" t="str">
        <f t="shared" si="54"/>
        <v>other</v>
      </c>
      <c r="AU75" s="15" t="str">
        <f t="shared" si="45"/>
        <v>BR</v>
      </c>
      <c r="AV75" s="15" t="str">
        <f t="shared" si="55"/>
        <v>dv360</v>
      </c>
      <c r="AW75" s="15" t="str">
        <f t="shared" si="56"/>
        <v>dv360</v>
      </c>
      <c r="AX75" s="15" t="str">
        <f t="shared" si="46"/>
        <v>nivus-launch-consideracao-orca</v>
      </c>
      <c r="AY75" s="15" t="str">
        <f t="shared" si="57"/>
        <v>alp_vw_dv360_imc_dsy_lanch_nd_nc_nvs_nivus-launch-consideracao-orca__trafego_cpm_drct_all_300x50_lancamento-nivus-orca-in-marketaudience_na_lancamento-consideracao-nivus-orca_nvl-nvs-imc-dsy-0820-10075</v>
      </c>
      <c r="AZ75" s="15" t="str">
        <f t="shared" si="58"/>
        <v>300x50</v>
      </c>
      <c r="BA75" s="15" t="str">
        <f t="shared" si="59"/>
        <v>lancamento-consideracao-nivus-orca</v>
      </c>
      <c r="BB75" s="28" t="s">
        <v>798</v>
      </c>
      <c r="BC75" s="28" t="s">
        <v>798</v>
      </c>
      <c r="BD75" s="38" t="str">
        <f t="shared" si="60"/>
        <v>nvl-nvs-imc-dsy-0820-10075</v>
      </c>
      <c r="BE75" s="15" t="str">
        <f t="shared" si="61"/>
        <v>BR</v>
      </c>
      <c r="BF75" s="15" t="str">
        <f t="shared" si="62"/>
        <v>paid</v>
      </c>
      <c r="BG75" s="28"/>
      <c r="BH75" s="28"/>
      <c r="BI75" s="36" t="str">
        <f t="shared" si="47"/>
        <v>https://www.vw.com.br/pt/configurador.html/__app/%2Fnivus/0.app?adlid=nvl-nvs-imc-dsy-0820-10075&amp;adplt=alp_vw_dv360_imc_dsy_lanch_nd_nc_nvs_nivus-launch-consideracao-orca__trafego_cpm_drct_all_300x50_lancamento-nivus-orca-in-marketaudience_na_lancamento-consideracao-nivus-orca_nvl-nvs-imc-dsy-0820-10075</v>
      </c>
      <c r="BL75" t="str">
        <f t="shared" si="48"/>
        <v>alp_vw_dv360_imc_dsy_lanch_nd_nc_nvs_nivus-launch-consideracao-orca__trafego</v>
      </c>
      <c r="BM75" t="str">
        <f t="shared" si="49"/>
        <v>cpm_drct_all_300x50_lancamento-nivus-orca-in-marketaudience_na</v>
      </c>
      <c r="BN75" t="str">
        <f t="shared" si="50"/>
        <v>alp_vw_dv360_imc_dsy_lanch_nd_nc_nvs_nivus-launch-consideracao-orca__trafego_cpm_drct_all_300x50_lancamento-nivus-orca-in-marketaudience_na_generico_nvl-nvs-imc-dsy-0820-10075</v>
      </c>
    </row>
    <row r="76" spans="2:66" ht="15.75" customHeight="1" x14ac:dyDescent="0.25">
      <c r="B76" s="15" t="s">
        <v>1291</v>
      </c>
      <c r="C76" s="15" t="s">
        <v>1293</v>
      </c>
      <c r="D76" s="15"/>
      <c r="E76" s="22">
        <v>44069</v>
      </c>
      <c r="F76" s="22">
        <v>44135</v>
      </c>
      <c r="G76" s="15" t="s">
        <v>651</v>
      </c>
      <c r="H76" s="41" t="s">
        <v>1266</v>
      </c>
      <c r="I76" s="15" t="s">
        <v>801</v>
      </c>
      <c r="J76" s="42" t="s">
        <v>883</v>
      </c>
      <c r="K76" s="42" t="s">
        <v>883</v>
      </c>
      <c r="L76" s="15" t="s">
        <v>676</v>
      </c>
      <c r="M76" s="15" t="s">
        <v>276</v>
      </c>
      <c r="N76" s="15" t="s">
        <v>295</v>
      </c>
      <c r="O76" s="15" t="s">
        <v>677</v>
      </c>
      <c r="P76" s="15" t="str">
        <f>VLOOKUP(Y76,'All Codes'!$BF$3:$BG$278,2,FALSE)</f>
        <v>Skyscraper</v>
      </c>
      <c r="Q76" s="15" t="s">
        <v>179</v>
      </c>
      <c r="R76" s="15" t="s">
        <v>277</v>
      </c>
      <c r="S76" s="15" t="s">
        <v>865</v>
      </c>
      <c r="T76" s="46" t="s">
        <v>884</v>
      </c>
      <c r="U76" s="15" t="s">
        <v>876</v>
      </c>
      <c r="V76" s="57" t="s">
        <v>894</v>
      </c>
      <c r="W76" s="15" t="s">
        <v>866</v>
      </c>
      <c r="X76" s="15" t="s">
        <v>307</v>
      </c>
      <c r="Y76" s="46" t="s">
        <v>434</v>
      </c>
      <c r="Z76" s="15"/>
      <c r="AA76" s="15"/>
      <c r="AB76" s="15"/>
      <c r="AC76" s="15"/>
      <c r="AD76" s="15"/>
      <c r="AE76" s="15"/>
      <c r="AF76" s="15"/>
      <c r="AG76" s="15"/>
      <c r="AH76" s="15" t="str">
        <f t="shared" si="40"/>
        <v>281502843</v>
      </c>
      <c r="AI76" s="21" t="str">
        <f t="shared" si="35"/>
        <v>alp_vw_dv360_imc_dsy_lanch_nd_nc_nvs_nivus-launch-consideracao-orca__trafego_cpm_drct_all_160x600_lancamento-nivus-orca-in-marketaudience_na_lancamento-consideracao-nivus-orca_nvl-nvs-imc-dsy-0820-10076</v>
      </c>
      <c r="AJ76" s="40" t="str">
        <f t="shared" si="35"/>
        <v>alp_vw_dv360_imc_dsy_lanch_nd_nc_nvs_nivus-launch-consideracao-orca__trafego_cpm_drct_all_160x600_lancamento-nivus-orca-in-marketaudience_na_lancamento-consideracao-nivus-orca_nvl-nvs-imc-dsy-0820-10076</v>
      </c>
      <c r="AK76" s="21" t="str">
        <f t="shared" si="41"/>
        <v>vw_nivus_160x600_lancamento-consideracao-nivus-orca_adserver</v>
      </c>
      <c r="AL76" s="21" t="str">
        <f t="shared" si="51"/>
        <v>https://www.vw.com.br/pt/configurador.html/__app/%2Fnivus/0.app?adlid=nvl-nvs-imc-dsy-0820-10076&amp;adplt=alp_vw_dv360_imc_dsy_lanch_nd_nc_nvs_nivus-launch-consideracao-orca__trafego_cpm_drct_all_160x600_lancamento-nivus-orca-in-marketaudience_na_lancamento-consideracao-nivus-orca_nvl-nvs-imc-dsy-0820-10076</v>
      </c>
      <c r="AM76" s="21" t="str">
        <f t="shared" si="42"/>
        <v>TAG</v>
      </c>
      <c r="AN76" s="15" t="str">
        <f t="shared" si="52"/>
        <v>DV360</v>
      </c>
      <c r="AO76" s="15" t="str">
        <f t="shared" si="53"/>
        <v>Paid-Display</v>
      </c>
      <c r="AP76" s="21" t="str">
        <f>Campanha!$B$3</f>
        <v>BR_IMC_DSY_LANCH_ND_NC_2020Q3AUG_NVS_Nivus-Launch-Consideracao-Orca</v>
      </c>
      <c r="AQ76" s="21" t="str">
        <f t="shared" si="43"/>
        <v>alp_vw_dv360_imc_dsy_lanch_nd_nc_nvs_nivus-launch-consideracao-orca__trafego_cpm_drct_all_160x600_lancamento-nivus-orca-in-marketaudience_na_lancamento-consideracao-nivus-orca_nvl-nvs-imc-dsy-0820-10076</v>
      </c>
      <c r="AR76" s="15" t="s">
        <v>745</v>
      </c>
      <c r="AS76" s="21" t="str">
        <f t="shared" si="44"/>
        <v>https://www.vw.com.br/pt/configurador.html/__app/%2Fnivus/0.app?utm_source=DV360&amp;utm_medium=Paid-Display&amp;utm_content=alp_vw_dv360_imc_dsy_lanch_nd_nc_nvs_nivus-launch-consideracao-orca__trafego_cpm_drct_all_160x600_lancamento-nivus-orca-in-marketaudience_na_lancamento-consideracao-nivus-orca_nvl-nvs-imc-dsy-0820-10076&amp;utm_campaign=BR_IMC_DSY_LANCH_ND_NC_2020Q3AUG_NVS_Nivus-Launch-Consideracao-Orca&amp;utm_term=%epid!_%ecid!_%eaid!</v>
      </c>
      <c r="AT76" s="15" t="str">
        <f t="shared" si="54"/>
        <v>other</v>
      </c>
      <c r="AU76" s="15" t="str">
        <f t="shared" si="45"/>
        <v>BR</v>
      </c>
      <c r="AV76" s="15" t="str">
        <f t="shared" si="55"/>
        <v>dv360</v>
      </c>
      <c r="AW76" s="15" t="str">
        <f t="shared" si="56"/>
        <v>dv360</v>
      </c>
      <c r="AX76" s="15" t="str">
        <f t="shared" si="46"/>
        <v>nivus-launch-consideracao-orca</v>
      </c>
      <c r="AY76" s="15" t="str">
        <f t="shared" si="57"/>
        <v>alp_vw_dv360_imc_dsy_lanch_nd_nc_nvs_nivus-launch-consideracao-orca__trafego_cpm_drct_all_160x600_lancamento-nivus-orca-in-marketaudience_na_lancamento-consideracao-nivus-orca_nvl-nvs-imc-dsy-0820-10076</v>
      </c>
      <c r="AZ76" s="15" t="str">
        <f t="shared" si="58"/>
        <v>160x600</v>
      </c>
      <c r="BA76" s="15" t="str">
        <f t="shared" si="59"/>
        <v>lancamento-consideracao-nivus-orca</v>
      </c>
      <c r="BB76" s="28" t="s">
        <v>798</v>
      </c>
      <c r="BC76" s="28" t="s">
        <v>798</v>
      </c>
      <c r="BD76" s="38" t="str">
        <f t="shared" si="60"/>
        <v>nvl-nvs-imc-dsy-0820-10076</v>
      </c>
      <c r="BE76" s="15" t="str">
        <f t="shared" si="61"/>
        <v>BR</v>
      </c>
      <c r="BF76" s="15" t="str">
        <f t="shared" si="62"/>
        <v>paid</v>
      </c>
      <c r="BG76" s="28"/>
      <c r="BH76" s="28"/>
      <c r="BI76" s="36" t="str">
        <f t="shared" si="47"/>
        <v>https://www.vw.com.br/pt/configurador.html/__app/%2Fnivus/0.app?adlid=nvl-nvs-imc-dsy-0820-10076&amp;adplt=alp_vw_dv360_imc_dsy_lanch_nd_nc_nvs_nivus-launch-consideracao-orca__trafego_cpm_drct_all_160x600_lancamento-nivus-orca-in-marketaudience_na_lancamento-consideracao-nivus-orca_nvl-nvs-imc-dsy-0820-10076</v>
      </c>
      <c r="BL76" t="str">
        <f t="shared" si="48"/>
        <v>alp_vw_dv360_imc_dsy_lanch_nd_nc_nvs_nivus-launch-consideracao-orca__trafego</v>
      </c>
      <c r="BM76" t="str">
        <f t="shared" si="49"/>
        <v>cpm_drct_all_160x600_lancamento-nivus-orca-in-marketaudience_na</v>
      </c>
      <c r="BN76" t="str">
        <f t="shared" si="50"/>
        <v>alp_vw_dv360_imc_dsy_lanch_nd_nc_nvs_nivus-launch-consideracao-orca__trafego_cpm_drct_all_160x600_lancamento-nivus-orca-in-marketaudience_na_generico_nvl-nvs-imc-dsy-0820-10076</v>
      </c>
    </row>
    <row r="77" spans="2:66" ht="15.75" customHeight="1" x14ac:dyDescent="0.25">
      <c r="B77" s="15" t="s">
        <v>1291</v>
      </c>
      <c r="C77" s="15" t="s">
        <v>1293</v>
      </c>
      <c r="D77" s="15"/>
      <c r="E77" s="22">
        <v>44069</v>
      </c>
      <c r="F77" s="22">
        <v>44135</v>
      </c>
      <c r="G77" s="15" t="s">
        <v>651</v>
      </c>
      <c r="H77" s="41" t="s">
        <v>1266</v>
      </c>
      <c r="I77" s="15" t="s">
        <v>801</v>
      </c>
      <c r="J77" s="42" t="s">
        <v>883</v>
      </c>
      <c r="K77" s="42" t="s">
        <v>883</v>
      </c>
      <c r="L77" s="15" t="s">
        <v>676</v>
      </c>
      <c r="M77" s="15" t="s">
        <v>276</v>
      </c>
      <c r="N77" s="15" t="s">
        <v>295</v>
      </c>
      <c r="O77" s="15" t="s">
        <v>677</v>
      </c>
      <c r="P77" s="15" t="str">
        <f>VLOOKUP(Y77,'All Codes'!$BF$3:$BG$278,2,FALSE)</f>
        <v>MPU</v>
      </c>
      <c r="Q77" s="15" t="s">
        <v>179</v>
      </c>
      <c r="R77" s="15" t="s">
        <v>277</v>
      </c>
      <c r="S77" s="15" t="s">
        <v>865</v>
      </c>
      <c r="T77" s="46" t="s">
        <v>884</v>
      </c>
      <c r="U77" s="15" t="s">
        <v>876</v>
      </c>
      <c r="V77" s="57" t="s">
        <v>894</v>
      </c>
      <c r="W77" s="15" t="s">
        <v>866</v>
      </c>
      <c r="X77" s="15" t="s">
        <v>307</v>
      </c>
      <c r="Y77" s="46" t="s">
        <v>455</v>
      </c>
      <c r="Z77" s="15"/>
      <c r="AA77" s="15"/>
      <c r="AB77" s="15"/>
      <c r="AC77" s="15"/>
      <c r="AD77" s="15"/>
      <c r="AE77" s="15"/>
      <c r="AF77" s="15"/>
      <c r="AG77" s="15"/>
      <c r="AH77" s="15" t="str">
        <f t="shared" si="40"/>
        <v>281502837</v>
      </c>
      <c r="AI77" s="21" t="str">
        <f t="shared" si="35"/>
        <v>alp_vw_dv360_imc_dsy_lanch_nd_nc_nvs_nivus-launch-consideracao-orca__trafego_cpm_drct_all_300x250_lancamento-nivus-orca-in-marketaudience_na_lancamento-consideracao-nivus-orca_nvl-nvs-imc-dsy-0820-10077</v>
      </c>
      <c r="AJ77" s="40" t="str">
        <f t="shared" si="35"/>
        <v>alp_vw_dv360_imc_dsy_lanch_nd_nc_nvs_nivus-launch-consideracao-orca__trafego_cpm_drct_all_300x250_lancamento-nivus-orca-in-marketaudience_na_lancamento-consideracao-nivus-orca_nvl-nvs-imc-dsy-0820-10077</v>
      </c>
      <c r="AK77" s="21" t="str">
        <f t="shared" si="41"/>
        <v>vw_nivus_300x250_lancamento-consideracao-nivus-orca_adserver</v>
      </c>
      <c r="AL77" s="21" t="str">
        <f t="shared" si="51"/>
        <v>https://www.vw.com.br/pt/configurador.html/__app/%2Fnivus/0.app?adlid=nvl-nvs-imc-dsy-0820-10077&amp;adplt=alp_vw_dv360_imc_dsy_lanch_nd_nc_nvs_nivus-launch-consideracao-orca__trafego_cpm_drct_all_300x250_lancamento-nivus-orca-in-marketaudience_na_lancamento-consideracao-nivus-orca_nvl-nvs-imc-dsy-0820-10077</v>
      </c>
      <c r="AM77" s="21" t="str">
        <f t="shared" si="42"/>
        <v>TAG</v>
      </c>
      <c r="AN77" s="15" t="str">
        <f t="shared" si="52"/>
        <v>DV360</v>
      </c>
      <c r="AO77" s="15" t="str">
        <f t="shared" si="53"/>
        <v>Paid-Display</v>
      </c>
      <c r="AP77" s="21" t="str">
        <f>Campanha!$B$3</f>
        <v>BR_IMC_DSY_LANCH_ND_NC_2020Q3AUG_NVS_Nivus-Launch-Consideracao-Orca</v>
      </c>
      <c r="AQ77" s="21" t="str">
        <f t="shared" si="43"/>
        <v>alp_vw_dv360_imc_dsy_lanch_nd_nc_nvs_nivus-launch-consideracao-orca__trafego_cpm_drct_all_300x250_lancamento-nivus-orca-in-marketaudience_na_lancamento-consideracao-nivus-orca_nvl-nvs-imc-dsy-0820-10077</v>
      </c>
      <c r="AR77" s="15" t="s">
        <v>745</v>
      </c>
      <c r="AS77" s="21" t="str">
        <f t="shared" si="44"/>
        <v>https://www.vw.com.br/pt/configurador.html/__app/%2Fnivus/0.app?utm_source=DV360&amp;utm_medium=Paid-Display&amp;utm_content=alp_vw_dv360_imc_dsy_lanch_nd_nc_nvs_nivus-launch-consideracao-orca__trafego_cpm_drct_all_300x250_lancamento-nivus-orca-in-marketaudience_na_lancamento-consideracao-nivus-orca_nvl-nvs-imc-dsy-0820-10077&amp;utm_campaign=BR_IMC_DSY_LANCH_ND_NC_2020Q3AUG_NVS_Nivus-Launch-Consideracao-Orca&amp;utm_term=%epid!_%ecid!_%eaid!</v>
      </c>
      <c r="AT77" s="15" t="str">
        <f t="shared" si="54"/>
        <v>other</v>
      </c>
      <c r="AU77" s="15" t="str">
        <f t="shared" si="45"/>
        <v>BR</v>
      </c>
      <c r="AV77" s="15" t="str">
        <f t="shared" si="55"/>
        <v>dv360</v>
      </c>
      <c r="AW77" s="15" t="str">
        <f t="shared" si="56"/>
        <v>dv360</v>
      </c>
      <c r="AX77" s="15" t="str">
        <f t="shared" si="46"/>
        <v>nivus-launch-consideracao-orca</v>
      </c>
      <c r="AY77" s="15" t="str">
        <f t="shared" si="57"/>
        <v>alp_vw_dv360_imc_dsy_lanch_nd_nc_nvs_nivus-launch-consideracao-orca__trafego_cpm_drct_all_300x250_lancamento-nivus-orca-in-marketaudience_na_lancamento-consideracao-nivus-orca_nvl-nvs-imc-dsy-0820-10077</v>
      </c>
      <c r="AZ77" s="15" t="str">
        <f t="shared" si="58"/>
        <v>300x250</v>
      </c>
      <c r="BA77" s="15" t="str">
        <f t="shared" si="59"/>
        <v>lancamento-consideracao-nivus-orca</v>
      </c>
      <c r="BB77" s="28" t="s">
        <v>798</v>
      </c>
      <c r="BC77" s="28" t="s">
        <v>798</v>
      </c>
      <c r="BD77" s="38" t="str">
        <f t="shared" si="60"/>
        <v>nvl-nvs-imc-dsy-0820-10077</v>
      </c>
      <c r="BE77" s="15" t="str">
        <f t="shared" si="61"/>
        <v>BR</v>
      </c>
      <c r="BF77" s="15" t="str">
        <f t="shared" si="62"/>
        <v>paid</v>
      </c>
      <c r="BG77" s="28"/>
      <c r="BH77" s="28"/>
      <c r="BI77" s="36" t="str">
        <f t="shared" si="47"/>
        <v>https://www.vw.com.br/pt/configurador.html/__app/%2Fnivus/0.app?adlid=nvl-nvs-imc-dsy-0820-10077&amp;adplt=alp_vw_dv360_imc_dsy_lanch_nd_nc_nvs_nivus-launch-consideracao-orca__trafego_cpm_drct_all_300x250_lancamento-nivus-orca-in-marketaudience_na_lancamento-consideracao-nivus-orca_nvl-nvs-imc-dsy-0820-10077</v>
      </c>
      <c r="BL77" t="str">
        <f t="shared" si="48"/>
        <v>alp_vw_dv360_imc_dsy_lanch_nd_nc_nvs_nivus-launch-consideracao-orca__trafego</v>
      </c>
      <c r="BM77" t="str">
        <f t="shared" si="49"/>
        <v>cpm_drct_all_300x250_lancamento-nivus-orca-in-marketaudience_na</v>
      </c>
      <c r="BN77" t="str">
        <f t="shared" si="50"/>
        <v>alp_vw_dv360_imc_dsy_lanch_nd_nc_nvs_nivus-launch-consideracao-orca__trafego_cpm_drct_all_300x250_lancamento-nivus-orca-in-marketaudience_na_generico_nvl-nvs-imc-dsy-0820-10077</v>
      </c>
    </row>
    <row r="78" spans="2:66" ht="15.75" customHeight="1" x14ac:dyDescent="0.25">
      <c r="B78" s="15" t="s">
        <v>1291</v>
      </c>
      <c r="C78" s="15" t="s">
        <v>1293</v>
      </c>
      <c r="D78" s="15"/>
      <c r="E78" s="22">
        <v>44069</v>
      </c>
      <c r="F78" s="22">
        <v>44135</v>
      </c>
      <c r="G78" s="15" t="s">
        <v>651</v>
      </c>
      <c r="H78" s="41" t="s">
        <v>1266</v>
      </c>
      <c r="I78" s="15" t="s">
        <v>801</v>
      </c>
      <c r="J78" s="42" t="s">
        <v>883</v>
      </c>
      <c r="K78" s="42" t="s">
        <v>883</v>
      </c>
      <c r="L78" s="15" t="s">
        <v>676</v>
      </c>
      <c r="M78" s="15" t="s">
        <v>276</v>
      </c>
      <c r="N78" s="15" t="s">
        <v>295</v>
      </c>
      <c r="O78" s="15" t="s">
        <v>677</v>
      </c>
      <c r="P78" s="15" t="str">
        <f>VLOOKUP(Y78,'All Codes'!$BF$3:$BG$278,2,FALSE)</f>
        <v>Skyscraper</v>
      </c>
      <c r="Q78" s="15" t="s">
        <v>179</v>
      </c>
      <c r="R78" s="15" t="s">
        <v>277</v>
      </c>
      <c r="S78" s="15" t="s">
        <v>865</v>
      </c>
      <c r="T78" s="46" t="s">
        <v>884</v>
      </c>
      <c r="U78" s="15" t="s">
        <v>876</v>
      </c>
      <c r="V78" s="57" t="s">
        <v>894</v>
      </c>
      <c r="W78" s="15" t="s">
        <v>866</v>
      </c>
      <c r="X78" s="15" t="s">
        <v>307</v>
      </c>
      <c r="Y78" s="46" t="s">
        <v>464</v>
      </c>
      <c r="Z78" s="15"/>
      <c r="AA78" s="15"/>
      <c r="AB78" s="15"/>
      <c r="AC78" s="15"/>
      <c r="AD78" s="15"/>
      <c r="AE78" s="15"/>
      <c r="AF78" s="15"/>
      <c r="AG78" s="15"/>
      <c r="AH78" s="15" t="str">
        <f t="shared" si="40"/>
        <v>281502831</v>
      </c>
      <c r="AI78" s="21" t="str">
        <f t="shared" si="35"/>
        <v>alp_vw_dv360_imc_dsy_lanch_nd_nc_nvs_nivus-launch-consideracao-orca__trafego_cpm_drct_all_300x600_lancamento-nivus-orca-in-marketaudience_na_lancamento-consideracao-nivus-orca_nvl-nvs-imc-dsy-0820-10078</v>
      </c>
      <c r="AJ78" s="40" t="str">
        <f t="shared" si="35"/>
        <v>alp_vw_dv360_imc_dsy_lanch_nd_nc_nvs_nivus-launch-consideracao-orca__trafego_cpm_drct_all_300x600_lancamento-nivus-orca-in-marketaudience_na_lancamento-consideracao-nivus-orca_nvl-nvs-imc-dsy-0820-10078</v>
      </c>
      <c r="AK78" s="21" t="str">
        <f t="shared" si="41"/>
        <v>vw_nivus_300x600_lancamento-consideracao-nivus-orca_adserver</v>
      </c>
      <c r="AL78" s="21" t="str">
        <f t="shared" si="51"/>
        <v>https://www.vw.com.br/pt/configurador.html/__app/%2Fnivus/0.app?adlid=nvl-nvs-imc-dsy-0820-10078&amp;adplt=alp_vw_dv360_imc_dsy_lanch_nd_nc_nvs_nivus-launch-consideracao-orca__trafego_cpm_drct_all_300x600_lancamento-nivus-orca-in-marketaudience_na_lancamento-consideracao-nivus-orca_nvl-nvs-imc-dsy-0820-10078</v>
      </c>
      <c r="AM78" s="21" t="str">
        <f t="shared" si="42"/>
        <v>TAG</v>
      </c>
      <c r="AN78" s="15" t="str">
        <f t="shared" si="52"/>
        <v>DV360</v>
      </c>
      <c r="AO78" s="15" t="str">
        <f t="shared" si="53"/>
        <v>Paid-Display</v>
      </c>
      <c r="AP78" s="21" t="str">
        <f>Campanha!$B$3</f>
        <v>BR_IMC_DSY_LANCH_ND_NC_2020Q3AUG_NVS_Nivus-Launch-Consideracao-Orca</v>
      </c>
      <c r="AQ78" s="21" t="str">
        <f t="shared" si="43"/>
        <v>alp_vw_dv360_imc_dsy_lanch_nd_nc_nvs_nivus-launch-consideracao-orca__trafego_cpm_drct_all_300x600_lancamento-nivus-orca-in-marketaudience_na_lancamento-consideracao-nivus-orca_nvl-nvs-imc-dsy-0820-10078</v>
      </c>
      <c r="AR78" s="15" t="s">
        <v>745</v>
      </c>
      <c r="AS78" s="21" t="str">
        <f t="shared" si="44"/>
        <v>https://www.vw.com.br/pt/configurador.html/__app/%2Fnivus/0.app?utm_source=DV360&amp;utm_medium=Paid-Display&amp;utm_content=alp_vw_dv360_imc_dsy_lanch_nd_nc_nvs_nivus-launch-consideracao-orca__trafego_cpm_drct_all_300x600_lancamento-nivus-orca-in-marketaudience_na_lancamento-consideracao-nivus-orca_nvl-nvs-imc-dsy-0820-10078&amp;utm_campaign=BR_IMC_DSY_LANCH_ND_NC_2020Q3AUG_NVS_Nivus-Launch-Consideracao-Orca&amp;utm_term=%epid!_%ecid!_%eaid!</v>
      </c>
      <c r="AT78" s="15" t="str">
        <f t="shared" si="54"/>
        <v>other</v>
      </c>
      <c r="AU78" s="15" t="str">
        <f t="shared" si="45"/>
        <v>BR</v>
      </c>
      <c r="AV78" s="15" t="str">
        <f t="shared" si="55"/>
        <v>dv360</v>
      </c>
      <c r="AW78" s="15" t="str">
        <f t="shared" si="56"/>
        <v>dv360</v>
      </c>
      <c r="AX78" s="15" t="str">
        <f t="shared" si="46"/>
        <v>nivus-launch-consideracao-orca</v>
      </c>
      <c r="AY78" s="15" t="str">
        <f t="shared" si="57"/>
        <v>alp_vw_dv360_imc_dsy_lanch_nd_nc_nvs_nivus-launch-consideracao-orca__trafego_cpm_drct_all_300x600_lancamento-nivus-orca-in-marketaudience_na_lancamento-consideracao-nivus-orca_nvl-nvs-imc-dsy-0820-10078</v>
      </c>
      <c r="AZ78" s="15" t="str">
        <f t="shared" si="58"/>
        <v>300x600</v>
      </c>
      <c r="BA78" s="15" t="str">
        <f t="shared" si="59"/>
        <v>lancamento-consideracao-nivus-orca</v>
      </c>
      <c r="BB78" s="28" t="s">
        <v>798</v>
      </c>
      <c r="BC78" s="28" t="s">
        <v>798</v>
      </c>
      <c r="BD78" s="38" t="str">
        <f t="shared" si="60"/>
        <v>nvl-nvs-imc-dsy-0820-10078</v>
      </c>
      <c r="BE78" s="15" t="str">
        <f t="shared" si="61"/>
        <v>BR</v>
      </c>
      <c r="BF78" s="15" t="str">
        <f t="shared" si="62"/>
        <v>paid</v>
      </c>
      <c r="BG78" s="28"/>
      <c r="BH78" s="28"/>
      <c r="BI78" s="36" t="str">
        <f t="shared" si="47"/>
        <v>https://www.vw.com.br/pt/configurador.html/__app/%2Fnivus/0.app?adlid=nvl-nvs-imc-dsy-0820-10078&amp;adplt=alp_vw_dv360_imc_dsy_lanch_nd_nc_nvs_nivus-launch-consideracao-orca__trafego_cpm_drct_all_300x600_lancamento-nivus-orca-in-marketaudience_na_lancamento-consideracao-nivus-orca_nvl-nvs-imc-dsy-0820-10078</v>
      </c>
      <c r="BL78" t="str">
        <f t="shared" si="48"/>
        <v>alp_vw_dv360_imc_dsy_lanch_nd_nc_nvs_nivus-launch-consideracao-orca__trafego</v>
      </c>
      <c r="BM78" t="str">
        <f t="shared" si="49"/>
        <v>cpm_drct_all_300x600_lancamento-nivus-orca-in-marketaudience_na</v>
      </c>
      <c r="BN78" t="str">
        <f t="shared" si="50"/>
        <v>alp_vw_dv360_imc_dsy_lanch_nd_nc_nvs_nivus-launch-consideracao-orca__trafego_cpm_drct_all_300x600_lancamento-nivus-orca-in-marketaudience_na_generico_nvl-nvs-imc-dsy-0820-10078</v>
      </c>
    </row>
    <row r="79" spans="2:66" ht="15.75" customHeight="1" x14ac:dyDescent="0.25">
      <c r="B79" s="15" t="s">
        <v>1291</v>
      </c>
      <c r="C79" s="15" t="s">
        <v>1293</v>
      </c>
      <c r="D79" s="15"/>
      <c r="E79" s="22">
        <v>44069</v>
      </c>
      <c r="F79" s="22">
        <v>44135</v>
      </c>
      <c r="G79" s="15" t="s">
        <v>651</v>
      </c>
      <c r="H79" s="41" t="s">
        <v>1266</v>
      </c>
      <c r="I79" s="15" t="s">
        <v>801</v>
      </c>
      <c r="J79" s="42" t="s">
        <v>883</v>
      </c>
      <c r="K79" s="42" t="s">
        <v>883</v>
      </c>
      <c r="L79" s="15" t="s">
        <v>676</v>
      </c>
      <c r="M79" s="15" t="s">
        <v>276</v>
      </c>
      <c r="N79" s="15" t="s">
        <v>295</v>
      </c>
      <c r="O79" s="15" t="s">
        <v>677</v>
      </c>
      <c r="P79" s="15" t="str">
        <f>VLOOKUP(Y79,'All Codes'!$BF$3:$BG$278,2,FALSE)</f>
        <v>MPU</v>
      </c>
      <c r="Q79" s="15" t="s">
        <v>179</v>
      </c>
      <c r="R79" s="15" t="s">
        <v>277</v>
      </c>
      <c r="S79" s="15" t="s">
        <v>865</v>
      </c>
      <c r="T79" s="46" t="s">
        <v>884</v>
      </c>
      <c r="U79" s="15" t="s">
        <v>876</v>
      </c>
      <c r="V79" s="57" t="s">
        <v>894</v>
      </c>
      <c r="W79" s="15" t="s">
        <v>866</v>
      </c>
      <c r="X79" s="15" t="s">
        <v>307</v>
      </c>
      <c r="Y79" s="46" t="s">
        <v>479</v>
      </c>
      <c r="Z79" s="15"/>
      <c r="AA79" s="15"/>
      <c r="AB79" s="15"/>
      <c r="AC79" s="15"/>
      <c r="AD79" s="15"/>
      <c r="AE79" s="15"/>
      <c r="AF79" s="15"/>
      <c r="AG79" s="15"/>
      <c r="AH79" s="15" t="str">
        <f t="shared" si="40"/>
        <v>281502825</v>
      </c>
      <c r="AI79" s="21" t="str">
        <f t="shared" si="35"/>
        <v>alp_vw_dv360_imc_dsy_lanch_nd_nc_nvs_nivus-launch-consideracao-orca__trafego_cpm_drct_all_320x50_lancamento-nivus-orca-in-marketaudience_na_lancamento-consideracao-nivus-orca_nvl-nvs-imc-dsy-0820-10079</v>
      </c>
      <c r="AJ79" s="40" t="str">
        <f t="shared" si="35"/>
        <v>alp_vw_dv360_imc_dsy_lanch_nd_nc_nvs_nivus-launch-consideracao-orca__trafego_cpm_drct_all_320x50_lancamento-nivus-orca-in-marketaudience_na_lancamento-consideracao-nivus-orca_nvl-nvs-imc-dsy-0820-10079</v>
      </c>
      <c r="AK79" s="21" t="str">
        <f t="shared" si="41"/>
        <v>vw_nivus_320x50_lancamento-consideracao-nivus-orca_adserver</v>
      </c>
      <c r="AL79" s="21" t="str">
        <f t="shared" si="51"/>
        <v>https://www.vw.com.br/pt/configurador.html/__app/%2Fnivus/0.app?adlid=nvl-nvs-imc-dsy-0820-10079&amp;adplt=alp_vw_dv360_imc_dsy_lanch_nd_nc_nvs_nivus-launch-consideracao-orca__trafego_cpm_drct_all_320x50_lancamento-nivus-orca-in-marketaudience_na_lancamento-consideracao-nivus-orca_nvl-nvs-imc-dsy-0820-10079</v>
      </c>
      <c r="AM79" s="21" t="str">
        <f t="shared" si="42"/>
        <v>TAG</v>
      </c>
      <c r="AN79" s="15" t="str">
        <f t="shared" si="52"/>
        <v>DV360</v>
      </c>
      <c r="AO79" s="15" t="str">
        <f t="shared" si="53"/>
        <v>Paid-Display</v>
      </c>
      <c r="AP79" s="21" t="str">
        <f>Campanha!$B$3</f>
        <v>BR_IMC_DSY_LANCH_ND_NC_2020Q3AUG_NVS_Nivus-Launch-Consideracao-Orca</v>
      </c>
      <c r="AQ79" s="21" t="str">
        <f t="shared" si="43"/>
        <v>alp_vw_dv360_imc_dsy_lanch_nd_nc_nvs_nivus-launch-consideracao-orca__trafego_cpm_drct_all_320x50_lancamento-nivus-orca-in-marketaudience_na_lancamento-consideracao-nivus-orca_nvl-nvs-imc-dsy-0820-10079</v>
      </c>
      <c r="AR79" s="15" t="s">
        <v>745</v>
      </c>
      <c r="AS79" s="21" t="str">
        <f t="shared" si="44"/>
        <v>https://www.vw.com.br/pt/configurador.html/__app/%2Fnivus/0.app?utm_source=DV360&amp;utm_medium=Paid-Display&amp;utm_content=alp_vw_dv360_imc_dsy_lanch_nd_nc_nvs_nivus-launch-consideracao-orca__trafego_cpm_drct_all_320x50_lancamento-nivus-orca-in-marketaudience_na_lancamento-consideracao-nivus-orca_nvl-nvs-imc-dsy-0820-10079&amp;utm_campaign=BR_IMC_DSY_LANCH_ND_NC_2020Q3AUG_NVS_Nivus-Launch-Consideracao-Orca&amp;utm_term=%epid!_%ecid!_%eaid!</v>
      </c>
      <c r="AT79" s="15" t="str">
        <f t="shared" si="54"/>
        <v>other</v>
      </c>
      <c r="AU79" s="15" t="str">
        <f t="shared" si="45"/>
        <v>BR</v>
      </c>
      <c r="AV79" s="15" t="str">
        <f t="shared" si="55"/>
        <v>dv360</v>
      </c>
      <c r="AW79" s="15" t="str">
        <f t="shared" si="56"/>
        <v>dv360</v>
      </c>
      <c r="AX79" s="15" t="str">
        <f t="shared" si="46"/>
        <v>nivus-launch-consideracao-orca</v>
      </c>
      <c r="AY79" s="15" t="str">
        <f t="shared" si="57"/>
        <v>alp_vw_dv360_imc_dsy_lanch_nd_nc_nvs_nivus-launch-consideracao-orca__trafego_cpm_drct_all_320x50_lancamento-nivus-orca-in-marketaudience_na_lancamento-consideracao-nivus-orca_nvl-nvs-imc-dsy-0820-10079</v>
      </c>
      <c r="AZ79" s="15" t="str">
        <f t="shared" si="58"/>
        <v>320x50</v>
      </c>
      <c r="BA79" s="15" t="str">
        <f t="shared" si="59"/>
        <v>lancamento-consideracao-nivus-orca</v>
      </c>
      <c r="BB79" s="28" t="s">
        <v>798</v>
      </c>
      <c r="BC79" s="28" t="s">
        <v>798</v>
      </c>
      <c r="BD79" s="38" t="str">
        <f t="shared" si="60"/>
        <v>nvl-nvs-imc-dsy-0820-10079</v>
      </c>
      <c r="BE79" s="15" t="str">
        <f t="shared" si="61"/>
        <v>BR</v>
      </c>
      <c r="BF79" s="15" t="str">
        <f t="shared" si="62"/>
        <v>paid</v>
      </c>
      <c r="BG79" s="28"/>
      <c r="BH79" s="28"/>
      <c r="BI79" s="36" t="str">
        <f t="shared" si="47"/>
        <v>https://www.vw.com.br/pt/configurador.html/__app/%2Fnivus/0.app?adlid=nvl-nvs-imc-dsy-0820-10079&amp;adplt=alp_vw_dv360_imc_dsy_lanch_nd_nc_nvs_nivus-launch-consideracao-orca__trafego_cpm_drct_all_320x50_lancamento-nivus-orca-in-marketaudience_na_lancamento-consideracao-nivus-orca_nvl-nvs-imc-dsy-0820-10079</v>
      </c>
      <c r="BL79" t="str">
        <f t="shared" si="48"/>
        <v>alp_vw_dv360_imc_dsy_lanch_nd_nc_nvs_nivus-launch-consideracao-orca__trafego</v>
      </c>
      <c r="BM79" t="str">
        <f t="shared" si="49"/>
        <v>cpm_drct_all_320x50_lancamento-nivus-orca-in-marketaudience_na</v>
      </c>
      <c r="BN79" t="str">
        <f t="shared" si="50"/>
        <v>alp_vw_dv360_imc_dsy_lanch_nd_nc_nvs_nivus-launch-consideracao-orca__trafego_cpm_drct_all_320x50_lancamento-nivus-orca-in-marketaudience_na_generico_nvl-nvs-imc-dsy-0820-10079</v>
      </c>
    </row>
    <row r="80" spans="2:66" ht="15.75" customHeight="1" x14ac:dyDescent="0.25">
      <c r="B80" s="15" t="s">
        <v>1291</v>
      </c>
      <c r="C80" s="15" t="s">
        <v>1293</v>
      </c>
      <c r="D80" s="15"/>
      <c r="E80" s="22">
        <v>44069</v>
      </c>
      <c r="F80" s="22">
        <v>44135</v>
      </c>
      <c r="G80" s="15" t="s">
        <v>651</v>
      </c>
      <c r="H80" s="41" t="s">
        <v>1266</v>
      </c>
      <c r="I80" s="15" t="s">
        <v>801</v>
      </c>
      <c r="J80" s="42" t="s">
        <v>883</v>
      </c>
      <c r="K80" s="42" t="s">
        <v>883</v>
      </c>
      <c r="L80" s="15" t="s">
        <v>676</v>
      </c>
      <c r="M80" s="15" t="s">
        <v>276</v>
      </c>
      <c r="N80" s="15" t="s">
        <v>295</v>
      </c>
      <c r="O80" s="15" t="s">
        <v>677</v>
      </c>
      <c r="P80" s="15" t="str">
        <f>VLOOKUP(Y80,'All Codes'!$BF$3:$BG$278,2,FALSE)</f>
        <v>Leaderboard</v>
      </c>
      <c r="Q80" s="15" t="s">
        <v>179</v>
      </c>
      <c r="R80" s="15" t="s">
        <v>277</v>
      </c>
      <c r="S80" s="15" t="s">
        <v>874</v>
      </c>
      <c r="T80" s="46" t="s">
        <v>884</v>
      </c>
      <c r="U80" s="15" t="s">
        <v>876</v>
      </c>
      <c r="V80" s="57" t="s">
        <v>894</v>
      </c>
      <c r="W80" s="15" t="s">
        <v>866</v>
      </c>
      <c r="X80" s="15" t="s">
        <v>307</v>
      </c>
      <c r="Y80" s="46" t="s">
        <v>591</v>
      </c>
      <c r="Z80" s="15"/>
      <c r="AA80" s="15"/>
      <c r="AB80" s="15"/>
      <c r="AC80" s="15"/>
      <c r="AD80" s="15"/>
      <c r="AE80" s="15"/>
      <c r="AF80" s="15"/>
      <c r="AG80" s="15"/>
      <c r="AH80" s="15" t="str">
        <f t="shared" si="39"/>
        <v>281502819</v>
      </c>
      <c r="AI80" s="21" t="str">
        <f t="shared" si="35"/>
        <v>alp_vw_dv360_imc_dsy_lanch_nd_nc_nvs_nivus-launch-consideracao-orca__configuracao_cpm_drct_all_728x90_lancamento-nivus-orca-in-marketaudience_na_lancamento-consideracao-nivus-orca_nvl-nvs-imc-dsy-0820-10080</v>
      </c>
      <c r="AJ80" s="40" t="str">
        <f t="shared" si="35"/>
        <v>alp_vw_dv360_imc_dsy_lanch_nd_nc_nvs_nivus-launch-consideracao-orca__configuracao_cpm_drct_all_728x90_lancamento-nivus-orca-in-marketaudience_na_lancamento-consideracao-nivus-orca_nvl-nvs-imc-dsy-0820-10080</v>
      </c>
      <c r="AK80" s="21" t="str">
        <f t="shared" si="41"/>
        <v>vw_nivus_728x90_lancamento-consideracao-nivus-orca_adserver</v>
      </c>
      <c r="AL80" s="21" t="str">
        <f t="shared" si="51"/>
        <v>https://www.vw.com.br/pt/configurador.html/__app/%2Fnivus/0.app?adlid=nvl-nvs-imc-dsy-0820-10080&amp;adplt=alp_vw_dv360_imc_dsy_lanch_nd_nc_nvs_nivus-launch-consideracao-orca__configuracao_cpm_drct_all_728x90_lancamento-nivus-orca-in-marketaudience_na_lancamento-consideracao-nivus-orca_nvl-nvs-imc-dsy-0820-10080</v>
      </c>
      <c r="AM80" s="21" t="str">
        <f t="shared" si="42"/>
        <v>TAG</v>
      </c>
      <c r="AN80" s="15" t="str">
        <f t="shared" si="52"/>
        <v>DV360</v>
      </c>
      <c r="AO80" s="15" t="str">
        <f t="shared" si="53"/>
        <v>Paid-Display</v>
      </c>
      <c r="AP80" s="21" t="str">
        <f>Campanha!$B$3</f>
        <v>BR_IMC_DSY_LANCH_ND_NC_2020Q3AUG_NVS_Nivus-Launch-Consideracao-Orca</v>
      </c>
      <c r="AQ80" s="21" t="str">
        <f t="shared" si="43"/>
        <v>alp_vw_dv360_imc_dsy_lanch_nd_nc_nvs_nivus-launch-consideracao-orca__configuracao_cpm_drct_all_728x90_lancamento-nivus-orca-in-marketaudience_na_lancamento-consideracao-nivus-orca_nvl-nvs-imc-dsy-0820-10080</v>
      </c>
      <c r="AR80" s="15" t="s">
        <v>745</v>
      </c>
      <c r="AS80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728x90_lancamento-nivus-orca-in-marketaudience_na_lancamento-consideracao-nivus-orca_nvl-nvs-imc-dsy-0820-10080&amp;utm_campaign=BR_IMC_DSY_LANCH_ND_NC_2020Q3AUG_NVS_Nivus-Launch-Consideracao-Orca&amp;utm_term=%epid!_%ecid!_%eaid!</v>
      </c>
      <c r="AT80" s="15" t="str">
        <f t="shared" si="54"/>
        <v>other</v>
      </c>
      <c r="AU80" s="15" t="str">
        <f t="shared" si="45"/>
        <v>BR</v>
      </c>
      <c r="AV80" s="15" t="str">
        <f t="shared" si="55"/>
        <v>dv360</v>
      </c>
      <c r="AW80" s="15" t="str">
        <f t="shared" si="56"/>
        <v>dv360</v>
      </c>
      <c r="AX80" s="15" t="str">
        <f t="shared" si="46"/>
        <v>nivus-launch-consideracao-orca</v>
      </c>
      <c r="AY80" s="15" t="str">
        <f t="shared" si="57"/>
        <v>alp_vw_dv360_imc_dsy_lanch_nd_nc_nvs_nivus-launch-consideracao-orca__configuracao_cpm_drct_all_728x90_lancamento-nivus-orca-in-marketaudience_na_lancamento-consideracao-nivus-orca_nvl-nvs-imc-dsy-0820-10080</v>
      </c>
      <c r="AZ80" s="15" t="str">
        <f t="shared" si="58"/>
        <v>728x90</v>
      </c>
      <c r="BA80" s="15" t="str">
        <f t="shared" si="59"/>
        <v>lancamento-consideracao-nivus-orca</v>
      </c>
      <c r="BB80" s="28" t="s">
        <v>798</v>
      </c>
      <c r="BC80" s="28" t="s">
        <v>798</v>
      </c>
      <c r="BD80" s="38" t="str">
        <f t="shared" si="60"/>
        <v>nvl-nvs-imc-dsy-0820-10080</v>
      </c>
      <c r="BE80" s="15" t="str">
        <f t="shared" si="61"/>
        <v>BR</v>
      </c>
      <c r="BF80" s="15" t="str">
        <f t="shared" si="62"/>
        <v>paid</v>
      </c>
      <c r="BG80" s="28"/>
      <c r="BH80" s="28"/>
      <c r="BI80" s="36" t="str">
        <f t="shared" si="47"/>
        <v>https://www.vw.com.br/pt/configurador.html/__app/%2Fnivus/0.app?adlid=nvl-nvs-imc-dsy-0820-10080&amp;adplt=alp_vw_dv360_imc_dsy_lanch_nd_nc_nvs_nivus-launch-consideracao-orca__configuracao_cpm_drct_all_728x90_lancamento-nivus-orca-in-marketaudience_na_lancamento-consideracao-nivus-orca_nvl-nvs-imc-dsy-0820-10080</v>
      </c>
      <c r="BL80" t="str">
        <f t="shared" si="48"/>
        <v>alp_vw_dv360_imc_dsy_lanch_nd_nc_nvs_nivus-launch-consideracao-orca__configuracao</v>
      </c>
      <c r="BM80" t="str">
        <f t="shared" si="49"/>
        <v>cpm_drct_all_728x90_lancamento-nivus-orca-in-marketaudience_na</v>
      </c>
      <c r="BN80" t="str">
        <f t="shared" si="50"/>
        <v>alp_vw_dv360_imc_dsy_lanch_nd_nc_nvs_nivus-launch-consideracao-orca__configuracao_cpm_drct_all_728x90_lancamento-nivus-orca-in-marketaudience_na_generico_nvl-nvs-imc-dsy-0820-10080</v>
      </c>
    </row>
    <row r="81" spans="2:66" ht="15.75" customHeight="1" x14ac:dyDescent="0.25">
      <c r="B81" s="15" t="s">
        <v>1291</v>
      </c>
      <c r="C81" s="15" t="s">
        <v>1293</v>
      </c>
      <c r="D81" s="15"/>
      <c r="E81" s="22">
        <v>44069</v>
      </c>
      <c r="F81" s="22">
        <v>44135</v>
      </c>
      <c r="G81" s="15" t="s">
        <v>651</v>
      </c>
      <c r="H81" s="41" t="s">
        <v>1266</v>
      </c>
      <c r="I81" s="15" t="s">
        <v>801</v>
      </c>
      <c r="J81" s="42" t="s">
        <v>883</v>
      </c>
      <c r="K81" s="42" t="s">
        <v>883</v>
      </c>
      <c r="L81" s="15" t="s">
        <v>676</v>
      </c>
      <c r="M81" s="15" t="s">
        <v>276</v>
      </c>
      <c r="N81" s="15" t="s">
        <v>295</v>
      </c>
      <c r="O81" s="15" t="s">
        <v>677</v>
      </c>
      <c r="P81" s="15" t="str">
        <f>VLOOKUP(Y81,'All Codes'!$BF$3:$BG$278,2,FALSE)</f>
        <v>Leaderboard</v>
      </c>
      <c r="Q81" s="15" t="s">
        <v>179</v>
      </c>
      <c r="R81" s="15" t="s">
        <v>277</v>
      </c>
      <c r="S81" s="15" t="s">
        <v>874</v>
      </c>
      <c r="T81" s="46" t="s">
        <v>884</v>
      </c>
      <c r="U81" s="15" t="s">
        <v>876</v>
      </c>
      <c r="V81" s="57" t="s">
        <v>894</v>
      </c>
      <c r="W81" s="15" t="s">
        <v>866</v>
      </c>
      <c r="X81" s="15" t="s">
        <v>307</v>
      </c>
      <c r="Y81" s="46" t="s">
        <v>629</v>
      </c>
      <c r="Z81" s="15"/>
      <c r="AA81" s="15"/>
      <c r="AB81" s="15"/>
      <c r="AC81" s="15"/>
      <c r="AD81" s="15"/>
      <c r="AE81" s="15"/>
      <c r="AF81" s="15"/>
      <c r="AG81" s="15"/>
      <c r="AH81" s="15" t="str">
        <f t="shared" si="39"/>
        <v>281502813</v>
      </c>
      <c r="AI81" s="21" t="str">
        <f t="shared" si="35"/>
        <v>alp_vw_dv360_imc_dsy_lanch_nd_nc_nvs_nivus-launch-consideracao-orca__configuracao_cpm_drct_all_970x250_lancamento-nivus-orca-in-marketaudience_na_lancamento-consideracao-nivus-orca_nvl-nvs-imc-dsy-0820-10081</v>
      </c>
      <c r="AJ81" s="40" t="str">
        <f t="shared" si="35"/>
        <v>alp_vw_dv360_imc_dsy_lanch_nd_nc_nvs_nivus-launch-consideracao-orca__configuracao_cpm_drct_all_970x250_lancamento-nivus-orca-in-marketaudience_na_lancamento-consideracao-nivus-orca_nvl-nvs-imc-dsy-0820-10081</v>
      </c>
      <c r="AK81" s="21" t="str">
        <f t="shared" si="41"/>
        <v>vw_nivus_970x250_lancamento-consideracao-nivus-orca_adserver</v>
      </c>
      <c r="AL81" s="21" t="str">
        <f t="shared" si="51"/>
        <v>https://www.vw.com.br/pt/configurador.html/__app/%2Fnivus/0.app?adlid=nvl-nvs-imc-dsy-0820-10081&amp;adplt=alp_vw_dv360_imc_dsy_lanch_nd_nc_nvs_nivus-launch-consideracao-orca__configuracao_cpm_drct_all_970x250_lancamento-nivus-orca-in-marketaudience_na_lancamento-consideracao-nivus-orca_nvl-nvs-imc-dsy-0820-10081</v>
      </c>
      <c r="AM81" s="21" t="str">
        <f t="shared" si="42"/>
        <v>TAG</v>
      </c>
      <c r="AN81" s="15" t="str">
        <f t="shared" si="52"/>
        <v>DV360</v>
      </c>
      <c r="AO81" s="15" t="str">
        <f t="shared" si="53"/>
        <v>Paid-Display</v>
      </c>
      <c r="AP81" s="21" t="str">
        <f>Campanha!$B$3</f>
        <v>BR_IMC_DSY_LANCH_ND_NC_2020Q3AUG_NVS_Nivus-Launch-Consideracao-Orca</v>
      </c>
      <c r="AQ81" s="21" t="str">
        <f t="shared" si="43"/>
        <v>alp_vw_dv360_imc_dsy_lanch_nd_nc_nvs_nivus-launch-consideracao-orca__configuracao_cpm_drct_all_970x250_lancamento-nivus-orca-in-marketaudience_na_lancamento-consideracao-nivus-orca_nvl-nvs-imc-dsy-0820-10081</v>
      </c>
      <c r="AR81" s="15" t="s">
        <v>745</v>
      </c>
      <c r="AS81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970x250_lancamento-nivus-orca-in-marketaudience_na_lancamento-consideracao-nivus-orca_nvl-nvs-imc-dsy-0820-10081&amp;utm_campaign=BR_IMC_DSY_LANCH_ND_NC_2020Q3AUG_NVS_Nivus-Launch-Consideracao-Orca&amp;utm_term=%epid!_%ecid!_%eaid!</v>
      </c>
      <c r="AT81" s="15" t="str">
        <f t="shared" si="54"/>
        <v>other</v>
      </c>
      <c r="AU81" s="15" t="str">
        <f t="shared" si="45"/>
        <v>BR</v>
      </c>
      <c r="AV81" s="15" t="str">
        <f t="shared" si="55"/>
        <v>dv360</v>
      </c>
      <c r="AW81" s="15" t="str">
        <f t="shared" si="56"/>
        <v>dv360</v>
      </c>
      <c r="AX81" s="15" t="str">
        <f t="shared" si="46"/>
        <v>nivus-launch-consideracao-orca</v>
      </c>
      <c r="AY81" s="15" t="str">
        <f t="shared" si="57"/>
        <v>alp_vw_dv360_imc_dsy_lanch_nd_nc_nvs_nivus-launch-consideracao-orca__configuracao_cpm_drct_all_970x250_lancamento-nivus-orca-in-marketaudience_na_lancamento-consideracao-nivus-orca_nvl-nvs-imc-dsy-0820-10081</v>
      </c>
      <c r="AZ81" s="15" t="str">
        <f t="shared" si="58"/>
        <v>970x250</v>
      </c>
      <c r="BA81" s="15" t="str">
        <f t="shared" si="59"/>
        <v>lancamento-consideracao-nivus-orca</v>
      </c>
      <c r="BB81" s="28" t="s">
        <v>798</v>
      </c>
      <c r="BC81" s="28" t="s">
        <v>798</v>
      </c>
      <c r="BD81" s="38" t="str">
        <f t="shared" si="60"/>
        <v>nvl-nvs-imc-dsy-0820-10081</v>
      </c>
      <c r="BE81" s="15" t="str">
        <f t="shared" si="61"/>
        <v>BR</v>
      </c>
      <c r="BF81" s="15" t="str">
        <f t="shared" si="62"/>
        <v>paid</v>
      </c>
      <c r="BG81" s="28"/>
      <c r="BH81" s="28"/>
      <c r="BI81" s="36" t="str">
        <f t="shared" si="47"/>
        <v>https://www.vw.com.br/pt/configurador.html/__app/%2Fnivus/0.app?adlid=nvl-nvs-imc-dsy-0820-10081&amp;adplt=alp_vw_dv360_imc_dsy_lanch_nd_nc_nvs_nivus-launch-consideracao-orca__configuracao_cpm_drct_all_970x250_lancamento-nivus-orca-in-marketaudience_na_lancamento-consideracao-nivus-orca_nvl-nvs-imc-dsy-0820-10081</v>
      </c>
      <c r="BL81" t="str">
        <f t="shared" si="48"/>
        <v>alp_vw_dv360_imc_dsy_lanch_nd_nc_nvs_nivus-launch-consideracao-orca__configuracao</v>
      </c>
      <c r="BM81" t="str">
        <f t="shared" si="49"/>
        <v>cpm_drct_all_970x250_lancamento-nivus-orca-in-marketaudience_na</v>
      </c>
      <c r="BN81" t="str">
        <f t="shared" si="50"/>
        <v>alp_vw_dv360_imc_dsy_lanch_nd_nc_nvs_nivus-launch-consideracao-orca__configuracao_cpm_drct_all_970x250_lancamento-nivus-orca-in-marketaudience_na_generico_nvl-nvs-imc-dsy-0820-10081</v>
      </c>
    </row>
    <row r="82" spans="2:66" ht="15.75" customHeight="1" x14ac:dyDescent="0.25">
      <c r="B82" s="15" t="s">
        <v>1291</v>
      </c>
      <c r="C82" s="15" t="s">
        <v>1293</v>
      </c>
      <c r="D82" s="15"/>
      <c r="E82" s="22">
        <v>44069</v>
      </c>
      <c r="F82" s="22">
        <v>44135</v>
      </c>
      <c r="G82" s="15" t="s">
        <v>651</v>
      </c>
      <c r="H82" s="41" t="s">
        <v>1266</v>
      </c>
      <c r="I82" s="15" t="s">
        <v>801</v>
      </c>
      <c r="J82" s="42" t="s">
        <v>883</v>
      </c>
      <c r="K82" s="42" t="s">
        <v>883</v>
      </c>
      <c r="L82" s="15" t="s">
        <v>676</v>
      </c>
      <c r="M82" s="15" t="s">
        <v>276</v>
      </c>
      <c r="N82" s="15" t="s">
        <v>295</v>
      </c>
      <c r="O82" s="15" t="s">
        <v>677</v>
      </c>
      <c r="P82" s="15" t="str">
        <f>VLOOKUP(Y82,'All Codes'!$BF$3:$BG$278,2,FALSE)</f>
        <v>MPU</v>
      </c>
      <c r="Q82" s="15" t="s">
        <v>179</v>
      </c>
      <c r="R82" s="15" t="s">
        <v>277</v>
      </c>
      <c r="S82" s="15" t="s">
        <v>874</v>
      </c>
      <c r="T82" s="46" t="s">
        <v>884</v>
      </c>
      <c r="U82" s="15" t="s">
        <v>876</v>
      </c>
      <c r="V82" s="58" t="s">
        <v>895</v>
      </c>
      <c r="W82" s="15" t="s">
        <v>866</v>
      </c>
      <c r="X82" s="15" t="s">
        <v>307</v>
      </c>
      <c r="Y82" s="46" t="s">
        <v>461</v>
      </c>
      <c r="Z82" s="15"/>
      <c r="AA82" s="15"/>
      <c r="AB82" s="15"/>
      <c r="AC82" s="15"/>
      <c r="AD82" s="15"/>
      <c r="AE82" s="15"/>
      <c r="AF82" s="15"/>
      <c r="AG82" s="15"/>
      <c r="AH82" s="15" t="str">
        <f t="shared" si="39"/>
        <v>281502807</v>
      </c>
      <c r="AI82" s="21" t="str">
        <f t="shared" si="35"/>
        <v>alp_vw_dv360_imc_dsy_lanch_nd_nc_nvs_nivus-launch-consideracao-orca__configuracao_cpm_drct_all_300x50_lancamento-nivus-orca-similarfromcustomermatch_na_lancamento-consideracao-nivus-orca_nvl-nvs-imc-dsy-0820-10082</v>
      </c>
      <c r="AJ82" s="40" t="str">
        <f t="shared" si="35"/>
        <v>alp_vw_dv360_imc_dsy_lanch_nd_nc_nvs_nivus-launch-consideracao-orca__configuracao_cpm_drct_all_300x50_lancamento-nivus-orca-similarfromcustomermatch_na_lancamento-consideracao-nivus-orca_nvl-nvs-imc-dsy-0820-10082</v>
      </c>
      <c r="AK82" s="21" t="str">
        <f t="shared" si="41"/>
        <v>vw_nivus_300x50_lancamento-consideracao-nivus-orca_adserver</v>
      </c>
      <c r="AL82" s="21" t="str">
        <f t="shared" si="51"/>
        <v>https://www.vw.com.br/pt/configurador.html/__app/%2Fnivus/0.app?adlid=nvl-nvs-imc-dsy-0820-10082&amp;adplt=alp_vw_dv360_imc_dsy_lanch_nd_nc_nvs_nivus-launch-consideracao-orca__configuracao_cpm_drct_all_300x50_lancamento-nivus-orca-similarfromcustomermatch_na_lancamento-consideracao-nivus-orca_nvl-nvs-imc-dsy-0820-10082</v>
      </c>
      <c r="AM82" s="21" t="str">
        <f t="shared" si="42"/>
        <v>TAG</v>
      </c>
      <c r="AN82" s="15" t="str">
        <f t="shared" si="52"/>
        <v>DV360</v>
      </c>
      <c r="AO82" s="15" t="str">
        <f t="shared" si="53"/>
        <v>Paid-Display</v>
      </c>
      <c r="AP82" s="21" t="str">
        <f>Campanha!$B$3</f>
        <v>BR_IMC_DSY_LANCH_ND_NC_2020Q3AUG_NVS_Nivus-Launch-Consideracao-Orca</v>
      </c>
      <c r="AQ82" s="21" t="str">
        <f t="shared" si="43"/>
        <v>alp_vw_dv360_imc_dsy_lanch_nd_nc_nvs_nivus-launch-consideracao-orca__configuracao_cpm_drct_all_300x50_lancamento-nivus-orca-similarfromcustomermatch_na_lancamento-consideracao-nivus-orca_nvl-nvs-imc-dsy-0820-10082</v>
      </c>
      <c r="AR82" s="15" t="s">
        <v>745</v>
      </c>
      <c r="AS82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similarfromcustomermatch_na_lancamento-consideracao-nivus-orca_nvl-nvs-imc-dsy-0820-10082&amp;utm_campaign=BR_IMC_DSY_LANCH_ND_NC_2020Q3AUG_NVS_Nivus-Launch-Consideracao-Orca&amp;utm_term=%epid!_%ecid!_%eaid!</v>
      </c>
      <c r="AT82" s="15" t="str">
        <f t="shared" si="54"/>
        <v>other</v>
      </c>
      <c r="AU82" s="15" t="str">
        <f t="shared" si="45"/>
        <v>BR</v>
      </c>
      <c r="AV82" s="15" t="str">
        <f t="shared" si="55"/>
        <v>dv360</v>
      </c>
      <c r="AW82" s="15" t="str">
        <f t="shared" si="56"/>
        <v>dv360</v>
      </c>
      <c r="AX82" s="15" t="str">
        <f t="shared" si="46"/>
        <v>nivus-launch-consideracao-orca</v>
      </c>
      <c r="AY82" s="15" t="str">
        <f t="shared" si="57"/>
        <v>alp_vw_dv360_imc_dsy_lanch_nd_nc_nvs_nivus-launch-consideracao-orca__configuracao_cpm_drct_all_300x50_lancamento-nivus-orca-similarfromcustomermatch_na_lancamento-consideracao-nivus-orca_nvl-nvs-imc-dsy-0820-10082</v>
      </c>
      <c r="AZ82" s="15" t="str">
        <f t="shared" si="58"/>
        <v>300x50</v>
      </c>
      <c r="BA82" s="15" t="str">
        <f t="shared" si="59"/>
        <v>lancamento-consideracao-nivus-orca</v>
      </c>
      <c r="BB82" s="28" t="s">
        <v>798</v>
      </c>
      <c r="BC82" s="28" t="s">
        <v>798</v>
      </c>
      <c r="BD82" s="38" t="str">
        <f t="shared" si="60"/>
        <v>nvl-nvs-imc-dsy-0820-10082</v>
      </c>
      <c r="BE82" s="15" t="str">
        <f t="shared" si="61"/>
        <v>BR</v>
      </c>
      <c r="BF82" s="15" t="str">
        <f t="shared" si="62"/>
        <v>paid</v>
      </c>
      <c r="BG82" s="28"/>
      <c r="BH82" s="28"/>
      <c r="BI82" s="36" t="str">
        <f t="shared" si="47"/>
        <v>https://www.vw.com.br/pt/configurador.html/__app/%2Fnivus/0.app?adlid=nvl-nvs-imc-dsy-0820-10082&amp;adplt=alp_vw_dv360_imc_dsy_lanch_nd_nc_nvs_nivus-launch-consideracao-orca__configuracao_cpm_drct_all_300x50_lancamento-nivus-orca-similarfromcustomermatch_na_lancamento-consideracao-nivus-orca_nvl-nvs-imc-dsy-0820-10082</v>
      </c>
      <c r="BL82" t="str">
        <f t="shared" si="48"/>
        <v>alp_vw_dv360_imc_dsy_lanch_nd_nc_nvs_nivus-launch-consideracao-orca__configuracao</v>
      </c>
      <c r="BM82" t="str">
        <f t="shared" si="49"/>
        <v>cpm_drct_all_300x50_lancamento-nivus-orca-similarfromcustomermatch_na</v>
      </c>
      <c r="BN82" t="str">
        <f t="shared" si="50"/>
        <v>alp_vw_dv360_imc_dsy_lanch_nd_nc_nvs_nivus-launch-consideracao-orca__configuracao_cpm_drct_all_300x50_lancamento-nivus-orca-similarfromcustomermatch_na_generico_nvl-nvs-imc-dsy-0820-10082</v>
      </c>
    </row>
    <row r="83" spans="2:66" ht="15.75" customHeight="1" x14ac:dyDescent="0.25">
      <c r="B83" s="15" t="s">
        <v>1291</v>
      </c>
      <c r="C83" s="15" t="s">
        <v>1293</v>
      </c>
      <c r="D83" s="15"/>
      <c r="E83" s="22">
        <v>44069</v>
      </c>
      <c r="F83" s="22">
        <v>44135</v>
      </c>
      <c r="G83" s="15" t="s">
        <v>651</v>
      </c>
      <c r="H83" s="41" t="s">
        <v>1266</v>
      </c>
      <c r="I83" s="15" t="s">
        <v>801</v>
      </c>
      <c r="J83" s="42" t="s">
        <v>883</v>
      </c>
      <c r="K83" s="42" t="s">
        <v>883</v>
      </c>
      <c r="L83" s="15" t="s">
        <v>676</v>
      </c>
      <c r="M83" s="15" t="s">
        <v>276</v>
      </c>
      <c r="N83" s="15" t="s">
        <v>295</v>
      </c>
      <c r="O83" s="15" t="s">
        <v>677</v>
      </c>
      <c r="P83" s="15" t="str">
        <f>VLOOKUP(Y83,'All Codes'!$BF$3:$BG$278,2,FALSE)</f>
        <v>Skyscraper</v>
      </c>
      <c r="Q83" s="15" t="s">
        <v>179</v>
      </c>
      <c r="R83" s="15" t="s">
        <v>277</v>
      </c>
      <c r="S83" s="15" t="s">
        <v>874</v>
      </c>
      <c r="T83" s="46" t="s">
        <v>884</v>
      </c>
      <c r="U83" s="15" t="s">
        <v>876</v>
      </c>
      <c r="V83" s="58" t="s">
        <v>895</v>
      </c>
      <c r="W83" s="15" t="s">
        <v>866</v>
      </c>
      <c r="X83" s="15" t="s">
        <v>307</v>
      </c>
      <c r="Y83" s="46" t="s">
        <v>434</v>
      </c>
      <c r="Z83" s="15"/>
      <c r="AA83" s="15"/>
      <c r="AB83" s="15"/>
      <c r="AC83" s="15"/>
      <c r="AD83" s="15"/>
      <c r="AE83" s="15"/>
      <c r="AF83" s="15"/>
      <c r="AG83" s="15"/>
      <c r="AH83" s="15" t="str">
        <f t="shared" si="39"/>
        <v>281502801</v>
      </c>
      <c r="AI83" s="21" t="str">
        <f t="shared" si="35"/>
        <v>alp_vw_dv360_imc_dsy_lanch_nd_nc_nvs_nivus-launch-consideracao-orca__configuracao_cpm_drct_all_160x600_lancamento-nivus-orca-similarfromcustomermatch_na_lancamento-consideracao-nivus-orca_nvl-nvs-imc-dsy-0820-10083</v>
      </c>
      <c r="AJ83" s="40" t="str">
        <f t="shared" si="35"/>
        <v>alp_vw_dv360_imc_dsy_lanch_nd_nc_nvs_nivus-launch-consideracao-orca__configuracao_cpm_drct_all_160x600_lancamento-nivus-orca-similarfromcustomermatch_na_lancamento-consideracao-nivus-orca_nvl-nvs-imc-dsy-0820-10083</v>
      </c>
      <c r="AK83" s="21" t="str">
        <f t="shared" si="41"/>
        <v>vw_nivus_160x600_lancamento-consideracao-nivus-orca_adserver</v>
      </c>
      <c r="AL83" s="21" t="str">
        <f t="shared" si="51"/>
        <v>https://www.vw.com.br/pt/configurador.html/__app/%2Fnivus/0.app?adlid=nvl-nvs-imc-dsy-0820-10083&amp;adplt=alp_vw_dv360_imc_dsy_lanch_nd_nc_nvs_nivus-launch-consideracao-orca__configuracao_cpm_drct_all_160x600_lancamento-nivus-orca-similarfromcustomermatch_na_lancamento-consideracao-nivus-orca_nvl-nvs-imc-dsy-0820-10083</v>
      </c>
      <c r="AM83" s="21" t="str">
        <f t="shared" si="42"/>
        <v>TAG</v>
      </c>
      <c r="AN83" s="15" t="str">
        <f t="shared" si="52"/>
        <v>DV360</v>
      </c>
      <c r="AO83" s="15" t="str">
        <f t="shared" si="53"/>
        <v>Paid-Display</v>
      </c>
      <c r="AP83" s="21" t="str">
        <f>Campanha!$B$3</f>
        <v>BR_IMC_DSY_LANCH_ND_NC_2020Q3AUG_NVS_Nivus-Launch-Consideracao-Orca</v>
      </c>
      <c r="AQ83" s="21" t="str">
        <f t="shared" si="43"/>
        <v>alp_vw_dv360_imc_dsy_lanch_nd_nc_nvs_nivus-launch-consideracao-orca__configuracao_cpm_drct_all_160x600_lancamento-nivus-orca-similarfromcustomermatch_na_lancamento-consideracao-nivus-orca_nvl-nvs-imc-dsy-0820-10083</v>
      </c>
      <c r="AR83" s="15" t="s">
        <v>745</v>
      </c>
      <c r="AS83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similarfromcustomermatch_na_lancamento-consideracao-nivus-orca_nvl-nvs-imc-dsy-0820-10083&amp;utm_campaign=BR_IMC_DSY_LANCH_ND_NC_2020Q3AUG_NVS_Nivus-Launch-Consideracao-Orca&amp;utm_term=%epid!_%ecid!_%eaid!</v>
      </c>
      <c r="AT83" s="15" t="str">
        <f t="shared" si="54"/>
        <v>other</v>
      </c>
      <c r="AU83" s="15" t="str">
        <f t="shared" si="45"/>
        <v>BR</v>
      </c>
      <c r="AV83" s="15" t="str">
        <f t="shared" si="55"/>
        <v>dv360</v>
      </c>
      <c r="AW83" s="15" t="str">
        <f t="shared" si="56"/>
        <v>dv360</v>
      </c>
      <c r="AX83" s="15" t="str">
        <f t="shared" si="46"/>
        <v>nivus-launch-consideracao-orca</v>
      </c>
      <c r="AY83" s="15" t="str">
        <f t="shared" si="57"/>
        <v>alp_vw_dv360_imc_dsy_lanch_nd_nc_nvs_nivus-launch-consideracao-orca__configuracao_cpm_drct_all_160x600_lancamento-nivus-orca-similarfromcustomermatch_na_lancamento-consideracao-nivus-orca_nvl-nvs-imc-dsy-0820-10083</v>
      </c>
      <c r="AZ83" s="15" t="str">
        <f t="shared" si="58"/>
        <v>160x600</v>
      </c>
      <c r="BA83" s="15" t="str">
        <f t="shared" si="59"/>
        <v>lancamento-consideracao-nivus-orca</v>
      </c>
      <c r="BB83" s="28" t="s">
        <v>798</v>
      </c>
      <c r="BC83" s="28" t="s">
        <v>798</v>
      </c>
      <c r="BD83" s="38" t="str">
        <f t="shared" si="60"/>
        <v>nvl-nvs-imc-dsy-0820-10083</v>
      </c>
      <c r="BE83" s="15" t="str">
        <f t="shared" si="61"/>
        <v>BR</v>
      </c>
      <c r="BF83" s="15" t="str">
        <f t="shared" si="62"/>
        <v>paid</v>
      </c>
      <c r="BG83" s="28"/>
      <c r="BH83" s="28"/>
      <c r="BI83" s="36" t="str">
        <f t="shared" si="47"/>
        <v>https://www.vw.com.br/pt/configurador.html/__app/%2Fnivus/0.app?adlid=nvl-nvs-imc-dsy-0820-10083&amp;adplt=alp_vw_dv360_imc_dsy_lanch_nd_nc_nvs_nivus-launch-consideracao-orca__configuracao_cpm_drct_all_160x600_lancamento-nivus-orca-similarfromcustomermatch_na_lancamento-consideracao-nivus-orca_nvl-nvs-imc-dsy-0820-10083</v>
      </c>
      <c r="BL83" t="str">
        <f t="shared" si="48"/>
        <v>alp_vw_dv360_imc_dsy_lanch_nd_nc_nvs_nivus-launch-consideracao-orca__configuracao</v>
      </c>
      <c r="BM83" t="str">
        <f t="shared" si="49"/>
        <v>cpm_drct_all_160x600_lancamento-nivus-orca-similarfromcustomermatch_na</v>
      </c>
      <c r="BN83" t="str">
        <f t="shared" si="50"/>
        <v>alp_vw_dv360_imc_dsy_lanch_nd_nc_nvs_nivus-launch-consideracao-orca__configuracao_cpm_drct_all_160x600_lancamento-nivus-orca-similarfromcustomermatch_na_generico_nvl-nvs-imc-dsy-0820-10083</v>
      </c>
    </row>
    <row r="84" spans="2:66" ht="15.75" customHeight="1" x14ac:dyDescent="0.25">
      <c r="B84" s="15" t="s">
        <v>1291</v>
      </c>
      <c r="C84" s="15" t="s">
        <v>1293</v>
      </c>
      <c r="D84" s="15"/>
      <c r="E84" s="22">
        <v>44069</v>
      </c>
      <c r="F84" s="22">
        <v>44135</v>
      </c>
      <c r="G84" s="15" t="s">
        <v>651</v>
      </c>
      <c r="H84" s="41" t="s">
        <v>1266</v>
      </c>
      <c r="I84" s="15" t="s">
        <v>801</v>
      </c>
      <c r="J84" s="42" t="s">
        <v>883</v>
      </c>
      <c r="K84" s="42" t="s">
        <v>883</v>
      </c>
      <c r="L84" s="15" t="s">
        <v>676</v>
      </c>
      <c r="M84" s="15" t="s">
        <v>276</v>
      </c>
      <c r="N84" s="15" t="s">
        <v>295</v>
      </c>
      <c r="O84" s="15" t="s">
        <v>677</v>
      </c>
      <c r="P84" s="15" t="str">
        <f>VLOOKUP(Y84,'All Codes'!$BF$3:$BG$278,2,FALSE)</f>
        <v>MPU</v>
      </c>
      <c r="Q84" s="15" t="s">
        <v>179</v>
      </c>
      <c r="R84" s="15" t="s">
        <v>277</v>
      </c>
      <c r="S84" s="15" t="s">
        <v>874</v>
      </c>
      <c r="T84" s="46" t="s">
        <v>884</v>
      </c>
      <c r="U84" s="15" t="s">
        <v>876</v>
      </c>
      <c r="V84" s="58" t="s">
        <v>895</v>
      </c>
      <c r="W84" s="15" t="s">
        <v>866</v>
      </c>
      <c r="X84" s="15" t="s">
        <v>307</v>
      </c>
      <c r="Y84" s="46" t="s">
        <v>455</v>
      </c>
      <c r="Z84" s="15"/>
      <c r="AA84" s="15"/>
      <c r="AB84" s="15"/>
      <c r="AC84" s="15"/>
      <c r="AD84" s="15"/>
      <c r="AE84" s="15"/>
      <c r="AF84" s="15"/>
      <c r="AG84" s="15"/>
      <c r="AH84" s="15" t="str">
        <f t="shared" si="39"/>
        <v>281502795</v>
      </c>
      <c r="AI84" s="21" t="str">
        <f t="shared" si="35"/>
        <v>alp_vw_dv360_imc_dsy_lanch_nd_nc_nvs_nivus-launch-consideracao-orca__configuracao_cpm_drct_all_300x250_lancamento-nivus-orca-similarfromcustomermatch_na_lancamento-consideracao-nivus-orca_nvl-nvs-imc-dsy-0820-10084</v>
      </c>
      <c r="AJ84" s="40" t="str">
        <f t="shared" si="35"/>
        <v>alp_vw_dv360_imc_dsy_lanch_nd_nc_nvs_nivus-launch-consideracao-orca__configuracao_cpm_drct_all_300x250_lancamento-nivus-orca-similarfromcustomermatch_na_lancamento-consideracao-nivus-orca_nvl-nvs-imc-dsy-0820-10084</v>
      </c>
      <c r="AK84" s="21" t="str">
        <f t="shared" si="41"/>
        <v>vw_nivus_300x250_lancamento-consideracao-nivus-orca_adserver</v>
      </c>
      <c r="AL84" s="21" t="str">
        <f t="shared" si="51"/>
        <v>https://www.vw.com.br/pt/configurador.html/__app/%2Fnivus/0.app?adlid=nvl-nvs-imc-dsy-0820-10084&amp;adplt=alp_vw_dv360_imc_dsy_lanch_nd_nc_nvs_nivus-launch-consideracao-orca__configuracao_cpm_drct_all_300x250_lancamento-nivus-orca-similarfromcustomermatch_na_lancamento-consideracao-nivus-orca_nvl-nvs-imc-dsy-0820-10084</v>
      </c>
      <c r="AM84" s="21" t="str">
        <f t="shared" si="42"/>
        <v>TAG</v>
      </c>
      <c r="AN84" s="15" t="str">
        <f t="shared" si="52"/>
        <v>DV360</v>
      </c>
      <c r="AO84" s="15" t="str">
        <f t="shared" si="53"/>
        <v>Paid-Display</v>
      </c>
      <c r="AP84" s="21" t="str">
        <f>Campanha!$B$3</f>
        <v>BR_IMC_DSY_LANCH_ND_NC_2020Q3AUG_NVS_Nivus-Launch-Consideracao-Orca</v>
      </c>
      <c r="AQ84" s="21" t="str">
        <f t="shared" si="43"/>
        <v>alp_vw_dv360_imc_dsy_lanch_nd_nc_nvs_nivus-launch-consideracao-orca__configuracao_cpm_drct_all_300x250_lancamento-nivus-orca-similarfromcustomermatch_na_lancamento-consideracao-nivus-orca_nvl-nvs-imc-dsy-0820-10084</v>
      </c>
      <c r="AR84" s="15" t="s">
        <v>745</v>
      </c>
      <c r="AS84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250_lancamento-nivus-orca-similarfromcustomermatch_na_lancamento-consideracao-nivus-orca_nvl-nvs-imc-dsy-0820-10084&amp;utm_campaign=BR_IMC_DSY_LANCH_ND_NC_2020Q3AUG_NVS_Nivus-Launch-Consideracao-Orca&amp;utm_term=%epid!_%ecid!_%eaid!</v>
      </c>
      <c r="AT84" s="15" t="str">
        <f t="shared" si="54"/>
        <v>other</v>
      </c>
      <c r="AU84" s="15" t="str">
        <f t="shared" si="45"/>
        <v>BR</v>
      </c>
      <c r="AV84" s="15" t="str">
        <f t="shared" si="55"/>
        <v>dv360</v>
      </c>
      <c r="AW84" s="15" t="str">
        <f t="shared" si="56"/>
        <v>dv360</v>
      </c>
      <c r="AX84" s="15" t="str">
        <f t="shared" si="46"/>
        <v>nivus-launch-consideracao-orca</v>
      </c>
      <c r="AY84" s="15" t="str">
        <f t="shared" si="57"/>
        <v>alp_vw_dv360_imc_dsy_lanch_nd_nc_nvs_nivus-launch-consideracao-orca__configuracao_cpm_drct_all_300x250_lancamento-nivus-orca-similarfromcustomermatch_na_lancamento-consideracao-nivus-orca_nvl-nvs-imc-dsy-0820-10084</v>
      </c>
      <c r="AZ84" s="15" t="str">
        <f t="shared" si="58"/>
        <v>300x250</v>
      </c>
      <c r="BA84" s="15" t="str">
        <f t="shared" si="59"/>
        <v>lancamento-consideracao-nivus-orca</v>
      </c>
      <c r="BB84" s="28" t="s">
        <v>798</v>
      </c>
      <c r="BC84" s="28" t="s">
        <v>798</v>
      </c>
      <c r="BD84" s="38" t="str">
        <f t="shared" si="60"/>
        <v>nvl-nvs-imc-dsy-0820-10084</v>
      </c>
      <c r="BE84" s="15" t="str">
        <f t="shared" si="61"/>
        <v>BR</v>
      </c>
      <c r="BF84" s="15" t="str">
        <f t="shared" si="62"/>
        <v>paid</v>
      </c>
      <c r="BG84" s="28"/>
      <c r="BH84" s="28"/>
      <c r="BI84" s="36" t="str">
        <f t="shared" si="47"/>
        <v>https://www.vw.com.br/pt/configurador.html/__app/%2Fnivus/0.app?adlid=nvl-nvs-imc-dsy-0820-10084&amp;adplt=alp_vw_dv360_imc_dsy_lanch_nd_nc_nvs_nivus-launch-consideracao-orca__configuracao_cpm_drct_all_300x250_lancamento-nivus-orca-similarfromcustomermatch_na_lancamento-consideracao-nivus-orca_nvl-nvs-imc-dsy-0820-10084</v>
      </c>
      <c r="BL84" t="str">
        <f t="shared" si="48"/>
        <v>alp_vw_dv360_imc_dsy_lanch_nd_nc_nvs_nivus-launch-consideracao-orca__configuracao</v>
      </c>
      <c r="BM84" t="str">
        <f t="shared" si="49"/>
        <v>cpm_drct_all_300x250_lancamento-nivus-orca-similarfromcustomermatch_na</v>
      </c>
      <c r="BN84" t="str">
        <f t="shared" si="50"/>
        <v>alp_vw_dv360_imc_dsy_lanch_nd_nc_nvs_nivus-launch-consideracao-orca__configuracao_cpm_drct_all_300x250_lancamento-nivus-orca-similarfromcustomermatch_na_generico_nvl-nvs-imc-dsy-0820-10084</v>
      </c>
    </row>
    <row r="85" spans="2:66" ht="15.75" customHeight="1" x14ac:dyDescent="0.25">
      <c r="B85" s="15" t="s">
        <v>1291</v>
      </c>
      <c r="C85" s="15" t="s">
        <v>1293</v>
      </c>
      <c r="D85" s="15"/>
      <c r="E85" s="22">
        <v>44069</v>
      </c>
      <c r="F85" s="22">
        <v>44135</v>
      </c>
      <c r="G85" s="15" t="s">
        <v>651</v>
      </c>
      <c r="H85" s="41" t="s">
        <v>1266</v>
      </c>
      <c r="I85" s="15" t="s">
        <v>801</v>
      </c>
      <c r="J85" s="42" t="s">
        <v>883</v>
      </c>
      <c r="K85" s="42" t="s">
        <v>883</v>
      </c>
      <c r="L85" s="15" t="s">
        <v>676</v>
      </c>
      <c r="M85" s="15" t="s">
        <v>276</v>
      </c>
      <c r="N85" s="15" t="s">
        <v>295</v>
      </c>
      <c r="O85" s="15" t="s">
        <v>677</v>
      </c>
      <c r="P85" s="15" t="str">
        <f>VLOOKUP(Y85,'All Codes'!$BF$3:$BG$278,2,FALSE)</f>
        <v>Skyscraper</v>
      </c>
      <c r="Q85" s="15" t="s">
        <v>179</v>
      </c>
      <c r="R85" s="15" t="s">
        <v>277</v>
      </c>
      <c r="S85" s="15" t="s">
        <v>874</v>
      </c>
      <c r="T85" s="46" t="s">
        <v>884</v>
      </c>
      <c r="U85" s="15" t="s">
        <v>876</v>
      </c>
      <c r="V85" s="58" t="s">
        <v>895</v>
      </c>
      <c r="W85" s="15" t="s">
        <v>866</v>
      </c>
      <c r="X85" s="15" t="s">
        <v>307</v>
      </c>
      <c r="Y85" s="46" t="s">
        <v>464</v>
      </c>
      <c r="Z85" s="15"/>
      <c r="AA85" s="15"/>
      <c r="AB85" s="15"/>
      <c r="AC85" s="15"/>
      <c r="AD85" s="15"/>
      <c r="AE85" s="15"/>
      <c r="AF85" s="15"/>
      <c r="AG85" s="15"/>
      <c r="AH85" s="15" t="str">
        <f t="shared" si="39"/>
        <v>281502789</v>
      </c>
      <c r="AI85" s="21" t="str">
        <f t="shared" ref="AI85:AJ148" si="63">LOWER(CONCATENATE(col_campanhaanunciante,"_",col_grupoanunciante,"_",col_localfreetype,"_",col_adlid))</f>
        <v>alp_vw_dv360_imc_dsy_lanch_nd_nc_nvs_nivus-launch-consideracao-orca__configuracao_cpm_drct_all_300x600_lancamento-nivus-orca-similarfromcustomermatch_na_lancamento-consideracao-nivus-orca_nvl-nvs-imc-dsy-0820-10085</v>
      </c>
      <c r="AJ85" s="40" t="str">
        <f t="shared" si="63"/>
        <v>alp_vw_dv360_imc_dsy_lanch_nd_nc_nvs_nivus-launch-consideracao-orca__configuracao_cpm_drct_all_300x600_lancamento-nivus-orca-similarfromcustomermatch_na_lancamento-consideracao-nivus-orca_nvl-nvs-imc-dsy-0820-10085</v>
      </c>
      <c r="AK85" s="21" t="str">
        <f t="shared" si="41"/>
        <v>vw_nivus_300x600_lancamento-consideracao-nivus-orca_adserver</v>
      </c>
      <c r="AL85" s="21" t="str">
        <f t="shared" si="51"/>
        <v>https://www.vw.com.br/pt/configurador.html/__app/%2Fnivus/0.app?adlid=nvl-nvs-imc-dsy-0820-10085&amp;adplt=alp_vw_dv360_imc_dsy_lanch_nd_nc_nvs_nivus-launch-consideracao-orca__configuracao_cpm_drct_all_300x600_lancamento-nivus-orca-similarfromcustomermatch_na_lancamento-consideracao-nivus-orca_nvl-nvs-imc-dsy-0820-10085</v>
      </c>
      <c r="AM85" s="21" t="str">
        <f t="shared" si="42"/>
        <v>TAG</v>
      </c>
      <c r="AN85" s="15" t="str">
        <f t="shared" si="52"/>
        <v>DV360</v>
      </c>
      <c r="AO85" s="15" t="str">
        <f t="shared" si="53"/>
        <v>Paid-Display</v>
      </c>
      <c r="AP85" s="21" t="str">
        <f>Campanha!$B$3</f>
        <v>BR_IMC_DSY_LANCH_ND_NC_2020Q3AUG_NVS_Nivus-Launch-Consideracao-Orca</v>
      </c>
      <c r="AQ85" s="21" t="str">
        <f t="shared" si="43"/>
        <v>alp_vw_dv360_imc_dsy_lanch_nd_nc_nvs_nivus-launch-consideracao-orca__configuracao_cpm_drct_all_300x600_lancamento-nivus-orca-similarfromcustomermatch_na_lancamento-consideracao-nivus-orca_nvl-nvs-imc-dsy-0820-10085</v>
      </c>
      <c r="AR85" s="15" t="s">
        <v>745</v>
      </c>
      <c r="AS85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600_lancamento-nivus-orca-similarfromcustomermatch_na_lancamento-consideracao-nivus-orca_nvl-nvs-imc-dsy-0820-10085&amp;utm_campaign=BR_IMC_DSY_LANCH_ND_NC_2020Q3AUG_NVS_Nivus-Launch-Consideracao-Orca&amp;utm_term=%epid!_%ecid!_%eaid!</v>
      </c>
      <c r="AT85" s="15" t="str">
        <f t="shared" si="54"/>
        <v>other</v>
      </c>
      <c r="AU85" s="15" t="str">
        <f t="shared" si="45"/>
        <v>BR</v>
      </c>
      <c r="AV85" s="15" t="str">
        <f t="shared" si="55"/>
        <v>dv360</v>
      </c>
      <c r="AW85" s="15" t="str">
        <f t="shared" si="56"/>
        <v>dv360</v>
      </c>
      <c r="AX85" s="15" t="str">
        <f t="shared" si="46"/>
        <v>nivus-launch-consideracao-orca</v>
      </c>
      <c r="AY85" s="15" t="str">
        <f t="shared" si="57"/>
        <v>alp_vw_dv360_imc_dsy_lanch_nd_nc_nvs_nivus-launch-consideracao-orca__configuracao_cpm_drct_all_300x600_lancamento-nivus-orca-similarfromcustomermatch_na_lancamento-consideracao-nivus-orca_nvl-nvs-imc-dsy-0820-10085</v>
      </c>
      <c r="AZ85" s="15" t="str">
        <f t="shared" si="58"/>
        <v>300x600</v>
      </c>
      <c r="BA85" s="15" t="str">
        <f t="shared" si="59"/>
        <v>lancamento-consideracao-nivus-orca</v>
      </c>
      <c r="BB85" s="28" t="s">
        <v>798</v>
      </c>
      <c r="BC85" s="28" t="s">
        <v>798</v>
      </c>
      <c r="BD85" s="38" t="str">
        <f t="shared" si="60"/>
        <v>nvl-nvs-imc-dsy-0820-10085</v>
      </c>
      <c r="BE85" s="15" t="str">
        <f t="shared" si="61"/>
        <v>BR</v>
      </c>
      <c r="BF85" s="15" t="str">
        <f t="shared" si="62"/>
        <v>paid</v>
      </c>
      <c r="BG85" s="28"/>
      <c r="BH85" s="28"/>
      <c r="BI85" s="36" t="str">
        <f t="shared" si="47"/>
        <v>https://www.vw.com.br/pt/configurador.html/__app/%2Fnivus/0.app?adlid=nvl-nvs-imc-dsy-0820-10085&amp;adplt=alp_vw_dv360_imc_dsy_lanch_nd_nc_nvs_nivus-launch-consideracao-orca__configuracao_cpm_drct_all_300x600_lancamento-nivus-orca-similarfromcustomermatch_na_lancamento-consideracao-nivus-orca_nvl-nvs-imc-dsy-0820-10085</v>
      </c>
      <c r="BL85" t="str">
        <f t="shared" si="48"/>
        <v>alp_vw_dv360_imc_dsy_lanch_nd_nc_nvs_nivus-launch-consideracao-orca__configuracao</v>
      </c>
      <c r="BM85" t="str">
        <f t="shared" si="49"/>
        <v>cpm_drct_all_300x600_lancamento-nivus-orca-similarfromcustomermatch_na</v>
      </c>
      <c r="BN85" t="str">
        <f t="shared" si="50"/>
        <v>alp_vw_dv360_imc_dsy_lanch_nd_nc_nvs_nivus-launch-consideracao-orca__configuracao_cpm_drct_all_300x600_lancamento-nivus-orca-similarfromcustomermatch_na_generico_nvl-nvs-imc-dsy-0820-10085</v>
      </c>
    </row>
    <row r="86" spans="2:66" ht="15.75" customHeight="1" x14ac:dyDescent="0.25">
      <c r="B86" s="15" t="s">
        <v>1291</v>
      </c>
      <c r="C86" s="15" t="s">
        <v>1293</v>
      </c>
      <c r="D86" s="15"/>
      <c r="E86" s="22">
        <v>44069</v>
      </c>
      <c r="F86" s="22">
        <v>44135</v>
      </c>
      <c r="G86" s="15" t="s">
        <v>651</v>
      </c>
      <c r="H86" s="41" t="s">
        <v>1266</v>
      </c>
      <c r="I86" s="15" t="s">
        <v>801</v>
      </c>
      <c r="J86" s="42" t="s">
        <v>883</v>
      </c>
      <c r="K86" s="42" t="s">
        <v>883</v>
      </c>
      <c r="L86" s="15" t="s">
        <v>676</v>
      </c>
      <c r="M86" s="15" t="s">
        <v>276</v>
      </c>
      <c r="N86" s="15" t="s">
        <v>295</v>
      </c>
      <c r="O86" s="15" t="s">
        <v>677</v>
      </c>
      <c r="P86" s="15" t="str">
        <f>VLOOKUP(Y86,'All Codes'!$BF$3:$BG$278,2,FALSE)</f>
        <v>MPU</v>
      </c>
      <c r="Q86" s="15" t="s">
        <v>179</v>
      </c>
      <c r="R86" s="15" t="s">
        <v>277</v>
      </c>
      <c r="S86" s="15" t="s">
        <v>874</v>
      </c>
      <c r="T86" s="46" t="s">
        <v>884</v>
      </c>
      <c r="U86" s="15" t="s">
        <v>876</v>
      </c>
      <c r="V86" s="58" t="s">
        <v>895</v>
      </c>
      <c r="W86" s="15" t="s">
        <v>866</v>
      </c>
      <c r="X86" s="15" t="s">
        <v>307</v>
      </c>
      <c r="Y86" s="46" t="s">
        <v>479</v>
      </c>
      <c r="Z86" s="15"/>
      <c r="AA86" s="15"/>
      <c r="AB86" s="15"/>
      <c r="AC86" s="15"/>
      <c r="AD86" s="15"/>
      <c r="AE86" s="15"/>
      <c r="AF86" s="15"/>
      <c r="AG86" s="15"/>
      <c r="AH86" s="15" t="str">
        <f t="shared" si="39"/>
        <v>281502783</v>
      </c>
      <c r="AI86" s="21" t="str">
        <f t="shared" si="63"/>
        <v>alp_vw_dv360_imc_dsy_lanch_nd_nc_nvs_nivus-launch-consideracao-orca__configuracao_cpm_drct_all_320x50_lancamento-nivus-orca-similarfromcustomermatch_na_lancamento-consideracao-nivus-orca_nvl-nvs-imc-dsy-0820-10086</v>
      </c>
      <c r="AJ86" s="40" t="str">
        <f t="shared" si="63"/>
        <v>alp_vw_dv360_imc_dsy_lanch_nd_nc_nvs_nivus-launch-consideracao-orca__configuracao_cpm_drct_all_320x50_lancamento-nivus-orca-similarfromcustomermatch_na_lancamento-consideracao-nivus-orca_nvl-nvs-imc-dsy-0820-10086</v>
      </c>
      <c r="AK86" s="21" t="str">
        <f t="shared" si="41"/>
        <v>vw_nivus_320x50_lancamento-consideracao-nivus-orca_adserver</v>
      </c>
      <c r="AL86" s="21" t="str">
        <f t="shared" si="51"/>
        <v>https://www.vw.com.br/pt/configurador.html/__app/%2Fnivus/0.app?adlid=nvl-nvs-imc-dsy-0820-10086&amp;adplt=alp_vw_dv360_imc_dsy_lanch_nd_nc_nvs_nivus-launch-consideracao-orca__configuracao_cpm_drct_all_320x50_lancamento-nivus-orca-similarfromcustomermatch_na_lancamento-consideracao-nivus-orca_nvl-nvs-imc-dsy-0820-10086</v>
      </c>
      <c r="AM86" s="21" t="str">
        <f t="shared" si="42"/>
        <v>TAG</v>
      </c>
      <c r="AN86" s="15" t="str">
        <f t="shared" si="52"/>
        <v>DV360</v>
      </c>
      <c r="AO86" s="15" t="str">
        <f t="shared" si="53"/>
        <v>Paid-Display</v>
      </c>
      <c r="AP86" s="21" t="str">
        <f>Campanha!$B$3</f>
        <v>BR_IMC_DSY_LANCH_ND_NC_2020Q3AUG_NVS_Nivus-Launch-Consideracao-Orca</v>
      </c>
      <c r="AQ86" s="21" t="str">
        <f t="shared" si="43"/>
        <v>alp_vw_dv360_imc_dsy_lanch_nd_nc_nvs_nivus-launch-consideracao-orca__configuracao_cpm_drct_all_320x50_lancamento-nivus-orca-similarfromcustomermatch_na_lancamento-consideracao-nivus-orca_nvl-nvs-imc-dsy-0820-10086</v>
      </c>
      <c r="AR86" s="15" t="s">
        <v>745</v>
      </c>
      <c r="AS86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320x50_lancamento-nivus-orca-similarfromcustomermatch_na_lancamento-consideracao-nivus-orca_nvl-nvs-imc-dsy-0820-10086&amp;utm_campaign=BR_IMC_DSY_LANCH_ND_NC_2020Q3AUG_NVS_Nivus-Launch-Consideracao-Orca&amp;utm_term=%epid!_%ecid!_%eaid!</v>
      </c>
      <c r="AT86" s="15" t="str">
        <f t="shared" si="54"/>
        <v>other</v>
      </c>
      <c r="AU86" s="15" t="str">
        <f t="shared" si="45"/>
        <v>BR</v>
      </c>
      <c r="AV86" s="15" t="str">
        <f t="shared" si="55"/>
        <v>dv360</v>
      </c>
      <c r="AW86" s="15" t="str">
        <f t="shared" si="56"/>
        <v>dv360</v>
      </c>
      <c r="AX86" s="15" t="str">
        <f t="shared" si="46"/>
        <v>nivus-launch-consideracao-orca</v>
      </c>
      <c r="AY86" s="15" t="str">
        <f t="shared" si="57"/>
        <v>alp_vw_dv360_imc_dsy_lanch_nd_nc_nvs_nivus-launch-consideracao-orca__configuracao_cpm_drct_all_320x50_lancamento-nivus-orca-similarfromcustomermatch_na_lancamento-consideracao-nivus-orca_nvl-nvs-imc-dsy-0820-10086</v>
      </c>
      <c r="AZ86" s="15" t="str">
        <f t="shared" si="58"/>
        <v>320x50</v>
      </c>
      <c r="BA86" s="15" t="str">
        <f t="shared" si="59"/>
        <v>lancamento-consideracao-nivus-orca</v>
      </c>
      <c r="BB86" s="28" t="s">
        <v>798</v>
      </c>
      <c r="BC86" s="28" t="s">
        <v>798</v>
      </c>
      <c r="BD86" s="38" t="str">
        <f t="shared" si="60"/>
        <v>nvl-nvs-imc-dsy-0820-10086</v>
      </c>
      <c r="BE86" s="15" t="str">
        <f t="shared" si="61"/>
        <v>BR</v>
      </c>
      <c r="BF86" s="15" t="str">
        <f t="shared" si="62"/>
        <v>paid</v>
      </c>
      <c r="BG86" s="28"/>
      <c r="BH86" s="28"/>
      <c r="BI86" s="36" t="str">
        <f t="shared" si="47"/>
        <v>https://www.vw.com.br/pt/configurador.html/__app/%2Fnivus/0.app?adlid=nvl-nvs-imc-dsy-0820-10086&amp;adplt=alp_vw_dv360_imc_dsy_lanch_nd_nc_nvs_nivus-launch-consideracao-orca__configuracao_cpm_drct_all_320x50_lancamento-nivus-orca-similarfromcustomermatch_na_lancamento-consideracao-nivus-orca_nvl-nvs-imc-dsy-0820-10086</v>
      </c>
      <c r="BL86" t="str">
        <f t="shared" si="48"/>
        <v>alp_vw_dv360_imc_dsy_lanch_nd_nc_nvs_nivus-launch-consideracao-orca__configuracao</v>
      </c>
      <c r="BM86" t="str">
        <f t="shared" si="49"/>
        <v>cpm_drct_all_320x50_lancamento-nivus-orca-similarfromcustomermatch_na</v>
      </c>
      <c r="BN86" t="str">
        <f t="shared" si="50"/>
        <v>alp_vw_dv360_imc_dsy_lanch_nd_nc_nvs_nivus-launch-consideracao-orca__configuracao_cpm_drct_all_320x50_lancamento-nivus-orca-similarfromcustomermatch_na_generico_nvl-nvs-imc-dsy-0820-10086</v>
      </c>
    </row>
    <row r="87" spans="2:66" ht="15.75" customHeight="1" x14ac:dyDescent="0.25">
      <c r="B87" s="15" t="s">
        <v>1291</v>
      </c>
      <c r="C87" s="15" t="s">
        <v>1293</v>
      </c>
      <c r="D87" s="15"/>
      <c r="E87" s="22">
        <v>44069</v>
      </c>
      <c r="F87" s="22">
        <v>44135</v>
      </c>
      <c r="G87" s="15" t="s">
        <v>651</v>
      </c>
      <c r="H87" s="41" t="s">
        <v>1266</v>
      </c>
      <c r="I87" s="15" t="s">
        <v>801</v>
      </c>
      <c r="J87" s="42" t="s">
        <v>883</v>
      </c>
      <c r="K87" s="42" t="s">
        <v>883</v>
      </c>
      <c r="L87" s="15" t="s">
        <v>676</v>
      </c>
      <c r="M87" s="15" t="s">
        <v>276</v>
      </c>
      <c r="N87" s="15" t="s">
        <v>295</v>
      </c>
      <c r="O87" s="15" t="s">
        <v>677</v>
      </c>
      <c r="P87" s="15" t="str">
        <f>VLOOKUP(Y87,'All Codes'!$BF$3:$BG$278,2,FALSE)</f>
        <v>Leaderboard</v>
      </c>
      <c r="Q87" s="15" t="s">
        <v>179</v>
      </c>
      <c r="R87" s="15" t="s">
        <v>277</v>
      </c>
      <c r="S87" s="15" t="s">
        <v>874</v>
      </c>
      <c r="T87" s="46" t="s">
        <v>884</v>
      </c>
      <c r="U87" s="15" t="s">
        <v>876</v>
      </c>
      <c r="V87" s="58" t="s">
        <v>895</v>
      </c>
      <c r="W87" s="15" t="s">
        <v>866</v>
      </c>
      <c r="X87" s="15" t="s">
        <v>307</v>
      </c>
      <c r="Y87" s="46" t="s">
        <v>591</v>
      </c>
      <c r="Z87" s="15"/>
      <c r="AA87" s="15"/>
      <c r="AB87" s="15"/>
      <c r="AC87" s="15"/>
      <c r="AD87" s="15"/>
      <c r="AE87" s="15"/>
      <c r="AF87" s="15"/>
      <c r="AG87" s="15"/>
      <c r="AH87" s="15" t="str">
        <f t="shared" si="39"/>
        <v>281502777</v>
      </c>
      <c r="AI87" s="21" t="str">
        <f t="shared" si="63"/>
        <v>alp_vw_dv360_imc_dsy_lanch_nd_nc_nvs_nivus-launch-consideracao-orca__configuracao_cpm_drct_all_728x90_lancamento-nivus-orca-similarfromcustomermatch_na_lancamento-consideracao-nivus-orca_nvl-nvs-imc-dsy-0820-10087</v>
      </c>
      <c r="AJ87" s="40" t="str">
        <f t="shared" si="63"/>
        <v>alp_vw_dv360_imc_dsy_lanch_nd_nc_nvs_nivus-launch-consideracao-orca__configuracao_cpm_drct_all_728x90_lancamento-nivus-orca-similarfromcustomermatch_na_lancamento-consideracao-nivus-orca_nvl-nvs-imc-dsy-0820-10087</v>
      </c>
      <c r="AK87" s="21" t="str">
        <f t="shared" si="41"/>
        <v>vw_nivus_728x90_lancamento-consideracao-nivus-orca_adserver</v>
      </c>
      <c r="AL87" s="21" t="str">
        <f t="shared" si="51"/>
        <v>https://www.vw.com.br/pt/configurador.html/__app/%2Fnivus/0.app?adlid=nvl-nvs-imc-dsy-0820-10087&amp;adplt=alp_vw_dv360_imc_dsy_lanch_nd_nc_nvs_nivus-launch-consideracao-orca__configuracao_cpm_drct_all_728x90_lancamento-nivus-orca-similarfromcustomermatch_na_lancamento-consideracao-nivus-orca_nvl-nvs-imc-dsy-0820-10087</v>
      </c>
      <c r="AM87" s="21" t="str">
        <f t="shared" si="42"/>
        <v>TAG</v>
      </c>
      <c r="AN87" s="15" t="str">
        <f t="shared" si="52"/>
        <v>DV360</v>
      </c>
      <c r="AO87" s="15" t="str">
        <f t="shared" si="53"/>
        <v>Paid-Display</v>
      </c>
      <c r="AP87" s="21" t="str">
        <f>Campanha!$B$3</f>
        <v>BR_IMC_DSY_LANCH_ND_NC_2020Q3AUG_NVS_Nivus-Launch-Consideracao-Orca</v>
      </c>
      <c r="AQ87" s="21" t="str">
        <f t="shared" si="43"/>
        <v>alp_vw_dv360_imc_dsy_lanch_nd_nc_nvs_nivus-launch-consideracao-orca__configuracao_cpm_drct_all_728x90_lancamento-nivus-orca-similarfromcustomermatch_na_lancamento-consideracao-nivus-orca_nvl-nvs-imc-dsy-0820-10087</v>
      </c>
      <c r="AR87" s="15" t="s">
        <v>745</v>
      </c>
      <c r="AS87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728x90_lancamento-nivus-orca-similarfromcustomermatch_na_lancamento-consideracao-nivus-orca_nvl-nvs-imc-dsy-0820-10087&amp;utm_campaign=BR_IMC_DSY_LANCH_ND_NC_2020Q3AUG_NVS_Nivus-Launch-Consideracao-Orca&amp;utm_term=%epid!_%ecid!_%eaid!</v>
      </c>
      <c r="AT87" s="15" t="str">
        <f t="shared" si="54"/>
        <v>other</v>
      </c>
      <c r="AU87" s="15" t="str">
        <f t="shared" si="45"/>
        <v>BR</v>
      </c>
      <c r="AV87" s="15" t="str">
        <f t="shared" si="55"/>
        <v>dv360</v>
      </c>
      <c r="AW87" s="15" t="str">
        <f t="shared" si="56"/>
        <v>dv360</v>
      </c>
      <c r="AX87" s="15" t="str">
        <f t="shared" si="46"/>
        <v>nivus-launch-consideracao-orca</v>
      </c>
      <c r="AY87" s="15" t="str">
        <f t="shared" si="57"/>
        <v>alp_vw_dv360_imc_dsy_lanch_nd_nc_nvs_nivus-launch-consideracao-orca__configuracao_cpm_drct_all_728x90_lancamento-nivus-orca-similarfromcustomermatch_na_lancamento-consideracao-nivus-orca_nvl-nvs-imc-dsy-0820-10087</v>
      </c>
      <c r="AZ87" s="15" t="str">
        <f t="shared" si="58"/>
        <v>728x90</v>
      </c>
      <c r="BA87" s="15" t="str">
        <f t="shared" si="59"/>
        <v>lancamento-consideracao-nivus-orca</v>
      </c>
      <c r="BB87" s="28" t="s">
        <v>798</v>
      </c>
      <c r="BC87" s="28" t="s">
        <v>798</v>
      </c>
      <c r="BD87" s="38" t="str">
        <f t="shared" si="60"/>
        <v>nvl-nvs-imc-dsy-0820-10087</v>
      </c>
      <c r="BE87" s="15" t="str">
        <f t="shared" si="61"/>
        <v>BR</v>
      </c>
      <c r="BF87" s="15" t="str">
        <f t="shared" si="62"/>
        <v>paid</v>
      </c>
      <c r="BG87" s="28"/>
      <c r="BH87" s="28"/>
      <c r="BI87" s="36" t="str">
        <f t="shared" si="47"/>
        <v>https://www.vw.com.br/pt/configurador.html/__app/%2Fnivus/0.app?adlid=nvl-nvs-imc-dsy-0820-10087&amp;adplt=alp_vw_dv360_imc_dsy_lanch_nd_nc_nvs_nivus-launch-consideracao-orca__configuracao_cpm_drct_all_728x90_lancamento-nivus-orca-similarfromcustomermatch_na_lancamento-consideracao-nivus-orca_nvl-nvs-imc-dsy-0820-10087</v>
      </c>
      <c r="BL87" t="str">
        <f t="shared" si="48"/>
        <v>alp_vw_dv360_imc_dsy_lanch_nd_nc_nvs_nivus-launch-consideracao-orca__configuracao</v>
      </c>
      <c r="BM87" t="str">
        <f t="shared" si="49"/>
        <v>cpm_drct_all_728x90_lancamento-nivus-orca-similarfromcustomermatch_na</v>
      </c>
      <c r="BN87" t="str">
        <f t="shared" si="50"/>
        <v>alp_vw_dv360_imc_dsy_lanch_nd_nc_nvs_nivus-launch-consideracao-orca__configuracao_cpm_drct_all_728x90_lancamento-nivus-orca-similarfromcustomermatch_na_generico_nvl-nvs-imc-dsy-0820-10087</v>
      </c>
    </row>
    <row r="88" spans="2:66" ht="15.75" customHeight="1" x14ac:dyDescent="0.25">
      <c r="B88" s="15" t="s">
        <v>1291</v>
      </c>
      <c r="C88" s="15" t="s">
        <v>1293</v>
      </c>
      <c r="D88" s="15"/>
      <c r="E88" s="22">
        <v>44069</v>
      </c>
      <c r="F88" s="22">
        <v>44135</v>
      </c>
      <c r="G88" s="15" t="s">
        <v>651</v>
      </c>
      <c r="H88" s="41" t="s">
        <v>1266</v>
      </c>
      <c r="I88" s="15" t="s">
        <v>801</v>
      </c>
      <c r="J88" s="42" t="s">
        <v>883</v>
      </c>
      <c r="K88" s="42" t="s">
        <v>883</v>
      </c>
      <c r="L88" s="15" t="s">
        <v>676</v>
      </c>
      <c r="M88" s="15" t="s">
        <v>276</v>
      </c>
      <c r="N88" s="15" t="s">
        <v>295</v>
      </c>
      <c r="O88" s="15" t="s">
        <v>677</v>
      </c>
      <c r="P88" s="15" t="str">
        <f>VLOOKUP(Y88,'All Codes'!$BF$3:$BG$278,2,FALSE)</f>
        <v>Leaderboard</v>
      </c>
      <c r="Q88" s="15" t="s">
        <v>179</v>
      </c>
      <c r="R88" s="15" t="s">
        <v>277</v>
      </c>
      <c r="S88" s="15" t="s">
        <v>874</v>
      </c>
      <c r="T88" s="46" t="s">
        <v>884</v>
      </c>
      <c r="U88" s="15" t="s">
        <v>876</v>
      </c>
      <c r="V88" s="58" t="s">
        <v>895</v>
      </c>
      <c r="W88" s="15" t="s">
        <v>866</v>
      </c>
      <c r="X88" s="15" t="s">
        <v>307</v>
      </c>
      <c r="Y88" s="46" t="s">
        <v>629</v>
      </c>
      <c r="Z88" s="15"/>
      <c r="AA88" s="15"/>
      <c r="AB88" s="15"/>
      <c r="AC88" s="15"/>
      <c r="AD88" s="15"/>
      <c r="AE88" s="15"/>
      <c r="AF88" s="15"/>
      <c r="AG88" s="15"/>
      <c r="AH88" s="15" t="str">
        <f t="shared" si="39"/>
        <v>281502771</v>
      </c>
      <c r="AI88" s="21" t="str">
        <f t="shared" si="63"/>
        <v>alp_vw_dv360_imc_dsy_lanch_nd_nc_nvs_nivus-launch-consideracao-orca__configuracao_cpm_drct_all_970x250_lancamento-nivus-orca-similarfromcustomermatch_na_lancamento-consideracao-nivus-orca_nvl-nvs-imc-dsy-0820-10088</v>
      </c>
      <c r="AJ88" s="40" t="str">
        <f t="shared" si="63"/>
        <v>alp_vw_dv360_imc_dsy_lanch_nd_nc_nvs_nivus-launch-consideracao-orca__configuracao_cpm_drct_all_970x250_lancamento-nivus-orca-similarfromcustomermatch_na_lancamento-consideracao-nivus-orca_nvl-nvs-imc-dsy-0820-10088</v>
      </c>
      <c r="AK88" s="21" t="str">
        <f t="shared" si="41"/>
        <v>vw_nivus_970x250_lancamento-consideracao-nivus-orca_adserver</v>
      </c>
      <c r="AL88" s="21" t="str">
        <f t="shared" si="51"/>
        <v>https://www.vw.com.br/pt/configurador.html/__app/%2Fnivus/0.app?adlid=nvl-nvs-imc-dsy-0820-10088&amp;adplt=alp_vw_dv360_imc_dsy_lanch_nd_nc_nvs_nivus-launch-consideracao-orca__configuracao_cpm_drct_all_970x250_lancamento-nivus-orca-similarfromcustomermatch_na_lancamento-consideracao-nivus-orca_nvl-nvs-imc-dsy-0820-10088</v>
      </c>
      <c r="AM88" s="21" t="str">
        <f t="shared" si="42"/>
        <v>TAG</v>
      </c>
      <c r="AN88" s="15" t="str">
        <f t="shared" si="52"/>
        <v>DV360</v>
      </c>
      <c r="AO88" s="15" t="str">
        <f t="shared" si="53"/>
        <v>Paid-Display</v>
      </c>
      <c r="AP88" s="21" t="str">
        <f>Campanha!$B$3</f>
        <v>BR_IMC_DSY_LANCH_ND_NC_2020Q3AUG_NVS_Nivus-Launch-Consideracao-Orca</v>
      </c>
      <c r="AQ88" s="21" t="str">
        <f t="shared" si="43"/>
        <v>alp_vw_dv360_imc_dsy_lanch_nd_nc_nvs_nivus-launch-consideracao-orca__configuracao_cpm_drct_all_970x250_lancamento-nivus-orca-similarfromcustomermatch_na_lancamento-consideracao-nivus-orca_nvl-nvs-imc-dsy-0820-10088</v>
      </c>
      <c r="AR88" s="15" t="s">
        <v>745</v>
      </c>
      <c r="AS88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970x250_lancamento-nivus-orca-similarfromcustomermatch_na_lancamento-consideracao-nivus-orca_nvl-nvs-imc-dsy-0820-10088&amp;utm_campaign=BR_IMC_DSY_LANCH_ND_NC_2020Q3AUG_NVS_Nivus-Launch-Consideracao-Orca&amp;utm_term=%epid!_%ecid!_%eaid!</v>
      </c>
      <c r="AT88" s="15" t="str">
        <f t="shared" si="54"/>
        <v>other</v>
      </c>
      <c r="AU88" s="15" t="str">
        <f t="shared" si="45"/>
        <v>BR</v>
      </c>
      <c r="AV88" s="15" t="str">
        <f t="shared" si="55"/>
        <v>dv360</v>
      </c>
      <c r="AW88" s="15" t="str">
        <f t="shared" si="56"/>
        <v>dv360</v>
      </c>
      <c r="AX88" s="15" t="str">
        <f t="shared" si="46"/>
        <v>nivus-launch-consideracao-orca</v>
      </c>
      <c r="AY88" s="15" t="str">
        <f t="shared" si="57"/>
        <v>alp_vw_dv360_imc_dsy_lanch_nd_nc_nvs_nivus-launch-consideracao-orca__configuracao_cpm_drct_all_970x250_lancamento-nivus-orca-similarfromcustomermatch_na_lancamento-consideracao-nivus-orca_nvl-nvs-imc-dsy-0820-10088</v>
      </c>
      <c r="AZ88" s="15" t="str">
        <f t="shared" si="58"/>
        <v>970x250</v>
      </c>
      <c r="BA88" s="15" t="str">
        <f t="shared" si="59"/>
        <v>lancamento-consideracao-nivus-orca</v>
      </c>
      <c r="BB88" s="28" t="s">
        <v>798</v>
      </c>
      <c r="BC88" s="28" t="s">
        <v>798</v>
      </c>
      <c r="BD88" s="38" t="str">
        <f t="shared" si="60"/>
        <v>nvl-nvs-imc-dsy-0820-10088</v>
      </c>
      <c r="BE88" s="15" t="str">
        <f t="shared" si="61"/>
        <v>BR</v>
      </c>
      <c r="BF88" s="15" t="str">
        <f t="shared" si="62"/>
        <v>paid</v>
      </c>
      <c r="BG88" s="28"/>
      <c r="BH88" s="28"/>
      <c r="BI88" s="36" t="str">
        <f t="shared" si="47"/>
        <v>https://www.vw.com.br/pt/configurador.html/__app/%2Fnivus/0.app?adlid=nvl-nvs-imc-dsy-0820-10088&amp;adplt=alp_vw_dv360_imc_dsy_lanch_nd_nc_nvs_nivus-launch-consideracao-orca__configuracao_cpm_drct_all_970x250_lancamento-nivus-orca-similarfromcustomermatch_na_lancamento-consideracao-nivus-orca_nvl-nvs-imc-dsy-0820-10088</v>
      </c>
      <c r="BL88" t="str">
        <f t="shared" si="48"/>
        <v>alp_vw_dv360_imc_dsy_lanch_nd_nc_nvs_nivus-launch-consideracao-orca__configuracao</v>
      </c>
      <c r="BM88" t="str">
        <f t="shared" si="49"/>
        <v>cpm_drct_all_970x250_lancamento-nivus-orca-similarfromcustomermatch_na</v>
      </c>
      <c r="BN88" t="str">
        <f t="shared" si="50"/>
        <v>alp_vw_dv360_imc_dsy_lanch_nd_nc_nvs_nivus-launch-consideracao-orca__configuracao_cpm_drct_all_970x250_lancamento-nivus-orca-similarfromcustomermatch_na_generico_nvl-nvs-imc-dsy-0820-10088</v>
      </c>
    </row>
    <row r="89" spans="2:66" ht="15.75" customHeight="1" x14ac:dyDescent="0.25">
      <c r="B89" s="15" t="s">
        <v>1291</v>
      </c>
      <c r="C89" s="15" t="s">
        <v>1293</v>
      </c>
      <c r="D89" s="15"/>
      <c r="E89" s="22">
        <v>44069</v>
      </c>
      <c r="F89" s="22">
        <v>44135</v>
      </c>
      <c r="G89" s="15" t="s">
        <v>651</v>
      </c>
      <c r="H89" s="41" t="s">
        <v>1266</v>
      </c>
      <c r="I89" s="15" t="s">
        <v>801</v>
      </c>
      <c r="J89" s="42" t="s">
        <v>883</v>
      </c>
      <c r="K89" s="42" t="s">
        <v>883</v>
      </c>
      <c r="L89" s="15" t="s">
        <v>676</v>
      </c>
      <c r="M89" s="15" t="s">
        <v>276</v>
      </c>
      <c r="N89" s="15" t="s">
        <v>295</v>
      </c>
      <c r="O89" s="15" t="s">
        <v>677</v>
      </c>
      <c r="P89" s="15" t="str">
        <f>VLOOKUP(Y89,'All Codes'!$BF$3:$BG$278,2,FALSE)</f>
        <v>MPU</v>
      </c>
      <c r="Q89" s="15" t="s">
        <v>179</v>
      </c>
      <c r="R89" s="15" t="s">
        <v>277</v>
      </c>
      <c r="S89" s="15" t="s">
        <v>874</v>
      </c>
      <c r="T89" s="46" t="s">
        <v>884</v>
      </c>
      <c r="U89" s="15" t="s">
        <v>876</v>
      </c>
      <c r="V89" s="59" t="s">
        <v>896</v>
      </c>
      <c r="W89" s="15" t="s">
        <v>866</v>
      </c>
      <c r="X89" s="15" t="s">
        <v>307</v>
      </c>
      <c r="Y89" s="46" t="s">
        <v>461</v>
      </c>
      <c r="Z89" s="15"/>
      <c r="AA89" s="15"/>
      <c r="AB89" s="15"/>
      <c r="AC89" s="15"/>
      <c r="AD89" s="15"/>
      <c r="AE89" s="15"/>
      <c r="AF89" s="15"/>
      <c r="AG89" s="15"/>
      <c r="AH89" s="15" t="str">
        <f t="shared" ref="AH89:AH95" si="64">VLOOKUP(AI89,id_placement,2,FALSE)</f>
        <v>281502765</v>
      </c>
      <c r="AI89" s="21" t="str">
        <f t="shared" si="63"/>
        <v>alp_vw_dv360_imc_dsy_lanch_nd_nc_nvs_nivus-launch-consideracao-orca__configuracao_cpm_drct_all_300x50_lancamento-nivus-orca-3rdparty_na_lancamento-consideracao-nivus-orca_nvl-nvs-imc-dsy-0820-10089</v>
      </c>
      <c r="AJ89" s="40" t="str">
        <f t="shared" si="63"/>
        <v>alp_vw_dv360_imc_dsy_lanch_nd_nc_nvs_nivus-launch-consideracao-orca__configuracao_cpm_drct_all_300x50_lancamento-nivus-orca-3rdparty_na_lancamento-consideracao-nivus-orca_nvl-nvs-imc-dsy-0820-10089</v>
      </c>
      <c r="AK89" s="21" t="str">
        <f t="shared" si="41"/>
        <v>vw_nivus_300x50_lancamento-consideracao-nivus-orca_adserver</v>
      </c>
      <c r="AL89" s="21" t="str">
        <f t="shared" si="51"/>
        <v>https://www.vw.com.br/pt/configurador.html/__app/%2Fnivus/0.app?adlid=nvl-nvs-imc-dsy-0820-10089&amp;adplt=alp_vw_dv360_imc_dsy_lanch_nd_nc_nvs_nivus-launch-consideracao-orca__configuracao_cpm_drct_all_300x50_lancamento-nivus-orca-3rdparty_na_lancamento-consideracao-nivus-orca_nvl-nvs-imc-dsy-0820-10089</v>
      </c>
      <c r="AM89" s="21" t="str">
        <f t="shared" si="42"/>
        <v>TAG</v>
      </c>
      <c r="AN89" s="15" t="str">
        <f t="shared" si="52"/>
        <v>DV360</v>
      </c>
      <c r="AO89" s="15" t="str">
        <f t="shared" si="53"/>
        <v>Paid-Display</v>
      </c>
      <c r="AP89" s="21" t="str">
        <f>Campanha!$B$3</f>
        <v>BR_IMC_DSY_LANCH_ND_NC_2020Q3AUG_NVS_Nivus-Launch-Consideracao-Orca</v>
      </c>
      <c r="AQ89" s="21" t="str">
        <f t="shared" si="43"/>
        <v>alp_vw_dv360_imc_dsy_lanch_nd_nc_nvs_nivus-launch-consideracao-orca__configuracao_cpm_drct_all_300x50_lancamento-nivus-orca-3rdparty_na_lancamento-consideracao-nivus-orca_nvl-nvs-imc-dsy-0820-10089</v>
      </c>
      <c r="AR89" s="15" t="s">
        <v>745</v>
      </c>
      <c r="AS89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-3rdparty_na_lancamento-consideracao-nivus-orca_nvl-nvs-imc-dsy-0820-10089&amp;utm_campaign=BR_IMC_DSY_LANCH_ND_NC_2020Q3AUG_NVS_Nivus-Launch-Consideracao-Orca&amp;utm_term=%epid!_%ecid!_%eaid!</v>
      </c>
      <c r="AT89" s="15" t="str">
        <f t="shared" si="54"/>
        <v>other</v>
      </c>
      <c r="AU89" s="15" t="str">
        <f t="shared" si="45"/>
        <v>BR</v>
      </c>
      <c r="AV89" s="15" t="str">
        <f t="shared" si="55"/>
        <v>dv360</v>
      </c>
      <c r="AW89" s="15" t="str">
        <f t="shared" si="56"/>
        <v>dv360</v>
      </c>
      <c r="AX89" s="15" t="str">
        <f t="shared" si="46"/>
        <v>nivus-launch-consideracao-orca</v>
      </c>
      <c r="AY89" s="15" t="str">
        <f t="shared" si="57"/>
        <v>alp_vw_dv360_imc_dsy_lanch_nd_nc_nvs_nivus-launch-consideracao-orca__configuracao_cpm_drct_all_300x50_lancamento-nivus-orca-3rdparty_na_lancamento-consideracao-nivus-orca_nvl-nvs-imc-dsy-0820-10089</v>
      </c>
      <c r="AZ89" s="15" t="str">
        <f t="shared" si="58"/>
        <v>300x50</v>
      </c>
      <c r="BA89" s="15" t="str">
        <f t="shared" si="59"/>
        <v>lancamento-consideracao-nivus-orca</v>
      </c>
      <c r="BB89" s="28" t="s">
        <v>798</v>
      </c>
      <c r="BC89" s="28" t="s">
        <v>798</v>
      </c>
      <c r="BD89" s="38" t="str">
        <f t="shared" si="60"/>
        <v>nvl-nvs-imc-dsy-0820-10089</v>
      </c>
      <c r="BE89" s="15" t="str">
        <f t="shared" si="61"/>
        <v>BR</v>
      </c>
      <c r="BF89" s="15" t="str">
        <f t="shared" si="62"/>
        <v>paid</v>
      </c>
      <c r="BG89" s="28"/>
      <c r="BH89" s="28"/>
      <c r="BI89" s="36" t="str">
        <f t="shared" si="47"/>
        <v>https://www.vw.com.br/pt/configurador.html/__app/%2Fnivus/0.app?adlid=nvl-nvs-imc-dsy-0820-10089&amp;adplt=alp_vw_dv360_imc_dsy_lanch_nd_nc_nvs_nivus-launch-consideracao-orca__configuracao_cpm_drct_all_300x50_lancamento-nivus-orca-3rdparty_na_lancamento-consideracao-nivus-orca_nvl-nvs-imc-dsy-0820-10089</v>
      </c>
      <c r="BL89" t="str">
        <f t="shared" si="48"/>
        <v>alp_vw_dv360_imc_dsy_lanch_nd_nc_nvs_nivus-launch-consideracao-orca__configuracao</v>
      </c>
      <c r="BM89" t="str">
        <f t="shared" si="49"/>
        <v>cpm_drct_all_300x50_lancamento-nivus-orca-3rdparty_na</v>
      </c>
      <c r="BN89" t="str">
        <f t="shared" si="50"/>
        <v>alp_vw_dv360_imc_dsy_lanch_nd_nc_nvs_nivus-launch-consideracao-orca__configuracao_cpm_drct_all_300x50_lancamento-nivus-orca-3rdparty_na_generico_nvl-nvs-imc-dsy-0820-10089</v>
      </c>
    </row>
    <row r="90" spans="2:66" ht="15.75" customHeight="1" x14ac:dyDescent="0.25">
      <c r="B90" s="15" t="s">
        <v>1291</v>
      </c>
      <c r="C90" s="15" t="s">
        <v>1293</v>
      </c>
      <c r="D90" s="15"/>
      <c r="E90" s="22">
        <v>44069</v>
      </c>
      <c r="F90" s="22">
        <v>44135</v>
      </c>
      <c r="G90" s="15" t="s">
        <v>651</v>
      </c>
      <c r="H90" s="41" t="s">
        <v>1266</v>
      </c>
      <c r="I90" s="15" t="s">
        <v>801</v>
      </c>
      <c r="J90" s="42" t="s">
        <v>883</v>
      </c>
      <c r="K90" s="42" t="s">
        <v>883</v>
      </c>
      <c r="L90" s="15" t="s">
        <v>676</v>
      </c>
      <c r="M90" s="15" t="s">
        <v>276</v>
      </c>
      <c r="N90" s="15" t="s">
        <v>295</v>
      </c>
      <c r="O90" s="15" t="s">
        <v>677</v>
      </c>
      <c r="P90" s="15" t="str">
        <f>VLOOKUP(Y90,'All Codes'!$BF$3:$BG$278,2,FALSE)</f>
        <v>Skyscraper</v>
      </c>
      <c r="Q90" s="15" t="s">
        <v>179</v>
      </c>
      <c r="R90" s="15" t="s">
        <v>277</v>
      </c>
      <c r="S90" s="15" t="s">
        <v>874</v>
      </c>
      <c r="T90" s="46" t="s">
        <v>884</v>
      </c>
      <c r="U90" s="15" t="s">
        <v>876</v>
      </c>
      <c r="V90" s="59" t="s">
        <v>896</v>
      </c>
      <c r="W90" s="15" t="s">
        <v>866</v>
      </c>
      <c r="X90" s="15" t="s">
        <v>307</v>
      </c>
      <c r="Y90" s="46" t="s">
        <v>434</v>
      </c>
      <c r="Z90" s="15"/>
      <c r="AA90" s="15"/>
      <c r="AB90" s="15"/>
      <c r="AC90" s="15"/>
      <c r="AD90" s="15"/>
      <c r="AE90" s="15"/>
      <c r="AF90" s="15"/>
      <c r="AG90" s="15"/>
      <c r="AH90" s="15" t="str">
        <f t="shared" si="64"/>
        <v>281502759</v>
      </c>
      <c r="AI90" s="21" t="str">
        <f t="shared" si="63"/>
        <v>alp_vw_dv360_imc_dsy_lanch_nd_nc_nvs_nivus-launch-consideracao-orca__configuracao_cpm_drct_all_160x600_lancamento-nivus-orca-3rdparty_na_lancamento-consideracao-nivus-orca_nvl-nvs-imc-dsy-0820-10090</v>
      </c>
      <c r="AJ90" s="40" t="str">
        <f t="shared" si="63"/>
        <v>alp_vw_dv360_imc_dsy_lanch_nd_nc_nvs_nivus-launch-consideracao-orca__configuracao_cpm_drct_all_160x600_lancamento-nivus-orca-3rdparty_na_lancamento-consideracao-nivus-orca_nvl-nvs-imc-dsy-0820-10090</v>
      </c>
      <c r="AK90" s="21" t="str">
        <f t="shared" si="41"/>
        <v>vw_nivus_160x600_lancamento-consideracao-nivus-orca_adserver</v>
      </c>
      <c r="AL90" s="21" t="str">
        <f t="shared" si="51"/>
        <v>https://www.vw.com.br/pt/configurador.html/__app/%2Fnivus/0.app?adlid=nvl-nvs-imc-dsy-0820-10090&amp;adplt=alp_vw_dv360_imc_dsy_lanch_nd_nc_nvs_nivus-launch-consideracao-orca__configuracao_cpm_drct_all_160x600_lancamento-nivus-orca-3rdparty_na_lancamento-consideracao-nivus-orca_nvl-nvs-imc-dsy-0820-10090</v>
      </c>
      <c r="AM90" s="21" t="str">
        <f t="shared" si="42"/>
        <v>TAG</v>
      </c>
      <c r="AN90" s="15" t="str">
        <f t="shared" si="52"/>
        <v>DV360</v>
      </c>
      <c r="AO90" s="15" t="str">
        <f t="shared" si="53"/>
        <v>Paid-Display</v>
      </c>
      <c r="AP90" s="21" t="str">
        <f>Campanha!$B$3</f>
        <v>BR_IMC_DSY_LANCH_ND_NC_2020Q3AUG_NVS_Nivus-Launch-Consideracao-Orca</v>
      </c>
      <c r="AQ90" s="21" t="str">
        <f t="shared" si="43"/>
        <v>alp_vw_dv360_imc_dsy_lanch_nd_nc_nvs_nivus-launch-consideracao-orca__configuracao_cpm_drct_all_160x600_lancamento-nivus-orca-3rdparty_na_lancamento-consideracao-nivus-orca_nvl-nvs-imc-dsy-0820-10090</v>
      </c>
      <c r="AR90" s="15" t="s">
        <v>745</v>
      </c>
      <c r="AS90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-3rdparty_na_lancamento-consideracao-nivus-orca_nvl-nvs-imc-dsy-0820-10090&amp;utm_campaign=BR_IMC_DSY_LANCH_ND_NC_2020Q3AUG_NVS_Nivus-Launch-Consideracao-Orca&amp;utm_term=%epid!_%ecid!_%eaid!</v>
      </c>
      <c r="AT90" s="15" t="str">
        <f t="shared" si="54"/>
        <v>other</v>
      </c>
      <c r="AU90" s="15" t="str">
        <f t="shared" si="45"/>
        <v>BR</v>
      </c>
      <c r="AV90" s="15" t="str">
        <f t="shared" si="55"/>
        <v>dv360</v>
      </c>
      <c r="AW90" s="15" t="str">
        <f t="shared" si="56"/>
        <v>dv360</v>
      </c>
      <c r="AX90" s="15" t="str">
        <f t="shared" si="46"/>
        <v>nivus-launch-consideracao-orca</v>
      </c>
      <c r="AY90" s="15" t="str">
        <f t="shared" si="57"/>
        <v>alp_vw_dv360_imc_dsy_lanch_nd_nc_nvs_nivus-launch-consideracao-orca__configuracao_cpm_drct_all_160x600_lancamento-nivus-orca-3rdparty_na_lancamento-consideracao-nivus-orca_nvl-nvs-imc-dsy-0820-10090</v>
      </c>
      <c r="AZ90" s="15" t="str">
        <f t="shared" si="58"/>
        <v>160x600</v>
      </c>
      <c r="BA90" s="15" t="str">
        <f t="shared" si="59"/>
        <v>lancamento-consideracao-nivus-orca</v>
      </c>
      <c r="BB90" s="28" t="s">
        <v>798</v>
      </c>
      <c r="BC90" s="28" t="s">
        <v>798</v>
      </c>
      <c r="BD90" s="38" t="str">
        <f t="shared" si="60"/>
        <v>nvl-nvs-imc-dsy-0820-10090</v>
      </c>
      <c r="BE90" s="15" t="str">
        <f t="shared" si="61"/>
        <v>BR</v>
      </c>
      <c r="BF90" s="15" t="str">
        <f t="shared" si="62"/>
        <v>paid</v>
      </c>
      <c r="BG90" s="28"/>
      <c r="BH90" s="28"/>
      <c r="BI90" s="36" t="str">
        <f t="shared" si="47"/>
        <v>https://www.vw.com.br/pt/configurador.html/__app/%2Fnivus/0.app?adlid=nvl-nvs-imc-dsy-0820-10090&amp;adplt=alp_vw_dv360_imc_dsy_lanch_nd_nc_nvs_nivus-launch-consideracao-orca__configuracao_cpm_drct_all_160x600_lancamento-nivus-orca-3rdparty_na_lancamento-consideracao-nivus-orca_nvl-nvs-imc-dsy-0820-10090</v>
      </c>
      <c r="BL90" t="str">
        <f t="shared" si="48"/>
        <v>alp_vw_dv360_imc_dsy_lanch_nd_nc_nvs_nivus-launch-consideracao-orca__configuracao</v>
      </c>
      <c r="BM90" t="str">
        <f t="shared" si="49"/>
        <v>cpm_drct_all_160x600_lancamento-nivus-orca-3rdparty_na</v>
      </c>
      <c r="BN90" t="str">
        <f t="shared" si="50"/>
        <v>alp_vw_dv360_imc_dsy_lanch_nd_nc_nvs_nivus-launch-consideracao-orca__configuracao_cpm_drct_all_160x600_lancamento-nivus-orca-3rdparty_na_generico_nvl-nvs-imc-dsy-0820-10090</v>
      </c>
    </row>
    <row r="91" spans="2:66" ht="15.75" customHeight="1" x14ac:dyDescent="0.25">
      <c r="B91" s="15" t="s">
        <v>1291</v>
      </c>
      <c r="C91" s="15" t="s">
        <v>1293</v>
      </c>
      <c r="D91" s="15"/>
      <c r="E91" s="22">
        <v>44069</v>
      </c>
      <c r="F91" s="22">
        <v>44135</v>
      </c>
      <c r="G91" s="15" t="s">
        <v>651</v>
      </c>
      <c r="H91" s="41" t="s">
        <v>1266</v>
      </c>
      <c r="I91" s="15" t="s">
        <v>801</v>
      </c>
      <c r="J91" s="42" t="s">
        <v>883</v>
      </c>
      <c r="K91" s="42" t="s">
        <v>883</v>
      </c>
      <c r="L91" s="15" t="s">
        <v>676</v>
      </c>
      <c r="M91" s="15" t="s">
        <v>276</v>
      </c>
      <c r="N91" s="15" t="s">
        <v>295</v>
      </c>
      <c r="O91" s="15" t="s">
        <v>677</v>
      </c>
      <c r="P91" s="15" t="str">
        <f>VLOOKUP(Y91,'All Codes'!$BF$3:$BG$278,2,FALSE)</f>
        <v>MPU</v>
      </c>
      <c r="Q91" s="15" t="s">
        <v>179</v>
      </c>
      <c r="R91" s="15" t="s">
        <v>277</v>
      </c>
      <c r="S91" s="15" t="s">
        <v>874</v>
      </c>
      <c r="T91" s="46" t="s">
        <v>884</v>
      </c>
      <c r="U91" s="15" t="s">
        <v>876</v>
      </c>
      <c r="V91" s="59" t="s">
        <v>896</v>
      </c>
      <c r="W91" s="15" t="s">
        <v>866</v>
      </c>
      <c r="X91" s="15" t="s">
        <v>307</v>
      </c>
      <c r="Y91" s="46" t="s">
        <v>455</v>
      </c>
      <c r="Z91" s="15"/>
      <c r="AA91" s="15"/>
      <c r="AB91" s="15"/>
      <c r="AC91" s="15"/>
      <c r="AD91" s="15"/>
      <c r="AE91" s="15"/>
      <c r="AF91" s="15"/>
      <c r="AG91" s="15"/>
      <c r="AH91" s="15" t="str">
        <f t="shared" si="64"/>
        <v>281502753</v>
      </c>
      <c r="AI91" s="21" t="str">
        <f t="shared" si="63"/>
        <v>alp_vw_dv360_imc_dsy_lanch_nd_nc_nvs_nivus-launch-consideracao-orca__configuracao_cpm_drct_all_300x250_lancamento-nivus-orca-3rdparty_na_lancamento-consideracao-nivus-orca_nvl-nvs-imc-dsy-0820-10091</v>
      </c>
      <c r="AJ91" s="40" t="str">
        <f t="shared" si="63"/>
        <v>alp_vw_dv360_imc_dsy_lanch_nd_nc_nvs_nivus-launch-consideracao-orca__configuracao_cpm_drct_all_300x250_lancamento-nivus-orca-3rdparty_na_lancamento-consideracao-nivus-orca_nvl-nvs-imc-dsy-0820-10091</v>
      </c>
      <c r="AK91" s="21" t="str">
        <f t="shared" si="41"/>
        <v>vw_nivus_300x250_lancamento-consideracao-nivus-orca_adserver</v>
      </c>
      <c r="AL91" s="21" t="str">
        <f t="shared" si="51"/>
        <v>https://www.vw.com.br/pt/configurador.html/__app/%2Fnivus/0.app?adlid=nvl-nvs-imc-dsy-0820-10091&amp;adplt=alp_vw_dv360_imc_dsy_lanch_nd_nc_nvs_nivus-launch-consideracao-orca__configuracao_cpm_drct_all_300x250_lancamento-nivus-orca-3rdparty_na_lancamento-consideracao-nivus-orca_nvl-nvs-imc-dsy-0820-10091</v>
      </c>
      <c r="AM91" s="21" t="str">
        <f t="shared" si="42"/>
        <v>TAG</v>
      </c>
      <c r="AN91" s="15" t="str">
        <f t="shared" si="52"/>
        <v>DV360</v>
      </c>
      <c r="AO91" s="15" t="str">
        <f t="shared" si="53"/>
        <v>Paid-Display</v>
      </c>
      <c r="AP91" s="21" t="str">
        <f>Campanha!$B$3</f>
        <v>BR_IMC_DSY_LANCH_ND_NC_2020Q3AUG_NVS_Nivus-Launch-Consideracao-Orca</v>
      </c>
      <c r="AQ91" s="21" t="str">
        <f t="shared" si="43"/>
        <v>alp_vw_dv360_imc_dsy_lanch_nd_nc_nvs_nivus-launch-consideracao-orca__configuracao_cpm_drct_all_300x250_lancamento-nivus-orca-3rdparty_na_lancamento-consideracao-nivus-orca_nvl-nvs-imc-dsy-0820-10091</v>
      </c>
      <c r="AR91" s="15" t="s">
        <v>745</v>
      </c>
      <c r="AS91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250_lancamento-nivus-orca-3rdparty_na_lancamento-consideracao-nivus-orca_nvl-nvs-imc-dsy-0820-10091&amp;utm_campaign=BR_IMC_DSY_LANCH_ND_NC_2020Q3AUG_NVS_Nivus-Launch-Consideracao-Orca&amp;utm_term=%epid!_%ecid!_%eaid!</v>
      </c>
      <c r="AT91" s="15" t="str">
        <f t="shared" si="54"/>
        <v>other</v>
      </c>
      <c r="AU91" s="15" t="str">
        <f t="shared" si="45"/>
        <v>BR</v>
      </c>
      <c r="AV91" s="15" t="str">
        <f t="shared" si="55"/>
        <v>dv360</v>
      </c>
      <c r="AW91" s="15" t="str">
        <f t="shared" si="56"/>
        <v>dv360</v>
      </c>
      <c r="AX91" s="15" t="str">
        <f t="shared" si="46"/>
        <v>nivus-launch-consideracao-orca</v>
      </c>
      <c r="AY91" s="15" t="str">
        <f t="shared" si="57"/>
        <v>alp_vw_dv360_imc_dsy_lanch_nd_nc_nvs_nivus-launch-consideracao-orca__configuracao_cpm_drct_all_300x250_lancamento-nivus-orca-3rdparty_na_lancamento-consideracao-nivus-orca_nvl-nvs-imc-dsy-0820-10091</v>
      </c>
      <c r="AZ91" s="15" t="str">
        <f t="shared" si="58"/>
        <v>300x250</v>
      </c>
      <c r="BA91" s="15" t="str">
        <f t="shared" si="59"/>
        <v>lancamento-consideracao-nivus-orca</v>
      </c>
      <c r="BB91" s="28" t="s">
        <v>798</v>
      </c>
      <c r="BC91" s="28" t="s">
        <v>798</v>
      </c>
      <c r="BD91" s="38" t="str">
        <f t="shared" si="60"/>
        <v>nvl-nvs-imc-dsy-0820-10091</v>
      </c>
      <c r="BE91" s="15" t="str">
        <f t="shared" si="61"/>
        <v>BR</v>
      </c>
      <c r="BF91" s="15" t="str">
        <f t="shared" si="62"/>
        <v>paid</v>
      </c>
      <c r="BG91" s="28"/>
      <c r="BH91" s="28"/>
      <c r="BI91" s="36" t="str">
        <f t="shared" si="47"/>
        <v>https://www.vw.com.br/pt/configurador.html/__app/%2Fnivus/0.app?adlid=nvl-nvs-imc-dsy-0820-10091&amp;adplt=alp_vw_dv360_imc_dsy_lanch_nd_nc_nvs_nivus-launch-consideracao-orca__configuracao_cpm_drct_all_300x250_lancamento-nivus-orca-3rdparty_na_lancamento-consideracao-nivus-orca_nvl-nvs-imc-dsy-0820-10091</v>
      </c>
      <c r="BL91" t="str">
        <f t="shared" si="48"/>
        <v>alp_vw_dv360_imc_dsy_lanch_nd_nc_nvs_nivus-launch-consideracao-orca__configuracao</v>
      </c>
      <c r="BM91" t="str">
        <f t="shared" si="49"/>
        <v>cpm_drct_all_300x250_lancamento-nivus-orca-3rdparty_na</v>
      </c>
      <c r="BN91" t="str">
        <f t="shared" si="50"/>
        <v>alp_vw_dv360_imc_dsy_lanch_nd_nc_nvs_nivus-launch-consideracao-orca__configuracao_cpm_drct_all_300x250_lancamento-nivus-orca-3rdparty_na_generico_nvl-nvs-imc-dsy-0820-10091</v>
      </c>
    </row>
    <row r="92" spans="2:66" ht="15.75" customHeight="1" x14ac:dyDescent="0.25">
      <c r="B92" s="15" t="s">
        <v>1291</v>
      </c>
      <c r="C92" s="15" t="s">
        <v>1293</v>
      </c>
      <c r="D92" s="15"/>
      <c r="E92" s="22">
        <v>44069</v>
      </c>
      <c r="F92" s="22">
        <v>44135</v>
      </c>
      <c r="G92" s="15" t="s">
        <v>651</v>
      </c>
      <c r="H92" s="41" t="s">
        <v>1266</v>
      </c>
      <c r="I92" s="15" t="s">
        <v>801</v>
      </c>
      <c r="J92" s="42" t="s">
        <v>883</v>
      </c>
      <c r="K92" s="42" t="s">
        <v>883</v>
      </c>
      <c r="L92" s="15" t="s">
        <v>676</v>
      </c>
      <c r="M92" s="15" t="s">
        <v>276</v>
      </c>
      <c r="N92" s="15" t="s">
        <v>295</v>
      </c>
      <c r="O92" s="15" t="s">
        <v>677</v>
      </c>
      <c r="P92" s="15" t="str">
        <f>VLOOKUP(Y92,'All Codes'!$BF$3:$BG$278,2,FALSE)</f>
        <v>Skyscraper</v>
      </c>
      <c r="Q92" s="15" t="s">
        <v>179</v>
      </c>
      <c r="R92" s="15" t="s">
        <v>277</v>
      </c>
      <c r="S92" s="15" t="s">
        <v>865</v>
      </c>
      <c r="T92" s="46" t="s">
        <v>884</v>
      </c>
      <c r="U92" s="15" t="s">
        <v>876</v>
      </c>
      <c r="V92" s="59" t="s">
        <v>896</v>
      </c>
      <c r="W92" s="15" t="s">
        <v>866</v>
      </c>
      <c r="X92" s="15" t="s">
        <v>307</v>
      </c>
      <c r="Y92" s="46" t="s">
        <v>464</v>
      </c>
      <c r="Z92" s="15"/>
      <c r="AA92" s="15"/>
      <c r="AB92" s="15"/>
      <c r="AC92" s="15"/>
      <c r="AD92" s="15"/>
      <c r="AE92" s="15"/>
      <c r="AF92" s="15"/>
      <c r="AG92" s="15"/>
      <c r="AH92" s="15" t="str">
        <f t="shared" si="64"/>
        <v>281502747</v>
      </c>
      <c r="AI92" s="21" t="str">
        <f t="shared" si="63"/>
        <v>alp_vw_dv360_imc_dsy_lanch_nd_nc_nvs_nivus-launch-consideracao-orca__trafego_cpm_drct_all_300x600_lancamento-nivus-orca-3rdparty_na_lancamento-consideracao-nivus-orca_nvl-nvs-imc-dsy-0820-10092</v>
      </c>
      <c r="AJ92" s="40" t="str">
        <f t="shared" si="63"/>
        <v>alp_vw_dv360_imc_dsy_lanch_nd_nc_nvs_nivus-launch-consideracao-orca__trafego_cpm_drct_all_300x600_lancamento-nivus-orca-3rdparty_na_lancamento-consideracao-nivus-orca_nvl-nvs-imc-dsy-0820-10092</v>
      </c>
      <c r="AK92" s="21" t="str">
        <f t="shared" si="41"/>
        <v>vw_nivus_300x600_lancamento-consideracao-nivus-orca_adserver</v>
      </c>
      <c r="AL92" s="21" t="str">
        <f t="shared" si="51"/>
        <v>https://www.vw.com.br/pt/configurador.html/__app/%2Fnivus/0.app?adlid=nvl-nvs-imc-dsy-0820-10092&amp;adplt=alp_vw_dv360_imc_dsy_lanch_nd_nc_nvs_nivus-launch-consideracao-orca__trafego_cpm_drct_all_300x600_lancamento-nivus-orca-3rdparty_na_lancamento-consideracao-nivus-orca_nvl-nvs-imc-dsy-0820-10092</v>
      </c>
      <c r="AM92" s="21" t="str">
        <f t="shared" si="42"/>
        <v>TAG</v>
      </c>
      <c r="AN92" s="15" t="str">
        <f t="shared" si="52"/>
        <v>DV360</v>
      </c>
      <c r="AO92" s="15" t="str">
        <f t="shared" si="53"/>
        <v>Paid-Display</v>
      </c>
      <c r="AP92" s="21" t="str">
        <f>Campanha!$B$3</f>
        <v>BR_IMC_DSY_LANCH_ND_NC_2020Q3AUG_NVS_Nivus-Launch-Consideracao-Orca</v>
      </c>
      <c r="AQ92" s="21" t="str">
        <f t="shared" si="43"/>
        <v>alp_vw_dv360_imc_dsy_lanch_nd_nc_nvs_nivus-launch-consideracao-orca__trafego_cpm_drct_all_300x600_lancamento-nivus-orca-3rdparty_na_lancamento-consideracao-nivus-orca_nvl-nvs-imc-dsy-0820-10092</v>
      </c>
      <c r="AR92" s="15" t="s">
        <v>745</v>
      </c>
      <c r="AS92" s="21" t="str">
        <f t="shared" si="44"/>
        <v>https://www.vw.com.br/pt/configurador.html/__app/%2Fnivus/0.app?utm_source=DV360&amp;utm_medium=Paid-Display&amp;utm_content=alp_vw_dv360_imc_dsy_lanch_nd_nc_nvs_nivus-launch-consideracao-orca__trafego_cpm_drct_all_300x600_lancamento-nivus-orca-3rdparty_na_lancamento-consideracao-nivus-orca_nvl-nvs-imc-dsy-0820-10092&amp;utm_campaign=BR_IMC_DSY_LANCH_ND_NC_2020Q3AUG_NVS_Nivus-Launch-Consideracao-Orca&amp;utm_term=%epid!_%ecid!_%eaid!</v>
      </c>
      <c r="AT92" s="15" t="str">
        <f t="shared" si="54"/>
        <v>other</v>
      </c>
      <c r="AU92" s="15" t="str">
        <f t="shared" si="45"/>
        <v>BR</v>
      </c>
      <c r="AV92" s="15" t="str">
        <f t="shared" si="55"/>
        <v>dv360</v>
      </c>
      <c r="AW92" s="15" t="str">
        <f t="shared" si="56"/>
        <v>dv360</v>
      </c>
      <c r="AX92" s="15" t="str">
        <f t="shared" si="46"/>
        <v>nivus-launch-consideracao-orca</v>
      </c>
      <c r="AY92" s="15" t="str">
        <f t="shared" si="57"/>
        <v>alp_vw_dv360_imc_dsy_lanch_nd_nc_nvs_nivus-launch-consideracao-orca__trafego_cpm_drct_all_300x600_lancamento-nivus-orca-3rdparty_na_lancamento-consideracao-nivus-orca_nvl-nvs-imc-dsy-0820-10092</v>
      </c>
      <c r="AZ92" s="15" t="str">
        <f t="shared" si="58"/>
        <v>300x600</v>
      </c>
      <c r="BA92" s="15" t="str">
        <f t="shared" si="59"/>
        <v>lancamento-consideracao-nivus-orca</v>
      </c>
      <c r="BB92" s="28" t="s">
        <v>798</v>
      </c>
      <c r="BC92" s="28" t="s">
        <v>798</v>
      </c>
      <c r="BD92" s="38" t="str">
        <f t="shared" si="60"/>
        <v>nvl-nvs-imc-dsy-0820-10092</v>
      </c>
      <c r="BE92" s="15" t="str">
        <f t="shared" si="61"/>
        <v>BR</v>
      </c>
      <c r="BF92" s="15" t="str">
        <f t="shared" si="62"/>
        <v>paid</v>
      </c>
      <c r="BG92" s="28"/>
      <c r="BH92" s="28"/>
      <c r="BI92" s="36" t="str">
        <f t="shared" si="47"/>
        <v>https://www.vw.com.br/pt/configurador.html/__app/%2Fnivus/0.app?adlid=nvl-nvs-imc-dsy-0820-10092&amp;adplt=alp_vw_dv360_imc_dsy_lanch_nd_nc_nvs_nivus-launch-consideracao-orca__trafego_cpm_drct_all_300x600_lancamento-nivus-orca-3rdparty_na_lancamento-consideracao-nivus-orca_nvl-nvs-imc-dsy-0820-10092</v>
      </c>
      <c r="BL92" t="str">
        <f t="shared" si="48"/>
        <v>alp_vw_dv360_imc_dsy_lanch_nd_nc_nvs_nivus-launch-consideracao-orca__trafego</v>
      </c>
      <c r="BM92" t="str">
        <f t="shared" si="49"/>
        <v>cpm_drct_all_300x600_lancamento-nivus-orca-3rdparty_na</v>
      </c>
      <c r="BN92" t="str">
        <f t="shared" si="50"/>
        <v>alp_vw_dv360_imc_dsy_lanch_nd_nc_nvs_nivus-launch-consideracao-orca__trafego_cpm_drct_all_300x600_lancamento-nivus-orca-3rdparty_na_generico_nvl-nvs-imc-dsy-0820-10092</v>
      </c>
    </row>
    <row r="93" spans="2:66" ht="15.75" customHeight="1" x14ac:dyDescent="0.25">
      <c r="B93" s="15" t="s">
        <v>1291</v>
      </c>
      <c r="C93" s="15" t="s">
        <v>1293</v>
      </c>
      <c r="D93" s="15"/>
      <c r="E93" s="22">
        <v>44069</v>
      </c>
      <c r="F93" s="22">
        <v>44135</v>
      </c>
      <c r="G93" s="15" t="s">
        <v>651</v>
      </c>
      <c r="H93" s="41" t="s">
        <v>1266</v>
      </c>
      <c r="I93" s="15" t="s">
        <v>801</v>
      </c>
      <c r="J93" s="42" t="s">
        <v>883</v>
      </c>
      <c r="K93" s="42" t="s">
        <v>883</v>
      </c>
      <c r="L93" s="15" t="s">
        <v>676</v>
      </c>
      <c r="M93" s="15" t="s">
        <v>276</v>
      </c>
      <c r="N93" s="15" t="s">
        <v>295</v>
      </c>
      <c r="O93" s="15" t="s">
        <v>677</v>
      </c>
      <c r="P93" s="15" t="str">
        <f>VLOOKUP(Y93,'All Codes'!$BF$3:$BG$278,2,FALSE)</f>
        <v>MPU</v>
      </c>
      <c r="Q93" s="15" t="s">
        <v>179</v>
      </c>
      <c r="R93" s="15" t="s">
        <v>277</v>
      </c>
      <c r="S93" s="15" t="s">
        <v>865</v>
      </c>
      <c r="T93" s="46" t="s">
        <v>884</v>
      </c>
      <c r="U93" s="15" t="s">
        <v>876</v>
      </c>
      <c r="V93" s="59" t="s">
        <v>896</v>
      </c>
      <c r="W93" s="15" t="s">
        <v>866</v>
      </c>
      <c r="X93" s="15" t="s">
        <v>307</v>
      </c>
      <c r="Y93" s="46" t="s">
        <v>479</v>
      </c>
      <c r="Z93" s="15"/>
      <c r="AA93" s="15"/>
      <c r="AB93" s="15"/>
      <c r="AC93" s="15"/>
      <c r="AD93" s="15"/>
      <c r="AE93" s="15"/>
      <c r="AF93" s="15"/>
      <c r="AG93" s="15"/>
      <c r="AH93" s="15" t="str">
        <f t="shared" si="64"/>
        <v>281502741</v>
      </c>
      <c r="AI93" s="21" t="str">
        <f t="shared" si="63"/>
        <v>alp_vw_dv360_imc_dsy_lanch_nd_nc_nvs_nivus-launch-consideracao-orca__trafego_cpm_drct_all_320x50_lancamento-nivus-orca-3rdparty_na_lancamento-consideracao-nivus-orca_nvl-nvs-imc-dsy-0820-10093</v>
      </c>
      <c r="AJ93" s="40" t="str">
        <f t="shared" si="63"/>
        <v>alp_vw_dv360_imc_dsy_lanch_nd_nc_nvs_nivus-launch-consideracao-orca__trafego_cpm_drct_all_320x50_lancamento-nivus-orca-3rdparty_na_lancamento-consideracao-nivus-orca_nvl-nvs-imc-dsy-0820-10093</v>
      </c>
      <c r="AK93" s="21" t="str">
        <f t="shared" si="41"/>
        <v>vw_nivus_320x50_lancamento-consideracao-nivus-orca_adserver</v>
      </c>
      <c r="AL93" s="21" t="str">
        <f t="shared" si="51"/>
        <v>https://www.vw.com.br/pt/configurador.html/__app/%2Fnivus/0.app?adlid=nvl-nvs-imc-dsy-0820-10093&amp;adplt=alp_vw_dv360_imc_dsy_lanch_nd_nc_nvs_nivus-launch-consideracao-orca__trafego_cpm_drct_all_320x50_lancamento-nivus-orca-3rdparty_na_lancamento-consideracao-nivus-orca_nvl-nvs-imc-dsy-0820-10093</v>
      </c>
      <c r="AM93" s="21" t="str">
        <f t="shared" si="42"/>
        <v>TAG</v>
      </c>
      <c r="AN93" s="15" t="str">
        <f t="shared" si="52"/>
        <v>DV360</v>
      </c>
      <c r="AO93" s="15" t="str">
        <f t="shared" si="53"/>
        <v>Paid-Display</v>
      </c>
      <c r="AP93" s="21" t="str">
        <f>Campanha!$B$3</f>
        <v>BR_IMC_DSY_LANCH_ND_NC_2020Q3AUG_NVS_Nivus-Launch-Consideracao-Orca</v>
      </c>
      <c r="AQ93" s="21" t="str">
        <f t="shared" si="43"/>
        <v>alp_vw_dv360_imc_dsy_lanch_nd_nc_nvs_nivus-launch-consideracao-orca__trafego_cpm_drct_all_320x50_lancamento-nivus-orca-3rdparty_na_lancamento-consideracao-nivus-orca_nvl-nvs-imc-dsy-0820-10093</v>
      </c>
      <c r="AR93" s="15" t="s">
        <v>745</v>
      </c>
      <c r="AS93" s="21" t="str">
        <f t="shared" si="44"/>
        <v>https://www.vw.com.br/pt/configurador.html/__app/%2Fnivus/0.app?utm_source=DV360&amp;utm_medium=Paid-Display&amp;utm_content=alp_vw_dv360_imc_dsy_lanch_nd_nc_nvs_nivus-launch-consideracao-orca__trafego_cpm_drct_all_320x50_lancamento-nivus-orca-3rdparty_na_lancamento-consideracao-nivus-orca_nvl-nvs-imc-dsy-0820-10093&amp;utm_campaign=BR_IMC_DSY_LANCH_ND_NC_2020Q3AUG_NVS_Nivus-Launch-Consideracao-Orca&amp;utm_term=%epid!_%ecid!_%eaid!</v>
      </c>
      <c r="AT93" s="15" t="str">
        <f t="shared" si="54"/>
        <v>other</v>
      </c>
      <c r="AU93" s="15" t="str">
        <f t="shared" si="45"/>
        <v>BR</v>
      </c>
      <c r="AV93" s="15" t="str">
        <f t="shared" si="55"/>
        <v>dv360</v>
      </c>
      <c r="AW93" s="15" t="str">
        <f t="shared" si="56"/>
        <v>dv360</v>
      </c>
      <c r="AX93" s="15" t="str">
        <f t="shared" si="46"/>
        <v>nivus-launch-consideracao-orca</v>
      </c>
      <c r="AY93" s="15" t="str">
        <f t="shared" si="57"/>
        <v>alp_vw_dv360_imc_dsy_lanch_nd_nc_nvs_nivus-launch-consideracao-orca__trafego_cpm_drct_all_320x50_lancamento-nivus-orca-3rdparty_na_lancamento-consideracao-nivus-orca_nvl-nvs-imc-dsy-0820-10093</v>
      </c>
      <c r="AZ93" s="15" t="str">
        <f t="shared" si="58"/>
        <v>320x50</v>
      </c>
      <c r="BA93" s="15" t="str">
        <f t="shared" si="59"/>
        <v>lancamento-consideracao-nivus-orca</v>
      </c>
      <c r="BB93" s="28" t="s">
        <v>798</v>
      </c>
      <c r="BC93" s="28" t="s">
        <v>798</v>
      </c>
      <c r="BD93" s="38" t="str">
        <f t="shared" si="60"/>
        <v>nvl-nvs-imc-dsy-0820-10093</v>
      </c>
      <c r="BE93" s="15" t="str">
        <f t="shared" si="61"/>
        <v>BR</v>
      </c>
      <c r="BF93" s="15" t="str">
        <f t="shared" si="62"/>
        <v>paid</v>
      </c>
      <c r="BG93" s="28"/>
      <c r="BH93" s="28"/>
      <c r="BI93" s="36" t="str">
        <f t="shared" si="47"/>
        <v>https://www.vw.com.br/pt/configurador.html/__app/%2Fnivus/0.app?adlid=nvl-nvs-imc-dsy-0820-10093&amp;adplt=alp_vw_dv360_imc_dsy_lanch_nd_nc_nvs_nivus-launch-consideracao-orca__trafego_cpm_drct_all_320x50_lancamento-nivus-orca-3rdparty_na_lancamento-consideracao-nivus-orca_nvl-nvs-imc-dsy-0820-10093</v>
      </c>
      <c r="BL93" t="str">
        <f t="shared" si="48"/>
        <v>alp_vw_dv360_imc_dsy_lanch_nd_nc_nvs_nivus-launch-consideracao-orca__trafego</v>
      </c>
      <c r="BM93" t="str">
        <f t="shared" si="49"/>
        <v>cpm_drct_all_320x50_lancamento-nivus-orca-3rdparty_na</v>
      </c>
      <c r="BN93" t="str">
        <f t="shared" si="50"/>
        <v>alp_vw_dv360_imc_dsy_lanch_nd_nc_nvs_nivus-launch-consideracao-orca__trafego_cpm_drct_all_320x50_lancamento-nivus-orca-3rdparty_na_generico_nvl-nvs-imc-dsy-0820-10093</v>
      </c>
    </row>
    <row r="94" spans="2:66" ht="15.75" customHeight="1" x14ac:dyDescent="0.25">
      <c r="B94" s="15" t="s">
        <v>1291</v>
      </c>
      <c r="C94" s="15" t="s">
        <v>1293</v>
      </c>
      <c r="D94" s="15"/>
      <c r="E94" s="22">
        <v>44069</v>
      </c>
      <c r="F94" s="22">
        <v>44135</v>
      </c>
      <c r="G94" s="15" t="s">
        <v>651</v>
      </c>
      <c r="H94" s="41" t="s">
        <v>1266</v>
      </c>
      <c r="I94" s="15" t="s">
        <v>801</v>
      </c>
      <c r="J94" s="42" t="s">
        <v>883</v>
      </c>
      <c r="K94" s="42" t="s">
        <v>883</v>
      </c>
      <c r="L94" s="15" t="s">
        <v>676</v>
      </c>
      <c r="M94" s="15" t="s">
        <v>276</v>
      </c>
      <c r="N94" s="15" t="s">
        <v>295</v>
      </c>
      <c r="O94" s="15" t="s">
        <v>677</v>
      </c>
      <c r="P94" s="15" t="str">
        <f>VLOOKUP(Y94,'All Codes'!$BF$3:$BG$278,2,FALSE)</f>
        <v>Leaderboard</v>
      </c>
      <c r="Q94" s="15" t="s">
        <v>179</v>
      </c>
      <c r="R94" s="15" t="s">
        <v>277</v>
      </c>
      <c r="S94" s="15" t="s">
        <v>865</v>
      </c>
      <c r="T94" s="46" t="s">
        <v>884</v>
      </c>
      <c r="U94" s="15" t="s">
        <v>876</v>
      </c>
      <c r="V94" s="59" t="s">
        <v>896</v>
      </c>
      <c r="W94" s="15" t="s">
        <v>866</v>
      </c>
      <c r="X94" s="15" t="s">
        <v>307</v>
      </c>
      <c r="Y94" s="46" t="s">
        <v>591</v>
      </c>
      <c r="Z94" s="15"/>
      <c r="AA94" s="15"/>
      <c r="AB94" s="15"/>
      <c r="AC94" s="15"/>
      <c r="AD94" s="15"/>
      <c r="AE94" s="15"/>
      <c r="AF94" s="15"/>
      <c r="AG94" s="15"/>
      <c r="AH94" s="15" t="str">
        <f t="shared" si="64"/>
        <v>281502735</v>
      </c>
      <c r="AI94" s="21" t="str">
        <f t="shared" si="63"/>
        <v>alp_vw_dv360_imc_dsy_lanch_nd_nc_nvs_nivus-launch-consideracao-orca__trafego_cpm_drct_all_728x90_lancamento-nivus-orca-3rdparty_na_lancamento-consideracao-nivus-orca_nvl-nvs-imc-dsy-0820-10094</v>
      </c>
      <c r="AJ94" s="40" t="str">
        <f t="shared" si="63"/>
        <v>alp_vw_dv360_imc_dsy_lanch_nd_nc_nvs_nivus-launch-consideracao-orca__trafego_cpm_drct_all_728x90_lancamento-nivus-orca-3rdparty_na_lancamento-consideracao-nivus-orca_nvl-nvs-imc-dsy-0820-10094</v>
      </c>
      <c r="AK94" s="21" t="str">
        <f t="shared" si="41"/>
        <v>vw_nivus_728x90_lancamento-consideracao-nivus-orca_adserver</v>
      </c>
      <c r="AL94" s="21" t="str">
        <f t="shared" si="51"/>
        <v>https://www.vw.com.br/pt/configurador.html/__app/%2Fnivus/0.app?adlid=nvl-nvs-imc-dsy-0820-10094&amp;adplt=alp_vw_dv360_imc_dsy_lanch_nd_nc_nvs_nivus-launch-consideracao-orca__trafego_cpm_drct_all_728x90_lancamento-nivus-orca-3rdparty_na_lancamento-consideracao-nivus-orca_nvl-nvs-imc-dsy-0820-10094</v>
      </c>
      <c r="AM94" s="21" t="str">
        <f t="shared" si="42"/>
        <v>TAG</v>
      </c>
      <c r="AN94" s="15" t="str">
        <f t="shared" si="52"/>
        <v>DV360</v>
      </c>
      <c r="AO94" s="15" t="str">
        <f t="shared" si="53"/>
        <v>Paid-Display</v>
      </c>
      <c r="AP94" s="21" t="str">
        <f>Campanha!$B$3</f>
        <v>BR_IMC_DSY_LANCH_ND_NC_2020Q3AUG_NVS_Nivus-Launch-Consideracao-Orca</v>
      </c>
      <c r="AQ94" s="21" t="str">
        <f t="shared" si="43"/>
        <v>alp_vw_dv360_imc_dsy_lanch_nd_nc_nvs_nivus-launch-consideracao-orca__trafego_cpm_drct_all_728x90_lancamento-nivus-orca-3rdparty_na_lancamento-consideracao-nivus-orca_nvl-nvs-imc-dsy-0820-10094</v>
      </c>
      <c r="AR94" s="15" t="s">
        <v>745</v>
      </c>
      <c r="AS94" s="21" t="str">
        <f t="shared" si="44"/>
        <v>https://www.vw.com.br/pt/configurador.html/__app/%2Fnivus/0.app?utm_source=DV360&amp;utm_medium=Paid-Display&amp;utm_content=alp_vw_dv360_imc_dsy_lanch_nd_nc_nvs_nivus-launch-consideracao-orca__trafego_cpm_drct_all_728x90_lancamento-nivus-orca-3rdparty_na_lancamento-consideracao-nivus-orca_nvl-nvs-imc-dsy-0820-10094&amp;utm_campaign=BR_IMC_DSY_LANCH_ND_NC_2020Q3AUG_NVS_Nivus-Launch-Consideracao-Orca&amp;utm_term=%epid!_%ecid!_%eaid!</v>
      </c>
      <c r="AT94" s="15" t="str">
        <f t="shared" si="54"/>
        <v>other</v>
      </c>
      <c r="AU94" s="15" t="str">
        <f t="shared" si="45"/>
        <v>BR</v>
      </c>
      <c r="AV94" s="15" t="str">
        <f t="shared" si="55"/>
        <v>dv360</v>
      </c>
      <c r="AW94" s="15" t="str">
        <f t="shared" si="56"/>
        <v>dv360</v>
      </c>
      <c r="AX94" s="15" t="str">
        <f t="shared" si="46"/>
        <v>nivus-launch-consideracao-orca</v>
      </c>
      <c r="AY94" s="15" t="str">
        <f t="shared" si="57"/>
        <v>alp_vw_dv360_imc_dsy_lanch_nd_nc_nvs_nivus-launch-consideracao-orca__trafego_cpm_drct_all_728x90_lancamento-nivus-orca-3rdparty_na_lancamento-consideracao-nivus-orca_nvl-nvs-imc-dsy-0820-10094</v>
      </c>
      <c r="AZ94" s="15" t="str">
        <f t="shared" si="58"/>
        <v>728x90</v>
      </c>
      <c r="BA94" s="15" t="str">
        <f t="shared" si="59"/>
        <v>lancamento-consideracao-nivus-orca</v>
      </c>
      <c r="BB94" s="28" t="s">
        <v>798</v>
      </c>
      <c r="BC94" s="28" t="s">
        <v>798</v>
      </c>
      <c r="BD94" s="38" t="str">
        <f t="shared" si="60"/>
        <v>nvl-nvs-imc-dsy-0820-10094</v>
      </c>
      <c r="BE94" s="15" t="str">
        <f t="shared" si="61"/>
        <v>BR</v>
      </c>
      <c r="BF94" s="15" t="str">
        <f t="shared" si="62"/>
        <v>paid</v>
      </c>
      <c r="BG94" s="28"/>
      <c r="BH94" s="28"/>
      <c r="BI94" s="36" t="str">
        <f t="shared" si="47"/>
        <v>https://www.vw.com.br/pt/configurador.html/__app/%2Fnivus/0.app?adlid=nvl-nvs-imc-dsy-0820-10094&amp;adplt=alp_vw_dv360_imc_dsy_lanch_nd_nc_nvs_nivus-launch-consideracao-orca__trafego_cpm_drct_all_728x90_lancamento-nivus-orca-3rdparty_na_lancamento-consideracao-nivus-orca_nvl-nvs-imc-dsy-0820-10094</v>
      </c>
      <c r="BL94" t="str">
        <f t="shared" si="48"/>
        <v>alp_vw_dv360_imc_dsy_lanch_nd_nc_nvs_nivus-launch-consideracao-orca__trafego</v>
      </c>
      <c r="BM94" t="str">
        <f t="shared" si="49"/>
        <v>cpm_drct_all_728x90_lancamento-nivus-orca-3rdparty_na</v>
      </c>
      <c r="BN94" t="str">
        <f t="shared" si="50"/>
        <v>alp_vw_dv360_imc_dsy_lanch_nd_nc_nvs_nivus-launch-consideracao-orca__trafego_cpm_drct_all_728x90_lancamento-nivus-orca-3rdparty_na_generico_nvl-nvs-imc-dsy-0820-10094</v>
      </c>
    </row>
    <row r="95" spans="2:66" ht="15.75" customHeight="1" x14ac:dyDescent="0.25">
      <c r="B95" s="15" t="s">
        <v>1291</v>
      </c>
      <c r="C95" s="15" t="s">
        <v>1293</v>
      </c>
      <c r="D95" s="15"/>
      <c r="E95" s="22">
        <v>44069</v>
      </c>
      <c r="F95" s="22">
        <v>44135</v>
      </c>
      <c r="G95" s="15" t="s">
        <v>651</v>
      </c>
      <c r="H95" s="41" t="s">
        <v>1266</v>
      </c>
      <c r="I95" s="15" t="s">
        <v>801</v>
      </c>
      <c r="J95" s="42" t="s">
        <v>883</v>
      </c>
      <c r="K95" s="42" t="s">
        <v>883</v>
      </c>
      <c r="L95" s="15" t="s">
        <v>676</v>
      </c>
      <c r="M95" s="15" t="s">
        <v>276</v>
      </c>
      <c r="N95" s="15" t="s">
        <v>295</v>
      </c>
      <c r="O95" s="15" t="s">
        <v>677</v>
      </c>
      <c r="P95" s="15" t="str">
        <f>VLOOKUP(Y95,'All Codes'!$BF$3:$BG$278,2,FALSE)</f>
        <v>Leaderboard</v>
      </c>
      <c r="Q95" s="15" t="s">
        <v>179</v>
      </c>
      <c r="R95" s="15" t="s">
        <v>277</v>
      </c>
      <c r="S95" s="15" t="s">
        <v>865</v>
      </c>
      <c r="T95" s="46" t="s">
        <v>884</v>
      </c>
      <c r="U95" s="15" t="s">
        <v>876</v>
      </c>
      <c r="V95" s="59" t="s">
        <v>896</v>
      </c>
      <c r="W95" s="15" t="s">
        <v>866</v>
      </c>
      <c r="X95" s="15" t="s">
        <v>307</v>
      </c>
      <c r="Y95" s="46" t="s">
        <v>629</v>
      </c>
      <c r="Z95" s="15"/>
      <c r="AA95" s="15"/>
      <c r="AB95" s="15"/>
      <c r="AC95" s="15"/>
      <c r="AD95" s="15"/>
      <c r="AE95" s="15"/>
      <c r="AF95" s="15"/>
      <c r="AG95" s="15"/>
      <c r="AH95" s="15" t="str">
        <f t="shared" si="64"/>
        <v>281502729</v>
      </c>
      <c r="AI95" s="21" t="str">
        <f t="shared" si="63"/>
        <v>alp_vw_dv360_imc_dsy_lanch_nd_nc_nvs_nivus-launch-consideracao-orca__trafego_cpm_drct_all_970x250_lancamento-nivus-orca-3rdparty_na_lancamento-consideracao-nivus-orca_nvl-nvs-imc-dsy-0820-10095</v>
      </c>
      <c r="AJ95" s="40" t="str">
        <f t="shared" si="63"/>
        <v>alp_vw_dv360_imc_dsy_lanch_nd_nc_nvs_nivus-launch-consideracao-orca__trafego_cpm_drct_all_970x250_lancamento-nivus-orca-3rdparty_na_lancamento-consideracao-nivus-orca_nvl-nvs-imc-dsy-0820-10095</v>
      </c>
      <c r="AK95" s="21" t="str">
        <f t="shared" si="41"/>
        <v>vw_nivus_970x250_lancamento-consideracao-nivus-orca_adserver</v>
      </c>
      <c r="AL95" s="21" t="str">
        <f t="shared" si="51"/>
        <v>https://www.vw.com.br/pt/configurador.html/__app/%2Fnivus/0.app?adlid=nvl-nvs-imc-dsy-0820-10095&amp;adplt=alp_vw_dv360_imc_dsy_lanch_nd_nc_nvs_nivus-launch-consideracao-orca__trafego_cpm_drct_all_970x250_lancamento-nivus-orca-3rdparty_na_lancamento-consideracao-nivus-orca_nvl-nvs-imc-dsy-0820-10095</v>
      </c>
      <c r="AM95" s="21" t="str">
        <f t="shared" si="42"/>
        <v>TAG</v>
      </c>
      <c r="AN95" s="15" t="str">
        <f t="shared" si="52"/>
        <v>DV360</v>
      </c>
      <c r="AO95" s="15" t="str">
        <f t="shared" si="53"/>
        <v>Paid-Display</v>
      </c>
      <c r="AP95" s="21" t="str">
        <f>Campanha!$B$3</f>
        <v>BR_IMC_DSY_LANCH_ND_NC_2020Q3AUG_NVS_Nivus-Launch-Consideracao-Orca</v>
      </c>
      <c r="AQ95" s="21" t="str">
        <f t="shared" si="43"/>
        <v>alp_vw_dv360_imc_dsy_lanch_nd_nc_nvs_nivus-launch-consideracao-orca__trafego_cpm_drct_all_970x250_lancamento-nivus-orca-3rdparty_na_lancamento-consideracao-nivus-orca_nvl-nvs-imc-dsy-0820-10095</v>
      </c>
      <c r="AR95" s="15" t="s">
        <v>745</v>
      </c>
      <c r="AS95" s="21" t="str">
        <f t="shared" si="44"/>
        <v>https://www.vw.com.br/pt/configurador.html/__app/%2Fnivus/0.app?utm_source=DV360&amp;utm_medium=Paid-Display&amp;utm_content=alp_vw_dv360_imc_dsy_lanch_nd_nc_nvs_nivus-launch-consideracao-orca__trafego_cpm_drct_all_970x250_lancamento-nivus-orca-3rdparty_na_lancamento-consideracao-nivus-orca_nvl-nvs-imc-dsy-0820-10095&amp;utm_campaign=BR_IMC_DSY_LANCH_ND_NC_2020Q3AUG_NVS_Nivus-Launch-Consideracao-Orca&amp;utm_term=%epid!_%ecid!_%eaid!</v>
      </c>
      <c r="AT95" s="15" t="str">
        <f t="shared" si="54"/>
        <v>other</v>
      </c>
      <c r="AU95" s="15" t="str">
        <f t="shared" si="45"/>
        <v>BR</v>
      </c>
      <c r="AV95" s="15" t="str">
        <f t="shared" si="55"/>
        <v>dv360</v>
      </c>
      <c r="AW95" s="15" t="str">
        <f t="shared" si="56"/>
        <v>dv360</v>
      </c>
      <c r="AX95" s="15" t="str">
        <f t="shared" si="46"/>
        <v>nivus-launch-consideracao-orca</v>
      </c>
      <c r="AY95" s="15" t="str">
        <f t="shared" si="57"/>
        <v>alp_vw_dv360_imc_dsy_lanch_nd_nc_nvs_nivus-launch-consideracao-orca__trafego_cpm_drct_all_970x250_lancamento-nivus-orca-3rdparty_na_lancamento-consideracao-nivus-orca_nvl-nvs-imc-dsy-0820-10095</v>
      </c>
      <c r="AZ95" s="15" t="str">
        <f t="shared" si="58"/>
        <v>970x250</v>
      </c>
      <c r="BA95" s="15" t="str">
        <f t="shared" si="59"/>
        <v>lancamento-consideracao-nivus-orca</v>
      </c>
      <c r="BB95" s="28" t="s">
        <v>798</v>
      </c>
      <c r="BC95" s="28" t="s">
        <v>798</v>
      </c>
      <c r="BD95" s="38" t="str">
        <f t="shared" si="60"/>
        <v>nvl-nvs-imc-dsy-0820-10095</v>
      </c>
      <c r="BE95" s="15" t="str">
        <f t="shared" si="61"/>
        <v>BR</v>
      </c>
      <c r="BF95" s="15" t="str">
        <f t="shared" si="62"/>
        <v>paid</v>
      </c>
      <c r="BG95" s="28"/>
      <c r="BH95" s="28"/>
      <c r="BI95" s="36" t="str">
        <f t="shared" si="47"/>
        <v>https://www.vw.com.br/pt/configurador.html/__app/%2Fnivus/0.app?adlid=nvl-nvs-imc-dsy-0820-10095&amp;adplt=alp_vw_dv360_imc_dsy_lanch_nd_nc_nvs_nivus-launch-consideracao-orca__trafego_cpm_drct_all_970x250_lancamento-nivus-orca-3rdparty_na_lancamento-consideracao-nivus-orca_nvl-nvs-imc-dsy-0820-10095</v>
      </c>
      <c r="BL95" t="str">
        <f t="shared" si="48"/>
        <v>alp_vw_dv360_imc_dsy_lanch_nd_nc_nvs_nivus-launch-consideracao-orca__trafego</v>
      </c>
      <c r="BM95" t="str">
        <f t="shared" si="49"/>
        <v>cpm_drct_all_970x250_lancamento-nivus-orca-3rdparty_na</v>
      </c>
      <c r="BN95" t="str">
        <f t="shared" si="50"/>
        <v>alp_vw_dv360_imc_dsy_lanch_nd_nc_nvs_nivus-launch-consideracao-orca__trafego_cpm_drct_all_970x250_lancamento-nivus-orca-3rdparty_na_generico_nvl-nvs-imc-dsy-0820-10095</v>
      </c>
    </row>
    <row r="96" spans="2:66" ht="15.75" customHeight="1" x14ac:dyDescent="0.25">
      <c r="B96" s="15" t="s">
        <v>1291</v>
      </c>
      <c r="C96" s="15" t="s">
        <v>1294</v>
      </c>
      <c r="D96" s="15"/>
      <c r="E96" s="22">
        <v>44069</v>
      </c>
      <c r="F96" s="22">
        <v>44135</v>
      </c>
      <c r="G96" s="15" t="s">
        <v>651</v>
      </c>
      <c r="H96" s="41" t="s">
        <v>1266</v>
      </c>
      <c r="I96" s="15" t="s">
        <v>801</v>
      </c>
      <c r="J96" s="42" t="s">
        <v>883</v>
      </c>
      <c r="K96" s="42" t="s">
        <v>883</v>
      </c>
      <c r="L96" s="15" t="s">
        <v>676</v>
      </c>
      <c r="M96" s="15" t="s">
        <v>276</v>
      </c>
      <c r="N96" s="15" t="s">
        <v>295</v>
      </c>
      <c r="O96" s="15" t="s">
        <v>677</v>
      </c>
      <c r="P96" s="15" t="str">
        <f>VLOOKUP(Y96,'All Codes'!$BF$3:$BG$278,2,FALSE)</f>
        <v>MPU</v>
      </c>
      <c r="Q96" s="15" t="s">
        <v>179</v>
      </c>
      <c r="R96" s="15" t="s">
        <v>277</v>
      </c>
      <c r="S96" s="15" t="s">
        <v>874</v>
      </c>
      <c r="T96" s="46" t="s">
        <v>884</v>
      </c>
      <c r="U96" s="15" t="s">
        <v>876</v>
      </c>
      <c r="V96" s="60" t="s">
        <v>1081</v>
      </c>
      <c r="W96" s="15" t="s">
        <v>866</v>
      </c>
      <c r="X96" s="15" t="s">
        <v>307</v>
      </c>
      <c r="Y96" s="46" t="s">
        <v>461</v>
      </c>
      <c r="Z96" s="15"/>
      <c r="AA96" s="15"/>
      <c r="AB96" s="15"/>
      <c r="AC96" s="15"/>
      <c r="AD96" s="15"/>
      <c r="AE96" s="15"/>
      <c r="AF96" s="15"/>
      <c r="AG96" s="15"/>
      <c r="AH96" s="15" t="str">
        <f t="shared" ref="AH96:AH102" si="65">VLOOKUP(AI96,id_placement,2,FALSE)</f>
        <v>281620006</v>
      </c>
      <c r="AI96" s="21" t="str">
        <f t="shared" si="63"/>
        <v>alp_vw_dv360_imc_dsy_lanch_nd_nc_nvs_nivus-launch-consideracao-orca__configuracao_cpm_drct_all_300x50_lancamento-nivus-orca-rmkt-home-nivus_na_lancamento-consideracao-nivus-orca_nvl-nvs-imc-dsy-0820-10096</v>
      </c>
      <c r="AJ96" s="40" t="str">
        <f t="shared" si="63"/>
        <v>alp_vw_dv360_imc_dsy_lanch_nd_nc_nvs_nivus-launch-consideracao-orca__configuracao_cpm_drct_all_300x50_lancamento-nivus-orca-rmkt-home-nivus_na_lancamento-consideracao-nivus-orca_nvl-nvs-imc-dsy-0820-10096</v>
      </c>
      <c r="AK96" s="21" t="str">
        <f t="shared" si="41"/>
        <v>vw_nivus_300x50_lancamento-consideracao-nivus-orca_adserver</v>
      </c>
      <c r="AL96" s="21" t="str">
        <f t="shared" si="51"/>
        <v>https://www.vw.com.br/pt/configurador.html/__app/%2Fnivus/0.app?adlid=nvl-nvs-imc-dsy-0820-10096&amp;adplt=alp_vw_dv360_imc_dsy_lanch_nd_nc_nvs_nivus-launch-consideracao-orca__configuracao_cpm_drct_all_300x50_lancamento-nivus-orca-rmkt-home-nivus_na_lancamento-consideracao-nivus-orca_nvl-nvs-imc-dsy-0820-10096</v>
      </c>
      <c r="AM96" s="21" t="str">
        <f t="shared" si="42"/>
        <v>TAG</v>
      </c>
      <c r="AN96" s="15" t="str">
        <f t="shared" si="52"/>
        <v>DV360</v>
      </c>
      <c r="AO96" s="15" t="str">
        <f t="shared" si="53"/>
        <v>Paid-Display</v>
      </c>
      <c r="AP96" s="21" t="str">
        <f>Campanha!$B$3</f>
        <v>BR_IMC_DSY_LANCH_ND_NC_2020Q3AUG_NVS_Nivus-Launch-Consideracao-Orca</v>
      </c>
      <c r="AQ96" s="21" t="str">
        <f t="shared" si="43"/>
        <v>alp_vw_dv360_imc_dsy_lanch_nd_nc_nvs_nivus-launch-consideracao-orca__configuracao_cpm_drct_all_300x50_lancamento-nivus-orca-rmkt-home-nivus_na_lancamento-consideracao-nivus-orca_nvl-nvs-imc-dsy-0820-10096</v>
      </c>
      <c r="AR96" s="15" t="s">
        <v>745</v>
      </c>
      <c r="AS96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rmkt-home-nivus_na_lancamento-consideracao-nivus-orca_nvl-nvs-imc-dsy-0820-10096&amp;utm_campaign=BR_IMC_DSY_LANCH_ND_NC_2020Q3AUG_NVS_Nivus-Launch-Consideracao-Orca&amp;utm_term=%epid!_%ecid!_%eaid!</v>
      </c>
      <c r="AT96" s="15" t="str">
        <f t="shared" si="54"/>
        <v>other</v>
      </c>
      <c r="AU96" s="15" t="str">
        <f t="shared" si="45"/>
        <v>BR</v>
      </c>
      <c r="AV96" s="15" t="str">
        <f t="shared" si="55"/>
        <v>dv360</v>
      </c>
      <c r="AW96" s="15" t="str">
        <f t="shared" si="56"/>
        <v>dv360</v>
      </c>
      <c r="AX96" s="15" t="str">
        <f t="shared" si="46"/>
        <v>nivus-launch-consideracao-orca</v>
      </c>
      <c r="AY96" s="15" t="str">
        <f t="shared" si="57"/>
        <v>alp_vw_dv360_imc_dsy_lanch_nd_nc_nvs_nivus-launch-consideracao-orca__configuracao_cpm_drct_all_300x50_lancamento-nivus-orca-rmkt-home-nivus_na_lancamento-consideracao-nivus-orca_nvl-nvs-imc-dsy-0820-10096</v>
      </c>
      <c r="AZ96" s="15" t="str">
        <f t="shared" si="58"/>
        <v>300x50</v>
      </c>
      <c r="BA96" s="15" t="str">
        <f t="shared" si="59"/>
        <v>lancamento-consideracao-nivus-orca</v>
      </c>
      <c r="BB96" s="28" t="s">
        <v>798</v>
      </c>
      <c r="BC96" s="28" t="s">
        <v>798</v>
      </c>
      <c r="BD96" s="38" t="str">
        <f t="shared" si="60"/>
        <v>nvl-nvs-imc-dsy-0820-10096</v>
      </c>
      <c r="BE96" s="15" t="str">
        <f t="shared" si="61"/>
        <v>BR</v>
      </c>
      <c r="BF96" s="15" t="str">
        <f t="shared" si="62"/>
        <v>paid</v>
      </c>
      <c r="BG96" s="28"/>
      <c r="BH96" s="28"/>
      <c r="BI96" s="36" t="str">
        <f t="shared" si="47"/>
        <v>https://www.vw.com.br/pt/configurador.html/__app/%2Fnivus/0.app?adlid=nvl-nvs-imc-dsy-0820-10096&amp;adplt=alp_vw_dv360_imc_dsy_lanch_nd_nc_nvs_nivus-launch-consideracao-orca__configuracao_cpm_drct_all_300x50_lancamento-nivus-orca-rmkt-home-nivus_na_lancamento-consideracao-nivus-orca_nvl-nvs-imc-dsy-0820-10096</v>
      </c>
      <c r="BL96" t="str">
        <f t="shared" si="48"/>
        <v>alp_vw_dv360_imc_dsy_lanch_nd_nc_nvs_nivus-launch-consideracao-orca__configuracao</v>
      </c>
      <c r="BM96" t="str">
        <f t="shared" si="49"/>
        <v>cpm_drct_all_300x50_lancamento-nivus-orca-rmkt-home-nivus_na</v>
      </c>
      <c r="BN96" t="str">
        <f t="shared" si="50"/>
        <v>alp_vw_dv360_imc_dsy_lanch_nd_nc_nvs_nivus-launch-consideracao-orca__configuracao_cpm_drct_all_300x50_lancamento-nivus-orca-rmkt-home-nivus_na_generico_nvl-nvs-imc-dsy-0820-10096</v>
      </c>
    </row>
    <row r="97" spans="2:66" ht="15.75" customHeight="1" x14ac:dyDescent="0.25">
      <c r="B97" s="15" t="s">
        <v>1291</v>
      </c>
      <c r="C97" s="15" t="s">
        <v>1294</v>
      </c>
      <c r="D97" s="15"/>
      <c r="E97" s="22">
        <v>44069</v>
      </c>
      <c r="F97" s="22">
        <v>44135</v>
      </c>
      <c r="G97" s="15" t="s">
        <v>651</v>
      </c>
      <c r="H97" s="41" t="s">
        <v>1266</v>
      </c>
      <c r="I97" s="15" t="s">
        <v>801</v>
      </c>
      <c r="J97" s="42" t="s">
        <v>883</v>
      </c>
      <c r="K97" s="42" t="s">
        <v>883</v>
      </c>
      <c r="L97" s="15" t="s">
        <v>676</v>
      </c>
      <c r="M97" s="15" t="s">
        <v>276</v>
      </c>
      <c r="N97" s="15" t="s">
        <v>295</v>
      </c>
      <c r="O97" s="15" t="s">
        <v>677</v>
      </c>
      <c r="P97" s="15" t="str">
        <f>VLOOKUP(Y97,'All Codes'!$BF$3:$BG$278,2,FALSE)</f>
        <v>Skyscraper</v>
      </c>
      <c r="Q97" s="15" t="s">
        <v>179</v>
      </c>
      <c r="R97" s="15" t="s">
        <v>277</v>
      </c>
      <c r="S97" s="15" t="s">
        <v>874</v>
      </c>
      <c r="T97" s="46" t="s">
        <v>884</v>
      </c>
      <c r="U97" s="15" t="s">
        <v>876</v>
      </c>
      <c r="V97" s="60" t="s">
        <v>1081</v>
      </c>
      <c r="W97" s="15" t="s">
        <v>866</v>
      </c>
      <c r="X97" s="15" t="s">
        <v>307</v>
      </c>
      <c r="Y97" s="46" t="s">
        <v>434</v>
      </c>
      <c r="Z97" s="15"/>
      <c r="AA97" s="15"/>
      <c r="AB97" s="15"/>
      <c r="AC97" s="15"/>
      <c r="AD97" s="15"/>
      <c r="AE97" s="15"/>
      <c r="AF97" s="15"/>
      <c r="AG97" s="15"/>
      <c r="AH97" s="15" t="str">
        <f t="shared" si="65"/>
        <v>281620003</v>
      </c>
      <c r="AI97" s="21" t="str">
        <f t="shared" si="63"/>
        <v>alp_vw_dv360_imc_dsy_lanch_nd_nc_nvs_nivus-launch-consideracao-orca__configuracao_cpm_drct_all_160x600_lancamento-nivus-orca-rmkt-home-nivus_na_lancamento-consideracao-nivus-orca_nvl-nvs-imc-dsy-0820-10097</v>
      </c>
      <c r="AJ97" s="40" t="str">
        <f t="shared" si="63"/>
        <v>alp_vw_dv360_imc_dsy_lanch_nd_nc_nvs_nivus-launch-consideracao-orca__configuracao_cpm_drct_all_160x600_lancamento-nivus-orca-rmkt-home-nivus_na_lancamento-consideracao-nivus-orca_nvl-nvs-imc-dsy-0820-10097</v>
      </c>
      <c r="AK97" s="21" t="str">
        <f t="shared" si="41"/>
        <v>vw_nivus_160x600_lancamento-consideracao-nivus-orca_adserver</v>
      </c>
      <c r="AL97" s="21" t="str">
        <f t="shared" si="51"/>
        <v>https://www.vw.com.br/pt/configurador.html/__app/%2Fnivus/0.app?adlid=nvl-nvs-imc-dsy-0820-10097&amp;adplt=alp_vw_dv360_imc_dsy_lanch_nd_nc_nvs_nivus-launch-consideracao-orca__configuracao_cpm_drct_all_160x600_lancamento-nivus-orca-rmkt-home-nivus_na_lancamento-consideracao-nivus-orca_nvl-nvs-imc-dsy-0820-10097</v>
      </c>
      <c r="AM97" s="21" t="str">
        <f t="shared" si="42"/>
        <v>TAG</v>
      </c>
      <c r="AN97" s="15" t="str">
        <f t="shared" si="52"/>
        <v>DV360</v>
      </c>
      <c r="AO97" s="15" t="str">
        <f t="shared" si="53"/>
        <v>Paid-Display</v>
      </c>
      <c r="AP97" s="21" t="str">
        <f>Campanha!$B$3</f>
        <v>BR_IMC_DSY_LANCH_ND_NC_2020Q3AUG_NVS_Nivus-Launch-Consideracao-Orca</v>
      </c>
      <c r="AQ97" s="21" t="str">
        <f t="shared" si="43"/>
        <v>alp_vw_dv360_imc_dsy_lanch_nd_nc_nvs_nivus-launch-consideracao-orca__configuracao_cpm_drct_all_160x600_lancamento-nivus-orca-rmkt-home-nivus_na_lancamento-consideracao-nivus-orca_nvl-nvs-imc-dsy-0820-10097</v>
      </c>
      <c r="AR97" s="15" t="s">
        <v>745</v>
      </c>
      <c r="AS97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rmkt-home-nivus_na_lancamento-consideracao-nivus-orca_nvl-nvs-imc-dsy-0820-10097&amp;utm_campaign=BR_IMC_DSY_LANCH_ND_NC_2020Q3AUG_NVS_Nivus-Launch-Consideracao-Orca&amp;utm_term=%epid!_%ecid!_%eaid!</v>
      </c>
      <c r="AT97" s="15" t="str">
        <f t="shared" si="54"/>
        <v>other</v>
      </c>
      <c r="AU97" s="15" t="str">
        <f t="shared" si="45"/>
        <v>BR</v>
      </c>
      <c r="AV97" s="15" t="str">
        <f t="shared" si="55"/>
        <v>dv360</v>
      </c>
      <c r="AW97" s="15" t="str">
        <f t="shared" si="56"/>
        <v>dv360</v>
      </c>
      <c r="AX97" s="15" t="str">
        <f t="shared" si="46"/>
        <v>nivus-launch-consideracao-orca</v>
      </c>
      <c r="AY97" s="15" t="str">
        <f t="shared" si="57"/>
        <v>alp_vw_dv360_imc_dsy_lanch_nd_nc_nvs_nivus-launch-consideracao-orca__configuracao_cpm_drct_all_160x600_lancamento-nivus-orca-rmkt-home-nivus_na_lancamento-consideracao-nivus-orca_nvl-nvs-imc-dsy-0820-10097</v>
      </c>
      <c r="AZ97" s="15" t="str">
        <f t="shared" si="58"/>
        <v>160x600</v>
      </c>
      <c r="BA97" s="15" t="str">
        <f t="shared" si="59"/>
        <v>lancamento-consideracao-nivus-orca</v>
      </c>
      <c r="BB97" s="28" t="s">
        <v>798</v>
      </c>
      <c r="BC97" s="28" t="s">
        <v>798</v>
      </c>
      <c r="BD97" s="38" t="str">
        <f t="shared" si="60"/>
        <v>nvl-nvs-imc-dsy-0820-10097</v>
      </c>
      <c r="BE97" s="15" t="str">
        <f t="shared" si="61"/>
        <v>BR</v>
      </c>
      <c r="BF97" s="15" t="str">
        <f t="shared" si="62"/>
        <v>paid</v>
      </c>
      <c r="BG97" s="28"/>
      <c r="BH97" s="28"/>
      <c r="BI97" s="36" t="str">
        <f t="shared" si="47"/>
        <v>https://www.vw.com.br/pt/configurador.html/__app/%2Fnivus/0.app?adlid=nvl-nvs-imc-dsy-0820-10097&amp;adplt=alp_vw_dv360_imc_dsy_lanch_nd_nc_nvs_nivus-launch-consideracao-orca__configuracao_cpm_drct_all_160x600_lancamento-nivus-orca-rmkt-home-nivus_na_lancamento-consideracao-nivus-orca_nvl-nvs-imc-dsy-0820-10097</v>
      </c>
      <c r="BL97" t="str">
        <f t="shared" si="48"/>
        <v>alp_vw_dv360_imc_dsy_lanch_nd_nc_nvs_nivus-launch-consideracao-orca__configuracao</v>
      </c>
      <c r="BM97" t="str">
        <f t="shared" si="49"/>
        <v>cpm_drct_all_160x600_lancamento-nivus-orca-rmkt-home-nivus_na</v>
      </c>
      <c r="BN97" t="str">
        <f t="shared" si="50"/>
        <v>alp_vw_dv360_imc_dsy_lanch_nd_nc_nvs_nivus-launch-consideracao-orca__configuracao_cpm_drct_all_160x600_lancamento-nivus-orca-rmkt-home-nivus_na_generico_nvl-nvs-imc-dsy-0820-10097</v>
      </c>
    </row>
    <row r="98" spans="2:66" ht="15.75" customHeight="1" x14ac:dyDescent="0.25">
      <c r="B98" s="15" t="s">
        <v>1291</v>
      </c>
      <c r="C98" s="15" t="s">
        <v>1294</v>
      </c>
      <c r="D98" s="15"/>
      <c r="E98" s="22">
        <v>44069</v>
      </c>
      <c r="F98" s="22">
        <v>44135</v>
      </c>
      <c r="G98" s="15" t="s">
        <v>651</v>
      </c>
      <c r="H98" s="41" t="s">
        <v>1266</v>
      </c>
      <c r="I98" s="15" t="s">
        <v>801</v>
      </c>
      <c r="J98" s="42" t="s">
        <v>883</v>
      </c>
      <c r="K98" s="42" t="s">
        <v>883</v>
      </c>
      <c r="L98" s="15" t="s">
        <v>676</v>
      </c>
      <c r="M98" s="15" t="s">
        <v>276</v>
      </c>
      <c r="N98" s="15" t="s">
        <v>295</v>
      </c>
      <c r="O98" s="15" t="s">
        <v>677</v>
      </c>
      <c r="P98" s="15" t="str">
        <f>VLOOKUP(Y98,'All Codes'!$BF$3:$BG$278,2,FALSE)</f>
        <v>MPU</v>
      </c>
      <c r="Q98" s="15" t="s">
        <v>179</v>
      </c>
      <c r="R98" s="15" t="s">
        <v>277</v>
      </c>
      <c r="S98" s="15" t="s">
        <v>874</v>
      </c>
      <c r="T98" s="46" t="s">
        <v>884</v>
      </c>
      <c r="U98" s="15" t="s">
        <v>876</v>
      </c>
      <c r="V98" s="60" t="s">
        <v>1081</v>
      </c>
      <c r="W98" s="15" t="s">
        <v>866</v>
      </c>
      <c r="X98" s="15" t="s">
        <v>307</v>
      </c>
      <c r="Y98" s="46" t="s">
        <v>455</v>
      </c>
      <c r="Z98" s="15"/>
      <c r="AA98" s="15"/>
      <c r="AB98" s="15"/>
      <c r="AC98" s="15"/>
      <c r="AD98" s="15"/>
      <c r="AE98" s="15"/>
      <c r="AF98" s="15"/>
      <c r="AG98" s="15"/>
      <c r="AH98" s="15" t="str">
        <f t="shared" si="65"/>
        <v>281620000</v>
      </c>
      <c r="AI98" s="21" t="str">
        <f t="shared" si="63"/>
        <v>alp_vw_dv360_imc_dsy_lanch_nd_nc_nvs_nivus-launch-consideracao-orca__configuracao_cpm_drct_all_300x250_lancamento-nivus-orca-rmkt-home-nivus_na_lancamento-consideracao-nivus-orca_nvl-nvs-imc-dsy-0820-10098</v>
      </c>
      <c r="AJ98" s="40" t="str">
        <f t="shared" si="63"/>
        <v>alp_vw_dv360_imc_dsy_lanch_nd_nc_nvs_nivus-launch-consideracao-orca__configuracao_cpm_drct_all_300x250_lancamento-nivus-orca-rmkt-home-nivus_na_lancamento-consideracao-nivus-orca_nvl-nvs-imc-dsy-0820-10098</v>
      </c>
      <c r="AK98" s="21" t="str">
        <f t="shared" si="41"/>
        <v>vw_nivus_300x250_lancamento-consideracao-nivus-orca_adserver</v>
      </c>
      <c r="AL98" s="21" t="str">
        <f t="shared" si="51"/>
        <v>https://www.vw.com.br/pt/configurador.html/__app/%2Fnivus/0.app?adlid=nvl-nvs-imc-dsy-0820-10098&amp;adplt=alp_vw_dv360_imc_dsy_lanch_nd_nc_nvs_nivus-launch-consideracao-orca__configuracao_cpm_drct_all_300x250_lancamento-nivus-orca-rmkt-home-nivus_na_lancamento-consideracao-nivus-orca_nvl-nvs-imc-dsy-0820-10098</v>
      </c>
      <c r="AM98" s="21" t="str">
        <f t="shared" si="42"/>
        <v>TAG</v>
      </c>
      <c r="AN98" s="15" t="str">
        <f t="shared" si="52"/>
        <v>DV360</v>
      </c>
      <c r="AO98" s="15" t="str">
        <f t="shared" si="53"/>
        <v>Paid-Display</v>
      </c>
      <c r="AP98" s="21" t="str">
        <f>Campanha!$B$3</f>
        <v>BR_IMC_DSY_LANCH_ND_NC_2020Q3AUG_NVS_Nivus-Launch-Consideracao-Orca</v>
      </c>
      <c r="AQ98" s="21" t="str">
        <f t="shared" si="43"/>
        <v>alp_vw_dv360_imc_dsy_lanch_nd_nc_nvs_nivus-launch-consideracao-orca__configuracao_cpm_drct_all_300x250_lancamento-nivus-orca-rmkt-home-nivus_na_lancamento-consideracao-nivus-orca_nvl-nvs-imc-dsy-0820-10098</v>
      </c>
      <c r="AR98" s="15" t="s">
        <v>745</v>
      </c>
      <c r="AS98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250_lancamento-nivus-orca-rmkt-home-nivus_na_lancamento-consideracao-nivus-orca_nvl-nvs-imc-dsy-0820-10098&amp;utm_campaign=BR_IMC_DSY_LANCH_ND_NC_2020Q3AUG_NVS_Nivus-Launch-Consideracao-Orca&amp;utm_term=%epid!_%ecid!_%eaid!</v>
      </c>
      <c r="AT98" s="15" t="str">
        <f t="shared" si="54"/>
        <v>other</v>
      </c>
      <c r="AU98" s="15" t="str">
        <f t="shared" si="45"/>
        <v>BR</v>
      </c>
      <c r="AV98" s="15" t="str">
        <f t="shared" si="55"/>
        <v>dv360</v>
      </c>
      <c r="AW98" s="15" t="str">
        <f t="shared" si="56"/>
        <v>dv360</v>
      </c>
      <c r="AX98" s="15" t="str">
        <f t="shared" si="46"/>
        <v>nivus-launch-consideracao-orca</v>
      </c>
      <c r="AY98" s="15" t="str">
        <f t="shared" si="57"/>
        <v>alp_vw_dv360_imc_dsy_lanch_nd_nc_nvs_nivus-launch-consideracao-orca__configuracao_cpm_drct_all_300x250_lancamento-nivus-orca-rmkt-home-nivus_na_lancamento-consideracao-nivus-orca_nvl-nvs-imc-dsy-0820-10098</v>
      </c>
      <c r="AZ98" s="15" t="str">
        <f t="shared" si="58"/>
        <v>300x250</v>
      </c>
      <c r="BA98" s="15" t="str">
        <f t="shared" si="59"/>
        <v>lancamento-consideracao-nivus-orca</v>
      </c>
      <c r="BB98" s="28" t="s">
        <v>798</v>
      </c>
      <c r="BC98" s="28" t="s">
        <v>798</v>
      </c>
      <c r="BD98" s="38" t="str">
        <f t="shared" si="60"/>
        <v>nvl-nvs-imc-dsy-0820-10098</v>
      </c>
      <c r="BE98" s="15" t="str">
        <f t="shared" si="61"/>
        <v>BR</v>
      </c>
      <c r="BF98" s="15" t="str">
        <f t="shared" si="62"/>
        <v>paid</v>
      </c>
      <c r="BG98" s="28"/>
      <c r="BH98" s="28"/>
      <c r="BI98" s="36" t="str">
        <f t="shared" si="47"/>
        <v>https://www.vw.com.br/pt/configurador.html/__app/%2Fnivus/0.app?adlid=nvl-nvs-imc-dsy-0820-10098&amp;adplt=alp_vw_dv360_imc_dsy_lanch_nd_nc_nvs_nivus-launch-consideracao-orca__configuracao_cpm_drct_all_300x250_lancamento-nivus-orca-rmkt-home-nivus_na_lancamento-consideracao-nivus-orca_nvl-nvs-imc-dsy-0820-10098</v>
      </c>
      <c r="BL98" t="str">
        <f t="shared" si="48"/>
        <v>alp_vw_dv360_imc_dsy_lanch_nd_nc_nvs_nivus-launch-consideracao-orca__configuracao</v>
      </c>
      <c r="BM98" t="str">
        <f t="shared" si="49"/>
        <v>cpm_drct_all_300x250_lancamento-nivus-orca-rmkt-home-nivus_na</v>
      </c>
      <c r="BN98" t="str">
        <f t="shared" si="50"/>
        <v>alp_vw_dv360_imc_dsy_lanch_nd_nc_nvs_nivus-launch-consideracao-orca__configuracao_cpm_drct_all_300x250_lancamento-nivus-orca-rmkt-home-nivus_na_generico_nvl-nvs-imc-dsy-0820-10098</v>
      </c>
    </row>
    <row r="99" spans="2:66" ht="15.75" customHeight="1" x14ac:dyDescent="0.25">
      <c r="B99" s="15" t="s">
        <v>1291</v>
      </c>
      <c r="C99" s="15" t="s">
        <v>1294</v>
      </c>
      <c r="D99" s="15"/>
      <c r="E99" s="22">
        <v>44069</v>
      </c>
      <c r="F99" s="22">
        <v>44135</v>
      </c>
      <c r="G99" s="15" t="s">
        <v>651</v>
      </c>
      <c r="H99" s="41" t="s">
        <v>1266</v>
      </c>
      <c r="I99" s="15" t="s">
        <v>801</v>
      </c>
      <c r="J99" s="42" t="s">
        <v>883</v>
      </c>
      <c r="K99" s="42" t="s">
        <v>883</v>
      </c>
      <c r="L99" s="15" t="s">
        <v>676</v>
      </c>
      <c r="M99" s="15" t="s">
        <v>276</v>
      </c>
      <c r="N99" s="15" t="s">
        <v>295</v>
      </c>
      <c r="O99" s="15" t="s">
        <v>677</v>
      </c>
      <c r="P99" s="15" t="str">
        <f>VLOOKUP(Y99,'All Codes'!$BF$3:$BG$278,2,FALSE)</f>
        <v>Skyscraper</v>
      </c>
      <c r="Q99" s="15" t="s">
        <v>179</v>
      </c>
      <c r="R99" s="15" t="s">
        <v>277</v>
      </c>
      <c r="S99" s="15" t="s">
        <v>874</v>
      </c>
      <c r="T99" s="46" t="s">
        <v>884</v>
      </c>
      <c r="U99" s="15" t="s">
        <v>876</v>
      </c>
      <c r="V99" s="60" t="s">
        <v>1081</v>
      </c>
      <c r="W99" s="15" t="s">
        <v>866</v>
      </c>
      <c r="X99" s="15" t="s">
        <v>307</v>
      </c>
      <c r="Y99" s="46" t="s">
        <v>464</v>
      </c>
      <c r="Z99" s="15"/>
      <c r="AA99" s="15"/>
      <c r="AB99" s="15"/>
      <c r="AC99" s="15"/>
      <c r="AD99" s="15"/>
      <c r="AE99" s="15"/>
      <c r="AF99" s="15"/>
      <c r="AG99" s="15"/>
      <c r="AH99" s="15" t="str">
        <f t="shared" si="65"/>
        <v>281619997</v>
      </c>
      <c r="AI99" s="21" t="str">
        <f t="shared" si="63"/>
        <v>alp_vw_dv360_imc_dsy_lanch_nd_nc_nvs_nivus-launch-consideracao-orca__configuracao_cpm_drct_all_300x600_lancamento-nivus-orca-rmkt-home-nivus_na_lancamento-consideracao-nivus-orca_nvl-nvs-imc-dsy-0820-10099</v>
      </c>
      <c r="AJ99" s="40" t="str">
        <f t="shared" si="63"/>
        <v>alp_vw_dv360_imc_dsy_lanch_nd_nc_nvs_nivus-launch-consideracao-orca__configuracao_cpm_drct_all_300x600_lancamento-nivus-orca-rmkt-home-nivus_na_lancamento-consideracao-nivus-orca_nvl-nvs-imc-dsy-0820-10099</v>
      </c>
      <c r="AK99" s="21" t="str">
        <f t="shared" si="41"/>
        <v>vw_nivus_300x600_lancamento-consideracao-nivus-orca_adserver</v>
      </c>
      <c r="AL99" s="21" t="str">
        <f t="shared" si="51"/>
        <v>https://www.vw.com.br/pt/configurador.html/__app/%2Fnivus/0.app?adlid=nvl-nvs-imc-dsy-0820-10099&amp;adplt=alp_vw_dv360_imc_dsy_lanch_nd_nc_nvs_nivus-launch-consideracao-orca__configuracao_cpm_drct_all_300x600_lancamento-nivus-orca-rmkt-home-nivus_na_lancamento-consideracao-nivus-orca_nvl-nvs-imc-dsy-0820-10099</v>
      </c>
      <c r="AM99" s="21" t="str">
        <f t="shared" si="42"/>
        <v>TAG</v>
      </c>
      <c r="AN99" s="15" t="str">
        <f t="shared" si="52"/>
        <v>DV360</v>
      </c>
      <c r="AO99" s="15" t="str">
        <f t="shared" si="53"/>
        <v>Paid-Display</v>
      </c>
      <c r="AP99" s="21" t="str">
        <f>Campanha!$B$3</f>
        <v>BR_IMC_DSY_LANCH_ND_NC_2020Q3AUG_NVS_Nivus-Launch-Consideracao-Orca</v>
      </c>
      <c r="AQ99" s="21" t="str">
        <f t="shared" si="43"/>
        <v>alp_vw_dv360_imc_dsy_lanch_nd_nc_nvs_nivus-launch-consideracao-orca__configuracao_cpm_drct_all_300x600_lancamento-nivus-orca-rmkt-home-nivus_na_lancamento-consideracao-nivus-orca_nvl-nvs-imc-dsy-0820-10099</v>
      </c>
      <c r="AR99" s="15" t="s">
        <v>745</v>
      </c>
      <c r="AS99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600_lancamento-nivus-orca-rmkt-home-nivus_na_lancamento-consideracao-nivus-orca_nvl-nvs-imc-dsy-0820-10099&amp;utm_campaign=BR_IMC_DSY_LANCH_ND_NC_2020Q3AUG_NVS_Nivus-Launch-Consideracao-Orca&amp;utm_term=%epid!_%ecid!_%eaid!</v>
      </c>
      <c r="AT99" s="15" t="str">
        <f t="shared" si="54"/>
        <v>other</v>
      </c>
      <c r="AU99" s="15" t="str">
        <f t="shared" si="45"/>
        <v>BR</v>
      </c>
      <c r="AV99" s="15" t="str">
        <f t="shared" si="55"/>
        <v>dv360</v>
      </c>
      <c r="AW99" s="15" t="str">
        <f t="shared" si="56"/>
        <v>dv360</v>
      </c>
      <c r="AX99" s="15" t="str">
        <f t="shared" si="46"/>
        <v>nivus-launch-consideracao-orca</v>
      </c>
      <c r="AY99" s="15" t="str">
        <f t="shared" si="57"/>
        <v>alp_vw_dv360_imc_dsy_lanch_nd_nc_nvs_nivus-launch-consideracao-orca__configuracao_cpm_drct_all_300x600_lancamento-nivus-orca-rmkt-home-nivus_na_lancamento-consideracao-nivus-orca_nvl-nvs-imc-dsy-0820-10099</v>
      </c>
      <c r="AZ99" s="15" t="str">
        <f t="shared" si="58"/>
        <v>300x600</v>
      </c>
      <c r="BA99" s="15" t="str">
        <f t="shared" si="59"/>
        <v>lancamento-consideracao-nivus-orca</v>
      </c>
      <c r="BB99" s="28" t="s">
        <v>798</v>
      </c>
      <c r="BC99" s="28" t="s">
        <v>798</v>
      </c>
      <c r="BD99" s="38" t="str">
        <f t="shared" si="60"/>
        <v>nvl-nvs-imc-dsy-0820-10099</v>
      </c>
      <c r="BE99" s="15" t="str">
        <f t="shared" si="61"/>
        <v>BR</v>
      </c>
      <c r="BF99" s="15" t="str">
        <f t="shared" si="62"/>
        <v>paid</v>
      </c>
      <c r="BG99" s="28"/>
      <c r="BH99" s="28"/>
      <c r="BI99" s="36" t="str">
        <f t="shared" si="47"/>
        <v>https://www.vw.com.br/pt/configurador.html/__app/%2Fnivus/0.app?adlid=nvl-nvs-imc-dsy-0820-10099&amp;adplt=alp_vw_dv360_imc_dsy_lanch_nd_nc_nvs_nivus-launch-consideracao-orca__configuracao_cpm_drct_all_300x600_lancamento-nivus-orca-rmkt-home-nivus_na_lancamento-consideracao-nivus-orca_nvl-nvs-imc-dsy-0820-10099</v>
      </c>
      <c r="BL99" t="str">
        <f t="shared" si="48"/>
        <v>alp_vw_dv360_imc_dsy_lanch_nd_nc_nvs_nivus-launch-consideracao-orca__configuracao</v>
      </c>
      <c r="BM99" t="str">
        <f t="shared" si="49"/>
        <v>cpm_drct_all_300x600_lancamento-nivus-orca-rmkt-home-nivus_na</v>
      </c>
      <c r="BN99" t="str">
        <f t="shared" si="50"/>
        <v>alp_vw_dv360_imc_dsy_lanch_nd_nc_nvs_nivus-launch-consideracao-orca__configuracao_cpm_drct_all_300x600_lancamento-nivus-orca-rmkt-home-nivus_na_generico_nvl-nvs-imc-dsy-0820-10099</v>
      </c>
    </row>
    <row r="100" spans="2:66" ht="15.75" customHeight="1" x14ac:dyDescent="0.25">
      <c r="B100" s="15" t="s">
        <v>1291</v>
      </c>
      <c r="C100" s="15" t="s">
        <v>1294</v>
      </c>
      <c r="D100" s="15"/>
      <c r="E100" s="22">
        <v>44069</v>
      </c>
      <c r="F100" s="22">
        <v>44135</v>
      </c>
      <c r="G100" s="15" t="s">
        <v>651</v>
      </c>
      <c r="H100" s="41" t="s">
        <v>1266</v>
      </c>
      <c r="I100" s="15" t="s">
        <v>801</v>
      </c>
      <c r="J100" s="42" t="s">
        <v>883</v>
      </c>
      <c r="K100" s="42" t="s">
        <v>883</v>
      </c>
      <c r="L100" s="15" t="s">
        <v>676</v>
      </c>
      <c r="M100" s="15" t="s">
        <v>276</v>
      </c>
      <c r="N100" s="15" t="s">
        <v>295</v>
      </c>
      <c r="O100" s="15" t="s">
        <v>677</v>
      </c>
      <c r="P100" s="15" t="str">
        <f>VLOOKUP(Y100,'All Codes'!$BF$3:$BG$278,2,FALSE)</f>
        <v>MPU</v>
      </c>
      <c r="Q100" s="15" t="s">
        <v>179</v>
      </c>
      <c r="R100" s="15" t="s">
        <v>277</v>
      </c>
      <c r="S100" s="15" t="s">
        <v>874</v>
      </c>
      <c r="T100" s="46" t="s">
        <v>884</v>
      </c>
      <c r="U100" s="15" t="s">
        <v>876</v>
      </c>
      <c r="V100" s="60" t="s">
        <v>1081</v>
      </c>
      <c r="W100" s="15" t="s">
        <v>866</v>
      </c>
      <c r="X100" s="15" t="s">
        <v>307</v>
      </c>
      <c r="Y100" s="46" t="s">
        <v>479</v>
      </c>
      <c r="Z100" s="15"/>
      <c r="AA100" s="15"/>
      <c r="AB100" s="15"/>
      <c r="AC100" s="15"/>
      <c r="AD100" s="15"/>
      <c r="AE100" s="15"/>
      <c r="AF100" s="15"/>
      <c r="AG100" s="15"/>
      <c r="AH100" s="15" t="str">
        <f t="shared" si="65"/>
        <v>281619994</v>
      </c>
      <c r="AI100" s="21" t="str">
        <f t="shared" si="63"/>
        <v>alp_vw_dv360_imc_dsy_lanch_nd_nc_nvs_nivus-launch-consideracao-orca__configuracao_cpm_drct_all_320x50_lancamento-nivus-orca-rmkt-home-nivus_na_lancamento-consideracao-nivus-orca_nvl-nvs-imc-dsy-0820-10100</v>
      </c>
      <c r="AJ100" s="40" t="str">
        <f t="shared" si="63"/>
        <v>alp_vw_dv360_imc_dsy_lanch_nd_nc_nvs_nivus-launch-consideracao-orca__configuracao_cpm_drct_all_320x50_lancamento-nivus-orca-rmkt-home-nivus_na_lancamento-consideracao-nivus-orca_nvl-nvs-imc-dsy-0820-10100</v>
      </c>
      <c r="AK100" s="21" t="str">
        <f t="shared" si="41"/>
        <v>vw_nivus_320x50_lancamento-consideracao-nivus-orca_adserver</v>
      </c>
      <c r="AL100" s="21" t="str">
        <f t="shared" si="51"/>
        <v>https://www.vw.com.br/pt/configurador.html/__app/%2Fnivus/0.app?adlid=nvl-nvs-imc-dsy-0820-10100&amp;adplt=alp_vw_dv360_imc_dsy_lanch_nd_nc_nvs_nivus-launch-consideracao-orca__configuracao_cpm_drct_all_320x50_lancamento-nivus-orca-rmkt-home-nivus_na_lancamento-consideracao-nivus-orca_nvl-nvs-imc-dsy-0820-10100</v>
      </c>
      <c r="AM100" s="21" t="str">
        <f t="shared" si="42"/>
        <v>TAG</v>
      </c>
      <c r="AN100" s="15" t="str">
        <f t="shared" si="52"/>
        <v>DV360</v>
      </c>
      <c r="AO100" s="15" t="str">
        <f t="shared" si="53"/>
        <v>Paid-Display</v>
      </c>
      <c r="AP100" s="21" t="str">
        <f>Campanha!$B$3</f>
        <v>BR_IMC_DSY_LANCH_ND_NC_2020Q3AUG_NVS_Nivus-Launch-Consideracao-Orca</v>
      </c>
      <c r="AQ100" s="21" t="str">
        <f t="shared" si="43"/>
        <v>alp_vw_dv360_imc_dsy_lanch_nd_nc_nvs_nivus-launch-consideracao-orca__configuracao_cpm_drct_all_320x50_lancamento-nivus-orca-rmkt-home-nivus_na_lancamento-consideracao-nivus-orca_nvl-nvs-imc-dsy-0820-10100</v>
      </c>
      <c r="AR100" s="15" t="s">
        <v>745</v>
      </c>
      <c r="AS100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320x50_lancamento-nivus-orca-rmkt-home-nivus_na_lancamento-consideracao-nivus-orca_nvl-nvs-imc-dsy-0820-10100&amp;utm_campaign=BR_IMC_DSY_LANCH_ND_NC_2020Q3AUG_NVS_Nivus-Launch-Consideracao-Orca&amp;utm_term=%epid!_%ecid!_%eaid!</v>
      </c>
      <c r="AT100" s="15" t="str">
        <f t="shared" si="54"/>
        <v>other</v>
      </c>
      <c r="AU100" s="15" t="str">
        <f t="shared" si="45"/>
        <v>BR</v>
      </c>
      <c r="AV100" s="15" t="str">
        <f t="shared" si="55"/>
        <v>dv360</v>
      </c>
      <c r="AW100" s="15" t="str">
        <f t="shared" si="56"/>
        <v>dv360</v>
      </c>
      <c r="AX100" s="15" t="str">
        <f t="shared" si="46"/>
        <v>nivus-launch-consideracao-orca</v>
      </c>
      <c r="AY100" s="15" t="str">
        <f t="shared" si="57"/>
        <v>alp_vw_dv360_imc_dsy_lanch_nd_nc_nvs_nivus-launch-consideracao-orca__configuracao_cpm_drct_all_320x50_lancamento-nivus-orca-rmkt-home-nivus_na_lancamento-consideracao-nivus-orca_nvl-nvs-imc-dsy-0820-10100</v>
      </c>
      <c r="AZ100" s="15" t="str">
        <f t="shared" si="58"/>
        <v>320x50</v>
      </c>
      <c r="BA100" s="15" t="str">
        <f t="shared" si="59"/>
        <v>lancamento-consideracao-nivus-orca</v>
      </c>
      <c r="BB100" s="28" t="s">
        <v>798</v>
      </c>
      <c r="BC100" s="28" t="s">
        <v>798</v>
      </c>
      <c r="BD100" s="38" t="str">
        <f t="shared" si="60"/>
        <v>nvl-nvs-imc-dsy-0820-10100</v>
      </c>
      <c r="BE100" s="15" t="str">
        <f t="shared" si="61"/>
        <v>BR</v>
      </c>
      <c r="BF100" s="15" t="str">
        <f t="shared" si="62"/>
        <v>paid</v>
      </c>
      <c r="BG100" s="28"/>
      <c r="BH100" s="28"/>
      <c r="BI100" s="36" t="str">
        <f t="shared" si="47"/>
        <v>https://www.vw.com.br/pt/configurador.html/__app/%2Fnivus/0.app?adlid=nvl-nvs-imc-dsy-0820-10100&amp;adplt=alp_vw_dv360_imc_dsy_lanch_nd_nc_nvs_nivus-launch-consideracao-orca__configuracao_cpm_drct_all_320x50_lancamento-nivus-orca-rmkt-home-nivus_na_lancamento-consideracao-nivus-orca_nvl-nvs-imc-dsy-0820-10100</v>
      </c>
      <c r="BL100" t="str">
        <f t="shared" si="48"/>
        <v>alp_vw_dv360_imc_dsy_lanch_nd_nc_nvs_nivus-launch-consideracao-orca__configuracao</v>
      </c>
      <c r="BM100" t="str">
        <f t="shared" si="49"/>
        <v>cpm_drct_all_320x50_lancamento-nivus-orca-rmkt-home-nivus_na</v>
      </c>
      <c r="BN100" t="str">
        <f t="shared" si="50"/>
        <v>alp_vw_dv360_imc_dsy_lanch_nd_nc_nvs_nivus-launch-consideracao-orca__configuracao_cpm_drct_all_320x50_lancamento-nivus-orca-rmkt-home-nivus_na_generico_nvl-nvs-imc-dsy-0820-10100</v>
      </c>
    </row>
    <row r="101" spans="2:66" ht="15.75" customHeight="1" x14ac:dyDescent="0.25">
      <c r="B101" s="15" t="s">
        <v>1291</v>
      </c>
      <c r="C101" s="15" t="s">
        <v>1294</v>
      </c>
      <c r="D101" s="15"/>
      <c r="E101" s="22">
        <v>44069</v>
      </c>
      <c r="F101" s="22">
        <v>44135</v>
      </c>
      <c r="G101" s="15" t="s">
        <v>651</v>
      </c>
      <c r="H101" s="41" t="s">
        <v>1266</v>
      </c>
      <c r="I101" s="15" t="s">
        <v>801</v>
      </c>
      <c r="J101" s="42" t="s">
        <v>883</v>
      </c>
      <c r="K101" s="42" t="s">
        <v>883</v>
      </c>
      <c r="L101" s="15" t="s">
        <v>676</v>
      </c>
      <c r="M101" s="15" t="s">
        <v>276</v>
      </c>
      <c r="N101" s="15" t="s">
        <v>295</v>
      </c>
      <c r="O101" s="15" t="s">
        <v>677</v>
      </c>
      <c r="P101" s="15" t="str">
        <f>VLOOKUP(Y101,'All Codes'!$BF$3:$BG$278,2,FALSE)</f>
        <v>Leaderboard</v>
      </c>
      <c r="Q101" s="15" t="s">
        <v>179</v>
      </c>
      <c r="R101" s="15" t="s">
        <v>277</v>
      </c>
      <c r="S101" s="15" t="s">
        <v>874</v>
      </c>
      <c r="T101" s="46" t="s">
        <v>884</v>
      </c>
      <c r="U101" s="15" t="s">
        <v>876</v>
      </c>
      <c r="V101" s="60" t="s">
        <v>1081</v>
      </c>
      <c r="W101" s="15" t="s">
        <v>866</v>
      </c>
      <c r="X101" s="15" t="s">
        <v>307</v>
      </c>
      <c r="Y101" s="46" t="s">
        <v>591</v>
      </c>
      <c r="Z101" s="15"/>
      <c r="AA101" s="15"/>
      <c r="AB101" s="15"/>
      <c r="AC101" s="15"/>
      <c r="AD101" s="15"/>
      <c r="AE101" s="15"/>
      <c r="AF101" s="15"/>
      <c r="AG101" s="15"/>
      <c r="AH101" s="15" t="str">
        <f t="shared" si="65"/>
        <v>281619991</v>
      </c>
      <c r="AI101" s="21" t="str">
        <f t="shared" si="63"/>
        <v>alp_vw_dv360_imc_dsy_lanch_nd_nc_nvs_nivus-launch-consideracao-orca__configuracao_cpm_drct_all_728x90_lancamento-nivus-orca-rmkt-home-nivus_na_lancamento-consideracao-nivus-orca_nvl-nvs-imc-dsy-0820-10101</v>
      </c>
      <c r="AJ101" s="40" t="str">
        <f t="shared" si="63"/>
        <v>alp_vw_dv360_imc_dsy_lanch_nd_nc_nvs_nivus-launch-consideracao-orca__configuracao_cpm_drct_all_728x90_lancamento-nivus-orca-rmkt-home-nivus_na_lancamento-consideracao-nivus-orca_nvl-nvs-imc-dsy-0820-10101</v>
      </c>
      <c r="AK101" s="21" t="str">
        <f t="shared" si="41"/>
        <v>vw_nivus_728x90_lancamento-consideracao-nivus-orca_adserver</v>
      </c>
      <c r="AL101" s="21" t="str">
        <f t="shared" si="51"/>
        <v>https://www.vw.com.br/pt/configurador.html/__app/%2Fnivus/0.app?adlid=nvl-nvs-imc-dsy-0820-10101&amp;adplt=alp_vw_dv360_imc_dsy_lanch_nd_nc_nvs_nivus-launch-consideracao-orca__configuracao_cpm_drct_all_728x90_lancamento-nivus-orca-rmkt-home-nivus_na_lancamento-consideracao-nivus-orca_nvl-nvs-imc-dsy-0820-10101</v>
      </c>
      <c r="AM101" s="21" t="str">
        <f t="shared" si="42"/>
        <v>TAG</v>
      </c>
      <c r="AN101" s="15" t="str">
        <f t="shared" si="52"/>
        <v>DV360</v>
      </c>
      <c r="AO101" s="15" t="str">
        <f t="shared" si="53"/>
        <v>Paid-Display</v>
      </c>
      <c r="AP101" s="21" t="str">
        <f>Campanha!$B$3</f>
        <v>BR_IMC_DSY_LANCH_ND_NC_2020Q3AUG_NVS_Nivus-Launch-Consideracao-Orca</v>
      </c>
      <c r="AQ101" s="21" t="str">
        <f t="shared" si="43"/>
        <v>alp_vw_dv360_imc_dsy_lanch_nd_nc_nvs_nivus-launch-consideracao-orca__configuracao_cpm_drct_all_728x90_lancamento-nivus-orca-rmkt-home-nivus_na_lancamento-consideracao-nivus-orca_nvl-nvs-imc-dsy-0820-10101</v>
      </c>
      <c r="AR101" s="15" t="s">
        <v>745</v>
      </c>
      <c r="AS101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728x90_lancamento-nivus-orca-rmkt-home-nivus_na_lancamento-consideracao-nivus-orca_nvl-nvs-imc-dsy-0820-10101&amp;utm_campaign=BR_IMC_DSY_LANCH_ND_NC_2020Q3AUG_NVS_Nivus-Launch-Consideracao-Orca&amp;utm_term=%epid!_%ecid!_%eaid!</v>
      </c>
      <c r="AT101" s="15" t="str">
        <f t="shared" si="54"/>
        <v>other</v>
      </c>
      <c r="AU101" s="15" t="str">
        <f t="shared" si="45"/>
        <v>BR</v>
      </c>
      <c r="AV101" s="15" t="str">
        <f t="shared" si="55"/>
        <v>dv360</v>
      </c>
      <c r="AW101" s="15" t="str">
        <f t="shared" si="56"/>
        <v>dv360</v>
      </c>
      <c r="AX101" s="15" t="str">
        <f t="shared" si="46"/>
        <v>nivus-launch-consideracao-orca</v>
      </c>
      <c r="AY101" s="15" t="str">
        <f t="shared" si="57"/>
        <v>alp_vw_dv360_imc_dsy_lanch_nd_nc_nvs_nivus-launch-consideracao-orca__configuracao_cpm_drct_all_728x90_lancamento-nivus-orca-rmkt-home-nivus_na_lancamento-consideracao-nivus-orca_nvl-nvs-imc-dsy-0820-10101</v>
      </c>
      <c r="AZ101" s="15" t="str">
        <f t="shared" si="58"/>
        <v>728x90</v>
      </c>
      <c r="BA101" s="15" t="str">
        <f t="shared" si="59"/>
        <v>lancamento-consideracao-nivus-orca</v>
      </c>
      <c r="BB101" s="28" t="s">
        <v>798</v>
      </c>
      <c r="BC101" s="28" t="s">
        <v>798</v>
      </c>
      <c r="BD101" s="38" t="str">
        <f t="shared" si="60"/>
        <v>nvl-nvs-imc-dsy-0820-10101</v>
      </c>
      <c r="BE101" s="15" t="str">
        <f t="shared" si="61"/>
        <v>BR</v>
      </c>
      <c r="BF101" s="15" t="str">
        <f t="shared" si="62"/>
        <v>paid</v>
      </c>
      <c r="BG101" s="28"/>
      <c r="BH101" s="28"/>
      <c r="BI101" s="36" t="str">
        <f t="shared" si="47"/>
        <v>https://www.vw.com.br/pt/configurador.html/__app/%2Fnivus/0.app?adlid=nvl-nvs-imc-dsy-0820-10101&amp;adplt=alp_vw_dv360_imc_dsy_lanch_nd_nc_nvs_nivus-launch-consideracao-orca__configuracao_cpm_drct_all_728x90_lancamento-nivus-orca-rmkt-home-nivus_na_lancamento-consideracao-nivus-orca_nvl-nvs-imc-dsy-0820-10101</v>
      </c>
      <c r="BL101" t="str">
        <f t="shared" si="48"/>
        <v>alp_vw_dv360_imc_dsy_lanch_nd_nc_nvs_nivus-launch-consideracao-orca__configuracao</v>
      </c>
      <c r="BM101" t="str">
        <f t="shared" si="49"/>
        <v>cpm_drct_all_728x90_lancamento-nivus-orca-rmkt-home-nivus_na</v>
      </c>
      <c r="BN101" t="str">
        <f t="shared" si="50"/>
        <v>alp_vw_dv360_imc_dsy_lanch_nd_nc_nvs_nivus-launch-consideracao-orca__configuracao_cpm_drct_all_728x90_lancamento-nivus-orca-rmkt-home-nivus_na_generico_nvl-nvs-imc-dsy-0820-10101</v>
      </c>
    </row>
    <row r="102" spans="2:66" ht="15.75" customHeight="1" x14ac:dyDescent="0.25">
      <c r="B102" s="15" t="s">
        <v>1291</v>
      </c>
      <c r="C102" s="15" t="s">
        <v>1294</v>
      </c>
      <c r="D102" s="15"/>
      <c r="E102" s="22">
        <v>44069</v>
      </c>
      <c r="F102" s="22">
        <v>44135</v>
      </c>
      <c r="G102" s="15" t="s">
        <v>651</v>
      </c>
      <c r="H102" s="41" t="s">
        <v>1266</v>
      </c>
      <c r="I102" s="15" t="s">
        <v>801</v>
      </c>
      <c r="J102" s="42" t="s">
        <v>883</v>
      </c>
      <c r="K102" s="42" t="s">
        <v>883</v>
      </c>
      <c r="L102" s="15" t="s">
        <v>676</v>
      </c>
      <c r="M102" s="15" t="s">
        <v>276</v>
      </c>
      <c r="N102" s="15" t="s">
        <v>295</v>
      </c>
      <c r="O102" s="15" t="s">
        <v>677</v>
      </c>
      <c r="P102" s="15" t="str">
        <f>VLOOKUP(Y102,'All Codes'!$BF$3:$BG$278,2,FALSE)</f>
        <v>Leaderboard</v>
      </c>
      <c r="Q102" s="15" t="s">
        <v>179</v>
      </c>
      <c r="R102" s="15" t="s">
        <v>277</v>
      </c>
      <c r="S102" s="15" t="s">
        <v>874</v>
      </c>
      <c r="T102" s="46" t="s">
        <v>884</v>
      </c>
      <c r="U102" s="15" t="s">
        <v>876</v>
      </c>
      <c r="V102" s="60" t="s">
        <v>1081</v>
      </c>
      <c r="W102" s="15" t="s">
        <v>866</v>
      </c>
      <c r="X102" s="15" t="s">
        <v>307</v>
      </c>
      <c r="Y102" s="46" t="s">
        <v>629</v>
      </c>
      <c r="Z102" s="15"/>
      <c r="AA102" s="15"/>
      <c r="AB102" s="15"/>
      <c r="AC102" s="15"/>
      <c r="AD102" s="15"/>
      <c r="AE102" s="15"/>
      <c r="AF102" s="15"/>
      <c r="AG102" s="15"/>
      <c r="AH102" s="15" t="str">
        <f t="shared" si="65"/>
        <v>281619988</v>
      </c>
      <c r="AI102" s="21" t="str">
        <f t="shared" si="63"/>
        <v>alp_vw_dv360_imc_dsy_lanch_nd_nc_nvs_nivus-launch-consideracao-orca__configuracao_cpm_drct_all_970x250_lancamento-nivus-orca-rmkt-home-nivus_na_lancamento-consideracao-nivus-orca_nvl-nvs-imc-dsy-0820-10102</v>
      </c>
      <c r="AJ102" s="40" t="str">
        <f t="shared" si="63"/>
        <v>alp_vw_dv360_imc_dsy_lanch_nd_nc_nvs_nivus-launch-consideracao-orca__configuracao_cpm_drct_all_970x250_lancamento-nivus-orca-rmkt-home-nivus_na_lancamento-consideracao-nivus-orca_nvl-nvs-imc-dsy-0820-10102</v>
      </c>
      <c r="AK102" s="21" t="str">
        <f t="shared" si="41"/>
        <v>vw_nivus_970x250_lancamento-consideracao-nivus-orca_adserver</v>
      </c>
      <c r="AL102" s="21" t="str">
        <f t="shared" si="51"/>
        <v>https://www.vw.com.br/pt/configurador.html/__app/%2Fnivus/0.app?adlid=nvl-nvs-imc-dsy-0820-10102&amp;adplt=alp_vw_dv360_imc_dsy_lanch_nd_nc_nvs_nivus-launch-consideracao-orca__configuracao_cpm_drct_all_970x250_lancamento-nivus-orca-rmkt-home-nivus_na_lancamento-consideracao-nivus-orca_nvl-nvs-imc-dsy-0820-10102</v>
      </c>
      <c r="AM102" s="21" t="str">
        <f t="shared" si="42"/>
        <v>TAG</v>
      </c>
      <c r="AN102" s="15" t="str">
        <f t="shared" si="52"/>
        <v>DV360</v>
      </c>
      <c r="AO102" s="15" t="str">
        <f t="shared" si="53"/>
        <v>Paid-Display</v>
      </c>
      <c r="AP102" s="21" t="str">
        <f>Campanha!$B$3</f>
        <v>BR_IMC_DSY_LANCH_ND_NC_2020Q3AUG_NVS_Nivus-Launch-Consideracao-Orca</v>
      </c>
      <c r="AQ102" s="21" t="str">
        <f t="shared" si="43"/>
        <v>alp_vw_dv360_imc_dsy_lanch_nd_nc_nvs_nivus-launch-consideracao-orca__configuracao_cpm_drct_all_970x250_lancamento-nivus-orca-rmkt-home-nivus_na_lancamento-consideracao-nivus-orca_nvl-nvs-imc-dsy-0820-10102</v>
      </c>
      <c r="AR102" s="15" t="s">
        <v>745</v>
      </c>
      <c r="AS102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970x250_lancamento-nivus-orca-rmkt-home-nivus_na_lancamento-consideracao-nivus-orca_nvl-nvs-imc-dsy-0820-10102&amp;utm_campaign=BR_IMC_DSY_LANCH_ND_NC_2020Q3AUG_NVS_Nivus-Launch-Consideracao-Orca&amp;utm_term=%epid!_%ecid!_%eaid!</v>
      </c>
      <c r="AT102" s="15" t="str">
        <f t="shared" si="54"/>
        <v>other</v>
      </c>
      <c r="AU102" s="15" t="str">
        <f t="shared" si="45"/>
        <v>BR</v>
      </c>
      <c r="AV102" s="15" t="str">
        <f t="shared" si="55"/>
        <v>dv360</v>
      </c>
      <c r="AW102" s="15" t="str">
        <f t="shared" si="56"/>
        <v>dv360</v>
      </c>
      <c r="AX102" s="15" t="str">
        <f t="shared" si="46"/>
        <v>nivus-launch-consideracao-orca</v>
      </c>
      <c r="AY102" s="15" t="str">
        <f t="shared" si="57"/>
        <v>alp_vw_dv360_imc_dsy_lanch_nd_nc_nvs_nivus-launch-consideracao-orca__configuracao_cpm_drct_all_970x250_lancamento-nivus-orca-rmkt-home-nivus_na_lancamento-consideracao-nivus-orca_nvl-nvs-imc-dsy-0820-10102</v>
      </c>
      <c r="AZ102" s="15" t="str">
        <f t="shared" si="58"/>
        <v>970x250</v>
      </c>
      <c r="BA102" s="15" t="str">
        <f t="shared" si="59"/>
        <v>lancamento-consideracao-nivus-orca</v>
      </c>
      <c r="BB102" s="28" t="s">
        <v>798</v>
      </c>
      <c r="BC102" s="28" t="s">
        <v>798</v>
      </c>
      <c r="BD102" s="38" t="str">
        <f t="shared" si="60"/>
        <v>nvl-nvs-imc-dsy-0820-10102</v>
      </c>
      <c r="BE102" s="15" t="str">
        <f t="shared" si="61"/>
        <v>BR</v>
      </c>
      <c r="BF102" s="15" t="str">
        <f t="shared" si="62"/>
        <v>paid</v>
      </c>
      <c r="BG102" s="28"/>
      <c r="BH102" s="28"/>
      <c r="BI102" s="36" t="str">
        <f t="shared" si="47"/>
        <v>https://www.vw.com.br/pt/configurador.html/__app/%2Fnivus/0.app?adlid=nvl-nvs-imc-dsy-0820-10102&amp;adplt=alp_vw_dv360_imc_dsy_lanch_nd_nc_nvs_nivus-launch-consideracao-orca__configuracao_cpm_drct_all_970x250_lancamento-nivus-orca-rmkt-home-nivus_na_lancamento-consideracao-nivus-orca_nvl-nvs-imc-dsy-0820-10102</v>
      </c>
      <c r="BL102" t="str">
        <f t="shared" si="48"/>
        <v>alp_vw_dv360_imc_dsy_lanch_nd_nc_nvs_nivus-launch-consideracao-orca__configuracao</v>
      </c>
      <c r="BM102" t="str">
        <f t="shared" si="49"/>
        <v>cpm_drct_all_970x250_lancamento-nivus-orca-rmkt-home-nivus_na</v>
      </c>
      <c r="BN102" t="str">
        <f t="shared" si="50"/>
        <v>alp_vw_dv360_imc_dsy_lanch_nd_nc_nvs_nivus-launch-consideracao-orca__configuracao_cpm_drct_all_970x250_lancamento-nivus-orca-rmkt-home-nivus_na_generico_nvl-nvs-imc-dsy-0820-10102</v>
      </c>
    </row>
    <row r="103" spans="2:66" ht="15.75" customHeight="1" x14ac:dyDescent="0.25">
      <c r="B103" s="15" t="s">
        <v>1291</v>
      </c>
      <c r="C103" s="15" t="s">
        <v>1294</v>
      </c>
      <c r="D103" s="15"/>
      <c r="E103" s="22">
        <v>44069</v>
      </c>
      <c r="F103" s="22">
        <v>44135</v>
      </c>
      <c r="G103" s="15" t="s">
        <v>651</v>
      </c>
      <c r="H103" s="41" t="s">
        <v>1266</v>
      </c>
      <c r="I103" s="15" t="s">
        <v>801</v>
      </c>
      <c r="J103" s="42" t="s">
        <v>883</v>
      </c>
      <c r="K103" s="42" t="s">
        <v>883</v>
      </c>
      <c r="L103" s="15" t="s">
        <v>676</v>
      </c>
      <c r="M103" s="15" t="s">
        <v>276</v>
      </c>
      <c r="N103" s="15" t="s">
        <v>295</v>
      </c>
      <c r="O103" s="15" t="s">
        <v>677</v>
      </c>
      <c r="P103" s="15" t="str">
        <f>VLOOKUP(Y103,'All Codes'!$BF$3:$BG$278,2,FALSE)</f>
        <v>MPU</v>
      </c>
      <c r="Q103" s="15" t="s">
        <v>179</v>
      </c>
      <c r="R103" s="15" t="s">
        <v>277</v>
      </c>
      <c r="S103" s="15" t="s">
        <v>874</v>
      </c>
      <c r="T103" s="46" t="s">
        <v>884</v>
      </c>
      <c r="U103" s="15" t="s">
        <v>876</v>
      </c>
      <c r="V103" s="61" t="s">
        <v>1082</v>
      </c>
      <c r="W103" s="15" t="s">
        <v>866</v>
      </c>
      <c r="X103" s="15" t="s">
        <v>307</v>
      </c>
      <c r="Y103" s="46" t="s">
        <v>461</v>
      </c>
      <c r="Z103" s="15"/>
      <c r="AA103" s="15"/>
      <c r="AB103" s="15"/>
      <c r="AC103" s="15"/>
      <c r="AD103" s="15"/>
      <c r="AE103" s="15"/>
      <c r="AF103" s="15"/>
      <c r="AG103" s="15"/>
      <c r="AH103" s="15" t="str">
        <f t="shared" ref="AH103:AH109" si="66">VLOOKUP(AI103,id_placement,2,FALSE)</f>
        <v>281619985</v>
      </c>
      <c r="AI103" s="21" t="str">
        <f t="shared" si="63"/>
        <v>alp_vw_dv360_imc_dsy_lanch_nd_nc_nvs_nivus-launch-consideracao-orca__configuracao_cpm_drct_all_300x50_lancamento-nivus-orca-rmkt-complconfig_na_lancamento-consideracao-nivus-orca_nvl-nvs-imc-dsy-0820-10103</v>
      </c>
      <c r="AJ103" s="40" t="str">
        <f t="shared" si="63"/>
        <v>alp_vw_dv360_imc_dsy_lanch_nd_nc_nvs_nivus-launch-consideracao-orca__configuracao_cpm_drct_all_300x50_lancamento-nivus-orca-rmkt-complconfig_na_lancamento-consideracao-nivus-orca_nvl-nvs-imc-dsy-0820-10103</v>
      </c>
      <c r="AK103" s="21" t="str">
        <f t="shared" si="41"/>
        <v>vw_nivus_300x50_lancamento-consideracao-nivus-orca_adserver</v>
      </c>
      <c r="AL103" s="21" t="str">
        <f t="shared" si="51"/>
        <v>https://www.vw.com.br/pt/configurador.html/__app/%2Fnivus/0.app?adlid=nvl-nvs-imc-dsy-0820-10103&amp;adplt=alp_vw_dv360_imc_dsy_lanch_nd_nc_nvs_nivus-launch-consideracao-orca__configuracao_cpm_drct_all_300x50_lancamento-nivus-orca-rmkt-complconfig_na_lancamento-consideracao-nivus-orca_nvl-nvs-imc-dsy-0820-10103</v>
      </c>
      <c r="AM103" s="21" t="str">
        <f t="shared" si="42"/>
        <v>TAG</v>
      </c>
      <c r="AN103" s="15" t="str">
        <f t="shared" si="52"/>
        <v>DV360</v>
      </c>
      <c r="AO103" s="15" t="str">
        <f t="shared" si="53"/>
        <v>Paid-Display</v>
      </c>
      <c r="AP103" s="21" t="str">
        <f>Campanha!$B$3</f>
        <v>BR_IMC_DSY_LANCH_ND_NC_2020Q3AUG_NVS_Nivus-Launch-Consideracao-Orca</v>
      </c>
      <c r="AQ103" s="21" t="str">
        <f t="shared" si="43"/>
        <v>alp_vw_dv360_imc_dsy_lanch_nd_nc_nvs_nivus-launch-consideracao-orca__configuracao_cpm_drct_all_300x50_lancamento-nivus-orca-rmkt-complconfig_na_lancamento-consideracao-nivus-orca_nvl-nvs-imc-dsy-0820-10103</v>
      </c>
      <c r="AR103" s="15" t="s">
        <v>745</v>
      </c>
      <c r="AS103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rmkt-complconfig_na_lancamento-consideracao-nivus-orca_nvl-nvs-imc-dsy-0820-10103&amp;utm_campaign=BR_IMC_DSY_LANCH_ND_NC_2020Q3AUG_NVS_Nivus-Launch-Consideracao-Orca&amp;utm_term=%epid!_%ecid!_%eaid!</v>
      </c>
      <c r="AT103" s="15" t="str">
        <f t="shared" si="54"/>
        <v>other</v>
      </c>
      <c r="AU103" s="15" t="str">
        <f t="shared" si="45"/>
        <v>BR</v>
      </c>
      <c r="AV103" s="15" t="str">
        <f t="shared" si="55"/>
        <v>dv360</v>
      </c>
      <c r="AW103" s="15" t="str">
        <f t="shared" si="56"/>
        <v>dv360</v>
      </c>
      <c r="AX103" s="15" t="str">
        <f t="shared" si="46"/>
        <v>nivus-launch-consideracao-orca</v>
      </c>
      <c r="AY103" s="15" t="str">
        <f t="shared" si="57"/>
        <v>alp_vw_dv360_imc_dsy_lanch_nd_nc_nvs_nivus-launch-consideracao-orca__configuracao_cpm_drct_all_300x50_lancamento-nivus-orca-rmkt-complconfig_na_lancamento-consideracao-nivus-orca_nvl-nvs-imc-dsy-0820-10103</v>
      </c>
      <c r="AZ103" s="15" t="str">
        <f t="shared" si="58"/>
        <v>300x50</v>
      </c>
      <c r="BA103" s="15" t="str">
        <f t="shared" si="59"/>
        <v>lancamento-consideracao-nivus-orca</v>
      </c>
      <c r="BB103" s="28" t="s">
        <v>798</v>
      </c>
      <c r="BC103" s="28" t="s">
        <v>798</v>
      </c>
      <c r="BD103" s="38" t="str">
        <f t="shared" si="60"/>
        <v>nvl-nvs-imc-dsy-0820-10103</v>
      </c>
      <c r="BE103" s="15" t="str">
        <f t="shared" si="61"/>
        <v>BR</v>
      </c>
      <c r="BF103" s="15" t="str">
        <f t="shared" si="62"/>
        <v>paid</v>
      </c>
      <c r="BG103" s="28"/>
      <c r="BH103" s="28"/>
      <c r="BI103" s="36" t="str">
        <f t="shared" si="47"/>
        <v>https://www.vw.com.br/pt/configurador.html/__app/%2Fnivus/0.app?adlid=nvl-nvs-imc-dsy-0820-10103&amp;adplt=alp_vw_dv360_imc_dsy_lanch_nd_nc_nvs_nivus-launch-consideracao-orca__configuracao_cpm_drct_all_300x50_lancamento-nivus-orca-rmkt-complconfig_na_lancamento-consideracao-nivus-orca_nvl-nvs-imc-dsy-0820-10103</v>
      </c>
      <c r="BL103" t="str">
        <f t="shared" si="48"/>
        <v>alp_vw_dv360_imc_dsy_lanch_nd_nc_nvs_nivus-launch-consideracao-orca__configuracao</v>
      </c>
      <c r="BM103" t="str">
        <f t="shared" si="49"/>
        <v>cpm_drct_all_300x50_lancamento-nivus-orca-rmkt-complconfig_na</v>
      </c>
      <c r="BN103" t="str">
        <f t="shared" si="50"/>
        <v>alp_vw_dv360_imc_dsy_lanch_nd_nc_nvs_nivus-launch-consideracao-orca__configuracao_cpm_drct_all_300x50_lancamento-nivus-orca-rmkt-complconfig_na_generico_nvl-nvs-imc-dsy-0820-10103</v>
      </c>
    </row>
    <row r="104" spans="2:66" ht="15.75" customHeight="1" x14ac:dyDescent="0.25">
      <c r="B104" s="15" t="s">
        <v>1291</v>
      </c>
      <c r="C104" s="15" t="s">
        <v>1294</v>
      </c>
      <c r="D104" s="15"/>
      <c r="E104" s="22">
        <v>44069</v>
      </c>
      <c r="F104" s="22">
        <v>44135</v>
      </c>
      <c r="G104" s="15" t="s">
        <v>651</v>
      </c>
      <c r="H104" s="41" t="s">
        <v>1266</v>
      </c>
      <c r="I104" s="15" t="s">
        <v>801</v>
      </c>
      <c r="J104" s="42" t="s">
        <v>883</v>
      </c>
      <c r="K104" s="42" t="s">
        <v>883</v>
      </c>
      <c r="L104" s="15" t="s">
        <v>676</v>
      </c>
      <c r="M104" s="15" t="s">
        <v>276</v>
      </c>
      <c r="N104" s="15" t="s">
        <v>295</v>
      </c>
      <c r="O104" s="15" t="s">
        <v>677</v>
      </c>
      <c r="P104" s="15" t="str">
        <f>VLOOKUP(Y104,'All Codes'!$BF$3:$BG$278,2,FALSE)</f>
        <v>Skyscraper</v>
      </c>
      <c r="Q104" s="15" t="s">
        <v>179</v>
      </c>
      <c r="R104" s="15" t="s">
        <v>277</v>
      </c>
      <c r="S104" s="15" t="s">
        <v>874</v>
      </c>
      <c r="T104" s="46" t="s">
        <v>884</v>
      </c>
      <c r="U104" s="15" t="s">
        <v>876</v>
      </c>
      <c r="V104" s="61" t="s">
        <v>1082</v>
      </c>
      <c r="W104" s="15" t="s">
        <v>866</v>
      </c>
      <c r="X104" s="15" t="s">
        <v>307</v>
      </c>
      <c r="Y104" s="46" t="s">
        <v>434</v>
      </c>
      <c r="Z104" s="15"/>
      <c r="AA104" s="15"/>
      <c r="AB104" s="15"/>
      <c r="AC104" s="15"/>
      <c r="AD104" s="15"/>
      <c r="AE104" s="15"/>
      <c r="AF104" s="15"/>
      <c r="AG104" s="15"/>
      <c r="AH104" s="15" t="str">
        <f t="shared" si="66"/>
        <v>281619982</v>
      </c>
      <c r="AI104" s="21" t="str">
        <f t="shared" si="63"/>
        <v>alp_vw_dv360_imc_dsy_lanch_nd_nc_nvs_nivus-launch-consideracao-orca__configuracao_cpm_drct_all_160x600_lancamento-nivus-orca-rmkt-complconfig_na_lancamento-consideracao-nivus-orca_nvl-nvs-imc-dsy-0820-10104</v>
      </c>
      <c r="AJ104" s="40" t="str">
        <f t="shared" si="63"/>
        <v>alp_vw_dv360_imc_dsy_lanch_nd_nc_nvs_nivus-launch-consideracao-orca__configuracao_cpm_drct_all_160x600_lancamento-nivus-orca-rmkt-complconfig_na_lancamento-consideracao-nivus-orca_nvl-nvs-imc-dsy-0820-10104</v>
      </c>
      <c r="AK104" s="21" t="str">
        <f t="shared" si="41"/>
        <v>vw_nivus_160x600_lancamento-consideracao-nivus-orca_adserver</v>
      </c>
      <c r="AL104" s="21" t="str">
        <f t="shared" si="51"/>
        <v>https://www.vw.com.br/pt/configurador.html/__app/%2Fnivus/0.app?adlid=nvl-nvs-imc-dsy-0820-10104&amp;adplt=alp_vw_dv360_imc_dsy_lanch_nd_nc_nvs_nivus-launch-consideracao-orca__configuracao_cpm_drct_all_160x600_lancamento-nivus-orca-rmkt-complconfig_na_lancamento-consideracao-nivus-orca_nvl-nvs-imc-dsy-0820-10104</v>
      </c>
      <c r="AM104" s="21" t="str">
        <f t="shared" si="42"/>
        <v>TAG</v>
      </c>
      <c r="AN104" s="15" t="str">
        <f t="shared" si="52"/>
        <v>DV360</v>
      </c>
      <c r="AO104" s="15" t="str">
        <f t="shared" si="53"/>
        <v>Paid-Display</v>
      </c>
      <c r="AP104" s="21" t="str">
        <f>Campanha!$B$3</f>
        <v>BR_IMC_DSY_LANCH_ND_NC_2020Q3AUG_NVS_Nivus-Launch-Consideracao-Orca</v>
      </c>
      <c r="AQ104" s="21" t="str">
        <f t="shared" si="43"/>
        <v>alp_vw_dv360_imc_dsy_lanch_nd_nc_nvs_nivus-launch-consideracao-orca__configuracao_cpm_drct_all_160x600_lancamento-nivus-orca-rmkt-complconfig_na_lancamento-consideracao-nivus-orca_nvl-nvs-imc-dsy-0820-10104</v>
      </c>
      <c r="AR104" s="15" t="s">
        <v>745</v>
      </c>
      <c r="AS104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rmkt-complconfig_na_lancamento-consideracao-nivus-orca_nvl-nvs-imc-dsy-0820-10104&amp;utm_campaign=BR_IMC_DSY_LANCH_ND_NC_2020Q3AUG_NVS_Nivus-Launch-Consideracao-Orca&amp;utm_term=%epid!_%ecid!_%eaid!</v>
      </c>
      <c r="AT104" s="15" t="str">
        <f t="shared" si="54"/>
        <v>other</v>
      </c>
      <c r="AU104" s="15" t="str">
        <f t="shared" si="45"/>
        <v>BR</v>
      </c>
      <c r="AV104" s="15" t="str">
        <f t="shared" si="55"/>
        <v>dv360</v>
      </c>
      <c r="AW104" s="15" t="str">
        <f t="shared" si="56"/>
        <v>dv360</v>
      </c>
      <c r="AX104" s="15" t="str">
        <f t="shared" si="46"/>
        <v>nivus-launch-consideracao-orca</v>
      </c>
      <c r="AY104" s="15" t="str">
        <f t="shared" si="57"/>
        <v>alp_vw_dv360_imc_dsy_lanch_nd_nc_nvs_nivus-launch-consideracao-orca__configuracao_cpm_drct_all_160x600_lancamento-nivus-orca-rmkt-complconfig_na_lancamento-consideracao-nivus-orca_nvl-nvs-imc-dsy-0820-10104</v>
      </c>
      <c r="AZ104" s="15" t="str">
        <f t="shared" si="58"/>
        <v>160x600</v>
      </c>
      <c r="BA104" s="15" t="str">
        <f t="shared" si="59"/>
        <v>lancamento-consideracao-nivus-orca</v>
      </c>
      <c r="BB104" s="28" t="s">
        <v>798</v>
      </c>
      <c r="BC104" s="28" t="s">
        <v>798</v>
      </c>
      <c r="BD104" s="38" t="str">
        <f t="shared" si="60"/>
        <v>nvl-nvs-imc-dsy-0820-10104</v>
      </c>
      <c r="BE104" s="15" t="str">
        <f t="shared" si="61"/>
        <v>BR</v>
      </c>
      <c r="BF104" s="15" t="str">
        <f t="shared" si="62"/>
        <v>paid</v>
      </c>
      <c r="BG104" s="28"/>
      <c r="BH104" s="28"/>
      <c r="BI104" s="36" t="str">
        <f t="shared" si="47"/>
        <v>https://www.vw.com.br/pt/configurador.html/__app/%2Fnivus/0.app?adlid=nvl-nvs-imc-dsy-0820-10104&amp;adplt=alp_vw_dv360_imc_dsy_lanch_nd_nc_nvs_nivus-launch-consideracao-orca__configuracao_cpm_drct_all_160x600_lancamento-nivus-orca-rmkt-complconfig_na_lancamento-consideracao-nivus-orca_nvl-nvs-imc-dsy-0820-10104</v>
      </c>
      <c r="BL104" t="str">
        <f t="shared" si="48"/>
        <v>alp_vw_dv360_imc_dsy_lanch_nd_nc_nvs_nivus-launch-consideracao-orca__configuracao</v>
      </c>
      <c r="BM104" t="str">
        <f t="shared" si="49"/>
        <v>cpm_drct_all_160x600_lancamento-nivus-orca-rmkt-complconfig_na</v>
      </c>
      <c r="BN104" t="str">
        <f t="shared" si="50"/>
        <v>alp_vw_dv360_imc_dsy_lanch_nd_nc_nvs_nivus-launch-consideracao-orca__configuracao_cpm_drct_all_160x600_lancamento-nivus-orca-rmkt-complconfig_na_generico_nvl-nvs-imc-dsy-0820-10104</v>
      </c>
    </row>
    <row r="105" spans="2:66" ht="15.75" customHeight="1" x14ac:dyDescent="0.25">
      <c r="B105" s="15" t="s">
        <v>1291</v>
      </c>
      <c r="C105" s="15" t="s">
        <v>1294</v>
      </c>
      <c r="D105" s="15"/>
      <c r="E105" s="22">
        <v>44069</v>
      </c>
      <c r="F105" s="22">
        <v>44135</v>
      </c>
      <c r="G105" s="15" t="s">
        <v>651</v>
      </c>
      <c r="H105" s="41" t="s">
        <v>1266</v>
      </c>
      <c r="I105" s="15" t="s">
        <v>801</v>
      </c>
      <c r="J105" s="42" t="s">
        <v>883</v>
      </c>
      <c r="K105" s="42" t="s">
        <v>883</v>
      </c>
      <c r="L105" s="15" t="s">
        <v>676</v>
      </c>
      <c r="M105" s="15" t="s">
        <v>276</v>
      </c>
      <c r="N105" s="15" t="s">
        <v>295</v>
      </c>
      <c r="O105" s="15" t="s">
        <v>677</v>
      </c>
      <c r="P105" s="15" t="str">
        <f>VLOOKUP(Y105,'All Codes'!$BF$3:$BG$278,2,FALSE)</f>
        <v>MPU</v>
      </c>
      <c r="Q105" s="15" t="s">
        <v>179</v>
      </c>
      <c r="R105" s="15" t="s">
        <v>277</v>
      </c>
      <c r="S105" s="15" t="s">
        <v>874</v>
      </c>
      <c r="T105" s="46" t="s">
        <v>884</v>
      </c>
      <c r="U105" s="15" t="s">
        <v>876</v>
      </c>
      <c r="V105" s="61" t="s">
        <v>1082</v>
      </c>
      <c r="W105" s="15" t="s">
        <v>866</v>
      </c>
      <c r="X105" s="15" t="s">
        <v>307</v>
      </c>
      <c r="Y105" s="46" t="s">
        <v>455</v>
      </c>
      <c r="Z105" s="15"/>
      <c r="AA105" s="15"/>
      <c r="AB105" s="15"/>
      <c r="AC105" s="15"/>
      <c r="AD105" s="15"/>
      <c r="AE105" s="15"/>
      <c r="AF105" s="15"/>
      <c r="AG105" s="15"/>
      <c r="AH105" s="15" t="str">
        <f t="shared" si="66"/>
        <v>281619979</v>
      </c>
      <c r="AI105" s="21" t="str">
        <f t="shared" si="63"/>
        <v>alp_vw_dv360_imc_dsy_lanch_nd_nc_nvs_nivus-launch-consideracao-orca__configuracao_cpm_drct_all_300x250_lancamento-nivus-orca-rmkt-complconfig_na_lancamento-consideracao-nivus-orca_nvl-nvs-imc-dsy-0820-10105</v>
      </c>
      <c r="AJ105" s="40" t="str">
        <f t="shared" si="63"/>
        <v>alp_vw_dv360_imc_dsy_lanch_nd_nc_nvs_nivus-launch-consideracao-orca__configuracao_cpm_drct_all_300x250_lancamento-nivus-orca-rmkt-complconfig_na_lancamento-consideracao-nivus-orca_nvl-nvs-imc-dsy-0820-10105</v>
      </c>
      <c r="AK105" s="21" t="str">
        <f t="shared" si="41"/>
        <v>vw_nivus_300x250_lancamento-consideracao-nivus-orca_adserver</v>
      </c>
      <c r="AL105" s="21" t="str">
        <f t="shared" si="51"/>
        <v>https://www.vw.com.br/pt/configurador.html/__app/%2Fnivus/0.app?adlid=nvl-nvs-imc-dsy-0820-10105&amp;adplt=alp_vw_dv360_imc_dsy_lanch_nd_nc_nvs_nivus-launch-consideracao-orca__configuracao_cpm_drct_all_300x250_lancamento-nivus-orca-rmkt-complconfig_na_lancamento-consideracao-nivus-orca_nvl-nvs-imc-dsy-0820-10105</v>
      </c>
      <c r="AM105" s="21" t="str">
        <f t="shared" si="42"/>
        <v>TAG</v>
      </c>
      <c r="AN105" s="15" t="str">
        <f t="shared" si="52"/>
        <v>DV360</v>
      </c>
      <c r="AO105" s="15" t="str">
        <f t="shared" si="53"/>
        <v>Paid-Display</v>
      </c>
      <c r="AP105" s="21" t="str">
        <f>Campanha!$B$3</f>
        <v>BR_IMC_DSY_LANCH_ND_NC_2020Q3AUG_NVS_Nivus-Launch-Consideracao-Orca</v>
      </c>
      <c r="AQ105" s="21" t="str">
        <f t="shared" si="43"/>
        <v>alp_vw_dv360_imc_dsy_lanch_nd_nc_nvs_nivus-launch-consideracao-orca__configuracao_cpm_drct_all_300x250_lancamento-nivus-orca-rmkt-complconfig_na_lancamento-consideracao-nivus-orca_nvl-nvs-imc-dsy-0820-10105</v>
      </c>
      <c r="AR105" s="15" t="s">
        <v>745</v>
      </c>
      <c r="AS105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250_lancamento-nivus-orca-rmkt-complconfig_na_lancamento-consideracao-nivus-orca_nvl-nvs-imc-dsy-0820-10105&amp;utm_campaign=BR_IMC_DSY_LANCH_ND_NC_2020Q3AUG_NVS_Nivus-Launch-Consideracao-Orca&amp;utm_term=%epid!_%ecid!_%eaid!</v>
      </c>
      <c r="AT105" s="15" t="str">
        <f t="shared" si="54"/>
        <v>other</v>
      </c>
      <c r="AU105" s="15" t="str">
        <f t="shared" si="45"/>
        <v>BR</v>
      </c>
      <c r="AV105" s="15" t="str">
        <f t="shared" si="55"/>
        <v>dv360</v>
      </c>
      <c r="AW105" s="15" t="str">
        <f t="shared" si="56"/>
        <v>dv360</v>
      </c>
      <c r="AX105" s="15" t="str">
        <f t="shared" si="46"/>
        <v>nivus-launch-consideracao-orca</v>
      </c>
      <c r="AY105" s="15" t="str">
        <f t="shared" si="57"/>
        <v>alp_vw_dv360_imc_dsy_lanch_nd_nc_nvs_nivus-launch-consideracao-orca__configuracao_cpm_drct_all_300x250_lancamento-nivus-orca-rmkt-complconfig_na_lancamento-consideracao-nivus-orca_nvl-nvs-imc-dsy-0820-10105</v>
      </c>
      <c r="AZ105" s="15" t="str">
        <f t="shared" si="58"/>
        <v>300x250</v>
      </c>
      <c r="BA105" s="15" t="str">
        <f t="shared" si="59"/>
        <v>lancamento-consideracao-nivus-orca</v>
      </c>
      <c r="BB105" s="28" t="s">
        <v>798</v>
      </c>
      <c r="BC105" s="28" t="s">
        <v>798</v>
      </c>
      <c r="BD105" s="38" t="str">
        <f t="shared" si="60"/>
        <v>nvl-nvs-imc-dsy-0820-10105</v>
      </c>
      <c r="BE105" s="15" t="str">
        <f t="shared" si="61"/>
        <v>BR</v>
      </c>
      <c r="BF105" s="15" t="str">
        <f t="shared" si="62"/>
        <v>paid</v>
      </c>
      <c r="BG105" s="28"/>
      <c r="BH105" s="28"/>
      <c r="BI105" s="36" t="str">
        <f t="shared" si="47"/>
        <v>https://www.vw.com.br/pt/configurador.html/__app/%2Fnivus/0.app?adlid=nvl-nvs-imc-dsy-0820-10105&amp;adplt=alp_vw_dv360_imc_dsy_lanch_nd_nc_nvs_nivus-launch-consideracao-orca__configuracao_cpm_drct_all_300x250_lancamento-nivus-orca-rmkt-complconfig_na_lancamento-consideracao-nivus-orca_nvl-nvs-imc-dsy-0820-10105</v>
      </c>
      <c r="BL105" t="str">
        <f t="shared" si="48"/>
        <v>alp_vw_dv360_imc_dsy_lanch_nd_nc_nvs_nivus-launch-consideracao-orca__configuracao</v>
      </c>
      <c r="BM105" t="str">
        <f t="shared" si="49"/>
        <v>cpm_drct_all_300x250_lancamento-nivus-orca-rmkt-complconfig_na</v>
      </c>
      <c r="BN105" t="str">
        <f t="shared" si="50"/>
        <v>alp_vw_dv360_imc_dsy_lanch_nd_nc_nvs_nivus-launch-consideracao-orca__configuracao_cpm_drct_all_300x250_lancamento-nivus-orca-rmkt-complconfig_na_generico_nvl-nvs-imc-dsy-0820-10105</v>
      </c>
    </row>
    <row r="106" spans="2:66" ht="15.75" customHeight="1" x14ac:dyDescent="0.25">
      <c r="B106" s="15" t="s">
        <v>1291</v>
      </c>
      <c r="C106" s="15" t="s">
        <v>1294</v>
      </c>
      <c r="D106" s="15"/>
      <c r="E106" s="22">
        <v>44069</v>
      </c>
      <c r="F106" s="22">
        <v>44135</v>
      </c>
      <c r="G106" s="15" t="s">
        <v>651</v>
      </c>
      <c r="H106" s="41" t="s">
        <v>1266</v>
      </c>
      <c r="I106" s="15" t="s">
        <v>801</v>
      </c>
      <c r="J106" s="42" t="s">
        <v>883</v>
      </c>
      <c r="K106" s="42" t="s">
        <v>883</v>
      </c>
      <c r="L106" s="15" t="s">
        <v>676</v>
      </c>
      <c r="M106" s="15" t="s">
        <v>276</v>
      </c>
      <c r="N106" s="15" t="s">
        <v>295</v>
      </c>
      <c r="O106" s="15" t="s">
        <v>677</v>
      </c>
      <c r="P106" s="15" t="str">
        <f>VLOOKUP(Y106,'All Codes'!$BF$3:$BG$278,2,FALSE)</f>
        <v>Skyscraper</v>
      </c>
      <c r="Q106" s="15" t="s">
        <v>179</v>
      </c>
      <c r="R106" s="15" t="s">
        <v>277</v>
      </c>
      <c r="S106" s="15" t="s">
        <v>874</v>
      </c>
      <c r="T106" s="46" t="s">
        <v>884</v>
      </c>
      <c r="U106" s="15" t="s">
        <v>876</v>
      </c>
      <c r="V106" s="61" t="s">
        <v>1082</v>
      </c>
      <c r="W106" s="15" t="s">
        <v>866</v>
      </c>
      <c r="X106" s="15" t="s">
        <v>307</v>
      </c>
      <c r="Y106" s="46" t="s">
        <v>464</v>
      </c>
      <c r="Z106" s="15"/>
      <c r="AA106" s="15"/>
      <c r="AB106" s="15"/>
      <c r="AC106" s="15"/>
      <c r="AD106" s="15"/>
      <c r="AE106" s="15"/>
      <c r="AF106" s="15"/>
      <c r="AG106" s="15"/>
      <c r="AH106" s="15" t="str">
        <f t="shared" si="66"/>
        <v>281619976</v>
      </c>
      <c r="AI106" s="21" t="str">
        <f t="shared" si="63"/>
        <v>alp_vw_dv360_imc_dsy_lanch_nd_nc_nvs_nivus-launch-consideracao-orca__configuracao_cpm_drct_all_300x600_lancamento-nivus-orca-rmkt-complconfig_na_lancamento-consideracao-nivus-orca_nvl-nvs-imc-dsy-0820-10106</v>
      </c>
      <c r="AJ106" s="40" t="str">
        <f t="shared" si="63"/>
        <v>alp_vw_dv360_imc_dsy_lanch_nd_nc_nvs_nivus-launch-consideracao-orca__configuracao_cpm_drct_all_300x600_lancamento-nivus-orca-rmkt-complconfig_na_lancamento-consideracao-nivus-orca_nvl-nvs-imc-dsy-0820-10106</v>
      </c>
      <c r="AK106" s="21" t="str">
        <f t="shared" si="41"/>
        <v>vw_nivus_300x600_lancamento-consideracao-nivus-orca_adserver</v>
      </c>
      <c r="AL106" s="21" t="str">
        <f t="shared" si="51"/>
        <v>https://www.vw.com.br/pt/configurador.html/__app/%2Fnivus/0.app?adlid=nvl-nvs-imc-dsy-0820-10106&amp;adplt=alp_vw_dv360_imc_dsy_lanch_nd_nc_nvs_nivus-launch-consideracao-orca__configuracao_cpm_drct_all_300x600_lancamento-nivus-orca-rmkt-complconfig_na_lancamento-consideracao-nivus-orca_nvl-nvs-imc-dsy-0820-10106</v>
      </c>
      <c r="AM106" s="21" t="str">
        <f t="shared" si="42"/>
        <v>TAG</v>
      </c>
      <c r="AN106" s="15" t="str">
        <f t="shared" si="52"/>
        <v>DV360</v>
      </c>
      <c r="AO106" s="15" t="str">
        <f t="shared" si="53"/>
        <v>Paid-Display</v>
      </c>
      <c r="AP106" s="21" t="str">
        <f>Campanha!$B$3</f>
        <v>BR_IMC_DSY_LANCH_ND_NC_2020Q3AUG_NVS_Nivus-Launch-Consideracao-Orca</v>
      </c>
      <c r="AQ106" s="21" t="str">
        <f t="shared" si="43"/>
        <v>alp_vw_dv360_imc_dsy_lanch_nd_nc_nvs_nivus-launch-consideracao-orca__configuracao_cpm_drct_all_300x600_lancamento-nivus-orca-rmkt-complconfig_na_lancamento-consideracao-nivus-orca_nvl-nvs-imc-dsy-0820-10106</v>
      </c>
      <c r="AR106" s="15" t="s">
        <v>745</v>
      </c>
      <c r="AS106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600_lancamento-nivus-orca-rmkt-complconfig_na_lancamento-consideracao-nivus-orca_nvl-nvs-imc-dsy-0820-10106&amp;utm_campaign=BR_IMC_DSY_LANCH_ND_NC_2020Q3AUG_NVS_Nivus-Launch-Consideracao-Orca&amp;utm_term=%epid!_%ecid!_%eaid!</v>
      </c>
      <c r="AT106" s="15" t="str">
        <f t="shared" si="54"/>
        <v>other</v>
      </c>
      <c r="AU106" s="15" t="str">
        <f t="shared" si="45"/>
        <v>BR</v>
      </c>
      <c r="AV106" s="15" t="str">
        <f t="shared" si="55"/>
        <v>dv360</v>
      </c>
      <c r="AW106" s="15" t="str">
        <f t="shared" si="56"/>
        <v>dv360</v>
      </c>
      <c r="AX106" s="15" t="str">
        <f t="shared" si="46"/>
        <v>nivus-launch-consideracao-orca</v>
      </c>
      <c r="AY106" s="15" t="str">
        <f t="shared" si="57"/>
        <v>alp_vw_dv360_imc_dsy_lanch_nd_nc_nvs_nivus-launch-consideracao-orca__configuracao_cpm_drct_all_300x600_lancamento-nivus-orca-rmkt-complconfig_na_lancamento-consideracao-nivus-orca_nvl-nvs-imc-dsy-0820-10106</v>
      </c>
      <c r="AZ106" s="15" t="str">
        <f t="shared" si="58"/>
        <v>300x600</v>
      </c>
      <c r="BA106" s="15" t="str">
        <f t="shared" si="59"/>
        <v>lancamento-consideracao-nivus-orca</v>
      </c>
      <c r="BB106" s="28" t="s">
        <v>798</v>
      </c>
      <c r="BC106" s="28" t="s">
        <v>798</v>
      </c>
      <c r="BD106" s="38" t="str">
        <f t="shared" si="60"/>
        <v>nvl-nvs-imc-dsy-0820-10106</v>
      </c>
      <c r="BE106" s="15" t="str">
        <f t="shared" si="61"/>
        <v>BR</v>
      </c>
      <c r="BF106" s="15" t="str">
        <f t="shared" si="62"/>
        <v>paid</v>
      </c>
      <c r="BG106" s="28"/>
      <c r="BH106" s="28"/>
      <c r="BI106" s="36" t="str">
        <f t="shared" si="47"/>
        <v>https://www.vw.com.br/pt/configurador.html/__app/%2Fnivus/0.app?adlid=nvl-nvs-imc-dsy-0820-10106&amp;adplt=alp_vw_dv360_imc_dsy_lanch_nd_nc_nvs_nivus-launch-consideracao-orca__configuracao_cpm_drct_all_300x600_lancamento-nivus-orca-rmkt-complconfig_na_lancamento-consideracao-nivus-orca_nvl-nvs-imc-dsy-0820-10106</v>
      </c>
      <c r="BL106" t="str">
        <f t="shared" si="48"/>
        <v>alp_vw_dv360_imc_dsy_lanch_nd_nc_nvs_nivus-launch-consideracao-orca__configuracao</v>
      </c>
      <c r="BM106" t="str">
        <f t="shared" si="49"/>
        <v>cpm_drct_all_300x600_lancamento-nivus-orca-rmkt-complconfig_na</v>
      </c>
      <c r="BN106" t="str">
        <f t="shared" si="50"/>
        <v>alp_vw_dv360_imc_dsy_lanch_nd_nc_nvs_nivus-launch-consideracao-orca__configuracao_cpm_drct_all_300x600_lancamento-nivus-orca-rmkt-complconfig_na_generico_nvl-nvs-imc-dsy-0820-10106</v>
      </c>
    </row>
    <row r="107" spans="2:66" ht="15.75" customHeight="1" x14ac:dyDescent="0.25">
      <c r="B107" s="15" t="s">
        <v>1291</v>
      </c>
      <c r="C107" s="15" t="s">
        <v>1294</v>
      </c>
      <c r="D107" s="15"/>
      <c r="E107" s="22">
        <v>44069</v>
      </c>
      <c r="F107" s="22">
        <v>44135</v>
      </c>
      <c r="G107" s="15" t="s">
        <v>651</v>
      </c>
      <c r="H107" s="41" t="s">
        <v>1266</v>
      </c>
      <c r="I107" s="15" t="s">
        <v>801</v>
      </c>
      <c r="J107" s="42" t="s">
        <v>883</v>
      </c>
      <c r="K107" s="42" t="s">
        <v>883</v>
      </c>
      <c r="L107" s="15" t="s">
        <v>676</v>
      </c>
      <c r="M107" s="15" t="s">
        <v>276</v>
      </c>
      <c r="N107" s="15" t="s">
        <v>295</v>
      </c>
      <c r="O107" s="15" t="s">
        <v>677</v>
      </c>
      <c r="P107" s="15" t="str">
        <f>VLOOKUP(Y107,'All Codes'!$BF$3:$BG$278,2,FALSE)</f>
        <v>MPU</v>
      </c>
      <c r="Q107" s="15" t="s">
        <v>179</v>
      </c>
      <c r="R107" s="15" t="s">
        <v>277</v>
      </c>
      <c r="S107" s="15" t="s">
        <v>874</v>
      </c>
      <c r="T107" s="46" t="s">
        <v>884</v>
      </c>
      <c r="U107" s="15" t="s">
        <v>876</v>
      </c>
      <c r="V107" s="61" t="s">
        <v>1082</v>
      </c>
      <c r="W107" s="15" t="s">
        <v>866</v>
      </c>
      <c r="X107" s="15" t="s">
        <v>307</v>
      </c>
      <c r="Y107" s="46" t="s">
        <v>479</v>
      </c>
      <c r="Z107" s="15"/>
      <c r="AA107" s="15"/>
      <c r="AB107" s="15"/>
      <c r="AC107" s="15"/>
      <c r="AD107" s="15"/>
      <c r="AE107" s="15"/>
      <c r="AF107" s="15"/>
      <c r="AG107" s="15"/>
      <c r="AH107" s="15" t="str">
        <f t="shared" si="66"/>
        <v>281619973</v>
      </c>
      <c r="AI107" s="21" t="str">
        <f t="shared" si="63"/>
        <v>alp_vw_dv360_imc_dsy_lanch_nd_nc_nvs_nivus-launch-consideracao-orca__configuracao_cpm_drct_all_320x50_lancamento-nivus-orca-rmkt-complconfig_na_lancamento-consideracao-nivus-orca_nvl-nvs-imc-dsy-0820-10107</v>
      </c>
      <c r="AJ107" s="40" t="str">
        <f t="shared" si="63"/>
        <v>alp_vw_dv360_imc_dsy_lanch_nd_nc_nvs_nivus-launch-consideracao-orca__configuracao_cpm_drct_all_320x50_lancamento-nivus-orca-rmkt-complconfig_na_lancamento-consideracao-nivus-orca_nvl-nvs-imc-dsy-0820-10107</v>
      </c>
      <c r="AK107" s="21" t="str">
        <f t="shared" si="41"/>
        <v>vw_nivus_320x50_lancamento-consideracao-nivus-orca_adserver</v>
      </c>
      <c r="AL107" s="21" t="str">
        <f t="shared" si="51"/>
        <v>https://www.vw.com.br/pt/configurador.html/__app/%2Fnivus/0.app?adlid=nvl-nvs-imc-dsy-0820-10107&amp;adplt=alp_vw_dv360_imc_dsy_lanch_nd_nc_nvs_nivus-launch-consideracao-orca__configuracao_cpm_drct_all_320x50_lancamento-nivus-orca-rmkt-complconfig_na_lancamento-consideracao-nivus-orca_nvl-nvs-imc-dsy-0820-10107</v>
      </c>
      <c r="AM107" s="21" t="str">
        <f t="shared" si="42"/>
        <v>TAG</v>
      </c>
      <c r="AN107" s="15" t="str">
        <f t="shared" si="52"/>
        <v>DV360</v>
      </c>
      <c r="AO107" s="15" t="str">
        <f t="shared" si="53"/>
        <v>Paid-Display</v>
      </c>
      <c r="AP107" s="21" t="str">
        <f>Campanha!$B$3</f>
        <v>BR_IMC_DSY_LANCH_ND_NC_2020Q3AUG_NVS_Nivus-Launch-Consideracao-Orca</v>
      </c>
      <c r="AQ107" s="21" t="str">
        <f t="shared" si="43"/>
        <v>alp_vw_dv360_imc_dsy_lanch_nd_nc_nvs_nivus-launch-consideracao-orca__configuracao_cpm_drct_all_320x50_lancamento-nivus-orca-rmkt-complconfig_na_lancamento-consideracao-nivus-orca_nvl-nvs-imc-dsy-0820-10107</v>
      </c>
      <c r="AR107" s="15" t="s">
        <v>745</v>
      </c>
      <c r="AS107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320x50_lancamento-nivus-orca-rmkt-complconfig_na_lancamento-consideracao-nivus-orca_nvl-nvs-imc-dsy-0820-10107&amp;utm_campaign=BR_IMC_DSY_LANCH_ND_NC_2020Q3AUG_NVS_Nivus-Launch-Consideracao-Orca&amp;utm_term=%epid!_%ecid!_%eaid!</v>
      </c>
      <c r="AT107" s="15" t="str">
        <f t="shared" si="54"/>
        <v>other</v>
      </c>
      <c r="AU107" s="15" t="str">
        <f t="shared" si="45"/>
        <v>BR</v>
      </c>
      <c r="AV107" s="15" t="str">
        <f t="shared" si="55"/>
        <v>dv360</v>
      </c>
      <c r="AW107" s="15" t="str">
        <f t="shared" si="56"/>
        <v>dv360</v>
      </c>
      <c r="AX107" s="15" t="str">
        <f t="shared" si="46"/>
        <v>nivus-launch-consideracao-orca</v>
      </c>
      <c r="AY107" s="15" t="str">
        <f t="shared" si="57"/>
        <v>alp_vw_dv360_imc_dsy_lanch_nd_nc_nvs_nivus-launch-consideracao-orca__configuracao_cpm_drct_all_320x50_lancamento-nivus-orca-rmkt-complconfig_na_lancamento-consideracao-nivus-orca_nvl-nvs-imc-dsy-0820-10107</v>
      </c>
      <c r="AZ107" s="15" t="str">
        <f t="shared" si="58"/>
        <v>320x50</v>
      </c>
      <c r="BA107" s="15" t="str">
        <f t="shared" si="59"/>
        <v>lancamento-consideracao-nivus-orca</v>
      </c>
      <c r="BB107" s="28" t="s">
        <v>798</v>
      </c>
      <c r="BC107" s="28" t="s">
        <v>798</v>
      </c>
      <c r="BD107" s="38" t="str">
        <f t="shared" si="60"/>
        <v>nvl-nvs-imc-dsy-0820-10107</v>
      </c>
      <c r="BE107" s="15" t="str">
        <f t="shared" si="61"/>
        <v>BR</v>
      </c>
      <c r="BF107" s="15" t="str">
        <f t="shared" si="62"/>
        <v>paid</v>
      </c>
      <c r="BG107" s="28"/>
      <c r="BH107" s="28"/>
      <c r="BI107" s="36" t="str">
        <f t="shared" si="47"/>
        <v>https://www.vw.com.br/pt/configurador.html/__app/%2Fnivus/0.app?adlid=nvl-nvs-imc-dsy-0820-10107&amp;adplt=alp_vw_dv360_imc_dsy_lanch_nd_nc_nvs_nivus-launch-consideracao-orca__configuracao_cpm_drct_all_320x50_lancamento-nivus-orca-rmkt-complconfig_na_lancamento-consideracao-nivus-orca_nvl-nvs-imc-dsy-0820-10107</v>
      </c>
      <c r="BL107" t="str">
        <f t="shared" si="48"/>
        <v>alp_vw_dv360_imc_dsy_lanch_nd_nc_nvs_nivus-launch-consideracao-orca__configuracao</v>
      </c>
      <c r="BM107" t="str">
        <f t="shared" si="49"/>
        <v>cpm_drct_all_320x50_lancamento-nivus-orca-rmkt-complconfig_na</v>
      </c>
      <c r="BN107" t="str">
        <f t="shared" si="50"/>
        <v>alp_vw_dv360_imc_dsy_lanch_nd_nc_nvs_nivus-launch-consideracao-orca__configuracao_cpm_drct_all_320x50_lancamento-nivus-orca-rmkt-complconfig_na_generico_nvl-nvs-imc-dsy-0820-10107</v>
      </c>
    </row>
    <row r="108" spans="2:66" ht="15.75" customHeight="1" x14ac:dyDescent="0.25">
      <c r="B108" s="15" t="s">
        <v>1291</v>
      </c>
      <c r="C108" s="15" t="s">
        <v>1294</v>
      </c>
      <c r="D108" s="15"/>
      <c r="E108" s="22">
        <v>44069</v>
      </c>
      <c r="F108" s="22">
        <v>44135</v>
      </c>
      <c r="G108" s="15" t="s">
        <v>651</v>
      </c>
      <c r="H108" s="41" t="s">
        <v>1266</v>
      </c>
      <c r="I108" s="15" t="s">
        <v>801</v>
      </c>
      <c r="J108" s="42" t="s">
        <v>883</v>
      </c>
      <c r="K108" s="42" t="s">
        <v>883</v>
      </c>
      <c r="L108" s="15" t="s">
        <v>676</v>
      </c>
      <c r="M108" s="15" t="s">
        <v>276</v>
      </c>
      <c r="N108" s="15" t="s">
        <v>295</v>
      </c>
      <c r="O108" s="15" t="s">
        <v>677</v>
      </c>
      <c r="P108" s="15" t="str">
        <f>VLOOKUP(Y108,'All Codes'!$BF$3:$BG$278,2,FALSE)</f>
        <v>Leaderboard</v>
      </c>
      <c r="Q108" s="15" t="s">
        <v>179</v>
      </c>
      <c r="R108" s="15" t="s">
        <v>277</v>
      </c>
      <c r="S108" s="15" t="s">
        <v>874</v>
      </c>
      <c r="T108" s="46" t="s">
        <v>884</v>
      </c>
      <c r="U108" s="15" t="s">
        <v>876</v>
      </c>
      <c r="V108" s="61" t="s">
        <v>1082</v>
      </c>
      <c r="W108" s="15" t="s">
        <v>866</v>
      </c>
      <c r="X108" s="15" t="s">
        <v>307</v>
      </c>
      <c r="Y108" s="46" t="s">
        <v>591</v>
      </c>
      <c r="Z108" s="15"/>
      <c r="AA108" s="15"/>
      <c r="AB108" s="15"/>
      <c r="AC108" s="15"/>
      <c r="AD108" s="15"/>
      <c r="AE108" s="15"/>
      <c r="AF108" s="15"/>
      <c r="AG108" s="15"/>
      <c r="AH108" s="15" t="str">
        <f t="shared" si="66"/>
        <v>281619970</v>
      </c>
      <c r="AI108" s="21" t="str">
        <f t="shared" si="63"/>
        <v>alp_vw_dv360_imc_dsy_lanch_nd_nc_nvs_nivus-launch-consideracao-orca__configuracao_cpm_drct_all_728x90_lancamento-nivus-orca-rmkt-complconfig_na_lancamento-consideracao-nivus-orca_nvl-nvs-imc-dsy-0820-10108</v>
      </c>
      <c r="AJ108" s="40" t="str">
        <f t="shared" si="63"/>
        <v>alp_vw_dv360_imc_dsy_lanch_nd_nc_nvs_nivus-launch-consideracao-orca__configuracao_cpm_drct_all_728x90_lancamento-nivus-orca-rmkt-complconfig_na_lancamento-consideracao-nivus-orca_nvl-nvs-imc-dsy-0820-10108</v>
      </c>
      <c r="AK108" s="21" t="str">
        <f t="shared" si="41"/>
        <v>vw_nivus_728x90_lancamento-consideracao-nivus-orca_adserver</v>
      </c>
      <c r="AL108" s="21" t="str">
        <f t="shared" si="51"/>
        <v>https://www.vw.com.br/pt/configurador.html/__app/%2Fnivus/0.app?adlid=nvl-nvs-imc-dsy-0820-10108&amp;adplt=alp_vw_dv360_imc_dsy_lanch_nd_nc_nvs_nivus-launch-consideracao-orca__configuracao_cpm_drct_all_728x90_lancamento-nivus-orca-rmkt-complconfig_na_lancamento-consideracao-nivus-orca_nvl-nvs-imc-dsy-0820-10108</v>
      </c>
      <c r="AM108" s="21" t="str">
        <f t="shared" si="42"/>
        <v>TAG</v>
      </c>
      <c r="AN108" s="15" t="str">
        <f t="shared" si="52"/>
        <v>DV360</v>
      </c>
      <c r="AO108" s="15" t="str">
        <f t="shared" si="53"/>
        <v>Paid-Display</v>
      </c>
      <c r="AP108" s="21" t="str">
        <f>Campanha!$B$3</f>
        <v>BR_IMC_DSY_LANCH_ND_NC_2020Q3AUG_NVS_Nivus-Launch-Consideracao-Orca</v>
      </c>
      <c r="AQ108" s="21" t="str">
        <f t="shared" si="43"/>
        <v>alp_vw_dv360_imc_dsy_lanch_nd_nc_nvs_nivus-launch-consideracao-orca__configuracao_cpm_drct_all_728x90_lancamento-nivus-orca-rmkt-complconfig_na_lancamento-consideracao-nivus-orca_nvl-nvs-imc-dsy-0820-10108</v>
      </c>
      <c r="AR108" s="15" t="s">
        <v>745</v>
      </c>
      <c r="AS108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728x90_lancamento-nivus-orca-rmkt-complconfig_na_lancamento-consideracao-nivus-orca_nvl-nvs-imc-dsy-0820-10108&amp;utm_campaign=BR_IMC_DSY_LANCH_ND_NC_2020Q3AUG_NVS_Nivus-Launch-Consideracao-Orca&amp;utm_term=%epid!_%ecid!_%eaid!</v>
      </c>
      <c r="AT108" s="15" t="str">
        <f t="shared" si="54"/>
        <v>other</v>
      </c>
      <c r="AU108" s="15" t="str">
        <f t="shared" si="45"/>
        <v>BR</v>
      </c>
      <c r="AV108" s="15" t="str">
        <f t="shared" si="55"/>
        <v>dv360</v>
      </c>
      <c r="AW108" s="15" t="str">
        <f t="shared" si="56"/>
        <v>dv360</v>
      </c>
      <c r="AX108" s="15" t="str">
        <f t="shared" si="46"/>
        <v>nivus-launch-consideracao-orca</v>
      </c>
      <c r="AY108" s="15" t="str">
        <f t="shared" si="57"/>
        <v>alp_vw_dv360_imc_dsy_lanch_nd_nc_nvs_nivus-launch-consideracao-orca__configuracao_cpm_drct_all_728x90_lancamento-nivus-orca-rmkt-complconfig_na_lancamento-consideracao-nivus-orca_nvl-nvs-imc-dsy-0820-10108</v>
      </c>
      <c r="AZ108" s="15" t="str">
        <f t="shared" si="58"/>
        <v>728x90</v>
      </c>
      <c r="BA108" s="15" t="str">
        <f t="shared" si="59"/>
        <v>lancamento-consideracao-nivus-orca</v>
      </c>
      <c r="BB108" s="28" t="s">
        <v>798</v>
      </c>
      <c r="BC108" s="28" t="s">
        <v>798</v>
      </c>
      <c r="BD108" s="38" t="str">
        <f t="shared" si="60"/>
        <v>nvl-nvs-imc-dsy-0820-10108</v>
      </c>
      <c r="BE108" s="15" t="str">
        <f t="shared" si="61"/>
        <v>BR</v>
      </c>
      <c r="BF108" s="15" t="str">
        <f t="shared" si="62"/>
        <v>paid</v>
      </c>
      <c r="BG108" s="28"/>
      <c r="BH108" s="28"/>
      <c r="BI108" s="36" t="str">
        <f t="shared" si="47"/>
        <v>https://www.vw.com.br/pt/configurador.html/__app/%2Fnivus/0.app?adlid=nvl-nvs-imc-dsy-0820-10108&amp;adplt=alp_vw_dv360_imc_dsy_lanch_nd_nc_nvs_nivus-launch-consideracao-orca__configuracao_cpm_drct_all_728x90_lancamento-nivus-orca-rmkt-complconfig_na_lancamento-consideracao-nivus-orca_nvl-nvs-imc-dsy-0820-10108</v>
      </c>
      <c r="BL108" t="str">
        <f t="shared" si="48"/>
        <v>alp_vw_dv360_imc_dsy_lanch_nd_nc_nvs_nivus-launch-consideracao-orca__configuracao</v>
      </c>
      <c r="BM108" t="str">
        <f t="shared" si="49"/>
        <v>cpm_drct_all_728x90_lancamento-nivus-orca-rmkt-complconfig_na</v>
      </c>
      <c r="BN108" t="str">
        <f t="shared" si="50"/>
        <v>alp_vw_dv360_imc_dsy_lanch_nd_nc_nvs_nivus-launch-consideracao-orca__configuracao_cpm_drct_all_728x90_lancamento-nivus-orca-rmkt-complconfig_na_generico_nvl-nvs-imc-dsy-0820-10108</v>
      </c>
    </row>
    <row r="109" spans="2:66" ht="15.75" customHeight="1" x14ac:dyDescent="0.25">
      <c r="B109" s="15" t="s">
        <v>1291</v>
      </c>
      <c r="C109" s="15" t="s">
        <v>1294</v>
      </c>
      <c r="D109" s="15"/>
      <c r="E109" s="22">
        <v>44069</v>
      </c>
      <c r="F109" s="22">
        <v>44135</v>
      </c>
      <c r="G109" s="15" t="s">
        <v>651</v>
      </c>
      <c r="H109" s="41" t="s">
        <v>1266</v>
      </c>
      <c r="I109" s="15" t="s">
        <v>801</v>
      </c>
      <c r="J109" s="42" t="s">
        <v>883</v>
      </c>
      <c r="K109" s="42" t="s">
        <v>883</v>
      </c>
      <c r="L109" s="15" t="s">
        <v>676</v>
      </c>
      <c r="M109" s="15" t="s">
        <v>276</v>
      </c>
      <c r="N109" s="15" t="s">
        <v>295</v>
      </c>
      <c r="O109" s="15" t="s">
        <v>677</v>
      </c>
      <c r="P109" s="15" t="str">
        <f>VLOOKUP(Y109,'All Codes'!$BF$3:$BG$278,2,FALSE)</f>
        <v>Leaderboard</v>
      </c>
      <c r="Q109" s="15" t="s">
        <v>179</v>
      </c>
      <c r="R109" s="15" t="s">
        <v>277</v>
      </c>
      <c r="S109" s="15" t="s">
        <v>874</v>
      </c>
      <c r="T109" s="46" t="s">
        <v>884</v>
      </c>
      <c r="U109" s="15" t="s">
        <v>876</v>
      </c>
      <c r="V109" s="61" t="s">
        <v>1082</v>
      </c>
      <c r="W109" s="15" t="s">
        <v>866</v>
      </c>
      <c r="X109" s="15" t="s">
        <v>307</v>
      </c>
      <c r="Y109" s="46" t="s">
        <v>629</v>
      </c>
      <c r="Z109" s="15"/>
      <c r="AA109" s="15"/>
      <c r="AB109" s="15"/>
      <c r="AC109" s="15"/>
      <c r="AD109" s="15"/>
      <c r="AE109" s="15"/>
      <c r="AF109" s="15"/>
      <c r="AG109" s="15"/>
      <c r="AH109" s="15" t="str">
        <f t="shared" si="66"/>
        <v>281619967</v>
      </c>
      <c r="AI109" s="21" t="str">
        <f t="shared" si="63"/>
        <v>alp_vw_dv360_imc_dsy_lanch_nd_nc_nvs_nivus-launch-consideracao-orca__configuracao_cpm_drct_all_970x250_lancamento-nivus-orca-rmkt-complconfig_na_lancamento-consideracao-nivus-orca_nvl-nvs-imc-dsy-0820-10109</v>
      </c>
      <c r="AJ109" s="40" t="str">
        <f t="shared" si="63"/>
        <v>alp_vw_dv360_imc_dsy_lanch_nd_nc_nvs_nivus-launch-consideracao-orca__configuracao_cpm_drct_all_970x250_lancamento-nivus-orca-rmkt-complconfig_na_lancamento-consideracao-nivus-orca_nvl-nvs-imc-dsy-0820-10109</v>
      </c>
      <c r="AK109" s="21" t="str">
        <f t="shared" si="41"/>
        <v>vw_nivus_970x250_lancamento-consideracao-nivus-orca_adserver</v>
      </c>
      <c r="AL109" s="21" t="str">
        <f t="shared" si="51"/>
        <v>https://www.vw.com.br/pt/configurador.html/__app/%2Fnivus/0.app?adlid=nvl-nvs-imc-dsy-0820-10109&amp;adplt=alp_vw_dv360_imc_dsy_lanch_nd_nc_nvs_nivus-launch-consideracao-orca__configuracao_cpm_drct_all_970x250_lancamento-nivus-orca-rmkt-complconfig_na_lancamento-consideracao-nivus-orca_nvl-nvs-imc-dsy-0820-10109</v>
      </c>
      <c r="AM109" s="21" t="str">
        <f t="shared" si="42"/>
        <v>TAG</v>
      </c>
      <c r="AN109" s="15" t="str">
        <f t="shared" si="52"/>
        <v>DV360</v>
      </c>
      <c r="AO109" s="15" t="str">
        <f t="shared" si="53"/>
        <v>Paid-Display</v>
      </c>
      <c r="AP109" s="21" t="str">
        <f>Campanha!$B$3</f>
        <v>BR_IMC_DSY_LANCH_ND_NC_2020Q3AUG_NVS_Nivus-Launch-Consideracao-Orca</v>
      </c>
      <c r="AQ109" s="21" t="str">
        <f t="shared" si="43"/>
        <v>alp_vw_dv360_imc_dsy_lanch_nd_nc_nvs_nivus-launch-consideracao-orca__configuracao_cpm_drct_all_970x250_lancamento-nivus-orca-rmkt-complconfig_na_lancamento-consideracao-nivus-orca_nvl-nvs-imc-dsy-0820-10109</v>
      </c>
      <c r="AR109" s="15" t="s">
        <v>745</v>
      </c>
      <c r="AS109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970x250_lancamento-nivus-orca-rmkt-complconfig_na_lancamento-consideracao-nivus-orca_nvl-nvs-imc-dsy-0820-10109&amp;utm_campaign=BR_IMC_DSY_LANCH_ND_NC_2020Q3AUG_NVS_Nivus-Launch-Consideracao-Orca&amp;utm_term=%epid!_%ecid!_%eaid!</v>
      </c>
      <c r="AT109" s="15" t="str">
        <f t="shared" si="54"/>
        <v>other</v>
      </c>
      <c r="AU109" s="15" t="str">
        <f t="shared" si="45"/>
        <v>BR</v>
      </c>
      <c r="AV109" s="15" t="str">
        <f t="shared" si="55"/>
        <v>dv360</v>
      </c>
      <c r="AW109" s="15" t="str">
        <f t="shared" si="56"/>
        <v>dv360</v>
      </c>
      <c r="AX109" s="15" t="str">
        <f t="shared" si="46"/>
        <v>nivus-launch-consideracao-orca</v>
      </c>
      <c r="AY109" s="15" t="str">
        <f t="shared" si="57"/>
        <v>alp_vw_dv360_imc_dsy_lanch_nd_nc_nvs_nivus-launch-consideracao-orca__configuracao_cpm_drct_all_970x250_lancamento-nivus-orca-rmkt-complconfig_na_lancamento-consideracao-nivus-orca_nvl-nvs-imc-dsy-0820-10109</v>
      </c>
      <c r="AZ109" s="15" t="str">
        <f t="shared" si="58"/>
        <v>970x250</v>
      </c>
      <c r="BA109" s="15" t="str">
        <f t="shared" si="59"/>
        <v>lancamento-consideracao-nivus-orca</v>
      </c>
      <c r="BB109" s="28" t="s">
        <v>798</v>
      </c>
      <c r="BC109" s="28" t="s">
        <v>798</v>
      </c>
      <c r="BD109" s="38" t="str">
        <f t="shared" si="60"/>
        <v>nvl-nvs-imc-dsy-0820-10109</v>
      </c>
      <c r="BE109" s="15" t="str">
        <f t="shared" si="61"/>
        <v>BR</v>
      </c>
      <c r="BF109" s="15" t="str">
        <f t="shared" si="62"/>
        <v>paid</v>
      </c>
      <c r="BG109" s="28"/>
      <c r="BH109" s="28"/>
      <c r="BI109" s="36" t="str">
        <f t="shared" si="47"/>
        <v>https://www.vw.com.br/pt/configurador.html/__app/%2Fnivus/0.app?adlid=nvl-nvs-imc-dsy-0820-10109&amp;adplt=alp_vw_dv360_imc_dsy_lanch_nd_nc_nvs_nivus-launch-consideracao-orca__configuracao_cpm_drct_all_970x250_lancamento-nivus-orca-rmkt-complconfig_na_lancamento-consideracao-nivus-orca_nvl-nvs-imc-dsy-0820-10109</v>
      </c>
      <c r="BL109" t="str">
        <f t="shared" si="48"/>
        <v>alp_vw_dv360_imc_dsy_lanch_nd_nc_nvs_nivus-launch-consideracao-orca__configuracao</v>
      </c>
      <c r="BM109" t="str">
        <f t="shared" si="49"/>
        <v>cpm_drct_all_970x250_lancamento-nivus-orca-rmkt-complconfig_na</v>
      </c>
      <c r="BN109" t="str">
        <f t="shared" si="50"/>
        <v>alp_vw_dv360_imc_dsy_lanch_nd_nc_nvs_nivus-launch-consideracao-orca__configuracao_cpm_drct_all_970x250_lancamento-nivus-orca-rmkt-complconfig_na_generico_nvl-nvs-imc-dsy-0820-10109</v>
      </c>
    </row>
    <row r="110" spans="2:66" ht="15.75" customHeight="1" x14ac:dyDescent="0.25">
      <c r="B110" s="15" t="s">
        <v>1291</v>
      </c>
      <c r="C110" s="15" t="s">
        <v>1294</v>
      </c>
      <c r="D110" s="15"/>
      <c r="E110" s="22">
        <v>44069</v>
      </c>
      <c r="F110" s="22">
        <v>44135</v>
      </c>
      <c r="G110" s="15" t="s">
        <v>651</v>
      </c>
      <c r="H110" s="41" t="s">
        <v>1266</v>
      </c>
      <c r="I110" s="15" t="s">
        <v>801</v>
      </c>
      <c r="J110" s="42" t="s">
        <v>883</v>
      </c>
      <c r="K110" s="42" t="s">
        <v>883</v>
      </c>
      <c r="L110" s="15" t="s">
        <v>676</v>
      </c>
      <c r="M110" s="15" t="s">
        <v>276</v>
      </c>
      <c r="N110" s="15" t="s">
        <v>295</v>
      </c>
      <c r="O110" s="15" t="s">
        <v>677</v>
      </c>
      <c r="P110" s="15" t="str">
        <f>VLOOKUP(Y110,'All Codes'!$BF$3:$BG$278,2,FALSE)</f>
        <v>MPU</v>
      </c>
      <c r="Q110" s="15" t="s">
        <v>179</v>
      </c>
      <c r="R110" s="15" t="s">
        <v>277</v>
      </c>
      <c r="S110" s="15" t="s">
        <v>874</v>
      </c>
      <c r="T110" s="46" t="s">
        <v>884</v>
      </c>
      <c r="U110" s="15" t="s">
        <v>876</v>
      </c>
      <c r="V110" s="62" t="s">
        <v>1083</v>
      </c>
      <c r="W110" s="15" t="s">
        <v>866</v>
      </c>
      <c r="X110" s="15" t="s">
        <v>307</v>
      </c>
      <c r="Y110" s="46" t="s">
        <v>461</v>
      </c>
      <c r="Z110" s="15"/>
      <c r="AA110" s="15"/>
      <c r="AB110" s="15"/>
      <c r="AC110" s="15"/>
      <c r="AD110" s="15"/>
      <c r="AE110" s="15"/>
      <c r="AF110" s="15"/>
      <c r="AG110" s="15"/>
      <c r="AH110" s="15" t="str">
        <f t="shared" ref="AH110:AH116" si="67">VLOOKUP(AI110,id_placement,2,FALSE)</f>
        <v>281619964</v>
      </c>
      <c r="AI110" s="21" t="str">
        <f t="shared" si="63"/>
        <v>alp_vw_dv360_imc_dsy_lanch_nd_nc_nvs_nivus-launch-consideracao-orca__configuracao_cpm_drct_all_300x50_lancamento-nivus-orca-rmkt-uncomplconfig_na_lancamento-consideracao-nivus-orca_nvl-nvs-imc-dsy-0820-10110</v>
      </c>
      <c r="AJ110" s="40" t="str">
        <f t="shared" si="63"/>
        <v>alp_vw_dv360_imc_dsy_lanch_nd_nc_nvs_nivus-launch-consideracao-orca__configuracao_cpm_drct_all_300x50_lancamento-nivus-orca-rmkt-uncomplconfig_na_lancamento-consideracao-nivus-orca_nvl-nvs-imc-dsy-0820-10110</v>
      </c>
      <c r="AK110" s="21" t="str">
        <f t="shared" si="41"/>
        <v>vw_nivus_300x50_lancamento-consideracao-nivus-orca_adserver</v>
      </c>
      <c r="AL110" s="21" t="str">
        <f t="shared" si="51"/>
        <v>https://www.vw.com.br/pt/configurador.html/__app/%2Fnivus/0.app?adlid=nvl-nvs-imc-dsy-0820-10110&amp;adplt=alp_vw_dv360_imc_dsy_lanch_nd_nc_nvs_nivus-launch-consideracao-orca__configuracao_cpm_drct_all_300x50_lancamento-nivus-orca-rmkt-uncomplconfig_na_lancamento-consideracao-nivus-orca_nvl-nvs-imc-dsy-0820-10110</v>
      </c>
      <c r="AM110" s="21" t="str">
        <f t="shared" si="42"/>
        <v>TAG</v>
      </c>
      <c r="AN110" s="15" t="str">
        <f t="shared" si="52"/>
        <v>DV360</v>
      </c>
      <c r="AO110" s="15" t="str">
        <f t="shared" si="53"/>
        <v>Paid-Display</v>
      </c>
      <c r="AP110" s="21" t="str">
        <f>Campanha!$B$3</f>
        <v>BR_IMC_DSY_LANCH_ND_NC_2020Q3AUG_NVS_Nivus-Launch-Consideracao-Orca</v>
      </c>
      <c r="AQ110" s="21" t="str">
        <f t="shared" si="43"/>
        <v>alp_vw_dv360_imc_dsy_lanch_nd_nc_nvs_nivus-launch-consideracao-orca__configuracao_cpm_drct_all_300x50_lancamento-nivus-orca-rmkt-uncomplconfig_na_lancamento-consideracao-nivus-orca_nvl-nvs-imc-dsy-0820-10110</v>
      </c>
      <c r="AR110" s="15" t="s">
        <v>745</v>
      </c>
      <c r="AS110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rmkt-uncomplconfig_na_lancamento-consideracao-nivus-orca_nvl-nvs-imc-dsy-0820-10110&amp;utm_campaign=BR_IMC_DSY_LANCH_ND_NC_2020Q3AUG_NVS_Nivus-Launch-Consideracao-Orca&amp;utm_term=%epid!_%ecid!_%eaid!</v>
      </c>
      <c r="AT110" s="15" t="str">
        <f t="shared" si="54"/>
        <v>other</v>
      </c>
      <c r="AU110" s="15" t="str">
        <f t="shared" si="45"/>
        <v>BR</v>
      </c>
      <c r="AV110" s="15" t="str">
        <f t="shared" si="55"/>
        <v>dv360</v>
      </c>
      <c r="AW110" s="15" t="str">
        <f t="shared" si="56"/>
        <v>dv360</v>
      </c>
      <c r="AX110" s="15" t="str">
        <f t="shared" si="46"/>
        <v>nivus-launch-consideracao-orca</v>
      </c>
      <c r="AY110" s="15" t="str">
        <f t="shared" si="57"/>
        <v>alp_vw_dv360_imc_dsy_lanch_nd_nc_nvs_nivus-launch-consideracao-orca__configuracao_cpm_drct_all_300x50_lancamento-nivus-orca-rmkt-uncomplconfig_na_lancamento-consideracao-nivus-orca_nvl-nvs-imc-dsy-0820-10110</v>
      </c>
      <c r="AZ110" s="15" t="str">
        <f t="shared" si="58"/>
        <v>300x50</v>
      </c>
      <c r="BA110" s="15" t="str">
        <f t="shared" si="59"/>
        <v>lancamento-consideracao-nivus-orca</v>
      </c>
      <c r="BB110" s="28" t="s">
        <v>798</v>
      </c>
      <c r="BC110" s="28" t="s">
        <v>798</v>
      </c>
      <c r="BD110" s="38" t="str">
        <f t="shared" si="60"/>
        <v>nvl-nvs-imc-dsy-0820-10110</v>
      </c>
      <c r="BE110" s="15" t="str">
        <f t="shared" si="61"/>
        <v>BR</v>
      </c>
      <c r="BF110" s="15" t="str">
        <f t="shared" si="62"/>
        <v>paid</v>
      </c>
      <c r="BG110" s="28"/>
      <c r="BH110" s="28"/>
      <c r="BI110" s="36" t="str">
        <f t="shared" si="47"/>
        <v>https://www.vw.com.br/pt/configurador.html/__app/%2Fnivus/0.app?adlid=nvl-nvs-imc-dsy-0820-10110&amp;adplt=alp_vw_dv360_imc_dsy_lanch_nd_nc_nvs_nivus-launch-consideracao-orca__configuracao_cpm_drct_all_300x50_lancamento-nivus-orca-rmkt-uncomplconfig_na_lancamento-consideracao-nivus-orca_nvl-nvs-imc-dsy-0820-10110</v>
      </c>
      <c r="BL110" t="str">
        <f t="shared" si="48"/>
        <v>alp_vw_dv360_imc_dsy_lanch_nd_nc_nvs_nivus-launch-consideracao-orca__configuracao</v>
      </c>
      <c r="BM110" t="str">
        <f t="shared" si="49"/>
        <v>cpm_drct_all_300x50_lancamento-nivus-orca-rmkt-uncomplconfig_na</v>
      </c>
      <c r="BN110" t="str">
        <f t="shared" si="50"/>
        <v>alp_vw_dv360_imc_dsy_lanch_nd_nc_nvs_nivus-launch-consideracao-orca__configuracao_cpm_drct_all_300x50_lancamento-nivus-orca-rmkt-uncomplconfig_na_generico_nvl-nvs-imc-dsy-0820-10110</v>
      </c>
    </row>
    <row r="111" spans="2:66" ht="15.75" customHeight="1" x14ac:dyDescent="0.25">
      <c r="B111" s="15" t="s">
        <v>1291</v>
      </c>
      <c r="C111" s="15" t="s">
        <v>1294</v>
      </c>
      <c r="D111" s="15"/>
      <c r="E111" s="22">
        <v>44069</v>
      </c>
      <c r="F111" s="22">
        <v>44135</v>
      </c>
      <c r="G111" s="15" t="s">
        <v>651</v>
      </c>
      <c r="H111" s="41" t="s">
        <v>1266</v>
      </c>
      <c r="I111" s="15" t="s">
        <v>801</v>
      </c>
      <c r="J111" s="42" t="s">
        <v>883</v>
      </c>
      <c r="K111" s="42" t="s">
        <v>883</v>
      </c>
      <c r="L111" s="15" t="s">
        <v>676</v>
      </c>
      <c r="M111" s="15" t="s">
        <v>276</v>
      </c>
      <c r="N111" s="15" t="s">
        <v>295</v>
      </c>
      <c r="O111" s="15" t="s">
        <v>677</v>
      </c>
      <c r="P111" s="15" t="str">
        <f>VLOOKUP(Y111,'All Codes'!$BF$3:$BG$278,2,FALSE)</f>
        <v>Skyscraper</v>
      </c>
      <c r="Q111" s="15" t="s">
        <v>179</v>
      </c>
      <c r="R111" s="15" t="s">
        <v>277</v>
      </c>
      <c r="S111" s="15" t="s">
        <v>874</v>
      </c>
      <c r="T111" s="46" t="s">
        <v>884</v>
      </c>
      <c r="U111" s="15" t="s">
        <v>876</v>
      </c>
      <c r="V111" s="62" t="s">
        <v>1083</v>
      </c>
      <c r="W111" s="15" t="s">
        <v>866</v>
      </c>
      <c r="X111" s="15" t="s">
        <v>307</v>
      </c>
      <c r="Y111" s="46" t="s">
        <v>434</v>
      </c>
      <c r="Z111" s="15"/>
      <c r="AA111" s="15"/>
      <c r="AB111" s="15"/>
      <c r="AC111" s="15"/>
      <c r="AD111" s="15"/>
      <c r="AE111" s="15"/>
      <c r="AF111" s="15"/>
      <c r="AG111" s="15"/>
      <c r="AH111" s="15" t="str">
        <f t="shared" si="67"/>
        <v>281619961</v>
      </c>
      <c r="AI111" s="21" t="str">
        <f t="shared" si="63"/>
        <v>alp_vw_dv360_imc_dsy_lanch_nd_nc_nvs_nivus-launch-consideracao-orca__configuracao_cpm_drct_all_160x600_lancamento-nivus-orca-rmkt-uncomplconfig_na_lancamento-consideracao-nivus-orca_nvl-nvs-imc-dsy-0820-10111</v>
      </c>
      <c r="AJ111" s="40" t="str">
        <f t="shared" si="63"/>
        <v>alp_vw_dv360_imc_dsy_lanch_nd_nc_nvs_nivus-launch-consideracao-orca__configuracao_cpm_drct_all_160x600_lancamento-nivus-orca-rmkt-uncomplconfig_na_lancamento-consideracao-nivus-orca_nvl-nvs-imc-dsy-0820-10111</v>
      </c>
      <c r="AK111" s="21" t="str">
        <f t="shared" si="41"/>
        <v>vw_nivus_160x600_lancamento-consideracao-nivus-orca_adserver</v>
      </c>
      <c r="AL111" s="21" t="str">
        <f t="shared" si="51"/>
        <v>https://www.vw.com.br/pt/configurador.html/__app/%2Fnivus/0.app?adlid=nvl-nvs-imc-dsy-0820-10111&amp;adplt=alp_vw_dv360_imc_dsy_lanch_nd_nc_nvs_nivus-launch-consideracao-orca__configuracao_cpm_drct_all_160x600_lancamento-nivus-orca-rmkt-uncomplconfig_na_lancamento-consideracao-nivus-orca_nvl-nvs-imc-dsy-0820-10111</v>
      </c>
      <c r="AM111" s="21" t="str">
        <f t="shared" si="42"/>
        <v>TAG</v>
      </c>
      <c r="AN111" s="15" t="str">
        <f t="shared" si="52"/>
        <v>DV360</v>
      </c>
      <c r="AO111" s="15" t="str">
        <f t="shared" si="53"/>
        <v>Paid-Display</v>
      </c>
      <c r="AP111" s="21" t="str">
        <f>Campanha!$B$3</f>
        <v>BR_IMC_DSY_LANCH_ND_NC_2020Q3AUG_NVS_Nivus-Launch-Consideracao-Orca</v>
      </c>
      <c r="AQ111" s="21" t="str">
        <f t="shared" si="43"/>
        <v>alp_vw_dv360_imc_dsy_lanch_nd_nc_nvs_nivus-launch-consideracao-orca__configuracao_cpm_drct_all_160x600_lancamento-nivus-orca-rmkt-uncomplconfig_na_lancamento-consideracao-nivus-orca_nvl-nvs-imc-dsy-0820-10111</v>
      </c>
      <c r="AR111" s="15" t="s">
        <v>745</v>
      </c>
      <c r="AS111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rmkt-uncomplconfig_na_lancamento-consideracao-nivus-orca_nvl-nvs-imc-dsy-0820-10111&amp;utm_campaign=BR_IMC_DSY_LANCH_ND_NC_2020Q3AUG_NVS_Nivus-Launch-Consideracao-Orca&amp;utm_term=%epid!_%ecid!_%eaid!</v>
      </c>
      <c r="AT111" s="15" t="str">
        <f t="shared" si="54"/>
        <v>other</v>
      </c>
      <c r="AU111" s="15" t="str">
        <f t="shared" si="45"/>
        <v>BR</v>
      </c>
      <c r="AV111" s="15" t="str">
        <f t="shared" si="55"/>
        <v>dv360</v>
      </c>
      <c r="AW111" s="15" t="str">
        <f t="shared" si="56"/>
        <v>dv360</v>
      </c>
      <c r="AX111" s="15" t="str">
        <f t="shared" si="46"/>
        <v>nivus-launch-consideracao-orca</v>
      </c>
      <c r="AY111" s="15" t="str">
        <f t="shared" si="57"/>
        <v>alp_vw_dv360_imc_dsy_lanch_nd_nc_nvs_nivus-launch-consideracao-orca__configuracao_cpm_drct_all_160x600_lancamento-nivus-orca-rmkt-uncomplconfig_na_lancamento-consideracao-nivus-orca_nvl-nvs-imc-dsy-0820-10111</v>
      </c>
      <c r="AZ111" s="15" t="str">
        <f t="shared" si="58"/>
        <v>160x600</v>
      </c>
      <c r="BA111" s="15" t="str">
        <f t="shared" si="59"/>
        <v>lancamento-consideracao-nivus-orca</v>
      </c>
      <c r="BB111" s="28" t="s">
        <v>798</v>
      </c>
      <c r="BC111" s="28" t="s">
        <v>798</v>
      </c>
      <c r="BD111" s="38" t="str">
        <f t="shared" si="60"/>
        <v>nvl-nvs-imc-dsy-0820-10111</v>
      </c>
      <c r="BE111" s="15" t="str">
        <f t="shared" si="61"/>
        <v>BR</v>
      </c>
      <c r="BF111" s="15" t="str">
        <f t="shared" si="62"/>
        <v>paid</v>
      </c>
      <c r="BG111" s="28"/>
      <c r="BH111" s="28"/>
      <c r="BI111" s="36" t="str">
        <f t="shared" si="47"/>
        <v>https://www.vw.com.br/pt/configurador.html/__app/%2Fnivus/0.app?adlid=nvl-nvs-imc-dsy-0820-10111&amp;adplt=alp_vw_dv360_imc_dsy_lanch_nd_nc_nvs_nivus-launch-consideracao-orca__configuracao_cpm_drct_all_160x600_lancamento-nivus-orca-rmkt-uncomplconfig_na_lancamento-consideracao-nivus-orca_nvl-nvs-imc-dsy-0820-10111</v>
      </c>
      <c r="BL111" t="str">
        <f t="shared" si="48"/>
        <v>alp_vw_dv360_imc_dsy_lanch_nd_nc_nvs_nivus-launch-consideracao-orca__configuracao</v>
      </c>
      <c r="BM111" t="str">
        <f t="shared" si="49"/>
        <v>cpm_drct_all_160x600_lancamento-nivus-orca-rmkt-uncomplconfig_na</v>
      </c>
      <c r="BN111" t="str">
        <f t="shared" si="50"/>
        <v>alp_vw_dv360_imc_dsy_lanch_nd_nc_nvs_nivus-launch-consideracao-orca__configuracao_cpm_drct_all_160x600_lancamento-nivus-orca-rmkt-uncomplconfig_na_generico_nvl-nvs-imc-dsy-0820-10111</v>
      </c>
    </row>
    <row r="112" spans="2:66" ht="15.75" customHeight="1" x14ac:dyDescent="0.25">
      <c r="B112" s="15" t="s">
        <v>1291</v>
      </c>
      <c r="C112" s="15" t="s">
        <v>1294</v>
      </c>
      <c r="D112" s="15"/>
      <c r="E112" s="22">
        <v>44069</v>
      </c>
      <c r="F112" s="22">
        <v>44135</v>
      </c>
      <c r="G112" s="15" t="s">
        <v>651</v>
      </c>
      <c r="H112" s="41" t="s">
        <v>1266</v>
      </c>
      <c r="I112" s="15" t="s">
        <v>801</v>
      </c>
      <c r="J112" s="42" t="s">
        <v>883</v>
      </c>
      <c r="K112" s="42" t="s">
        <v>883</v>
      </c>
      <c r="L112" s="15" t="s">
        <v>676</v>
      </c>
      <c r="M112" s="15" t="s">
        <v>276</v>
      </c>
      <c r="N112" s="15" t="s">
        <v>295</v>
      </c>
      <c r="O112" s="15" t="s">
        <v>677</v>
      </c>
      <c r="P112" s="15" t="str">
        <f>VLOOKUP(Y112,'All Codes'!$BF$3:$BG$278,2,FALSE)</f>
        <v>MPU</v>
      </c>
      <c r="Q112" s="15" t="s">
        <v>179</v>
      </c>
      <c r="R112" s="15" t="s">
        <v>277</v>
      </c>
      <c r="S112" s="15" t="s">
        <v>874</v>
      </c>
      <c r="T112" s="46" t="s">
        <v>884</v>
      </c>
      <c r="U112" s="15" t="s">
        <v>876</v>
      </c>
      <c r="V112" s="62" t="s">
        <v>1083</v>
      </c>
      <c r="W112" s="15" t="s">
        <v>866</v>
      </c>
      <c r="X112" s="15" t="s">
        <v>307</v>
      </c>
      <c r="Y112" s="46" t="s">
        <v>455</v>
      </c>
      <c r="Z112" s="15"/>
      <c r="AA112" s="15"/>
      <c r="AB112" s="15"/>
      <c r="AC112" s="15"/>
      <c r="AD112" s="15"/>
      <c r="AE112" s="15"/>
      <c r="AF112" s="15"/>
      <c r="AG112" s="15"/>
      <c r="AH112" s="15" t="str">
        <f t="shared" si="67"/>
        <v>281619958</v>
      </c>
      <c r="AI112" s="21" t="str">
        <f t="shared" si="63"/>
        <v>alp_vw_dv360_imc_dsy_lanch_nd_nc_nvs_nivus-launch-consideracao-orca__configuracao_cpm_drct_all_300x250_lancamento-nivus-orca-rmkt-uncomplconfig_na_lancamento-consideracao-nivus-orca_nvl-nvs-imc-dsy-0820-10112</v>
      </c>
      <c r="AJ112" s="40" t="str">
        <f t="shared" si="63"/>
        <v>alp_vw_dv360_imc_dsy_lanch_nd_nc_nvs_nivus-launch-consideracao-orca__configuracao_cpm_drct_all_300x250_lancamento-nivus-orca-rmkt-uncomplconfig_na_lancamento-consideracao-nivus-orca_nvl-nvs-imc-dsy-0820-10112</v>
      </c>
      <c r="AK112" s="21" t="str">
        <f t="shared" si="41"/>
        <v>vw_nivus_300x250_lancamento-consideracao-nivus-orca_adserver</v>
      </c>
      <c r="AL112" s="21" t="str">
        <f t="shared" si="51"/>
        <v>https://www.vw.com.br/pt/configurador.html/__app/%2Fnivus/0.app?adlid=nvl-nvs-imc-dsy-0820-10112&amp;adplt=alp_vw_dv360_imc_dsy_lanch_nd_nc_nvs_nivus-launch-consideracao-orca__configuracao_cpm_drct_all_300x250_lancamento-nivus-orca-rmkt-uncomplconfig_na_lancamento-consideracao-nivus-orca_nvl-nvs-imc-dsy-0820-10112</v>
      </c>
      <c r="AM112" s="21" t="str">
        <f t="shared" si="42"/>
        <v>TAG</v>
      </c>
      <c r="AN112" s="15" t="str">
        <f t="shared" si="52"/>
        <v>DV360</v>
      </c>
      <c r="AO112" s="15" t="str">
        <f t="shared" si="53"/>
        <v>Paid-Display</v>
      </c>
      <c r="AP112" s="21" t="str">
        <f>Campanha!$B$3</f>
        <v>BR_IMC_DSY_LANCH_ND_NC_2020Q3AUG_NVS_Nivus-Launch-Consideracao-Orca</v>
      </c>
      <c r="AQ112" s="21" t="str">
        <f t="shared" si="43"/>
        <v>alp_vw_dv360_imc_dsy_lanch_nd_nc_nvs_nivus-launch-consideracao-orca__configuracao_cpm_drct_all_300x250_lancamento-nivus-orca-rmkt-uncomplconfig_na_lancamento-consideracao-nivus-orca_nvl-nvs-imc-dsy-0820-10112</v>
      </c>
      <c r="AR112" s="15" t="s">
        <v>745</v>
      </c>
      <c r="AS112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250_lancamento-nivus-orca-rmkt-uncomplconfig_na_lancamento-consideracao-nivus-orca_nvl-nvs-imc-dsy-0820-10112&amp;utm_campaign=BR_IMC_DSY_LANCH_ND_NC_2020Q3AUG_NVS_Nivus-Launch-Consideracao-Orca&amp;utm_term=%epid!_%ecid!_%eaid!</v>
      </c>
      <c r="AT112" s="15" t="str">
        <f t="shared" si="54"/>
        <v>other</v>
      </c>
      <c r="AU112" s="15" t="str">
        <f t="shared" si="45"/>
        <v>BR</v>
      </c>
      <c r="AV112" s="15" t="str">
        <f t="shared" si="55"/>
        <v>dv360</v>
      </c>
      <c r="AW112" s="15" t="str">
        <f t="shared" si="56"/>
        <v>dv360</v>
      </c>
      <c r="AX112" s="15" t="str">
        <f t="shared" si="46"/>
        <v>nivus-launch-consideracao-orca</v>
      </c>
      <c r="AY112" s="15" t="str">
        <f t="shared" si="57"/>
        <v>alp_vw_dv360_imc_dsy_lanch_nd_nc_nvs_nivus-launch-consideracao-orca__configuracao_cpm_drct_all_300x250_lancamento-nivus-orca-rmkt-uncomplconfig_na_lancamento-consideracao-nivus-orca_nvl-nvs-imc-dsy-0820-10112</v>
      </c>
      <c r="AZ112" s="15" t="str">
        <f t="shared" si="58"/>
        <v>300x250</v>
      </c>
      <c r="BA112" s="15" t="str">
        <f t="shared" si="59"/>
        <v>lancamento-consideracao-nivus-orca</v>
      </c>
      <c r="BB112" s="28" t="s">
        <v>798</v>
      </c>
      <c r="BC112" s="28" t="s">
        <v>798</v>
      </c>
      <c r="BD112" s="38" t="str">
        <f t="shared" si="60"/>
        <v>nvl-nvs-imc-dsy-0820-10112</v>
      </c>
      <c r="BE112" s="15" t="str">
        <f t="shared" si="61"/>
        <v>BR</v>
      </c>
      <c r="BF112" s="15" t="str">
        <f t="shared" si="62"/>
        <v>paid</v>
      </c>
      <c r="BG112" s="28"/>
      <c r="BH112" s="28"/>
      <c r="BI112" s="36" t="str">
        <f t="shared" si="47"/>
        <v>https://www.vw.com.br/pt/configurador.html/__app/%2Fnivus/0.app?adlid=nvl-nvs-imc-dsy-0820-10112&amp;adplt=alp_vw_dv360_imc_dsy_lanch_nd_nc_nvs_nivus-launch-consideracao-orca__configuracao_cpm_drct_all_300x250_lancamento-nivus-orca-rmkt-uncomplconfig_na_lancamento-consideracao-nivus-orca_nvl-nvs-imc-dsy-0820-10112</v>
      </c>
      <c r="BL112" t="str">
        <f t="shared" si="48"/>
        <v>alp_vw_dv360_imc_dsy_lanch_nd_nc_nvs_nivus-launch-consideracao-orca__configuracao</v>
      </c>
      <c r="BM112" t="str">
        <f t="shared" si="49"/>
        <v>cpm_drct_all_300x250_lancamento-nivus-orca-rmkt-uncomplconfig_na</v>
      </c>
      <c r="BN112" t="str">
        <f t="shared" si="50"/>
        <v>alp_vw_dv360_imc_dsy_lanch_nd_nc_nvs_nivus-launch-consideracao-orca__configuracao_cpm_drct_all_300x250_lancamento-nivus-orca-rmkt-uncomplconfig_na_generico_nvl-nvs-imc-dsy-0820-10112</v>
      </c>
    </row>
    <row r="113" spans="2:66" ht="15.75" customHeight="1" x14ac:dyDescent="0.25">
      <c r="B113" s="15" t="s">
        <v>1291</v>
      </c>
      <c r="C113" s="15" t="s">
        <v>1294</v>
      </c>
      <c r="D113" s="15"/>
      <c r="E113" s="22">
        <v>44069</v>
      </c>
      <c r="F113" s="22">
        <v>44135</v>
      </c>
      <c r="G113" s="15" t="s">
        <v>651</v>
      </c>
      <c r="H113" s="41" t="s">
        <v>1266</v>
      </c>
      <c r="I113" s="15" t="s">
        <v>801</v>
      </c>
      <c r="J113" s="42" t="s">
        <v>883</v>
      </c>
      <c r="K113" s="42" t="s">
        <v>883</v>
      </c>
      <c r="L113" s="15" t="s">
        <v>676</v>
      </c>
      <c r="M113" s="15" t="s">
        <v>276</v>
      </c>
      <c r="N113" s="15" t="s">
        <v>295</v>
      </c>
      <c r="O113" s="15" t="s">
        <v>677</v>
      </c>
      <c r="P113" s="15" t="str">
        <f>VLOOKUP(Y113,'All Codes'!$BF$3:$BG$278,2,FALSE)</f>
        <v>Skyscraper</v>
      </c>
      <c r="Q113" s="15" t="s">
        <v>179</v>
      </c>
      <c r="R113" s="15" t="s">
        <v>277</v>
      </c>
      <c r="S113" s="15" t="s">
        <v>874</v>
      </c>
      <c r="T113" s="46" t="s">
        <v>884</v>
      </c>
      <c r="U113" s="15" t="s">
        <v>876</v>
      </c>
      <c r="V113" s="62" t="s">
        <v>1083</v>
      </c>
      <c r="W113" s="15" t="s">
        <v>866</v>
      </c>
      <c r="X113" s="15" t="s">
        <v>307</v>
      </c>
      <c r="Y113" s="46" t="s">
        <v>464</v>
      </c>
      <c r="Z113" s="15"/>
      <c r="AA113" s="15"/>
      <c r="AB113" s="15"/>
      <c r="AC113" s="15"/>
      <c r="AD113" s="15"/>
      <c r="AE113" s="15"/>
      <c r="AF113" s="15"/>
      <c r="AG113" s="15"/>
      <c r="AH113" s="15" t="str">
        <f t="shared" si="67"/>
        <v>281619955</v>
      </c>
      <c r="AI113" s="21" t="str">
        <f t="shared" si="63"/>
        <v>alp_vw_dv360_imc_dsy_lanch_nd_nc_nvs_nivus-launch-consideracao-orca__configuracao_cpm_drct_all_300x600_lancamento-nivus-orca-rmkt-uncomplconfig_na_lancamento-consideracao-nivus-orca_nvl-nvs-imc-dsy-0820-10113</v>
      </c>
      <c r="AJ113" s="40" t="str">
        <f t="shared" si="63"/>
        <v>alp_vw_dv360_imc_dsy_lanch_nd_nc_nvs_nivus-launch-consideracao-orca__configuracao_cpm_drct_all_300x600_lancamento-nivus-orca-rmkt-uncomplconfig_na_lancamento-consideracao-nivus-orca_nvl-nvs-imc-dsy-0820-10113</v>
      </c>
      <c r="AK113" s="21" t="str">
        <f t="shared" si="41"/>
        <v>vw_nivus_300x600_lancamento-consideracao-nivus-orca_adserver</v>
      </c>
      <c r="AL113" s="21" t="str">
        <f t="shared" si="51"/>
        <v>https://www.vw.com.br/pt/configurador.html/__app/%2Fnivus/0.app?adlid=nvl-nvs-imc-dsy-0820-10113&amp;adplt=alp_vw_dv360_imc_dsy_lanch_nd_nc_nvs_nivus-launch-consideracao-orca__configuracao_cpm_drct_all_300x600_lancamento-nivus-orca-rmkt-uncomplconfig_na_lancamento-consideracao-nivus-orca_nvl-nvs-imc-dsy-0820-10113</v>
      </c>
      <c r="AM113" s="21" t="str">
        <f t="shared" si="42"/>
        <v>TAG</v>
      </c>
      <c r="AN113" s="15" t="str">
        <f t="shared" si="52"/>
        <v>DV360</v>
      </c>
      <c r="AO113" s="15" t="str">
        <f t="shared" si="53"/>
        <v>Paid-Display</v>
      </c>
      <c r="AP113" s="21" t="str">
        <f>Campanha!$B$3</f>
        <v>BR_IMC_DSY_LANCH_ND_NC_2020Q3AUG_NVS_Nivus-Launch-Consideracao-Orca</v>
      </c>
      <c r="AQ113" s="21" t="str">
        <f t="shared" si="43"/>
        <v>alp_vw_dv360_imc_dsy_lanch_nd_nc_nvs_nivus-launch-consideracao-orca__configuracao_cpm_drct_all_300x600_lancamento-nivus-orca-rmkt-uncomplconfig_na_lancamento-consideracao-nivus-orca_nvl-nvs-imc-dsy-0820-10113</v>
      </c>
      <c r="AR113" s="15" t="s">
        <v>745</v>
      </c>
      <c r="AS113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600_lancamento-nivus-orca-rmkt-uncomplconfig_na_lancamento-consideracao-nivus-orca_nvl-nvs-imc-dsy-0820-10113&amp;utm_campaign=BR_IMC_DSY_LANCH_ND_NC_2020Q3AUG_NVS_Nivus-Launch-Consideracao-Orca&amp;utm_term=%epid!_%ecid!_%eaid!</v>
      </c>
      <c r="AT113" s="15" t="str">
        <f t="shared" si="54"/>
        <v>other</v>
      </c>
      <c r="AU113" s="15" t="str">
        <f t="shared" si="45"/>
        <v>BR</v>
      </c>
      <c r="AV113" s="15" t="str">
        <f t="shared" si="55"/>
        <v>dv360</v>
      </c>
      <c r="AW113" s="15" t="str">
        <f t="shared" si="56"/>
        <v>dv360</v>
      </c>
      <c r="AX113" s="15" t="str">
        <f t="shared" si="46"/>
        <v>nivus-launch-consideracao-orca</v>
      </c>
      <c r="AY113" s="15" t="str">
        <f t="shared" si="57"/>
        <v>alp_vw_dv360_imc_dsy_lanch_nd_nc_nvs_nivus-launch-consideracao-orca__configuracao_cpm_drct_all_300x600_lancamento-nivus-orca-rmkt-uncomplconfig_na_lancamento-consideracao-nivus-orca_nvl-nvs-imc-dsy-0820-10113</v>
      </c>
      <c r="AZ113" s="15" t="str">
        <f t="shared" si="58"/>
        <v>300x600</v>
      </c>
      <c r="BA113" s="15" t="str">
        <f t="shared" si="59"/>
        <v>lancamento-consideracao-nivus-orca</v>
      </c>
      <c r="BB113" s="28" t="s">
        <v>798</v>
      </c>
      <c r="BC113" s="28" t="s">
        <v>798</v>
      </c>
      <c r="BD113" s="38" t="str">
        <f t="shared" si="60"/>
        <v>nvl-nvs-imc-dsy-0820-10113</v>
      </c>
      <c r="BE113" s="15" t="str">
        <f t="shared" si="61"/>
        <v>BR</v>
      </c>
      <c r="BF113" s="15" t="str">
        <f t="shared" si="62"/>
        <v>paid</v>
      </c>
      <c r="BG113" s="28"/>
      <c r="BH113" s="28"/>
      <c r="BI113" s="36" t="str">
        <f t="shared" si="47"/>
        <v>https://www.vw.com.br/pt/configurador.html/__app/%2Fnivus/0.app?adlid=nvl-nvs-imc-dsy-0820-10113&amp;adplt=alp_vw_dv360_imc_dsy_lanch_nd_nc_nvs_nivus-launch-consideracao-orca__configuracao_cpm_drct_all_300x600_lancamento-nivus-orca-rmkt-uncomplconfig_na_lancamento-consideracao-nivus-orca_nvl-nvs-imc-dsy-0820-10113</v>
      </c>
      <c r="BL113" t="str">
        <f t="shared" si="48"/>
        <v>alp_vw_dv360_imc_dsy_lanch_nd_nc_nvs_nivus-launch-consideracao-orca__configuracao</v>
      </c>
      <c r="BM113" t="str">
        <f t="shared" si="49"/>
        <v>cpm_drct_all_300x600_lancamento-nivus-orca-rmkt-uncomplconfig_na</v>
      </c>
      <c r="BN113" t="str">
        <f t="shared" si="50"/>
        <v>alp_vw_dv360_imc_dsy_lanch_nd_nc_nvs_nivus-launch-consideracao-orca__configuracao_cpm_drct_all_300x600_lancamento-nivus-orca-rmkt-uncomplconfig_na_generico_nvl-nvs-imc-dsy-0820-10113</v>
      </c>
    </row>
    <row r="114" spans="2:66" ht="15.75" customHeight="1" x14ac:dyDescent="0.25">
      <c r="B114" s="15" t="s">
        <v>1291</v>
      </c>
      <c r="C114" s="15" t="s">
        <v>1294</v>
      </c>
      <c r="D114" s="15"/>
      <c r="E114" s="22">
        <v>44069</v>
      </c>
      <c r="F114" s="22">
        <v>44135</v>
      </c>
      <c r="G114" s="15" t="s">
        <v>651</v>
      </c>
      <c r="H114" s="41" t="s">
        <v>1266</v>
      </c>
      <c r="I114" s="15" t="s">
        <v>801</v>
      </c>
      <c r="J114" s="42" t="s">
        <v>883</v>
      </c>
      <c r="K114" s="42" t="s">
        <v>883</v>
      </c>
      <c r="L114" s="15" t="s">
        <v>676</v>
      </c>
      <c r="M114" s="15" t="s">
        <v>276</v>
      </c>
      <c r="N114" s="15" t="s">
        <v>295</v>
      </c>
      <c r="O114" s="15" t="s">
        <v>677</v>
      </c>
      <c r="P114" s="15" t="str">
        <f>VLOOKUP(Y114,'All Codes'!$BF$3:$BG$278,2,FALSE)</f>
        <v>MPU</v>
      </c>
      <c r="Q114" s="15" t="s">
        <v>179</v>
      </c>
      <c r="R114" s="15" t="s">
        <v>277</v>
      </c>
      <c r="S114" s="15" t="s">
        <v>874</v>
      </c>
      <c r="T114" s="46" t="s">
        <v>884</v>
      </c>
      <c r="U114" s="15" t="s">
        <v>876</v>
      </c>
      <c r="V114" s="62" t="s">
        <v>1083</v>
      </c>
      <c r="W114" s="15" t="s">
        <v>866</v>
      </c>
      <c r="X114" s="15" t="s">
        <v>307</v>
      </c>
      <c r="Y114" s="46" t="s">
        <v>479</v>
      </c>
      <c r="Z114" s="15"/>
      <c r="AA114" s="15"/>
      <c r="AB114" s="15"/>
      <c r="AC114" s="15"/>
      <c r="AD114" s="15"/>
      <c r="AE114" s="15"/>
      <c r="AF114" s="15"/>
      <c r="AG114" s="15"/>
      <c r="AH114" s="15" t="str">
        <f t="shared" si="67"/>
        <v>281619952</v>
      </c>
      <c r="AI114" s="21" t="str">
        <f t="shared" si="63"/>
        <v>alp_vw_dv360_imc_dsy_lanch_nd_nc_nvs_nivus-launch-consideracao-orca__configuracao_cpm_drct_all_320x50_lancamento-nivus-orca-rmkt-uncomplconfig_na_lancamento-consideracao-nivus-orca_nvl-nvs-imc-dsy-0820-10114</v>
      </c>
      <c r="AJ114" s="40" t="str">
        <f t="shared" si="63"/>
        <v>alp_vw_dv360_imc_dsy_lanch_nd_nc_nvs_nivus-launch-consideracao-orca__configuracao_cpm_drct_all_320x50_lancamento-nivus-orca-rmkt-uncomplconfig_na_lancamento-consideracao-nivus-orca_nvl-nvs-imc-dsy-0820-10114</v>
      </c>
      <c r="AK114" s="21" t="str">
        <f t="shared" si="41"/>
        <v>vw_nivus_320x50_lancamento-consideracao-nivus-orca_adserver</v>
      </c>
      <c r="AL114" s="21" t="str">
        <f t="shared" si="51"/>
        <v>https://www.vw.com.br/pt/configurador.html/__app/%2Fnivus/0.app?adlid=nvl-nvs-imc-dsy-0820-10114&amp;adplt=alp_vw_dv360_imc_dsy_lanch_nd_nc_nvs_nivus-launch-consideracao-orca__configuracao_cpm_drct_all_320x50_lancamento-nivus-orca-rmkt-uncomplconfig_na_lancamento-consideracao-nivus-orca_nvl-nvs-imc-dsy-0820-10114</v>
      </c>
      <c r="AM114" s="21" t="str">
        <f t="shared" si="42"/>
        <v>TAG</v>
      </c>
      <c r="AN114" s="15" t="str">
        <f t="shared" si="52"/>
        <v>DV360</v>
      </c>
      <c r="AO114" s="15" t="str">
        <f t="shared" si="53"/>
        <v>Paid-Display</v>
      </c>
      <c r="AP114" s="21" t="str">
        <f>Campanha!$B$3</f>
        <v>BR_IMC_DSY_LANCH_ND_NC_2020Q3AUG_NVS_Nivus-Launch-Consideracao-Orca</v>
      </c>
      <c r="AQ114" s="21" t="str">
        <f t="shared" si="43"/>
        <v>alp_vw_dv360_imc_dsy_lanch_nd_nc_nvs_nivus-launch-consideracao-orca__configuracao_cpm_drct_all_320x50_lancamento-nivus-orca-rmkt-uncomplconfig_na_lancamento-consideracao-nivus-orca_nvl-nvs-imc-dsy-0820-10114</v>
      </c>
      <c r="AR114" s="15" t="s">
        <v>745</v>
      </c>
      <c r="AS114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320x50_lancamento-nivus-orca-rmkt-uncomplconfig_na_lancamento-consideracao-nivus-orca_nvl-nvs-imc-dsy-0820-10114&amp;utm_campaign=BR_IMC_DSY_LANCH_ND_NC_2020Q3AUG_NVS_Nivus-Launch-Consideracao-Orca&amp;utm_term=%epid!_%ecid!_%eaid!</v>
      </c>
      <c r="AT114" s="15" t="str">
        <f t="shared" si="54"/>
        <v>other</v>
      </c>
      <c r="AU114" s="15" t="str">
        <f t="shared" si="45"/>
        <v>BR</v>
      </c>
      <c r="AV114" s="15" t="str">
        <f t="shared" si="55"/>
        <v>dv360</v>
      </c>
      <c r="AW114" s="15" t="str">
        <f t="shared" si="56"/>
        <v>dv360</v>
      </c>
      <c r="AX114" s="15" t="str">
        <f t="shared" si="46"/>
        <v>nivus-launch-consideracao-orca</v>
      </c>
      <c r="AY114" s="15" t="str">
        <f t="shared" si="57"/>
        <v>alp_vw_dv360_imc_dsy_lanch_nd_nc_nvs_nivus-launch-consideracao-orca__configuracao_cpm_drct_all_320x50_lancamento-nivus-orca-rmkt-uncomplconfig_na_lancamento-consideracao-nivus-orca_nvl-nvs-imc-dsy-0820-10114</v>
      </c>
      <c r="AZ114" s="15" t="str">
        <f t="shared" si="58"/>
        <v>320x50</v>
      </c>
      <c r="BA114" s="15" t="str">
        <f t="shared" si="59"/>
        <v>lancamento-consideracao-nivus-orca</v>
      </c>
      <c r="BB114" s="28" t="s">
        <v>798</v>
      </c>
      <c r="BC114" s="28" t="s">
        <v>798</v>
      </c>
      <c r="BD114" s="38" t="str">
        <f t="shared" si="60"/>
        <v>nvl-nvs-imc-dsy-0820-10114</v>
      </c>
      <c r="BE114" s="15" t="str">
        <f t="shared" si="61"/>
        <v>BR</v>
      </c>
      <c r="BF114" s="15" t="str">
        <f t="shared" si="62"/>
        <v>paid</v>
      </c>
      <c r="BG114" s="28"/>
      <c r="BH114" s="28"/>
      <c r="BI114" s="36" t="str">
        <f t="shared" si="47"/>
        <v>https://www.vw.com.br/pt/configurador.html/__app/%2Fnivus/0.app?adlid=nvl-nvs-imc-dsy-0820-10114&amp;adplt=alp_vw_dv360_imc_dsy_lanch_nd_nc_nvs_nivus-launch-consideracao-orca__configuracao_cpm_drct_all_320x50_lancamento-nivus-orca-rmkt-uncomplconfig_na_lancamento-consideracao-nivus-orca_nvl-nvs-imc-dsy-0820-10114</v>
      </c>
      <c r="BL114" t="str">
        <f t="shared" si="48"/>
        <v>alp_vw_dv360_imc_dsy_lanch_nd_nc_nvs_nivus-launch-consideracao-orca__configuracao</v>
      </c>
      <c r="BM114" t="str">
        <f t="shared" si="49"/>
        <v>cpm_drct_all_320x50_lancamento-nivus-orca-rmkt-uncomplconfig_na</v>
      </c>
      <c r="BN114" t="str">
        <f t="shared" si="50"/>
        <v>alp_vw_dv360_imc_dsy_lanch_nd_nc_nvs_nivus-launch-consideracao-orca__configuracao_cpm_drct_all_320x50_lancamento-nivus-orca-rmkt-uncomplconfig_na_generico_nvl-nvs-imc-dsy-0820-10114</v>
      </c>
    </row>
    <row r="115" spans="2:66" ht="15.75" customHeight="1" x14ac:dyDescent="0.25">
      <c r="B115" s="15" t="s">
        <v>1291</v>
      </c>
      <c r="C115" s="15" t="s">
        <v>1294</v>
      </c>
      <c r="D115" s="15"/>
      <c r="E115" s="22">
        <v>44069</v>
      </c>
      <c r="F115" s="22">
        <v>44135</v>
      </c>
      <c r="G115" s="15" t="s">
        <v>651</v>
      </c>
      <c r="H115" s="41" t="s">
        <v>1266</v>
      </c>
      <c r="I115" s="15" t="s">
        <v>801</v>
      </c>
      <c r="J115" s="42" t="s">
        <v>883</v>
      </c>
      <c r="K115" s="42" t="s">
        <v>883</v>
      </c>
      <c r="L115" s="15" t="s">
        <v>676</v>
      </c>
      <c r="M115" s="15" t="s">
        <v>276</v>
      </c>
      <c r="N115" s="15" t="s">
        <v>295</v>
      </c>
      <c r="O115" s="15" t="s">
        <v>677</v>
      </c>
      <c r="P115" s="15" t="str">
        <f>VLOOKUP(Y115,'All Codes'!$BF$3:$BG$278,2,FALSE)</f>
        <v>Leaderboard</v>
      </c>
      <c r="Q115" s="15" t="s">
        <v>179</v>
      </c>
      <c r="R115" s="15" t="s">
        <v>277</v>
      </c>
      <c r="S115" s="15" t="s">
        <v>874</v>
      </c>
      <c r="T115" s="46" t="s">
        <v>884</v>
      </c>
      <c r="U115" s="15" t="s">
        <v>876</v>
      </c>
      <c r="V115" s="62" t="s">
        <v>1083</v>
      </c>
      <c r="W115" s="15" t="s">
        <v>866</v>
      </c>
      <c r="X115" s="15" t="s">
        <v>307</v>
      </c>
      <c r="Y115" s="46" t="s">
        <v>591</v>
      </c>
      <c r="Z115" s="15"/>
      <c r="AA115" s="15"/>
      <c r="AB115" s="15"/>
      <c r="AC115" s="15"/>
      <c r="AD115" s="15"/>
      <c r="AE115" s="15"/>
      <c r="AF115" s="15"/>
      <c r="AG115" s="15"/>
      <c r="AH115" s="15" t="str">
        <f t="shared" si="67"/>
        <v>281619949</v>
      </c>
      <c r="AI115" s="21" t="str">
        <f t="shared" si="63"/>
        <v>alp_vw_dv360_imc_dsy_lanch_nd_nc_nvs_nivus-launch-consideracao-orca__configuracao_cpm_drct_all_728x90_lancamento-nivus-orca-rmkt-uncomplconfig_na_lancamento-consideracao-nivus-orca_nvl-nvs-imc-dsy-0820-10115</v>
      </c>
      <c r="AJ115" s="40" t="str">
        <f t="shared" si="63"/>
        <v>alp_vw_dv360_imc_dsy_lanch_nd_nc_nvs_nivus-launch-consideracao-orca__configuracao_cpm_drct_all_728x90_lancamento-nivus-orca-rmkt-uncomplconfig_na_lancamento-consideracao-nivus-orca_nvl-nvs-imc-dsy-0820-10115</v>
      </c>
      <c r="AK115" s="21" t="str">
        <f t="shared" si="41"/>
        <v>vw_nivus_728x90_lancamento-consideracao-nivus-orca_adserver</v>
      </c>
      <c r="AL115" s="21" t="str">
        <f t="shared" si="51"/>
        <v>https://www.vw.com.br/pt/configurador.html/__app/%2Fnivus/0.app?adlid=nvl-nvs-imc-dsy-0820-10115&amp;adplt=alp_vw_dv360_imc_dsy_lanch_nd_nc_nvs_nivus-launch-consideracao-orca__configuracao_cpm_drct_all_728x90_lancamento-nivus-orca-rmkt-uncomplconfig_na_lancamento-consideracao-nivus-orca_nvl-nvs-imc-dsy-0820-10115</v>
      </c>
      <c r="AM115" s="21" t="str">
        <f t="shared" si="42"/>
        <v>TAG</v>
      </c>
      <c r="AN115" s="15" t="str">
        <f t="shared" si="52"/>
        <v>DV360</v>
      </c>
      <c r="AO115" s="15" t="str">
        <f t="shared" si="53"/>
        <v>Paid-Display</v>
      </c>
      <c r="AP115" s="21" t="str">
        <f>Campanha!$B$3</f>
        <v>BR_IMC_DSY_LANCH_ND_NC_2020Q3AUG_NVS_Nivus-Launch-Consideracao-Orca</v>
      </c>
      <c r="AQ115" s="21" t="str">
        <f t="shared" si="43"/>
        <v>alp_vw_dv360_imc_dsy_lanch_nd_nc_nvs_nivus-launch-consideracao-orca__configuracao_cpm_drct_all_728x90_lancamento-nivus-orca-rmkt-uncomplconfig_na_lancamento-consideracao-nivus-orca_nvl-nvs-imc-dsy-0820-10115</v>
      </c>
      <c r="AR115" s="15" t="s">
        <v>745</v>
      </c>
      <c r="AS115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728x90_lancamento-nivus-orca-rmkt-uncomplconfig_na_lancamento-consideracao-nivus-orca_nvl-nvs-imc-dsy-0820-10115&amp;utm_campaign=BR_IMC_DSY_LANCH_ND_NC_2020Q3AUG_NVS_Nivus-Launch-Consideracao-Orca&amp;utm_term=%epid!_%ecid!_%eaid!</v>
      </c>
      <c r="AT115" s="15" t="str">
        <f t="shared" si="54"/>
        <v>other</v>
      </c>
      <c r="AU115" s="15" t="str">
        <f t="shared" si="45"/>
        <v>BR</v>
      </c>
      <c r="AV115" s="15" t="str">
        <f t="shared" si="55"/>
        <v>dv360</v>
      </c>
      <c r="AW115" s="15" t="str">
        <f t="shared" si="56"/>
        <v>dv360</v>
      </c>
      <c r="AX115" s="15" t="str">
        <f t="shared" si="46"/>
        <v>nivus-launch-consideracao-orca</v>
      </c>
      <c r="AY115" s="15" t="str">
        <f t="shared" si="57"/>
        <v>alp_vw_dv360_imc_dsy_lanch_nd_nc_nvs_nivus-launch-consideracao-orca__configuracao_cpm_drct_all_728x90_lancamento-nivus-orca-rmkt-uncomplconfig_na_lancamento-consideracao-nivus-orca_nvl-nvs-imc-dsy-0820-10115</v>
      </c>
      <c r="AZ115" s="15" t="str">
        <f t="shared" si="58"/>
        <v>728x90</v>
      </c>
      <c r="BA115" s="15" t="str">
        <f t="shared" si="59"/>
        <v>lancamento-consideracao-nivus-orca</v>
      </c>
      <c r="BB115" s="28" t="s">
        <v>798</v>
      </c>
      <c r="BC115" s="28" t="s">
        <v>798</v>
      </c>
      <c r="BD115" s="38" t="str">
        <f t="shared" si="60"/>
        <v>nvl-nvs-imc-dsy-0820-10115</v>
      </c>
      <c r="BE115" s="15" t="str">
        <f t="shared" si="61"/>
        <v>BR</v>
      </c>
      <c r="BF115" s="15" t="str">
        <f t="shared" si="62"/>
        <v>paid</v>
      </c>
      <c r="BG115" s="28"/>
      <c r="BH115" s="28"/>
      <c r="BI115" s="36" t="str">
        <f t="shared" si="47"/>
        <v>https://www.vw.com.br/pt/configurador.html/__app/%2Fnivus/0.app?adlid=nvl-nvs-imc-dsy-0820-10115&amp;adplt=alp_vw_dv360_imc_dsy_lanch_nd_nc_nvs_nivus-launch-consideracao-orca__configuracao_cpm_drct_all_728x90_lancamento-nivus-orca-rmkt-uncomplconfig_na_lancamento-consideracao-nivus-orca_nvl-nvs-imc-dsy-0820-10115</v>
      </c>
      <c r="BL115" t="str">
        <f t="shared" si="48"/>
        <v>alp_vw_dv360_imc_dsy_lanch_nd_nc_nvs_nivus-launch-consideracao-orca__configuracao</v>
      </c>
      <c r="BM115" t="str">
        <f t="shared" si="49"/>
        <v>cpm_drct_all_728x90_lancamento-nivus-orca-rmkt-uncomplconfig_na</v>
      </c>
      <c r="BN115" t="str">
        <f t="shared" si="50"/>
        <v>alp_vw_dv360_imc_dsy_lanch_nd_nc_nvs_nivus-launch-consideracao-orca__configuracao_cpm_drct_all_728x90_lancamento-nivus-orca-rmkt-uncomplconfig_na_generico_nvl-nvs-imc-dsy-0820-10115</v>
      </c>
    </row>
    <row r="116" spans="2:66" ht="15.75" customHeight="1" x14ac:dyDescent="0.25">
      <c r="B116" s="15" t="s">
        <v>1291</v>
      </c>
      <c r="C116" s="15" t="s">
        <v>1294</v>
      </c>
      <c r="D116" s="15"/>
      <c r="E116" s="22">
        <v>44069</v>
      </c>
      <c r="F116" s="22">
        <v>44135</v>
      </c>
      <c r="G116" s="15" t="s">
        <v>651</v>
      </c>
      <c r="H116" s="41" t="s">
        <v>1266</v>
      </c>
      <c r="I116" s="15" t="s">
        <v>801</v>
      </c>
      <c r="J116" s="42" t="s">
        <v>883</v>
      </c>
      <c r="K116" s="42" t="s">
        <v>883</v>
      </c>
      <c r="L116" s="15" t="s">
        <v>676</v>
      </c>
      <c r="M116" s="15" t="s">
        <v>276</v>
      </c>
      <c r="N116" s="15" t="s">
        <v>295</v>
      </c>
      <c r="O116" s="15" t="s">
        <v>677</v>
      </c>
      <c r="P116" s="15" t="str">
        <f>VLOOKUP(Y116,'All Codes'!$BF$3:$BG$278,2,FALSE)</f>
        <v>Leaderboard</v>
      </c>
      <c r="Q116" s="15" t="s">
        <v>179</v>
      </c>
      <c r="R116" s="15" t="s">
        <v>277</v>
      </c>
      <c r="S116" s="15" t="s">
        <v>874</v>
      </c>
      <c r="T116" s="46" t="s">
        <v>884</v>
      </c>
      <c r="U116" s="15" t="s">
        <v>876</v>
      </c>
      <c r="V116" s="62" t="s">
        <v>1083</v>
      </c>
      <c r="W116" s="15" t="s">
        <v>866</v>
      </c>
      <c r="X116" s="15" t="s">
        <v>307</v>
      </c>
      <c r="Y116" s="46" t="s">
        <v>629</v>
      </c>
      <c r="Z116" s="15"/>
      <c r="AA116" s="15"/>
      <c r="AB116" s="15"/>
      <c r="AC116" s="15"/>
      <c r="AD116" s="15"/>
      <c r="AE116" s="15"/>
      <c r="AF116" s="15"/>
      <c r="AG116" s="15"/>
      <c r="AH116" s="15" t="str">
        <f t="shared" si="67"/>
        <v>281619946</v>
      </c>
      <c r="AI116" s="21" t="str">
        <f t="shared" si="63"/>
        <v>alp_vw_dv360_imc_dsy_lanch_nd_nc_nvs_nivus-launch-consideracao-orca__configuracao_cpm_drct_all_970x250_lancamento-nivus-orca-rmkt-uncomplconfig_na_lancamento-consideracao-nivus-orca_nvl-nvs-imc-dsy-0820-10116</v>
      </c>
      <c r="AJ116" s="40" t="str">
        <f t="shared" si="63"/>
        <v>alp_vw_dv360_imc_dsy_lanch_nd_nc_nvs_nivus-launch-consideracao-orca__configuracao_cpm_drct_all_970x250_lancamento-nivus-orca-rmkt-uncomplconfig_na_lancamento-consideracao-nivus-orca_nvl-nvs-imc-dsy-0820-10116</v>
      </c>
      <c r="AK116" s="21" t="str">
        <f t="shared" si="41"/>
        <v>vw_nivus_970x250_lancamento-consideracao-nivus-orca_adserver</v>
      </c>
      <c r="AL116" s="21" t="str">
        <f t="shared" si="51"/>
        <v>https://www.vw.com.br/pt/configurador.html/__app/%2Fnivus/0.app?adlid=nvl-nvs-imc-dsy-0820-10116&amp;adplt=alp_vw_dv360_imc_dsy_lanch_nd_nc_nvs_nivus-launch-consideracao-orca__configuracao_cpm_drct_all_970x250_lancamento-nivus-orca-rmkt-uncomplconfig_na_lancamento-consideracao-nivus-orca_nvl-nvs-imc-dsy-0820-10116</v>
      </c>
      <c r="AM116" s="21" t="str">
        <f t="shared" si="42"/>
        <v>TAG</v>
      </c>
      <c r="AN116" s="15" t="str">
        <f t="shared" si="52"/>
        <v>DV360</v>
      </c>
      <c r="AO116" s="15" t="str">
        <f t="shared" si="53"/>
        <v>Paid-Display</v>
      </c>
      <c r="AP116" s="21" t="str">
        <f>Campanha!$B$3</f>
        <v>BR_IMC_DSY_LANCH_ND_NC_2020Q3AUG_NVS_Nivus-Launch-Consideracao-Orca</v>
      </c>
      <c r="AQ116" s="21" t="str">
        <f t="shared" si="43"/>
        <v>alp_vw_dv360_imc_dsy_lanch_nd_nc_nvs_nivus-launch-consideracao-orca__configuracao_cpm_drct_all_970x250_lancamento-nivus-orca-rmkt-uncomplconfig_na_lancamento-consideracao-nivus-orca_nvl-nvs-imc-dsy-0820-10116</v>
      </c>
      <c r="AR116" s="15" t="s">
        <v>745</v>
      </c>
      <c r="AS116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970x250_lancamento-nivus-orca-rmkt-uncomplconfig_na_lancamento-consideracao-nivus-orca_nvl-nvs-imc-dsy-0820-10116&amp;utm_campaign=BR_IMC_DSY_LANCH_ND_NC_2020Q3AUG_NVS_Nivus-Launch-Consideracao-Orca&amp;utm_term=%epid!_%ecid!_%eaid!</v>
      </c>
      <c r="AT116" s="15" t="str">
        <f t="shared" si="54"/>
        <v>other</v>
      </c>
      <c r="AU116" s="15" t="str">
        <f t="shared" si="45"/>
        <v>BR</v>
      </c>
      <c r="AV116" s="15" t="str">
        <f t="shared" si="55"/>
        <v>dv360</v>
      </c>
      <c r="AW116" s="15" t="str">
        <f t="shared" si="56"/>
        <v>dv360</v>
      </c>
      <c r="AX116" s="15" t="str">
        <f t="shared" si="46"/>
        <v>nivus-launch-consideracao-orca</v>
      </c>
      <c r="AY116" s="15" t="str">
        <f t="shared" si="57"/>
        <v>alp_vw_dv360_imc_dsy_lanch_nd_nc_nvs_nivus-launch-consideracao-orca__configuracao_cpm_drct_all_970x250_lancamento-nivus-orca-rmkt-uncomplconfig_na_lancamento-consideracao-nivus-orca_nvl-nvs-imc-dsy-0820-10116</v>
      </c>
      <c r="AZ116" s="15" t="str">
        <f t="shared" si="58"/>
        <v>970x250</v>
      </c>
      <c r="BA116" s="15" t="str">
        <f t="shared" si="59"/>
        <v>lancamento-consideracao-nivus-orca</v>
      </c>
      <c r="BB116" s="28" t="s">
        <v>798</v>
      </c>
      <c r="BC116" s="28" t="s">
        <v>798</v>
      </c>
      <c r="BD116" s="38" t="str">
        <f t="shared" si="60"/>
        <v>nvl-nvs-imc-dsy-0820-10116</v>
      </c>
      <c r="BE116" s="15" t="str">
        <f t="shared" si="61"/>
        <v>BR</v>
      </c>
      <c r="BF116" s="15" t="str">
        <f t="shared" si="62"/>
        <v>paid</v>
      </c>
      <c r="BG116" s="28"/>
      <c r="BH116" s="28"/>
      <c r="BI116" s="36" t="str">
        <f t="shared" si="47"/>
        <v>https://www.vw.com.br/pt/configurador.html/__app/%2Fnivus/0.app?adlid=nvl-nvs-imc-dsy-0820-10116&amp;adplt=alp_vw_dv360_imc_dsy_lanch_nd_nc_nvs_nivus-launch-consideracao-orca__configuracao_cpm_drct_all_970x250_lancamento-nivus-orca-rmkt-uncomplconfig_na_lancamento-consideracao-nivus-orca_nvl-nvs-imc-dsy-0820-10116</v>
      </c>
      <c r="BL116" t="str">
        <f t="shared" si="48"/>
        <v>alp_vw_dv360_imc_dsy_lanch_nd_nc_nvs_nivus-launch-consideracao-orca__configuracao</v>
      </c>
      <c r="BM116" t="str">
        <f t="shared" si="49"/>
        <v>cpm_drct_all_970x250_lancamento-nivus-orca-rmkt-uncomplconfig_na</v>
      </c>
      <c r="BN116" t="str">
        <f t="shared" si="50"/>
        <v>alp_vw_dv360_imc_dsy_lanch_nd_nc_nvs_nivus-launch-consideracao-orca__configuracao_cpm_drct_all_970x250_lancamento-nivus-orca-rmkt-uncomplconfig_na_generico_nvl-nvs-imc-dsy-0820-10116</v>
      </c>
    </row>
    <row r="117" spans="2:66" ht="15.75" customHeight="1" x14ac:dyDescent="0.25">
      <c r="B117" s="15" t="s">
        <v>1291</v>
      </c>
      <c r="C117" s="15" t="s">
        <v>1294</v>
      </c>
      <c r="D117" s="15"/>
      <c r="E117" s="22">
        <v>44069</v>
      </c>
      <c r="F117" s="22">
        <v>44135</v>
      </c>
      <c r="G117" s="15" t="s">
        <v>651</v>
      </c>
      <c r="H117" s="41" t="s">
        <v>1266</v>
      </c>
      <c r="I117" s="15" t="s">
        <v>801</v>
      </c>
      <c r="J117" s="42" t="s">
        <v>883</v>
      </c>
      <c r="K117" s="42" t="s">
        <v>883</v>
      </c>
      <c r="L117" s="15" t="s">
        <v>676</v>
      </c>
      <c r="M117" s="15" t="s">
        <v>276</v>
      </c>
      <c r="N117" s="15" t="s">
        <v>295</v>
      </c>
      <c r="O117" s="15" t="s">
        <v>677</v>
      </c>
      <c r="P117" s="15" t="str">
        <f>VLOOKUP(Y117,'All Codes'!$BF$3:$BG$278,2,FALSE)</f>
        <v>MPU</v>
      </c>
      <c r="Q117" s="15" t="s">
        <v>179</v>
      </c>
      <c r="R117" s="15" t="s">
        <v>277</v>
      </c>
      <c r="S117" s="15" t="s">
        <v>874</v>
      </c>
      <c r="T117" s="46" t="s">
        <v>884</v>
      </c>
      <c r="U117" s="15" t="s">
        <v>876</v>
      </c>
      <c r="V117" s="63" t="s">
        <v>1085</v>
      </c>
      <c r="W117" s="15" t="s">
        <v>866</v>
      </c>
      <c r="X117" s="15" t="s">
        <v>307</v>
      </c>
      <c r="Y117" s="46" t="s">
        <v>461</v>
      </c>
      <c r="Z117" s="15"/>
      <c r="AA117" s="15"/>
      <c r="AB117" s="15"/>
      <c r="AC117" s="15"/>
      <c r="AD117" s="15"/>
      <c r="AE117" s="15"/>
      <c r="AF117" s="15"/>
      <c r="AG117" s="15"/>
      <c r="AH117" s="15" t="str">
        <f t="shared" ref="AH117:AH123" si="68">VLOOKUP(AI117,id_placement,2,FALSE)</f>
        <v>281619943</v>
      </c>
      <c r="AI117" s="21" t="str">
        <f t="shared" si="63"/>
        <v>alp_vw_dv360_imc_dsy_lanch_nd_nc_nvs_nivus-launch-consideracao-orca__configuracao_cpm_drct_all_300x50_lancamento-nivus-orca-rmkt-complform-lp_na_lancamento-consideracao-nivus-orca_nvl-nvs-imc-dsy-0820-10117</v>
      </c>
      <c r="AJ117" s="40" t="str">
        <f t="shared" si="63"/>
        <v>alp_vw_dv360_imc_dsy_lanch_nd_nc_nvs_nivus-launch-consideracao-orca__configuracao_cpm_drct_all_300x50_lancamento-nivus-orca-rmkt-complform-lp_na_lancamento-consideracao-nivus-orca_nvl-nvs-imc-dsy-0820-10117</v>
      </c>
      <c r="AK117" s="21" t="str">
        <f t="shared" si="41"/>
        <v>vw_nivus_300x50_lancamento-consideracao-nivus-orca_adserver</v>
      </c>
      <c r="AL117" s="21" t="str">
        <f t="shared" si="51"/>
        <v>https://www.vw.com.br/pt/configurador.html/__app/%2Fnivus/0.app?adlid=nvl-nvs-imc-dsy-0820-10117&amp;adplt=alp_vw_dv360_imc_dsy_lanch_nd_nc_nvs_nivus-launch-consideracao-orca__configuracao_cpm_drct_all_300x50_lancamento-nivus-orca-rmkt-complform-lp_na_lancamento-consideracao-nivus-orca_nvl-nvs-imc-dsy-0820-10117</v>
      </c>
      <c r="AM117" s="21" t="str">
        <f t="shared" si="42"/>
        <v>TAG</v>
      </c>
      <c r="AN117" s="15" t="str">
        <f t="shared" si="52"/>
        <v>DV360</v>
      </c>
      <c r="AO117" s="15" t="str">
        <f t="shared" si="53"/>
        <v>Paid-Display</v>
      </c>
      <c r="AP117" s="21" t="str">
        <f>Campanha!$B$3</f>
        <v>BR_IMC_DSY_LANCH_ND_NC_2020Q3AUG_NVS_Nivus-Launch-Consideracao-Orca</v>
      </c>
      <c r="AQ117" s="21" t="str">
        <f t="shared" si="43"/>
        <v>alp_vw_dv360_imc_dsy_lanch_nd_nc_nvs_nivus-launch-consideracao-orca__configuracao_cpm_drct_all_300x50_lancamento-nivus-orca-rmkt-complform-lp_na_lancamento-consideracao-nivus-orca_nvl-nvs-imc-dsy-0820-10117</v>
      </c>
      <c r="AR117" s="15" t="s">
        <v>745</v>
      </c>
      <c r="AS117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rmkt-complform-lp_na_lancamento-consideracao-nivus-orca_nvl-nvs-imc-dsy-0820-10117&amp;utm_campaign=BR_IMC_DSY_LANCH_ND_NC_2020Q3AUG_NVS_Nivus-Launch-Consideracao-Orca&amp;utm_term=%epid!_%ecid!_%eaid!</v>
      </c>
      <c r="AT117" s="15" t="str">
        <f t="shared" si="54"/>
        <v>other</v>
      </c>
      <c r="AU117" s="15" t="str">
        <f t="shared" si="45"/>
        <v>BR</v>
      </c>
      <c r="AV117" s="15" t="str">
        <f t="shared" si="55"/>
        <v>dv360</v>
      </c>
      <c r="AW117" s="15" t="str">
        <f t="shared" si="56"/>
        <v>dv360</v>
      </c>
      <c r="AX117" s="15" t="str">
        <f t="shared" si="46"/>
        <v>nivus-launch-consideracao-orca</v>
      </c>
      <c r="AY117" s="15" t="str">
        <f t="shared" si="57"/>
        <v>alp_vw_dv360_imc_dsy_lanch_nd_nc_nvs_nivus-launch-consideracao-orca__configuracao_cpm_drct_all_300x50_lancamento-nivus-orca-rmkt-complform-lp_na_lancamento-consideracao-nivus-orca_nvl-nvs-imc-dsy-0820-10117</v>
      </c>
      <c r="AZ117" s="15" t="str">
        <f t="shared" si="58"/>
        <v>300x50</v>
      </c>
      <c r="BA117" s="15" t="str">
        <f t="shared" si="59"/>
        <v>lancamento-consideracao-nivus-orca</v>
      </c>
      <c r="BB117" s="28" t="s">
        <v>798</v>
      </c>
      <c r="BC117" s="28" t="s">
        <v>798</v>
      </c>
      <c r="BD117" s="38" t="str">
        <f t="shared" si="60"/>
        <v>nvl-nvs-imc-dsy-0820-10117</v>
      </c>
      <c r="BE117" s="15" t="str">
        <f t="shared" si="61"/>
        <v>BR</v>
      </c>
      <c r="BF117" s="15" t="str">
        <f t="shared" si="62"/>
        <v>paid</v>
      </c>
      <c r="BG117" s="28"/>
      <c r="BH117" s="28"/>
      <c r="BI117" s="36" t="str">
        <f t="shared" si="47"/>
        <v>https://www.vw.com.br/pt/configurador.html/__app/%2Fnivus/0.app?adlid=nvl-nvs-imc-dsy-0820-10117&amp;adplt=alp_vw_dv360_imc_dsy_lanch_nd_nc_nvs_nivus-launch-consideracao-orca__configuracao_cpm_drct_all_300x50_lancamento-nivus-orca-rmkt-complform-lp_na_lancamento-consideracao-nivus-orca_nvl-nvs-imc-dsy-0820-10117</v>
      </c>
      <c r="BL117" t="str">
        <f t="shared" si="48"/>
        <v>alp_vw_dv360_imc_dsy_lanch_nd_nc_nvs_nivus-launch-consideracao-orca__configuracao</v>
      </c>
      <c r="BM117" t="str">
        <f t="shared" si="49"/>
        <v>cpm_drct_all_300x50_lancamento-nivus-orca-rmkt-complform-lp_na</v>
      </c>
      <c r="BN117" t="str">
        <f t="shared" si="50"/>
        <v>alp_vw_dv360_imc_dsy_lanch_nd_nc_nvs_nivus-launch-consideracao-orca__configuracao_cpm_drct_all_300x50_lancamento-nivus-orca-rmkt-complform-lp_na_generico_nvl-nvs-imc-dsy-0820-10117</v>
      </c>
    </row>
    <row r="118" spans="2:66" ht="15.75" customHeight="1" x14ac:dyDescent="0.25">
      <c r="B118" s="15" t="s">
        <v>1291</v>
      </c>
      <c r="C118" s="15" t="s">
        <v>1294</v>
      </c>
      <c r="D118" s="15"/>
      <c r="E118" s="22">
        <v>44069</v>
      </c>
      <c r="F118" s="22">
        <v>44135</v>
      </c>
      <c r="G118" s="15" t="s">
        <v>651</v>
      </c>
      <c r="H118" s="41" t="s">
        <v>1266</v>
      </c>
      <c r="I118" s="15" t="s">
        <v>801</v>
      </c>
      <c r="J118" s="42" t="s">
        <v>883</v>
      </c>
      <c r="K118" s="42" t="s">
        <v>883</v>
      </c>
      <c r="L118" s="15" t="s">
        <v>676</v>
      </c>
      <c r="M118" s="15" t="s">
        <v>276</v>
      </c>
      <c r="N118" s="15" t="s">
        <v>295</v>
      </c>
      <c r="O118" s="15" t="s">
        <v>677</v>
      </c>
      <c r="P118" s="15" t="str">
        <f>VLOOKUP(Y118,'All Codes'!$BF$3:$BG$278,2,FALSE)</f>
        <v>Skyscraper</v>
      </c>
      <c r="Q118" s="15" t="s">
        <v>179</v>
      </c>
      <c r="R118" s="15" t="s">
        <v>277</v>
      </c>
      <c r="S118" s="15" t="s">
        <v>874</v>
      </c>
      <c r="T118" s="46" t="s">
        <v>884</v>
      </c>
      <c r="U118" s="15" t="s">
        <v>876</v>
      </c>
      <c r="V118" s="63" t="s">
        <v>1085</v>
      </c>
      <c r="W118" s="15" t="s">
        <v>866</v>
      </c>
      <c r="X118" s="15" t="s">
        <v>307</v>
      </c>
      <c r="Y118" s="46" t="s">
        <v>434</v>
      </c>
      <c r="Z118" s="15"/>
      <c r="AA118" s="15"/>
      <c r="AB118" s="15"/>
      <c r="AC118" s="15"/>
      <c r="AD118" s="15"/>
      <c r="AE118" s="15"/>
      <c r="AF118" s="15"/>
      <c r="AG118" s="15"/>
      <c r="AH118" s="15" t="str">
        <f t="shared" si="68"/>
        <v>281619940</v>
      </c>
      <c r="AI118" s="21" t="str">
        <f t="shared" si="63"/>
        <v>alp_vw_dv360_imc_dsy_lanch_nd_nc_nvs_nivus-launch-consideracao-orca__configuracao_cpm_drct_all_160x600_lancamento-nivus-orca-rmkt-complform-lp_na_lancamento-consideracao-nivus-orca_nvl-nvs-imc-dsy-0820-10118</v>
      </c>
      <c r="AJ118" s="40" t="str">
        <f t="shared" si="63"/>
        <v>alp_vw_dv360_imc_dsy_lanch_nd_nc_nvs_nivus-launch-consideracao-orca__configuracao_cpm_drct_all_160x600_lancamento-nivus-orca-rmkt-complform-lp_na_lancamento-consideracao-nivus-orca_nvl-nvs-imc-dsy-0820-10118</v>
      </c>
      <c r="AK118" s="21" t="str">
        <f t="shared" si="41"/>
        <v>vw_nivus_160x600_lancamento-consideracao-nivus-orca_adserver</v>
      </c>
      <c r="AL118" s="21" t="str">
        <f t="shared" si="51"/>
        <v>https://www.vw.com.br/pt/configurador.html/__app/%2Fnivus/0.app?adlid=nvl-nvs-imc-dsy-0820-10118&amp;adplt=alp_vw_dv360_imc_dsy_lanch_nd_nc_nvs_nivus-launch-consideracao-orca__configuracao_cpm_drct_all_160x600_lancamento-nivus-orca-rmkt-complform-lp_na_lancamento-consideracao-nivus-orca_nvl-nvs-imc-dsy-0820-10118</v>
      </c>
      <c r="AM118" s="21" t="str">
        <f t="shared" si="42"/>
        <v>TAG</v>
      </c>
      <c r="AN118" s="15" t="str">
        <f t="shared" si="52"/>
        <v>DV360</v>
      </c>
      <c r="AO118" s="15" t="str">
        <f t="shared" si="53"/>
        <v>Paid-Display</v>
      </c>
      <c r="AP118" s="21" t="str">
        <f>Campanha!$B$3</f>
        <v>BR_IMC_DSY_LANCH_ND_NC_2020Q3AUG_NVS_Nivus-Launch-Consideracao-Orca</v>
      </c>
      <c r="AQ118" s="21" t="str">
        <f t="shared" si="43"/>
        <v>alp_vw_dv360_imc_dsy_lanch_nd_nc_nvs_nivus-launch-consideracao-orca__configuracao_cpm_drct_all_160x600_lancamento-nivus-orca-rmkt-complform-lp_na_lancamento-consideracao-nivus-orca_nvl-nvs-imc-dsy-0820-10118</v>
      </c>
      <c r="AR118" s="15" t="s">
        <v>745</v>
      </c>
      <c r="AS118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rmkt-complform-lp_na_lancamento-consideracao-nivus-orca_nvl-nvs-imc-dsy-0820-10118&amp;utm_campaign=BR_IMC_DSY_LANCH_ND_NC_2020Q3AUG_NVS_Nivus-Launch-Consideracao-Orca&amp;utm_term=%epid!_%ecid!_%eaid!</v>
      </c>
      <c r="AT118" s="15" t="str">
        <f t="shared" si="54"/>
        <v>other</v>
      </c>
      <c r="AU118" s="15" t="str">
        <f t="shared" si="45"/>
        <v>BR</v>
      </c>
      <c r="AV118" s="15" t="str">
        <f t="shared" si="55"/>
        <v>dv360</v>
      </c>
      <c r="AW118" s="15" t="str">
        <f t="shared" si="56"/>
        <v>dv360</v>
      </c>
      <c r="AX118" s="15" t="str">
        <f t="shared" si="46"/>
        <v>nivus-launch-consideracao-orca</v>
      </c>
      <c r="AY118" s="15" t="str">
        <f t="shared" si="57"/>
        <v>alp_vw_dv360_imc_dsy_lanch_nd_nc_nvs_nivus-launch-consideracao-orca__configuracao_cpm_drct_all_160x600_lancamento-nivus-orca-rmkt-complform-lp_na_lancamento-consideracao-nivus-orca_nvl-nvs-imc-dsy-0820-10118</v>
      </c>
      <c r="AZ118" s="15" t="str">
        <f t="shared" si="58"/>
        <v>160x600</v>
      </c>
      <c r="BA118" s="15" t="str">
        <f t="shared" si="59"/>
        <v>lancamento-consideracao-nivus-orca</v>
      </c>
      <c r="BB118" s="28" t="s">
        <v>798</v>
      </c>
      <c r="BC118" s="28" t="s">
        <v>798</v>
      </c>
      <c r="BD118" s="38" t="str">
        <f t="shared" si="60"/>
        <v>nvl-nvs-imc-dsy-0820-10118</v>
      </c>
      <c r="BE118" s="15" t="str">
        <f t="shared" si="61"/>
        <v>BR</v>
      </c>
      <c r="BF118" s="15" t="str">
        <f t="shared" si="62"/>
        <v>paid</v>
      </c>
      <c r="BG118" s="28"/>
      <c r="BH118" s="28"/>
      <c r="BI118" s="36" t="str">
        <f t="shared" si="47"/>
        <v>https://www.vw.com.br/pt/configurador.html/__app/%2Fnivus/0.app?adlid=nvl-nvs-imc-dsy-0820-10118&amp;adplt=alp_vw_dv360_imc_dsy_lanch_nd_nc_nvs_nivus-launch-consideracao-orca__configuracao_cpm_drct_all_160x600_lancamento-nivus-orca-rmkt-complform-lp_na_lancamento-consideracao-nivus-orca_nvl-nvs-imc-dsy-0820-10118</v>
      </c>
      <c r="BL118" t="str">
        <f t="shared" si="48"/>
        <v>alp_vw_dv360_imc_dsy_lanch_nd_nc_nvs_nivus-launch-consideracao-orca__configuracao</v>
      </c>
      <c r="BM118" t="str">
        <f t="shared" si="49"/>
        <v>cpm_drct_all_160x600_lancamento-nivus-orca-rmkt-complform-lp_na</v>
      </c>
      <c r="BN118" t="str">
        <f t="shared" si="50"/>
        <v>alp_vw_dv360_imc_dsy_lanch_nd_nc_nvs_nivus-launch-consideracao-orca__configuracao_cpm_drct_all_160x600_lancamento-nivus-orca-rmkt-complform-lp_na_generico_nvl-nvs-imc-dsy-0820-10118</v>
      </c>
    </row>
    <row r="119" spans="2:66" ht="15.75" customHeight="1" x14ac:dyDescent="0.25">
      <c r="B119" s="15" t="s">
        <v>1291</v>
      </c>
      <c r="C119" s="15" t="s">
        <v>1294</v>
      </c>
      <c r="D119" s="15"/>
      <c r="E119" s="22">
        <v>44069</v>
      </c>
      <c r="F119" s="22">
        <v>44135</v>
      </c>
      <c r="G119" s="15" t="s">
        <v>651</v>
      </c>
      <c r="H119" s="41" t="s">
        <v>1266</v>
      </c>
      <c r="I119" s="15" t="s">
        <v>801</v>
      </c>
      <c r="J119" s="42" t="s">
        <v>883</v>
      </c>
      <c r="K119" s="42" t="s">
        <v>883</v>
      </c>
      <c r="L119" s="15" t="s">
        <v>676</v>
      </c>
      <c r="M119" s="15" t="s">
        <v>276</v>
      </c>
      <c r="N119" s="15" t="s">
        <v>295</v>
      </c>
      <c r="O119" s="15" t="s">
        <v>677</v>
      </c>
      <c r="P119" s="15" t="str">
        <f>VLOOKUP(Y119,'All Codes'!$BF$3:$BG$278,2,FALSE)</f>
        <v>MPU</v>
      </c>
      <c r="Q119" s="15" t="s">
        <v>179</v>
      </c>
      <c r="R119" s="15" t="s">
        <v>277</v>
      </c>
      <c r="S119" s="15" t="s">
        <v>874</v>
      </c>
      <c r="T119" s="46" t="s">
        <v>884</v>
      </c>
      <c r="U119" s="15" t="s">
        <v>876</v>
      </c>
      <c r="V119" s="63" t="s">
        <v>1085</v>
      </c>
      <c r="W119" s="15" t="s">
        <v>866</v>
      </c>
      <c r="X119" s="15" t="s">
        <v>307</v>
      </c>
      <c r="Y119" s="46" t="s">
        <v>455</v>
      </c>
      <c r="Z119" s="15"/>
      <c r="AA119" s="15"/>
      <c r="AB119" s="15"/>
      <c r="AC119" s="15"/>
      <c r="AD119" s="15"/>
      <c r="AE119" s="15"/>
      <c r="AF119" s="15"/>
      <c r="AG119" s="15"/>
      <c r="AH119" s="15" t="str">
        <f t="shared" si="68"/>
        <v>281619937</v>
      </c>
      <c r="AI119" s="21" t="str">
        <f t="shared" si="63"/>
        <v>alp_vw_dv360_imc_dsy_lanch_nd_nc_nvs_nivus-launch-consideracao-orca__configuracao_cpm_drct_all_300x250_lancamento-nivus-orca-rmkt-complform-lp_na_lancamento-consideracao-nivus-orca_nvl-nvs-imc-dsy-0820-10119</v>
      </c>
      <c r="AJ119" s="40" t="str">
        <f t="shared" si="63"/>
        <v>alp_vw_dv360_imc_dsy_lanch_nd_nc_nvs_nivus-launch-consideracao-orca__configuracao_cpm_drct_all_300x250_lancamento-nivus-orca-rmkt-complform-lp_na_lancamento-consideracao-nivus-orca_nvl-nvs-imc-dsy-0820-10119</v>
      </c>
      <c r="AK119" s="21" t="str">
        <f t="shared" si="41"/>
        <v>vw_nivus_300x250_lancamento-consideracao-nivus-orca_adserver</v>
      </c>
      <c r="AL119" s="21" t="str">
        <f t="shared" si="51"/>
        <v>https://www.vw.com.br/pt/configurador.html/__app/%2Fnivus/0.app?adlid=nvl-nvs-imc-dsy-0820-10119&amp;adplt=alp_vw_dv360_imc_dsy_lanch_nd_nc_nvs_nivus-launch-consideracao-orca__configuracao_cpm_drct_all_300x250_lancamento-nivus-orca-rmkt-complform-lp_na_lancamento-consideracao-nivus-orca_nvl-nvs-imc-dsy-0820-10119</v>
      </c>
      <c r="AM119" s="21" t="str">
        <f t="shared" si="42"/>
        <v>TAG</v>
      </c>
      <c r="AN119" s="15" t="str">
        <f t="shared" si="52"/>
        <v>DV360</v>
      </c>
      <c r="AO119" s="15" t="str">
        <f t="shared" si="53"/>
        <v>Paid-Display</v>
      </c>
      <c r="AP119" s="21" t="str">
        <f>Campanha!$B$3</f>
        <v>BR_IMC_DSY_LANCH_ND_NC_2020Q3AUG_NVS_Nivus-Launch-Consideracao-Orca</v>
      </c>
      <c r="AQ119" s="21" t="str">
        <f t="shared" si="43"/>
        <v>alp_vw_dv360_imc_dsy_lanch_nd_nc_nvs_nivus-launch-consideracao-orca__configuracao_cpm_drct_all_300x250_lancamento-nivus-orca-rmkt-complform-lp_na_lancamento-consideracao-nivus-orca_nvl-nvs-imc-dsy-0820-10119</v>
      </c>
      <c r="AR119" s="15" t="s">
        <v>745</v>
      </c>
      <c r="AS119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250_lancamento-nivus-orca-rmkt-complform-lp_na_lancamento-consideracao-nivus-orca_nvl-nvs-imc-dsy-0820-10119&amp;utm_campaign=BR_IMC_DSY_LANCH_ND_NC_2020Q3AUG_NVS_Nivus-Launch-Consideracao-Orca&amp;utm_term=%epid!_%ecid!_%eaid!</v>
      </c>
      <c r="AT119" s="15" t="str">
        <f t="shared" si="54"/>
        <v>other</v>
      </c>
      <c r="AU119" s="15" t="str">
        <f t="shared" si="45"/>
        <v>BR</v>
      </c>
      <c r="AV119" s="15" t="str">
        <f t="shared" si="55"/>
        <v>dv360</v>
      </c>
      <c r="AW119" s="15" t="str">
        <f t="shared" si="56"/>
        <v>dv360</v>
      </c>
      <c r="AX119" s="15" t="str">
        <f t="shared" si="46"/>
        <v>nivus-launch-consideracao-orca</v>
      </c>
      <c r="AY119" s="15" t="str">
        <f t="shared" si="57"/>
        <v>alp_vw_dv360_imc_dsy_lanch_nd_nc_nvs_nivus-launch-consideracao-orca__configuracao_cpm_drct_all_300x250_lancamento-nivus-orca-rmkt-complform-lp_na_lancamento-consideracao-nivus-orca_nvl-nvs-imc-dsy-0820-10119</v>
      </c>
      <c r="AZ119" s="15" t="str">
        <f t="shared" si="58"/>
        <v>300x250</v>
      </c>
      <c r="BA119" s="15" t="str">
        <f t="shared" si="59"/>
        <v>lancamento-consideracao-nivus-orca</v>
      </c>
      <c r="BB119" s="28" t="s">
        <v>798</v>
      </c>
      <c r="BC119" s="28" t="s">
        <v>798</v>
      </c>
      <c r="BD119" s="38" t="str">
        <f t="shared" si="60"/>
        <v>nvl-nvs-imc-dsy-0820-10119</v>
      </c>
      <c r="BE119" s="15" t="str">
        <f t="shared" si="61"/>
        <v>BR</v>
      </c>
      <c r="BF119" s="15" t="str">
        <f t="shared" si="62"/>
        <v>paid</v>
      </c>
      <c r="BG119" s="28"/>
      <c r="BH119" s="28"/>
      <c r="BI119" s="36" t="str">
        <f t="shared" si="47"/>
        <v>https://www.vw.com.br/pt/configurador.html/__app/%2Fnivus/0.app?adlid=nvl-nvs-imc-dsy-0820-10119&amp;adplt=alp_vw_dv360_imc_dsy_lanch_nd_nc_nvs_nivus-launch-consideracao-orca__configuracao_cpm_drct_all_300x250_lancamento-nivus-orca-rmkt-complform-lp_na_lancamento-consideracao-nivus-orca_nvl-nvs-imc-dsy-0820-10119</v>
      </c>
      <c r="BL119" t="str">
        <f t="shared" si="48"/>
        <v>alp_vw_dv360_imc_dsy_lanch_nd_nc_nvs_nivus-launch-consideracao-orca__configuracao</v>
      </c>
      <c r="BM119" t="str">
        <f t="shared" si="49"/>
        <v>cpm_drct_all_300x250_lancamento-nivus-orca-rmkt-complform-lp_na</v>
      </c>
      <c r="BN119" t="str">
        <f t="shared" si="50"/>
        <v>alp_vw_dv360_imc_dsy_lanch_nd_nc_nvs_nivus-launch-consideracao-orca__configuracao_cpm_drct_all_300x250_lancamento-nivus-orca-rmkt-complform-lp_na_generico_nvl-nvs-imc-dsy-0820-10119</v>
      </c>
    </row>
    <row r="120" spans="2:66" ht="15.75" customHeight="1" x14ac:dyDescent="0.25">
      <c r="B120" s="15" t="s">
        <v>1291</v>
      </c>
      <c r="C120" s="15" t="s">
        <v>1294</v>
      </c>
      <c r="D120" s="15"/>
      <c r="E120" s="22">
        <v>44069</v>
      </c>
      <c r="F120" s="22">
        <v>44135</v>
      </c>
      <c r="G120" s="15" t="s">
        <v>651</v>
      </c>
      <c r="H120" s="41" t="s">
        <v>1266</v>
      </c>
      <c r="I120" s="15" t="s">
        <v>801</v>
      </c>
      <c r="J120" s="42" t="s">
        <v>883</v>
      </c>
      <c r="K120" s="42" t="s">
        <v>883</v>
      </c>
      <c r="L120" s="15" t="s">
        <v>676</v>
      </c>
      <c r="M120" s="15" t="s">
        <v>276</v>
      </c>
      <c r="N120" s="15" t="s">
        <v>295</v>
      </c>
      <c r="O120" s="15" t="s">
        <v>677</v>
      </c>
      <c r="P120" s="15" t="str">
        <f>VLOOKUP(Y120,'All Codes'!$BF$3:$BG$278,2,FALSE)</f>
        <v>Skyscraper</v>
      </c>
      <c r="Q120" s="15" t="s">
        <v>179</v>
      </c>
      <c r="R120" s="15" t="s">
        <v>277</v>
      </c>
      <c r="S120" s="15" t="s">
        <v>874</v>
      </c>
      <c r="T120" s="46" t="s">
        <v>884</v>
      </c>
      <c r="U120" s="15" t="s">
        <v>876</v>
      </c>
      <c r="V120" s="63" t="s">
        <v>1085</v>
      </c>
      <c r="W120" s="15" t="s">
        <v>866</v>
      </c>
      <c r="X120" s="15" t="s">
        <v>307</v>
      </c>
      <c r="Y120" s="46" t="s">
        <v>464</v>
      </c>
      <c r="Z120" s="15"/>
      <c r="AA120" s="15"/>
      <c r="AB120" s="15"/>
      <c r="AC120" s="15"/>
      <c r="AD120" s="15"/>
      <c r="AE120" s="15"/>
      <c r="AF120" s="15"/>
      <c r="AG120" s="15"/>
      <c r="AH120" s="15" t="str">
        <f t="shared" si="68"/>
        <v>281619934</v>
      </c>
      <c r="AI120" s="21" t="str">
        <f t="shared" si="63"/>
        <v>alp_vw_dv360_imc_dsy_lanch_nd_nc_nvs_nivus-launch-consideracao-orca__configuracao_cpm_drct_all_300x600_lancamento-nivus-orca-rmkt-complform-lp_na_lancamento-consideracao-nivus-orca_nvl-nvs-imc-dsy-0820-10120</v>
      </c>
      <c r="AJ120" s="40" t="str">
        <f t="shared" si="63"/>
        <v>alp_vw_dv360_imc_dsy_lanch_nd_nc_nvs_nivus-launch-consideracao-orca__configuracao_cpm_drct_all_300x600_lancamento-nivus-orca-rmkt-complform-lp_na_lancamento-consideracao-nivus-orca_nvl-nvs-imc-dsy-0820-10120</v>
      </c>
      <c r="AK120" s="21" t="str">
        <f t="shared" si="41"/>
        <v>vw_nivus_300x600_lancamento-consideracao-nivus-orca_adserver</v>
      </c>
      <c r="AL120" s="21" t="str">
        <f t="shared" si="51"/>
        <v>https://www.vw.com.br/pt/configurador.html/__app/%2Fnivus/0.app?adlid=nvl-nvs-imc-dsy-0820-10120&amp;adplt=alp_vw_dv360_imc_dsy_lanch_nd_nc_nvs_nivus-launch-consideracao-orca__configuracao_cpm_drct_all_300x600_lancamento-nivus-orca-rmkt-complform-lp_na_lancamento-consideracao-nivus-orca_nvl-nvs-imc-dsy-0820-10120</v>
      </c>
      <c r="AM120" s="21" t="str">
        <f t="shared" si="42"/>
        <v>TAG</v>
      </c>
      <c r="AN120" s="15" t="str">
        <f t="shared" si="52"/>
        <v>DV360</v>
      </c>
      <c r="AO120" s="15" t="str">
        <f t="shared" si="53"/>
        <v>Paid-Display</v>
      </c>
      <c r="AP120" s="21" t="str">
        <f>Campanha!$B$3</f>
        <v>BR_IMC_DSY_LANCH_ND_NC_2020Q3AUG_NVS_Nivus-Launch-Consideracao-Orca</v>
      </c>
      <c r="AQ120" s="21" t="str">
        <f t="shared" si="43"/>
        <v>alp_vw_dv360_imc_dsy_lanch_nd_nc_nvs_nivus-launch-consideracao-orca__configuracao_cpm_drct_all_300x600_lancamento-nivus-orca-rmkt-complform-lp_na_lancamento-consideracao-nivus-orca_nvl-nvs-imc-dsy-0820-10120</v>
      </c>
      <c r="AR120" s="15" t="s">
        <v>745</v>
      </c>
      <c r="AS120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600_lancamento-nivus-orca-rmkt-complform-lp_na_lancamento-consideracao-nivus-orca_nvl-nvs-imc-dsy-0820-10120&amp;utm_campaign=BR_IMC_DSY_LANCH_ND_NC_2020Q3AUG_NVS_Nivus-Launch-Consideracao-Orca&amp;utm_term=%epid!_%ecid!_%eaid!</v>
      </c>
      <c r="AT120" s="15" t="str">
        <f t="shared" si="54"/>
        <v>other</v>
      </c>
      <c r="AU120" s="15" t="str">
        <f t="shared" si="45"/>
        <v>BR</v>
      </c>
      <c r="AV120" s="15" t="str">
        <f t="shared" si="55"/>
        <v>dv360</v>
      </c>
      <c r="AW120" s="15" t="str">
        <f t="shared" si="56"/>
        <v>dv360</v>
      </c>
      <c r="AX120" s="15" t="str">
        <f t="shared" si="46"/>
        <v>nivus-launch-consideracao-orca</v>
      </c>
      <c r="AY120" s="15" t="str">
        <f t="shared" si="57"/>
        <v>alp_vw_dv360_imc_dsy_lanch_nd_nc_nvs_nivus-launch-consideracao-orca__configuracao_cpm_drct_all_300x600_lancamento-nivus-orca-rmkt-complform-lp_na_lancamento-consideracao-nivus-orca_nvl-nvs-imc-dsy-0820-10120</v>
      </c>
      <c r="AZ120" s="15" t="str">
        <f t="shared" si="58"/>
        <v>300x600</v>
      </c>
      <c r="BA120" s="15" t="str">
        <f t="shared" si="59"/>
        <v>lancamento-consideracao-nivus-orca</v>
      </c>
      <c r="BB120" s="28" t="s">
        <v>798</v>
      </c>
      <c r="BC120" s="28" t="s">
        <v>798</v>
      </c>
      <c r="BD120" s="38" t="str">
        <f t="shared" si="60"/>
        <v>nvl-nvs-imc-dsy-0820-10120</v>
      </c>
      <c r="BE120" s="15" t="str">
        <f t="shared" si="61"/>
        <v>BR</v>
      </c>
      <c r="BF120" s="15" t="str">
        <f t="shared" si="62"/>
        <v>paid</v>
      </c>
      <c r="BG120" s="28"/>
      <c r="BH120" s="28"/>
      <c r="BI120" s="36" t="str">
        <f t="shared" si="47"/>
        <v>https://www.vw.com.br/pt/configurador.html/__app/%2Fnivus/0.app?adlid=nvl-nvs-imc-dsy-0820-10120&amp;adplt=alp_vw_dv360_imc_dsy_lanch_nd_nc_nvs_nivus-launch-consideracao-orca__configuracao_cpm_drct_all_300x600_lancamento-nivus-orca-rmkt-complform-lp_na_lancamento-consideracao-nivus-orca_nvl-nvs-imc-dsy-0820-10120</v>
      </c>
      <c r="BL120" t="str">
        <f t="shared" si="48"/>
        <v>alp_vw_dv360_imc_dsy_lanch_nd_nc_nvs_nivus-launch-consideracao-orca__configuracao</v>
      </c>
      <c r="BM120" t="str">
        <f t="shared" si="49"/>
        <v>cpm_drct_all_300x600_lancamento-nivus-orca-rmkt-complform-lp_na</v>
      </c>
      <c r="BN120" t="str">
        <f t="shared" si="50"/>
        <v>alp_vw_dv360_imc_dsy_lanch_nd_nc_nvs_nivus-launch-consideracao-orca__configuracao_cpm_drct_all_300x600_lancamento-nivus-orca-rmkt-complform-lp_na_generico_nvl-nvs-imc-dsy-0820-10120</v>
      </c>
    </row>
    <row r="121" spans="2:66" ht="15.75" customHeight="1" x14ac:dyDescent="0.25">
      <c r="B121" s="15" t="s">
        <v>1291</v>
      </c>
      <c r="C121" s="15" t="s">
        <v>1294</v>
      </c>
      <c r="D121" s="15"/>
      <c r="E121" s="22">
        <v>44069</v>
      </c>
      <c r="F121" s="22">
        <v>44135</v>
      </c>
      <c r="G121" s="15" t="s">
        <v>651</v>
      </c>
      <c r="H121" s="41" t="s">
        <v>1266</v>
      </c>
      <c r="I121" s="15" t="s">
        <v>801</v>
      </c>
      <c r="J121" s="42" t="s">
        <v>883</v>
      </c>
      <c r="K121" s="42" t="s">
        <v>883</v>
      </c>
      <c r="L121" s="15" t="s">
        <v>676</v>
      </c>
      <c r="M121" s="15" t="s">
        <v>276</v>
      </c>
      <c r="N121" s="15" t="s">
        <v>295</v>
      </c>
      <c r="O121" s="15" t="s">
        <v>677</v>
      </c>
      <c r="P121" s="15" t="str">
        <f>VLOOKUP(Y121,'All Codes'!$BF$3:$BG$278,2,FALSE)</f>
        <v>MPU</v>
      </c>
      <c r="Q121" s="15" t="s">
        <v>179</v>
      </c>
      <c r="R121" s="15" t="s">
        <v>277</v>
      </c>
      <c r="S121" s="15" t="s">
        <v>874</v>
      </c>
      <c r="T121" s="46" t="s">
        <v>884</v>
      </c>
      <c r="U121" s="15" t="s">
        <v>876</v>
      </c>
      <c r="V121" s="63" t="s">
        <v>1085</v>
      </c>
      <c r="W121" s="15" t="s">
        <v>866</v>
      </c>
      <c r="X121" s="15" t="s">
        <v>307</v>
      </c>
      <c r="Y121" s="46" t="s">
        <v>479</v>
      </c>
      <c r="Z121" s="15"/>
      <c r="AA121" s="15"/>
      <c r="AB121" s="15"/>
      <c r="AC121" s="15"/>
      <c r="AD121" s="15"/>
      <c r="AE121" s="15"/>
      <c r="AF121" s="15"/>
      <c r="AG121" s="15"/>
      <c r="AH121" s="15" t="str">
        <f t="shared" si="68"/>
        <v>281619931</v>
      </c>
      <c r="AI121" s="21" t="str">
        <f t="shared" si="63"/>
        <v>alp_vw_dv360_imc_dsy_lanch_nd_nc_nvs_nivus-launch-consideracao-orca__configuracao_cpm_drct_all_320x50_lancamento-nivus-orca-rmkt-complform-lp_na_lancamento-consideracao-nivus-orca_nvl-nvs-imc-dsy-0820-10121</v>
      </c>
      <c r="AJ121" s="40" t="str">
        <f t="shared" si="63"/>
        <v>alp_vw_dv360_imc_dsy_lanch_nd_nc_nvs_nivus-launch-consideracao-orca__configuracao_cpm_drct_all_320x50_lancamento-nivus-orca-rmkt-complform-lp_na_lancamento-consideracao-nivus-orca_nvl-nvs-imc-dsy-0820-10121</v>
      </c>
      <c r="AK121" s="21" t="str">
        <f t="shared" si="41"/>
        <v>vw_nivus_320x50_lancamento-consideracao-nivus-orca_adserver</v>
      </c>
      <c r="AL121" s="21" t="str">
        <f t="shared" si="51"/>
        <v>https://www.vw.com.br/pt/configurador.html/__app/%2Fnivus/0.app?adlid=nvl-nvs-imc-dsy-0820-10121&amp;adplt=alp_vw_dv360_imc_dsy_lanch_nd_nc_nvs_nivus-launch-consideracao-orca__configuracao_cpm_drct_all_320x50_lancamento-nivus-orca-rmkt-complform-lp_na_lancamento-consideracao-nivus-orca_nvl-nvs-imc-dsy-0820-10121</v>
      </c>
      <c r="AM121" s="21" t="str">
        <f t="shared" si="42"/>
        <v>TAG</v>
      </c>
      <c r="AN121" s="15" t="str">
        <f t="shared" si="52"/>
        <v>DV360</v>
      </c>
      <c r="AO121" s="15" t="str">
        <f t="shared" si="53"/>
        <v>Paid-Display</v>
      </c>
      <c r="AP121" s="21" t="str">
        <f>Campanha!$B$3</f>
        <v>BR_IMC_DSY_LANCH_ND_NC_2020Q3AUG_NVS_Nivus-Launch-Consideracao-Orca</v>
      </c>
      <c r="AQ121" s="21" t="str">
        <f t="shared" si="43"/>
        <v>alp_vw_dv360_imc_dsy_lanch_nd_nc_nvs_nivus-launch-consideracao-orca__configuracao_cpm_drct_all_320x50_lancamento-nivus-orca-rmkt-complform-lp_na_lancamento-consideracao-nivus-orca_nvl-nvs-imc-dsy-0820-10121</v>
      </c>
      <c r="AR121" s="15" t="s">
        <v>745</v>
      </c>
      <c r="AS121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320x50_lancamento-nivus-orca-rmkt-complform-lp_na_lancamento-consideracao-nivus-orca_nvl-nvs-imc-dsy-0820-10121&amp;utm_campaign=BR_IMC_DSY_LANCH_ND_NC_2020Q3AUG_NVS_Nivus-Launch-Consideracao-Orca&amp;utm_term=%epid!_%ecid!_%eaid!</v>
      </c>
      <c r="AT121" s="15" t="str">
        <f t="shared" si="54"/>
        <v>other</v>
      </c>
      <c r="AU121" s="15" t="str">
        <f t="shared" si="45"/>
        <v>BR</v>
      </c>
      <c r="AV121" s="15" t="str">
        <f t="shared" si="55"/>
        <v>dv360</v>
      </c>
      <c r="AW121" s="15" t="str">
        <f t="shared" si="56"/>
        <v>dv360</v>
      </c>
      <c r="AX121" s="15" t="str">
        <f t="shared" si="46"/>
        <v>nivus-launch-consideracao-orca</v>
      </c>
      <c r="AY121" s="15" t="str">
        <f t="shared" si="57"/>
        <v>alp_vw_dv360_imc_dsy_lanch_nd_nc_nvs_nivus-launch-consideracao-orca__configuracao_cpm_drct_all_320x50_lancamento-nivus-orca-rmkt-complform-lp_na_lancamento-consideracao-nivus-orca_nvl-nvs-imc-dsy-0820-10121</v>
      </c>
      <c r="AZ121" s="15" t="str">
        <f t="shared" si="58"/>
        <v>320x50</v>
      </c>
      <c r="BA121" s="15" t="str">
        <f t="shared" si="59"/>
        <v>lancamento-consideracao-nivus-orca</v>
      </c>
      <c r="BB121" s="28" t="s">
        <v>798</v>
      </c>
      <c r="BC121" s="28" t="s">
        <v>798</v>
      </c>
      <c r="BD121" s="38" t="str">
        <f t="shared" si="60"/>
        <v>nvl-nvs-imc-dsy-0820-10121</v>
      </c>
      <c r="BE121" s="15" t="str">
        <f t="shared" si="61"/>
        <v>BR</v>
      </c>
      <c r="BF121" s="15" t="str">
        <f t="shared" si="62"/>
        <v>paid</v>
      </c>
      <c r="BG121" s="28"/>
      <c r="BH121" s="28"/>
      <c r="BI121" s="36" t="str">
        <f t="shared" si="47"/>
        <v>https://www.vw.com.br/pt/configurador.html/__app/%2Fnivus/0.app?adlid=nvl-nvs-imc-dsy-0820-10121&amp;adplt=alp_vw_dv360_imc_dsy_lanch_nd_nc_nvs_nivus-launch-consideracao-orca__configuracao_cpm_drct_all_320x50_lancamento-nivus-orca-rmkt-complform-lp_na_lancamento-consideracao-nivus-orca_nvl-nvs-imc-dsy-0820-10121</v>
      </c>
      <c r="BL121" t="str">
        <f t="shared" si="48"/>
        <v>alp_vw_dv360_imc_dsy_lanch_nd_nc_nvs_nivus-launch-consideracao-orca__configuracao</v>
      </c>
      <c r="BM121" t="str">
        <f t="shared" si="49"/>
        <v>cpm_drct_all_320x50_lancamento-nivus-orca-rmkt-complform-lp_na</v>
      </c>
      <c r="BN121" t="str">
        <f t="shared" si="50"/>
        <v>alp_vw_dv360_imc_dsy_lanch_nd_nc_nvs_nivus-launch-consideracao-orca__configuracao_cpm_drct_all_320x50_lancamento-nivus-orca-rmkt-complform-lp_na_generico_nvl-nvs-imc-dsy-0820-10121</v>
      </c>
    </row>
    <row r="122" spans="2:66" ht="15.75" customHeight="1" x14ac:dyDescent="0.25">
      <c r="B122" s="15" t="s">
        <v>1291</v>
      </c>
      <c r="C122" s="15" t="s">
        <v>1294</v>
      </c>
      <c r="D122" s="15"/>
      <c r="E122" s="22">
        <v>44069</v>
      </c>
      <c r="F122" s="22">
        <v>44135</v>
      </c>
      <c r="G122" s="15" t="s">
        <v>651</v>
      </c>
      <c r="H122" s="41" t="s">
        <v>1266</v>
      </c>
      <c r="I122" s="15" t="s">
        <v>801</v>
      </c>
      <c r="J122" s="42" t="s">
        <v>883</v>
      </c>
      <c r="K122" s="42" t="s">
        <v>883</v>
      </c>
      <c r="L122" s="15" t="s">
        <v>676</v>
      </c>
      <c r="M122" s="15" t="s">
        <v>276</v>
      </c>
      <c r="N122" s="15" t="s">
        <v>295</v>
      </c>
      <c r="O122" s="15" t="s">
        <v>677</v>
      </c>
      <c r="P122" s="15" t="str">
        <f>VLOOKUP(Y122,'All Codes'!$BF$3:$BG$278,2,FALSE)</f>
        <v>Leaderboard</v>
      </c>
      <c r="Q122" s="15" t="s">
        <v>179</v>
      </c>
      <c r="R122" s="15" t="s">
        <v>277</v>
      </c>
      <c r="S122" s="15" t="s">
        <v>874</v>
      </c>
      <c r="T122" s="46" t="s">
        <v>884</v>
      </c>
      <c r="U122" s="15" t="s">
        <v>876</v>
      </c>
      <c r="V122" s="63" t="s">
        <v>1085</v>
      </c>
      <c r="W122" s="15" t="s">
        <v>866</v>
      </c>
      <c r="X122" s="15" t="s">
        <v>307</v>
      </c>
      <c r="Y122" s="46" t="s">
        <v>591</v>
      </c>
      <c r="Z122" s="15"/>
      <c r="AA122" s="15"/>
      <c r="AB122" s="15"/>
      <c r="AC122" s="15"/>
      <c r="AD122" s="15"/>
      <c r="AE122" s="15"/>
      <c r="AF122" s="15"/>
      <c r="AG122" s="15"/>
      <c r="AH122" s="15" t="str">
        <f t="shared" si="68"/>
        <v>281619928</v>
      </c>
      <c r="AI122" s="21" t="str">
        <f t="shared" si="63"/>
        <v>alp_vw_dv360_imc_dsy_lanch_nd_nc_nvs_nivus-launch-consideracao-orca__configuracao_cpm_drct_all_728x90_lancamento-nivus-orca-rmkt-complform-lp_na_lancamento-consideracao-nivus-orca_nvl-nvs-imc-dsy-0820-10122</v>
      </c>
      <c r="AJ122" s="40" t="str">
        <f t="shared" si="63"/>
        <v>alp_vw_dv360_imc_dsy_lanch_nd_nc_nvs_nivus-launch-consideracao-orca__configuracao_cpm_drct_all_728x90_lancamento-nivus-orca-rmkt-complform-lp_na_lancamento-consideracao-nivus-orca_nvl-nvs-imc-dsy-0820-10122</v>
      </c>
      <c r="AK122" s="21" t="str">
        <f t="shared" si="41"/>
        <v>vw_nivus_728x90_lancamento-consideracao-nivus-orca_adserver</v>
      </c>
      <c r="AL122" s="21" t="str">
        <f t="shared" si="51"/>
        <v>https://www.vw.com.br/pt/configurador.html/__app/%2Fnivus/0.app?adlid=nvl-nvs-imc-dsy-0820-10122&amp;adplt=alp_vw_dv360_imc_dsy_lanch_nd_nc_nvs_nivus-launch-consideracao-orca__configuracao_cpm_drct_all_728x90_lancamento-nivus-orca-rmkt-complform-lp_na_lancamento-consideracao-nivus-orca_nvl-nvs-imc-dsy-0820-10122</v>
      </c>
      <c r="AM122" s="21" t="str">
        <f t="shared" si="42"/>
        <v>TAG</v>
      </c>
      <c r="AN122" s="15" t="str">
        <f t="shared" si="52"/>
        <v>DV360</v>
      </c>
      <c r="AO122" s="15" t="str">
        <f t="shared" si="53"/>
        <v>Paid-Display</v>
      </c>
      <c r="AP122" s="21" t="str">
        <f>Campanha!$B$3</f>
        <v>BR_IMC_DSY_LANCH_ND_NC_2020Q3AUG_NVS_Nivus-Launch-Consideracao-Orca</v>
      </c>
      <c r="AQ122" s="21" t="str">
        <f t="shared" si="43"/>
        <v>alp_vw_dv360_imc_dsy_lanch_nd_nc_nvs_nivus-launch-consideracao-orca__configuracao_cpm_drct_all_728x90_lancamento-nivus-orca-rmkt-complform-lp_na_lancamento-consideracao-nivus-orca_nvl-nvs-imc-dsy-0820-10122</v>
      </c>
      <c r="AR122" s="15" t="s">
        <v>745</v>
      </c>
      <c r="AS122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728x90_lancamento-nivus-orca-rmkt-complform-lp_na_lancamento-consideracao-nivus-orca_nvl-nvs-imc-dsy-0820-10122&amp;utm_campaign=BR_IMC_DSY_LANCH_ND_NC_2020Q3AUG_NVS_Nivus-Launch-Consideracao-Orca&amp;utm_term=%epid!_%ecid!_%eaid!</v>
      </c>
      <c r="AT122" s="15" t="str">
        <f t="shared" si="54"/>
        <v>other</v>
      </c>
      <c r="AU122" s="15" t="str">
        <f t="shared" si="45"/>
        <v>BR</v>
      </c>
      <c r="AV122" s="15" t="str">
        <f t="shared" si="55"/>
        <v>dv360</v>
      </c>
      <c r="AW122" s="15" t="str">
        <f t="shared" si="56"/>
        <v>dv360</v>
      </c>
      <c r="AX122" s="15" t="str">
        <f t="shared" si="46"/>
        <v>nivus-launch-consideracao-orca</v>
      </c>
      <c r="AY122" s="15" t="str">
        <f t="shared" si="57"/>
        <v>alp_vw_dv360_imc_dsy_lanch_nd_nc_nvs_nivus-launch-consideracao-orca__configuracao_cpm_drct_all_728x90_lancamento-nivus-orca-rmkt-complform-lp_na_lancamento-consideracao-nivus-orca_nvl-nvs-imc-dsy-0820-10122</v>
      </c>
      <c r="AZ122" s="15" t="str">
        <f t="shared" si="58"/>
        <v>728x90</v>
      </c>
      <c r="BA122" s="15" t="str">
        <f t="shared" si="59"/>
        <v>lancamento-consideracao-nivus-orca</v>
      </c>
      <c r="BB122" s="28" t="s">
        <v>798</v>
      </c>
      <c r="BC122" s="28" t="s">
        <v>798</v>
      </c>
      <c r="BD122" s="38" t="str">
        <f t="shared" si="60"/>
        <v>nvl-nvs-imc-dsy-0820-10122</v>
      </c>
      <c r="BE122" s="15" t="str">
        <f t="shared" si="61"/>
        <v>BR</v>
      </c>
      <c r="BF122" s="15" t="str">
        <f t="shared" si="62"/>
        <v>paid</v>
      </c>
      <c r="BG122" s="28"/>
      <c r="BH122" s="28"/>
      <c r="BI122" s="36" t="str">
        <f t="shared" si="47"/>
        <v>https://www.vw.com.br/pt/configurador.html/__app/%2Fnivus/0.app?adlid=nvl-nvs-imc-dsy-0820-10122&amp;adplt=alp_vw_dv360_imc_dsy_lanch_nd_nc_nvs_nivus-launch-consideracao-orca__configuracao_cpm_drct_all_728x90_lancamento-nivus-orca-rmkt-complform-lp_na_lancamento-consideracao-nivus-orca_nvl-nvs-imc-dsy-0820-10122</v>
      </c>
      <c r="BL122" t="str">
        <f t="shared" si="48"/>
        <v>alp_vw_dv360_imc_dsy_lanch_nd_nc_nvs_nivus-launch-consideracao-orca__configuracao</v>
      </c>
      <c r="BM122" t="str">
        <f t="shared" si="49"/>
        <v>cpm_drct_all_728x90_lancamento-nivus-orca-rmkt-complform-lp_na</v>
      </c>
      <c r="BN122" t="str">
        <f t="shared" si="50"/>
        <v>alp_vw_dv360_imc_dsy_lanch_nd_nc_nvs_nivus-launch-consideracao-orca__configuracao_cpm_drct_all_728x90_lancamento-nivus-orca-rmkt-complform-lp_na_generico_nvl-nvs-imc-dsy-0820-10122</v>
      </c>
    </row>
    <row r="123" spans="2:66" ht="15.75" customHeight="1" x14ac:dyDescent="0.25">
      <c r="B123" s="15" t="s">
        <v>1291</v>
      </c>
      <c r="C123" s="15" t="s">
        <v>1294</v>
      </c>
      <c r="D123" s="15"/>
      <c r="E123" s="22">
        <v>44069</v>
      </c>
      <c r="F123" s="22">
        <v>44135</v>
      </c>
      <c r="G123" s="15" t="s">
        <v>651</v>
      </c>
      <c r="H123" s="41" t="s">
        <v>1266</v>
      </c>
      <c r="I123" s="15" t="s">
        <v>801</v>
      </c>
      <c r="J123" s="42" t="s">
        <v>883</v>
      </c>
      <c r="K123" s="42" t="s">
        <v>883</v>
      </c>
      <c r="L123" s="15" t="s">
        <v>676</v>
      </c>
      <c r="M123" s="15" t="s">
        <v>276</v>
      </c>
      <c r="N123" s="15" t="s">
        <v>295</v>
      </c>
      <c r="O123" s="15" t="s">
        <v>677</v>
      </c>
      <c r="P123" s="15" t="str">
        <f>VLOOKUP(Y123,'All Codes'!$BF$3:$BG$278,2,FALSE)</f>
        <v>Leaderboard</v>
      </c>
      <c r="Q123" s="15" t="s">
        <v>179</v>
      </c>
      <c r="R123" s="15" t="s">
        <v>277</v>
      </c>
      <c r="S123" s="15" t="s">
        <v>874</v>
      </c>
      <c r="T123" s="46" t="s">
        <v>884</v>
      </c>
      <c r="U123" s="15" t="s">
        <v>876</v>
      </c>
      <c r="V123" s="63" t="s">
        <v>1085</v>
      </c>
      <c r="W123" s="15" t="s">
        <v>866</v>
      </c>
      <c r="X123" s="15" t="s">
        <v>307</v>
      </c>
      <c r="Y123" s="46" t="s">
        <v>629</v>
      </c>
      <c r="Z123" s="15"/>
      <c r="AA123" s="15"/>
      <c r="AB123" s="15"/>
      <c r="AC123" s="15"/>
      <c r="AD123" s="15"/>
      <c r="AE123" s="15"/>
      <c r="AF123" s="15"/>
      <c r="AG123" s="15"/>
      <c r="AH123" s="15" t="str">
        <f t="shared" si="68"/>
        <v>281619925</v>
      </c>
      <c r="AI123" s="21" t="str">
        <f t="shared" si="63"/>
        <v>alp_vw_dv360_imc_dsy_lanch_nd_nc_nvs_nivus-launch-consideracao-orca__configuracao_cpm_drct_all_970x250_lancamento-nivus-orca-rmkt-complform-lp_na_lancamento-consideracao-nivus-orca_nvl-nvs-imc-dsy-0820-10123</v>
      </c>
      <c r="AJ123" s="40" t="str">
        <f t="shared" si="63"/>
        <v>alp_vw_dv360_imc_dsy_lanch_nd_nc_nvs_nivus-launch-consideracao-orca__configuracao_cpm_drct_all_970x250_lancamento-nivus-orca-rmkt-complform-lp_na_lancamento-consideracao-nivus-orca_nvl-nvs-imc-dsy-0820-10123</v>
      </c>
      <c r="AK123" s="21" t="str">
        <f t="shared" si="41"/>
        <v>vw_nivus_970x250_lancamento-consideracao-nivus-orca_adserver</v>
      </c>
      <c r="AL123" s="21" t="str">
        <f t="shared" si="51"/>
        <v>https://www.vw.com.br/pt/configurador.html/__app/%2Fnivus/0.app?adlid=nvl-nvs-imc-dsy-0820-10123&amp;adplt=alp_vw_dv360_imc_dsy_lanch_nd_nc_nvs_nivus-launch-consideracao-orca__configuracao_cpm_drct_all_970x250_lancamento-nivus-orca-rmkt-complform-lp_na_lancamento-consideracao-nivus-orca_nvl-nvs-imc-dsy-0820-10123</v>
      </c>
      <c r="AM123" s="21" t="str">
        <f t="shared" si="42"/>
        <v>TAG</v>
      </c>
      <c r="AN123" s="15" t="str">
        <f t="shared" si="52"/>
        <v>DV360</v>
      </c>
      <c r="AO123" s="15" t="str">
        <f t="shared" si="53"/>
        <v>Paid-Display</v>
      </c>
      <c r="AP123" s="21" t="str">
        <f>Campanha!$B$3</f>
        <v>BR_IMC_DSY_LANCH_ND_NC_2020Q3AUG_NVS_Nivus-Launch-Consideracao-Orca</v>
      </c>
      <c r="AQ123" s="21" t="str">
        <f t="shared" si="43"/>
        <v>alp_vw_dv360_imc_dsy_lanch_nd_nc_nvs_nivus-launch-consideracao-orca__configuracao_cpm_drct_all_970x250_lancamento-nivus-orca-rmkt-complform-lp_na_lancamento-consideracao-nivus-orca_nvl-nvs-imc-dsy-0820-10123</v>
      </c>
      <c r="AR123" s="15" t="s">
        <v>745</v>
      </c>
      <c r="AS123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970x250_lancamento-nivus-orca-rmkt-complform-lp_na_lancamento-consideracao-nivus-orca_nvl-nvs-imc-dsy-0820-10123&amp;utm_campaign=BR_IMC_DSY_LANCH_ND_NC_2020Q3AUG_NVS_Nivus-Launch-Consideracao-Orca&amp;utm_term=%epid!_%ecid!_%eaid!</v>
      </c>
      <c r="AT123" s="15" t="str">
        <f t="shared" si="54"/>
        <v>other</v>
      </c>
      <c r="AU123" s="15" t="str">
        <f t="shared" si="45"/>
        <v>BR</v>
      </c>
      <c r="AV123" s="15" t="str">
        <f t="shared" si="55"/>
        <v>dv360</v>
      </c>
      <c r="AW123" s="15" t="str">
        <f t="shared" si="56"/>
        <v>dv360</v>
      </c>
      <c r="AX123" s="15" t="str">
        <f t="shared" si="46"/>
        <v>nivus-launch-consideracao-orca</v>
      </c>
      <c r="AY123" s="15" t="str">
        <f t="shared" si="57"/>
        <v>alp_vw_dv360_imc_dsy_lanch_nd_nc_nvs_nivus-launch-consideracao-orca__configuracao_cpm_drct_all_970x250_lancamento-nivus-orca-rmkt-complform-lp_na_lancamento-consideracao-nivus-orca_nvl-nvs-imc-dsy-0820-10123</v>
      </c>
      <c r="AZ123" s="15" t="str">
        <f t="shared" si="58"/>
        <v>970x250</v>
      </c>
      <c r="BA123" s="15" t="str">
        <f t="shared" si="59"/>
        <v>lancamento-consideracao-nivus-orca</v>
      </c>
      <c r="BB123" s="28" t="s">
        <v>798</v>
      </c>
      <c r="BC123" s="28" t="s">
        <v>798</v>
      </c>
      <c r="BD123" s="38" t="str">
        <f t="shared" si="60"/>
        <v>nvl-nvs-imc-dsy-0820-10123</v>
      </c>
      <c r="BE123" s="15" t="str">
        <f t="shared" si="61"/>
        <v>BR</v>
      </c>
      <c r="BF123" s="15" t="str">
        <f t="shared" si="62"/>
        <v>paid</v>
      </c>
      <c r="BG123" s="28"/>
      <c r="BH123" s="28"/>
      <c r="BI123" s="36" t="str">
        <f t="shared" si="47"/>
        <v>https://www.vw.com.br/pt/configurador.html/__app/%2Fnivus/0.app?adlid=nvl-nvs-imc-dsy-0820-10123&amp;adplt=alp_vw_dv360_imc_dsy_lanch_nd_nc_nvs_nivus-launch-consideracao-orca__configuracao_cpm_drct_all_970x250_lancamento-nivus-orca-rmkt-complform-lp_na_lancamento-consideracao-nivus-orca_nvl-nvs-imc-dsy-0820-10123</v>
      </c>
      <c r="BL123" t="str">
        <f t="shared" si="48"/>
        <v>alp_vw_dv360_imc_dsy_lanch_nd_nc_nvs_nivus-launch-consideracao-orca__configuracao</v>
      </c>
      <c r="BM123" t="str">
        <f t="shared" si="49"/>
        <v>cpm_drct_all_970x250_lancamento-nivus-orca-rmkt-complform-lp_na</v>
      </c>
      <c r="BN123" t="str">
        <f t="shared" si="50"/>
        <v>alp_vw_dv360_imc_dsy_lanch_nd_nc_nvs_nivus-launch-consideracao-orca__configuracao_cpm_drct_all_970x250_lancamento-nivus-orca-rmkt-complform-lp_na_generico_nvl-nvs-imc-dsy-0820-10123</v>
      </c>
    </row>
    <row r="124" spans="2:66" ht="15.75" customHeight="1" x14ac:dyDescent="0.25">
      <c r="B124" s="15" t="s">
        <v>1291</v>
      </c>
      <c r="C124" s="15" t="s">
        <v>1294</v>
      </c>
      <c r="D124" s="15"/>
      <c r="E124" s="22">
        <v>44069</v>
      </c>
      <c r="F124" s="22">
        <v>44135</v>
      </c>
      <c r="G124" s="15" t="s">
        <v>651</v>
      </c>
      <c r="H124" s="41" t="s">
        <v>1266</v>
      </c>
      <c r="I124" s="15" t="s">
        <v>801</v>
      </c>
      <c r="J124" s="42" t="s">
        <v>883</v>
      </c>
      <c r="K124" s="42" t="s">
        <v>883</v>
      </c>
      <c r="L124" s="15" t="s">
        <v>676</v>
      </c>
      <c r="M124" s="15" t="s">
        <v>276</v>
      </c>
      <c r="N124" s="15" t="s">
        <v>295</v>
      </c>
      <c r="O124" s="15" t="s">
        <v>677</v>
      </c>
      <c r="P124" s="15" t="str">
        <f>VLOOKUP(Y124,'All Codes'!$BF$3:$BG$278,2,FALSE)</f>
        <v>MPU</v>
      </c>
      <c r="Q124" s="15" t="s">
        <v>179</v>
      </c>
      <c r="R124" s="15" t="s">
        <v>277</v>
      </c>
      <c r="S124" s="15" t="s">
        <v>874</v>
      </c>
      <c r="T124" s="46" t="s">
        <v>884</v>
      </c>
      <c r="U124" s="15" t="s">
        <v>876</v>
      </c>
      <c r="V124" s="64" t="s">
        <v>1084</v>
      </c>
      <c r="W124" s="15" t="s">
        <v>866</v>
      </c>
      <c r="X124" s="15" t="s">
        <v>307</v>
      </c>
      <c r="Y124" s="46" t="s">
        <v>461</v>
      </c>
      <c r="Z124" s="15"/>
      <c r="AA124" s="15"/>
      <c r="AB124" s="15"/>
      <c r="AC124" s="15"/>
      <c r="AD124" s="15"/>
      <c r="AE124" s="15"/>
      <c r="AF124" s="15"/>
      <c r="AG124" s="15"/>
      <c r="AH124" s="15" t="str">
        <f t="shared" ref="AH124:AH130" si="69">VLOOKUP(AI124,id_placement,2,FALSE)</f>
        <v>281619922</v>
      </c>
      <c r="AI124" s="21" t="str">
        <f t="shared" si="63"/>
        <v>alp_vw_dv360_imc_dsy_lanch_nd_nc_nvs_nivus-launch-consideracao-orca__configuracao_cpm_drct_all_300x50_lancamento-nivus-orca-rmkt-uncomplform-lp_na_lancamento-consideracao-nivus-orca_nvl-nvs-imc-dsy-0820-10124</v>
      </c>
      <c r="AJ124" s="40" t="str">
        <f t="shared" si="63"/>
        <v>alp_vw_dv360_imc_dsy_lanch_nd_nc_nvs_nivus-launch-consideracao-orca__configuracao_cpm_drct_all_300x50_lancamento-nivus-orca-rmkt-uncomplform-lp_na_lancamento-consideracao-nivus-orca_nvl-nvs-imc-dsy-0820-10124</v>
      </c>
      <c r="AK124" s="21" t="str">
        <f t="shared" si="41"/>
        <v>vw_nivus_300x50_lancamento-consideracao-nivus-orca_adserver</v>
      </c>
      <c r="AL124" s="21" t="str">
        <f t="shared" si="51"/>
        <v>https://www.vw.com.br/pt/configurador.html/__app/%2Fnivus/0.app?adlid=nvl-nvs-imc-dsy-0820-10124&amp;adplt=alp_vw_dv360_imc_dsy_lanch_nd_nc_nvs_nivus-launch-consideracao-orca__configuracao_cpm_drct_all_300x50_lancamento-nivus-orca-rmkt-uncomplform-lp_na_lancamento-consideracao-nivus-orca_nvl-nvs-imc-dsy-0820-10124</v>
      </c>
      <c r="AM124" s="21" t="str">
        <f t="shared" si="42"/>
        <v>TAG</v>
      </c>
      <c r="AN124" s="15" t="str">
        <f t="shared" si="52"/>
        <v>DV360</v>
      </c>
      <c r="AO124" s="15" t="str">
        <f t="shared" si="53"/>
        <v>Paid-Display</v>
      </c>
      <c r="AP124" s="21" t="str">
        <f>Campanha!$B$3</f>
        <v>BR_IMC_DSY_LANCH_ND_NC_2020Q3AUG_NVS_Nivus-Launch-Consideracao-Orca</v>
      </c>
      <c r="AQ124" s="21" t="str">
        <f t="shared" si="43"/>
        <v>alp_vw_dv360_imc_dsy_lanch_nd_nc_nvs_nivus-launch-consideracao-orca__configuracao_cpm_drct_all_300x50_lancamento-nivus-orca-rmkt-uncomplform-lp_na_lancamento-consideracao-nivus-orca_nvl-nvs-imc-dsy-0820-10124</v>
      </c>
      <c r="AR124" s="15" t="s">
        <v>745</v>
      </c>
      <c r="AS124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rmkt-uncomplform-lp_na_lancamento-consideracao-nivus-orca_nvl-nvs-imc-dsy-0820-10124&amp;utm_campaign=BR_IMC_DSY_LANCH_ND_NC_2020Q3AUG_NVS_Nivus-Launch-Consideracao-Orca&amp;utm_term=%epid!_%ecid!_%eaid!</v>
      </c>
      <c r="AT124" s="15" t="str">
        <f t="shared" si="54"/>
        <v>other</v>
      </c>
      <c r="AU124" s="15" t="str">
        <f t="shared" si="45"/>
        <v>BR</v>
      </c>
      <c r="AV124" s="15" t="str">
        <f t="shared" si="55"/>
        <v>dv360</v>
      </c>
      <c r="AW124" s="15" t="str">
        <f t="shared" si="56"/>
        <v>dv360</v>
      </c>
      <c r="AX124" s="15" t="str">
        <f t="shared" si="46"/>
        <v>nivus-launch-consideracao-orca</v>
      </c>
      <c r="AY124" s="15" t="str">
        <f t="shared" si="57"/>
        <v>alp_vw_dv360_imc_dsy_lanch_nd_nc_nvs_nivus-launch-consideracao-orca__configuracao_cpm_drct_all_300x50_lancamento-nivus-orca-rmkt-uncomplform-lp_na_lancamento-consideracao-nivus-orca_nvl-nvs-imc-dsy-0820-10124</v>
      </c>
      <c r="AZ124" s="15" t="str">
        <f t="shared" si="58"/>
        <v>300x50</v>
      </c>
      <c r="BA124" s="15" t="str">
        <f t="shared" si="59"/>
        <v>lancamento-consideracao-nivus-orca</v>
      </c>
      <c r="BB124" s="28" t="s">
        <v>798</v>
      </c>
      <c r="BC124" s="28" t="s">
        <v>798</v>
      </c>
      <c r="BD124" s="38" t="str">
        <f t="shared" si="60"/>
        <v>nvl-nvs-imc-dsy-0820-10124</v>
      </c>
      <c r="BE124" s="15" t="str">
        <f t="shared" si="61"/>
        <v>BR</v>
      </c>
      <c r="BF124" s="15" t="str">
        <f t="shared" si="62"/>
        <v>paid</v>
      </c>
      <c r="BG124" s="28"/>
      <c r="BH124" s="28"/>
      <c r="BI124" s="36" t="str">
        <f t="shared" si="47"/>
        <v>https://www.vw.com.br/pt/configurador.html/__app/%2Fnivus/0.app?adlid=nvl-nvs-imc-dsy-0820-10124&amp;adplt=alp_vw_dv360_imc_dsy_lanch_nd_nc_nvs_nivus-launch-consideracao-orca__configuracao_cpm_drct_all_300x50_lancamento-nivus-orca-rmkt-uncomplform-lp_na_lancamento-consideracao-nivus-orca_nvl-nvs-imc-dsy-0820-10124</v>
      </c>
      <c r="BL124" t="str">
        <f t="shared" si="48"/>
        <v>alp_vw_dv360_imc_dsy_lanch_nd_nc_nvs_nivus-launch-consideracao-orca__configuracao</v>
      </c>
      <c r="BM124" t="str">
        <f t="shared" si="49"/>
        <v>cpm_drct_all_300x50_lancamento-nivus-orca-rmkt-uncomplform-lp_na</v>
      </c>
      <c r="BN124" t="str">
        <f t="shared" si="50"/>
        <v>alp_vw_dv360_imc_dsy_lanch_nd_nc_nvs_nivus-launch-consideracao-orca__configuracao_cpm_drct_all_300x50_lancamento-nivus-orca-rmkt-uncomplform-lp_na_generico_nvl-nvs-imc-dsy-0820-10124</v>
      </c>
    </row>
    <row r="125" spans="2:66" ht="15.75" customHeight="1" x14ac:dyDescent="0.25">
      <c r="B125" s="15" t="s">
        <v>1291</v>
      </c>
      <c r="C125" s="15" t="s">
        <v>1294</v>
      </c>
      <c r="D125" s="15"/>
      <c r="E125" s="22">
        <v>44069</v>
      </c>
      <c r="F125" s="22">
        <v>44135</v>
      </c>
      <c r="G125" s="15" t="s">
        <v>651</v>
      </c>
      <c r="H125" s="41" t="s">
        <v>1266</v>
      </c>
      <c r="I125" s="15" t="s">
        <v>801</v>
      </c>
      <c r="J125" s="42" t="s">
        <v>883</v>
      </c>
      <c r="K125" s="42" t="s">
        <v>883</v>
      </c>
      <c r="L125" s="15" t="s">
        <v>676</v>
      </c>
      <c r="M125" s="15" t="s">
        <v>276</v>
      </c>
      <c r="N125" s="15" t="s">
        <v>295</v>
      </c>
      <c r="O125" s="15" t="s">
        <v>677</v>
      </c>
      <c r="P125" s="15" t="str">
        <f>VLOOKUP(Y125,'All Codes'!$BF$3:$BG$278,2,FALSE)</f>
        <v>Skyscraper</v>
      </c>
      <c r="Q125" s="15" t="s">
        <v>179</v>
      </c>
      <c r="R125" s="15" t="s">
        <v>277</v>
      </c>
      <c r="S125" s="15" t="s">
        <v>874</v>
      </c>
      <c r="T125" s="46" t="s">
        <v>884</v>
      </c>
      <c r="U125" s="15" t="s">
        <v>876</v>
      </c>
      <c r="V125" s="64" t="s">
        <v>1084</v>
      </c>
      <c r="W125" s="15" t="s">
        <v>866</v>
      </c>
      <c r="X125" s="15" t="s">
        <v>307</v>
      </c>
      <c r="Y125" s="46" t="s">
        <v>434</v>
      </c>
      <c r="Z125" s="15"/>
      <c r="AA125" s="15"/>
      <c r="AB125" s="15"/>
      <c r="AC125" s="15"/>
      <c r="AD125" s="15"/>
      <c r="AE125" s="15"/>
      <c r="AF125" s="15"/>
      <c r="AG125" s="15"/>
      <c r="AH125" s="15" t="str">
        <f t="shared" si="69"/>
        <v>281619919</v>
      </c>
      <c r="AI125" s="21" t="str">
        <f t="shared" si="63"/>
        <v>alp_vw_dv360_imc_dsy_lanch_nd_nc_nvs_nivus-launch-consideracao-orca__configuracao_cpm_drct_all_160x600_lancamento-nivus-orca-rmkt-uncomplform-lp_na_lancamento-consideracao-nivus-orca_nvl-nvs-imc-dsy-0820-10125</v>
      </c>
      <c r="AJ125" s="40" t="str">
        <f t="shared" si="63"/>
        <v>alp_vw_dv360_imc_dsy_lanch_nd_nc_nvs_nivus-launch-consideracao-orca__configuracao_cpm_drct_all_160x600_lancamento-nivus-orca-rmkt-uncomplform-lp_na_lancamento-consideracao-nivus-orca_nvl-nvs-imc-dsy-0820-10125</v>
      </c>
      <c r="AK125" s="21" t="str">
        <f t="shared" si="41"/>
        <v>vw_nivus_160x600_lancamento-consideracao-nivus-orca_adserver</v>
      </c>
      <c r="AL125" s="21" t="str">
        <f t="shared" si="51"/>
        <v>https://www.vw.com.br/pt/configurador.html/__app/%2Fnivus/0.app?adlid=nvl-nvs-imc-dsy-0820-10125&amp;adplt=alp_vw_dv360_imc_dsy_lanch_nd_nc_nvs_nivus-launch-consideracao-orca__configuracao_cpm_drct_all_160x600_lancamento-nivus-orca-rmkt-uncomplform-lp_na_lancamento-consideracao-nivus-orca_nvl-nvs-imc-dsy-0820-10125</v>
      </c>
      <c r="AM125" s="21" t="str">
        <f t="shared" si="42"/>
        <v>TAG</v>
      </c>
      <c r="AN125" s="15" t="str">
        <f t="shared" si="52"/>
        <v>DV360</v>
      </c>
      <c r="AO125" s="15" t="str">
        <f t="shared" si="53"/>
        <v>Paid-Display</v>
      </c>
      <c r="AP125" s="21" t="str">
        <f>Campanha!$B$3</f>
        <v>BR_IMC_DSY_LANCH_ND_NC_2020Q3AUG_NVS_Nivus-Launch-Consideracao-Orca</v>
      </c>
      <c r="AQ125" s="21" t="str">
        <f t="shared" si="43"/>
        <v>alp_vw_dv360_imc_dsy_lanch_nd_nc_nvs_nivus-launch-consideracao-orca__configuracao_cpm_drct_all_160x600_lancamento-nivus-orca-rmkt-uncomplform-lp_na_lancamento-consideracao-nivus-orca_nvl-nvs-imc-dsy-0820-10125</v>
      </c>
      <c r="AR125" s="15" t="s">
        <v>745</v>
      </c>
      <c r="AS125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rmkt-uncomplform-lp_na_lancamento-consideracao-nivus-orca_nvl-nvs-imc-dsy-0820-10125&amp;utm_campaign=BR_IMC_DSY_LANCH_ND_NC_2020Q3AUG_NVS_Nivus-Launch-Consideracao-Orca&amp;utm_term=%epid!_%ecid!_%eaid!</v>
      </c>
      <c r="AT125" s="15" t="str">
        <f t="shared" si="54"/>
        <v>other</v>
      </c>
      <c r="AU125" s="15" t="str">
        <f t="shared" si="45"/>
        <v>BR</v>
      </c>
      <c r="AV125" s="15" t="str">
        <f t="shared" si="55"/>
        <v>dv360</v>
      </c>
      <c r="AW125" s="15" t="str">
        <f t="shared" si="56"/>
        <v>dv360</v>
      </c>
      <c r="AX125" s="15" t="str">
        <f t="shared" si="46"/>
        <v>nivus-launch-consideracao-orca</v>
      </c>
      <c r="AY125" s="15" t="str">
        <f t="shared" si="57"/>
        <v>alp_vw_dv360_imc_dsy_lanch_nd_nc_nvs_nivus-launch-consideracao-orca__configuracao_cpm_drct_all_160x600_lancamento-nivus-orca-rmkt-uncomplform-lp_na_lancamento-consideracao-nivus-orca_nvl-nvs-imc-dsy-0820-10125</v>
      </c>
      <c r="AZ125" s="15" t="str">
        <f t="shared" si="58"/>
        <v>160x600</v>
      </c>
      <c r="BA125" s="15" t="str">
        <f t="shared" si="59"/>
        <v>lancamento-consideracao-nivus-orca</v>
      </c>
      <c r="BB125" s="28" t="s">
        <v>798</v>
      </c>
      <c r="BC125" s="28" t="s">
        <v>798</v>
      </c>
      <c r="BD125" s="38" t="str">
        <f t="shared" si="60"/>
        <v>nvl-nvs-imc-dsy-0820-10125</v>
      </c>
      <c r="BE125" s="15" t="str">
        <f t="shared" si="61"/>
        <v>BR</v>
      </c>
      <c r="BF125" s="15" t="str">
        <f t="shared" si="62"/>
        <v>paid</v>
      </c>
      <c r="BG125" s="28"/>
      <c r="BH125" s="28"/>
      <c r="BI125" s="36" t="str">
        <f t="shared" si="47"/>
        <v>https://www.vw.com.br/pt/configurador.html/__app/%2Fnivus/0.app?adlid=nvl-nvs-imc-dsy-0820-10125&amp;adplt=alp_vw_dv360_imc_dsy_lanch_nd_nc_nvs_nivus-launch-consideracao-orca__configuracao_cpm_drct_all_160x600_lancamento-nivus-orca-rmkt-uncomplform-lp_na_lancamento-consideracao-nivus-orca_nvl-nvs-imc-dsy-0820-10125</v>
      </c>
      <c r="BL125" t="str">
        <f t="shared" si="48"/>
        <v>alp_vw_dv360_imc_dsy_lanch_nd_nc_nvs_nivus-launch-consideracao-orca__configuracao</v>
      </c>
      <c r="BM125" t="str">
        <f t="shared" si="49"/>
        <v>cpm_drct_all_160x600_lancamento-nivus-orca-rmkt-uncomplform-lp_na</v>
      </c>
      <c r="BN125" t="str">
        <f t="shared" si="50"/>
        <v>alp_vw_dv360_imc_dsy_lanch_nd_nc_nvs_nivus-launch-consideracao-orca__configuracao_cpm_drct_all_160x600_lancamento-nivus-orca-rmkt-uncomplform-lp_na_generico_nvl-nvs-imc-dsy-0820-10125</v>
      </c>
    </row>
    <row r="126" spans="2:66" ht="15.75" customHeight="1" x14ac:dyDescent="0.25">
      <c r="B126" s="15" t="s">
        <v>1291</v>
      </c>
      <c r="C126" s="15" t="s">
        <v>1294</v>
      </c>
      <c r="D126" s="15"/>
      <c r="E126" s="22">
        <v>44069</v>
      </c>
      <c r="F126" s="22">
        <v>44135</v>
      </c>
      <c r="G126" s="15" t="s">
        <v>651</v>
      </c>
      <c r="H126" s="41" t="s">
        <v>1266</v>
      </c>
      <c r="I126" s="15" t="s">
        <v>801</v>
      </c>
      <c r="J126" s="42" t="s">
        <v>883</v>
      </c>
      <c r="K126" s="42" t="s">
        <v>883</v>
      </c>
      <c r="L126" s="15" t="s">
        <v>676</v>
      </c>
      <c r="M126" s="15" t="s">
        <v>276</v>
      </c>
      <c r="N126" s="15" t="s">
        <v>295</v>
      </c>
      <c r="O126" s="15" t="s">
        <v>677</v>
      </c>
      <c r="P126" s="15" t="str">
        <f>VLOOKUP(Y126,'All Codes'!$BF$3:$BG$278,2,FALSE)</f>
        <v>MPU</v>
      </c>
      <c r="Q126" s="15" t="s">
        <v>179</v>
      </c>
      <c r="R126" s="15" t="s">
        <v>277</v>
      </c>
      <c r="S126" s="15" t="s">
        <v>874</v>
      </c>
      <c r="T126" s="46" t="s">
        <v>884</v>
      </c>
      <c r="U126" s="15" t="s">
        <v>876</v>
      </c>
      <c r="V126" s="64" t="s">
        <v>1084</v>
      </c>
      <c r="W126" s="15" t="s">
        <v>866</v>
      </c>
      <c r="X126" s="15" t="s">
        <v>307</v>
      </c>
      <c r="Y126" s="46" t="s">
        <v>455</v>
      </c>
      <c r="Z126" s="15"/>
      <c r="AA126" s="15"/>
      <c r="AB126" s="15"/>
      <c r="AC126" s="15"/>
      <c r="AD126" s="15"/>
      <c r="AE126" s="15"/>
      <c r="AF126" s="15"/>
      <c r="AG126" s="15"/>
      <c r="AH126" s="15" t="str">
        <f t="shared" si="69"/>
        <v>281619916</v>
      </c>
      <c r="AI126" s="21" t="str">
        <f t="shared" si="63"/>
        <v>alp_vw_dv360_imc_dsy_lanch_nd_nc_nvs_nivus-launch-consideracao-orca__configuracao_cpm_drct_all_300x250_lancamento-nivus-orca-rmkt-uncomplform-lp_na_lancamento-consideracao-nivus-orca_nvl-nvs-imc-dsy-0820-10126</v>
      </c>
      <c r="AJ126" s="40" t="str">
        <f t="shared" si="63"/>
        <v>alp_vw_dv360_imc_dsy_lanch_nd_nc_nvs_nivus-launch-consideracao-orca__configuracao_cpm_drct_all_300x250_lancamento-nivus-orca-rmkt-uncomplform-lp_na_lancamento-consideracao-nivus-orca_nvl-nvs-imc-dsy-0820-10126</v>
      </c>
      <c r="AK126" s="21" t="str">
        <f t="shared" si="41"/>
        <v>vw_nivus_300x250_lancamento-consideracao-nivus-orca_adserver</v>
      </c>
      <c r="AL126" s="21" t="str">
        <f t="shared" si="51"/>
        <v>https://www.vw.com.br/pt/configurador.html/__app/%2Fnivus/0.app?adlid=nvl-nvs-imc-dsy-0820-10126&amp;adplt=alp_vw_dv360_imc_dsy_lanch_nd_nc_nvs_nivus-launch-consideracao-orca__configuracao_cpm_drct_all_300x250_lancamento-nivus-orca-rmkt-uncomplform-lp_na_lancamento-consideracao-nivus-orca_nvl-nvs-imc-dsy-0820-10126</v>
      </c>
      <c r="AM126" s="21" t="str">
        <f t="shared" si="42"/>
        <v>TAG</v>
      </c>
      <c r="AN126" s="15" t="str">
        <f t="shared" si="52"/>
        <v>DV360</v>
      </c>
      <c r="AO126" s="15" t="str">
        <f t="shared" si="53"/>
        <v>Paid-Display</v>
      </c>
      <c r="AP126" s="21" t="str">
        <f>Campanha!$B$3</f>
        <v>BR_IMC_DSY_LANCH_ND_NC_2020Q3AUG_NVS_Nivus-Launch-Consideracao-Orca</v>
      </c>
      <c r="AQ126" s="21" t="str">
        <f t="shared" si="43"/>
        <v>alp_vw_dv360_imc_dsy_lanch_nd_nc_nvs_nivus-launch-consideracao-orca__configuracao_cpm_drct_all_300x250_lancamento-nivus-orca-rmkt-uncomplform-lp_na_lancamento-consideracao-nivus-orca_nvl-nvs-imc-dsy-0820-10126</v>
      </c>
      <c r="AR126" s="15" t="s">
        <v>745</v>
      </c>
      <c r="AS126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250_lancamento-nivus-orca-rmkt-uncomplform-lp_na_lancamento-consideracao-nivus-orca_nvl-nvs-imc-dsy-0820-10126&amp;utm_campaign=BR_IMC_DSY_LANCH_ND_NC_2020Q3AUG_NVS_Nivus-Launch-Consideracao-Orca&amp;utm_term=%epid!_%ecid!_%eaid!</v>
      </c>
      <c r="AT126" s="15" t="str">
        <f t="shared" si="54"/>
        <v>other</v>
      </c>
      <c r="AU126" s="15" t="str">
        <f t="shared" si="45"/>
        <v>BR</v>
      </c>
      <c r="AV126" s="15" t="str">
        <f t="shared" si="55"/>
        <v>dv360</v>
      </c>
      <c r="AW126" s="15" t="str">
        <f t="shared" si="56"/>
        <v>dv360</v>
      </c>
      <c r="AX126" s="15" t="str">
        <f t="shared" si="46"/>
        <v>nivus-launch-consideracao-orca</v>
      </c>
      <c r="AY126" s="15" t="str">
        <f t="shared" si="57"/>
        <v>alp_vw_dv360_imc_dsy_lanch_nd_nc_nvs_nivus-launch-consideracao-orca__configuracao_cpm_drct_all_300x250_lancamento-nivus-orca-rmkt-uncomplform-lp_na_lancamento-consideracao-nivus-orca_nvl-nvs-imc-dsy-0820-10126</v>
      </c>
      <c r="AZ126" s="15" t="str">
        <f t="shared" si="58"/>
        <v>300x250</v>
      </c>
      <c r="BA126" s="15" t="str">
        <f t="shared" si="59"/>
        <v>lancamento-consideracao-nivus-orca</v>
      </c>
      <c r="BB126" s="28" t="s">
        <v>798</v>
      </c>
      <c r="BC126" s="28" t="s">
        <v>798</v>
      </c>
      <c r="BD126" s="38" t="str">
        <f t="shared" si="60"/>
        <v>nvl-nvs-imc-dsy-0820-10126</v>
      </c>
      <c r="BE126" s="15" t="str">
        <f t="shared" si="61"/>
        <v>BR</v>
      </c>
      <c r="BF126" s="15" t="str">
        <f t="shared" si="62"/>
        <v>paid</v>
      </c>
      <c r="BG126" s="28"/>
      <c r="BH126" s="28"/>
      <c r="BI126" s="36" t="str">
        <f t="shared" si="47"/>
        <v>https://www.vw.com.br/pt/configurador.html/__app/%2Fnivus/0.app?adlid=nvl-nvs-imc-dsy-0820-10126&amp;adplt=alp_vw_dv360_imc_dsy_lanch_nd_nc_nvs_nivus-launch-consideracao-orca__configuracao_cpm_drct_all_300x250_lancamento-nivus-orca-rmkt-uncomplform-lp_na_lancamento-consideracao-nivus-orca_nvl-nvs-imc-dsy-0820-10126</v>
      </c>
      <c r="BL126" t="str">
        <f t="shared" si="48"/>
        <v>alp_vw_dv360_imc_dsy_lanch_nd_nc_nvs_nivus-launch-consideracao-orca__configuracao</v>
      </c>
      <c r="BM126" t="str">
        <f t="shared" si="49"/>
        <v>cpm_drct_all_300x250_lancamento-nivus-orca-rmkt-uncomplform-lp_na</v>
      </c>
      <c r="BN126" t="str">
        <f t="shared" si="50"/>
        <v>alp_vw_dv360_imc_dsy_lanch_nd_nc_nvs_nivus-launch-consideracao-orca__configuracao_cpm_drct_all_300x250_lancamento-nivus-orca-rmkt-uncomplform-lp_na_generico_nvl-nvs-imc-dsy-0820-10126</v>
      </c>
    </row>
    <row r="127" spans="2:66" ht="15.75" customHeight="1" x14ac:dyDescent="0.25">
      <c r="B127" s="15" t="s">
        <v>1291</v>
      </c>
      <c r="C127" s="15" t="s">
        <v>1294</v>
      </c>
      <c r="D127" s="15"/>
      <c r="E127" s="22">
        <v>44069</v>
      </c>
      <c r="F127" s="22">
        <v>44135</v>
      </c>
      <c r="G127" s="15" t="s">
        <v>651</v>
      </c>
      <c r="H127" s="41" t="s">
        <v>1266</v>
      </c>
      <c r="I127" s="15" t="s">
        <v>801</v>
      </c>
      <c r="J127" s="42" t="s">
        <v>883</v>
      </c>
      <c r="K127" s="42" t="s">
        <v>883</v>
      </c>
      <c r="L127" s="15" t="s">
        <v>676</v>
      </c>
      <c r="M127" s="15" t="s">
        <v>276</v>
      </c>
      <c r="N127" s="15" t="s">
        <v>295</v>
      </c>
      <c r="O127" s="15" t="s">
        <v>677</v>
      </c>
      <c r="P127" s="15" t="str">
        <f>VLOOKUP(Y127,'All Codes'!$BF$3:$BG$278,2,FALSE)</f>
        <v>Skyscraper</v>
      </c>
      <c r="Q127" s="15" t="s">
        <v>179</v>
      </c>
      <c r="R127" s="15" t="s">
        <v>277</v>
      </c>
      <c r="S127" s="15" t="s">
        <v>874</v>
      </c>
      <c r="T127" s="46" t="s">
        <v>884</v>
      </c>
      <c r="U127" s="15" t="s">
        <v>876</v>
      </c>
      <c r="V127" s="64" t="s">
        <v>1084</v>
      </c>
      <c r="W127" s="15" t="s">
        <v>866</v>
      </c>
      <c r="X127" s="15" t="s">
        <v>307</v>
      </c>
      <c r="Y127" s="46" t="s">
        <v>464</v>
      </c>
      <c r="Z127" s="15"/>
      <c r="AA127" s="15"/>
      <c r="AB127" s="15"/>
      <c r="AC127" s="15"/>
      <c r="AD127" s="15"/>
      <c r="AE127" s="15"/>
      <c r="AF127" s="15"/>
      <c r="AG127" s="15"/>
      <c r="AH127" s="15" t="str">
        <f t="shared" si="69"/>
        <v>281619913</v>
      </c>
      <c r="AI127" s="21" t="str">
        <f t="shared" si="63"/>
        <v>alp_vw_dv360_imc_dsy_lanch_nd_nc_nvs_nivus-launch-consideracao-orca__configuracao_cpm_drct_all_300x600_lancamento-nivus-orca-rmkt-uncomplform-lp_na_lancamento-consideracao-nivus-orca_nvl-nvs-imc-dsy-0820-10127</v>
      </c>
      <c r="AJ127" s="40" t="str">
        <f t="shared" si="63"/>
        <v>alp_vw_dv360_imc_dsy_lanch_nd_nc_nvs_nivus-launch-consideracao-orca__configuracao_cpm_drct_all_300x600_lancamento-nivus-orca-rmkt-uncomplform-lp_na_lancamento-consideracao-nivus-orca_nvl-nvs-imc-dsy-0820-10127</v>
      </c>
      <c r="AK127" s="21" t="str">
        <f t="shared" si="41"/>
        <v>vw_nivus_300x600_lancamento-consideracao-nivus-orca_adserver</v>
      </c>
      <c r="AL127" s="21" t="str">
        <f t="shared" si="51"/>
        <v>https://www.vw.com.br/pt/configurador.html/__app/%2Fnivus/0.app?adlid=nvl-nvs-imc-dsy-0820-10127&amp;adplt=alp_vw_dv360_imc_dsy_lanch_nd_nc_nvs_nivus-launch-consideracao-orca__configuracao_cpm_drct_all_300x600_lancamento-nivus-orca-rmkt-uncomplform-lp_na_lancamento-consideracao-nivus-orca_nvl-nvs-imc-dsy-0820-10127</v>
      </c>
      <c r="AM127" s="21" t="str">
        <f t="shared" si="42"/>
        <v>TAG</v>
      </c>
      <c r="AN127" s="15" t="str">
        <f t="shared" si="52"/>
        <v>DV360</v>
      </c>
      <c r="AO127" s="15" t="str">
        <f t="shared" si="53"/>
        <v>Paid-Display</v>
      </c>
      <c r="AP127" s="21" t="str">
        <f>Campanha!$B$3</f>
        <v>BR_IMC_DSY_LANCH_ND_NC_2020Q3AUG_NVS_Nivus-Launch-Consideracao-Orca</v>
      </c>
      <c r="AQ127" s="21" t="str">
        <f t="shared" si="43"/>
        <v>alp_vw_dv360_imc_dsy_lanch_nd_nc_nvs_nivus-launch-consideracao-orca__configuracao_cpm_drct_all_300x600_lancamento-nivus-orca-rmkt-uncomplform-lp_na_lancamento-consideracao-nivus-orca_nvl-nvs-imc-dsy-0820-10127</v>
      </c>
      <c r="AR127" s="15" t="s">
        <v>745</v>
      </c>
      <c r="AS127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600_lancamento-nivus-orca-rmkt-uncomplform-lp_na_lancamento-consideracao-nivus-orca_nvl-nvs-imc-dsy-0820-10127&amp;utm_campaign=BR_IMC_DSY_LANCH_ND_NC_2020Q3AUG_NVS_Nivus-Launch-Consideracao-Orca&amp;utm_term=%epid!_%ecid!_%eaid!</v>
      </c>
      <c r="AT127" s="15" t="str">
        <f t="shared" si="54"/>
        <v>other</v>
      </c>
      <c r="AU127" s="15" t="str">
        <f t="shared" si="45"/>
        <v>BR</v>
      </c>
      <c r="AV127" s="15" t="str">
        <f t="shared" si="55"/>
        <v>dv360</v>
      </c>
      <c r="AW127" s="15" t="str">
        <f t="shared" si="56"/>
        <v>dv360</v>
      </c>
      <c r="AX127" s="15" t="str">
        <f t="shared" si="46"/>
        <v>nivus-launch-consideracao-orca</v>
      </c>
      <c r="AY127" s="15" t="str">
        <f t="shared" si="57"/>
        <v>alp_vw_dv360_imc_dsy_lanch_nd_nc_nvs_nivus-launch-consideracao-orca__configuracao_cpm_drct_all_300x600_lancamento-nivus-orca-rmkt-uncomplform-lp_na_lancamento-consideracao-nivus-orca_nvl-nvs-imc-dsy-0820-10127</v>
      </c>
      <c r="AZ127" s="15" t="str">
        <f t="shared" si="58"/>
        <v>300x600</v>
      </c>
      <c r="BA127" s="15" t="str">
        <f t="shared" si="59"/>
        <v>lancamento-consideracao-nivus-orca</v>
      </c>
      <c r="BB127" s="28" t="s">
        <v>798</v>
      </c>
      <c r="BC127" s="28" t="s">
        <v>798</v>
      </c>
      <c r="BD127" s="38" t="str">
        <f t="shared" si="60"/>
        <v>nvl-nvs-imc-dsy-0820-10127</v>
      </c>
      <c r="BE127" s="15" t="str">
        <f t="shared" si="61"/>
        <v>BR</v>
      </c>
      <c r="BF127" s="15" t="str">
        <f t="shared" si="62"/>
        <v>paid</v>
      </c>
      <c r="BG127" s="28"/>
      <c r="BH127" s="28"/>
      <c r="BI127" s="36" t="str">
        <f t="shared" si="47"/>
        <v>https://www.vw.com.br/pt/configurador.html/__app/%2Fnivus/0.app?adlid=nvl-nvs-imc-dsy-0820-10127&amp;adplt=alp_vw_dv360_imc_dsy_lanch_nd_nc_nvs_nivus-launch-consideracao-orca__configuracao_cpm_drct_all_300x600_lancamento-nivus-orca-rmkt-uncomplform-lp_na_lancamento-consideracao-nivus-orca_nvl-nvs-imc-dsy-0820-10127</v>
      </c>
      <c r="BL127" t="str">
        <f t="shared" si="48"/>
        <v>alp_vw_dv360_imc_dsy_lanch_nd_nc_nvs_nivus-launch-consideracao-orca__configuracao</v>
      </c>
      <c r="BM127" t="str">
        <f t="shared" si="49"/>
        <v>cpm_drct_all_300x600_lancamento-nivus-orca-rmkt-uncomplform-lp_na</v>
      </c>
      <c r="BN127" t="str">
        <f t="shared" si="50"/>
        <v>alp_vw_dv360_imc_dsy_lanch_nd_nc_nvs_nivus-launch-consideracao-orca__configuracao_cpm_drct_all_300x600_lancamento-nivus-orca-rmkt-uncomplform-lp_na_generico_nvl-nvs-imc-dsy-0820-10127</v>
      </c>
    </row>
    <row r="128" spans="2:66" ht="15.75" customHeight="1" x14ac:dyDescent="0.25">
      <c r="B128" s="15" t="s">
        <v>1291</v>
      </c>
      <c r="C128" s="15" t="s">
        <v>1294</v>
      </c>
      <c r="D128" s="15"/>
      <c r="E128" s="22">
        <v>44069</v>
      </c>
      <c r="F128" s="22">
        <v>44135</v>
      </c>
      <c r="G128" s="15" t="s">
        <v>651</v>
      </c>
      <c r="H128" s="41" t="s">
        <v>1266</v>
      </c>
      <c r="I128" s="15" t="s">
        <v>801</v>
      </c>
      <c r="J128" s="42" t="s">
        <v>883</v>
      </c>
      <c r="K128" s="42" t="s">
        <v>883</v>
      </c>
      <c r="L128" s="15" t="s">
        <v>676</v>
      </c>
      <c r="M128" s="15" t="s">
        <v>276</v>
      </c>
      <c r="N128" s="15" t="s">
        <v>295</v>
      </c>
      <c r="O128" s="15" t="s">
        <v>677</v>
      </c>
      <c r="P128" s="15" t="str">
        <f>VLOOKUP(Y128,'All Codes'!$BF$3:$BG$278,2,FALSE)</f>
        <v>MPU</v>
      </c>
      <c r="Q128" s="15" t="s">
        <v>179</v>
      </c>
      <c r="R128" s="15" t="s">
        <v>277</v>
      </c>
      <c r="S128" s="15" t="s">
        <v>874</v>
      </c>
      <c r="T128" s="46" t="s">
        <v>884</v>
      </c>
      <c r="U128" s="15" t="s">
        <v>876</v>
      </c>
      <c r="V128" s="64" t="s">
        <v>1084</v>
      </c>
      <c r="W128" s="15" t="s">
        <v>866</v>
      </c>
      <c r="X128" s="15" t="s">
        <v>307</v>
      </c>
      <c r="Y128" s="46" t="s">
        <v>479</v>
      </c>
      <c r="Z128" s="15"/>
      <c r="AA128" s="15"/>
      <c r="AB128" s="15"/>
      <c r="AC128" s="15"/>
      <c r="AD128" s="15"/>
      <c r="AE128" s="15"/>
      <c r="AF128" s="15"/>
      <c r="AG128" s="15"/>
      <c r="AH128" s="15" t="str">
        <f t="shared" si="69"/>
        <v>281619910</v>
      </c>
      <c r="AI128" s="21" t="str">
        <f t="shared" si="63"/>
        <v>alp_vw_dv360_imc_dsy_lanch_nd_nc_nvs_nivus-launch-consideracao-orca__configuracao_cpm_drct_all_320x50_lancamento-nivus-orca-rmkt-uncomplform-lp_na_lancamento-consideracao-nivus-orca_nvl-nvs-imc-dsy-0820-10128</v>
      </c>
      <c r="AJ128" s="40" t="str">
        <f t="shared" si="63"/>
        <v>alp_vw_dv360_imc_dsy_lanch_nd_nc_nvs_nivus-launch-consideracao-orca__configuracao_cpm_drct_all_320x50_lancamento-nivus-orca-rmkt-uncomplform-lp_na_lancamento-consideracao-nivus-orca_nvl-nvs-imc-dsy-0820-10128</v>
      </c>
      <c r="AK128" s="21" t="str">
        <f t="shared" si="41"/>
        <v>vw_nivus_320x50_lancamento-consideracao-nivus-orca_adserver</v>
      </c>
      <c r="AL128" s="21" t="str">
        <f t="shared" si="51"/>
        <v>https://www.vw.com.br/pt/configurador.html/__app/%2Fnivus/0.app?adlid=nvl-nvs-imc-dsy-0820-10128&amp;adplt=alp_vw_dv360_imc_dsy_lanch_nd_nc_nvs_nivus-launch-consideracao-orca__configuracao_cpm_drct_all_320x50_lancamento-nivus-orca-rmkt-uncomplform-lp_na_lancamento-consideracao-nivus-orca_nvl-nvs-imc-dsy-0820-10128</v>
      </c>
      <c r="AM128" s="21" t="str">
        <f t="shared" si="42"/>
        <v>TAG</v>
      </c>
      <c r="AN128" s="15" t="str">
        <f t="shared" si="52"/>
        <v>DV360</v>
      </c>
      <c r="AO128" s="15" t="str">
        <f t="shared" si="53"/>
        <v>Paid-Display</v>
      </c>
      <c r="AP128" s="21" t="str">
        <f>Campanha!$B$3</f>
        <v>BR_IMC_DSY_LANCH_ND_NC_2020Q3AUG_NVS_Nivus-Launch-Consideracao-Orca</v>
      </c>
      <c r="AQ128" s="21" t="str">
        <f t="shared" si="43"/>
        <v>alp_vw_dv360_imc_dsy_lanch_nd_nc_nvs_nivus-launch-consideracao-orca__configuracao_cpm_drct_all_320x50_lancamento-nivus-orca-rmkt-uncomplform-lp_na_lancamento-consideracao-nivus-orca_nvl-nvs-imc-dsy-0820-10128</v>
      </c>
      <c r="AR128" s="15" t="s">
        <v>745</v>
      </c>
      <c r="AS128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320x50_lancamento-nivus-orca-rmkt-uncomplform-lp_na_lancamento-consideracao-nivus-orca_nvl-nvs-imc-dsy-0820-10128&amp;utm_campaign=BR_IMC_DSY_LANCH_ND_NC_2020Q3AUG_NVS_Nivus-Launch-Consideracao-Orca&amp;utm_term=%epid!_%ecid!_%eaid!</v>
      </c>
      <c r="AT128" s="15" t="str">
        <f t="shared" si="54"/>
        <v>other</v>
      </c>
      <c r="AU128" s="15" t="str">
        <f t="shared" si="45"/>
        <v>BR</v>
      </c>
      <c r="AV128" s="15" t="str">
        <f t="shared" si="55"/>
        <v>dv360</v>
      </c>
      <c r="AW128" s="15" t="str">
        <f t="shared" si="56"/>
        <v>dv360</v>
      </c>
      <c r="AX128" s="15" t="str">
        <f t="shared" si="46"/>
        <v>nivus-launch-consideracao-orca</v>
      </c>
      <c r="AY128" s="15" t="str">
        <f t="shared" si="57"/>
        <v>alp_vw_dv360_imc_dsy_lanch_nd_nc_nvs_nivus-launch-consideracao-orca__configuracao_cpm_drct_all_320x50_lancamento-nivus-orca-rmkt-uncomplform-lp_na_lancamento-consideracao-nivus-orca_nvl-nvs-imc-dsy-0820-10128</v>
      </c>
      <c r="AZ128" s="15" t="str">
        <f t="shared" si="58"/>
        <v>320x50</v>
      </c>
      <c r="BA128" s="15" t="str">
        <f t="shared" si="59"/>
        <v>lancamento-consideracao-nivus-orca</v>
      </c>
      <c r="BB128" s="28" t="s">
        <v>798</v>
      </c>
      <c r="BC128" s="28" t="s">
        <v>798</v>
      </c>
      <c r="BD128" s="38" t="str">
        <f t="shared" si="60"/>
        <v>nvl-nvs-imc-dsy-0820-10128</v>
      </c>
      <c r="BE128" s="15" t="str">
        <f t="shared" si="61"/>
        <v>BR</v>
      </c>
      <c r="BF128" s="15" t="str">
        <f t="shared" si="62"/>
        <v>paid</v>
      </c>
      <c r="BG128" s="28"/>
      <c r="BH128" s="28"/>
      <c r="BI128" s="36" t="str">
        <f t="shared" si="47"/>
        <v>https://www.vw.com.br/pt/configurador.html/__app/%2Fnivus/0.app?adlid=nvl-nvs-imc-dsy-0820-10128&amp;adplt=alp_vw_dv360_imc_dsy_lanch_nd_nc_nvs_nivus-launch-consideracao-orca__configuracao_cpm_drct_all_320x50_lancamento-nivus-orca-rmkt-uncomplform-lp_na_lancamento-consideracao-nivus-orca_nvl-nvs-imc-dsy-0820-10128</v>
      </c>
      <c r="BL128" t="str">
        <f t="shared" si="48"/>
        <v>alp_vw_dv360_imc_dsy_lanch_nd_nc_nvs_nivus-launch-consideracao-orca__configuracao</v>
      </c>
      <c r="BM128" t="str">
        <f t="shared" si="49"/>
        <v>cpm_drct_all_320x50_lancamento-nivus-orca-rmkt-uncomplform-lp_na</v>
      </c>
      <c r="BN128" t="str">
        <f t="shared" si="50"/>
        <v>alp_vw_dv360_imc_dsy_lanch_nd_nc_nvs_nivus-launch-consideracao-orca__configuracao_cpm_drct_all_320x50_lancamento-nivus-orca-rmkt-uncomplform-lp_na_generico_nvl-nvs-imc-dsy-0820-10128</v>
      </c>
    </row>
    <row r="129" spans="2:66" ht="15.75" customHeight="1" x14ac:dyDescent="0.25">
      <c r="B129" s="15" t="s">
        <v>1291</v>
      </c>
      <c r="C129" s="15" t="s">
        <v>1294</v>
      </c>
      <c r="D129" s="15"/>
      <c r="E129" s="22">
        <v>44069</v>
      </c>
      <c r="F129" s="22">
        <v>44135</v>
      </c>
      <c r="G129" s="15" t="s">
        <v>651</v>
      </c>
      <c r="H129" s="41" t="s">
        <v>1266</v>
      </c>
      <c r="I129" s="15" t="s">
        <v>801</v>
      </c>
      <c r="J129" s="42" t="s">
        <v>883</v>
      </c>
      <c r="K129" s="42" t="s">
        <v>883</v>
      </c>
      <c r="L129" s="15" t="s">
        <v>676</v>
      </c>
      <c r="M129" s="15" t="s">
        <v>276</v>
      </c>
      <c r="N129" s="15" t="s">
        <v>295</v>
      </c>
      <c r="O129" s="15" t="s">
        <v>677</v>
      </c>
      <c r="P129" s="15" t="str">
        <f>VLOOKUP(Y129,'All Codes'!$BF$3:$BG$278,2,FALSE)</f>
        <v>Leaderboard</v>
      </c>
      <c r="Q129" s="15" t="s">
        <v>179</v>
      </c>
      <c r="R129" s="15" t="s">
        <v>277</v>
      </c>
      <c r="S129" s="15" t="s">
        <v>874</v>
      </c>
      <c r="T129" s="46" t="s">
        <v>884</v>
      </c>
      <c r="U129" s="15" t="s">
        <v>876</v>
      </c>
      <c r="V129" s="64" t="s">
        <v>1084</v>
      </c>
      <c r="W129" s="15" t="s">
        <v>866</v>
      </c>
      <c r="X129" s="15" t="s">
        <v>307</v>
      </c>
      <c r="Y129" s="46" t="s">
        <v>591</v>
      </c>
      <c r="Z129" s="15"/>
      <c r="AA129" s="15"/>
      <c r="AB129" s="15"/>
      <c r="AC129" s="15"/>
      <c r="AD129" s="15"/>
      <c r="AE129" s="15"/>
      <c r="AF129" s="15"/>
      <c r="AG129" s="15"/>
      <c r="AH129" s="15" t="str">
        <f t="shared" si="69"/>
        <v>281619907</v>
      </c>
      <c r="AI129" s="21" t="str">
        <f t="shared" si="63"/>
        <v>alp_vw_dv360_imc_dsy_lanch_nd_nc_nvs_nivus-launch-consideracao-orca__configuracao_cpm_drct_all_728x90_lancamento-nivus-orca-rmkt-uncomplform-lp_na_lancamento-consideracao-nivus-orca_nvl-nvs-imc-dsy-0820-10129</v>
      </c>
      <c r="AJ129" s="40" t="str">
        <f t="shared" si="63"/>
        <v>alp_vw_dv360_imc_dsy_lanch_nd_nc_nvs_nivus-launch-consideracao-orca__configuracao_cpm_drct_all_728x90_lancamento-nivus-orca-rmkt-uncomplform-lp_na_lancamento-consideracao-nivus-orca_nvl-nvs-imc-dsy-0820-10129</v>
      </c>
      <c r="AK129" s="21" t="str">
        <f t="shared" si="41"/>
        <v>vw_nivus_728x90_lancamento-consideracao-nivus-orca_adserver</v>
      </c>
      <c r="AL129" s="21" t="str">
        <f t="shared" si="51"/>
        <v>https://www.vw.com.br/pt/configurador.html/__app/%2Fnivus/0.app?adlid=nvl-nvs-imc-dsy-0820-10129&amp;adplt=alp_vw_dv360_imc_dsy_lanch_nd_nc_nvs_nivus-launch-consideracao-orca__configuracao_cpm_drct_all_728x90_lancamento-nivus-orca-rmkt-uncomplform-lp_na_lancamento-consideracao-nivus-orca_nvl-nvs-imc-dsy-0820-10129</v>
      </c>
      <c r="AM129" s="21" t="str">
        <f t="shared" si="42"/>
        <v>TAG</v>
      </c>
      <c r="AN129" s="15" t="str">
        <f t="shared" si="52"/>
        <v>DV360</v>
      </c>
      <c r="AO129" s="15" t="str">
        <f t="shared" si="53"/>
        <v>Paid-Display</v>
      </c>
      <c r="AP129" s="21" t="str">
        <f>Campanha!$B$3</f>
        <v>BR_IMC_DSY_LANCH_ND_NC_2020Q3AUG_NVS_Nivus-Launch-Consideracao-Orca</v>
      </c>
      <c r="AQ129" s="21" t="str">
        <f t="shared" si="43"/>
        <v>alp_vw_dv360_imc_dsy_lanch_nd_nc_nvs_nivus-launch-consideracao-orca__configuracao_cpm_drct_all_728x90_lancamento-nivus-orca-rmkt-uncomplform-lp_na_lancamento-consideracao-nivus-orca_nvl-nvs-imc-dsy-0820-10129</v>
      </c>
      <c r="AR129" s="15" t="s">
        <v>745</v>
      </c>
      <c r="AS129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728x90_lancamento-nivus-orca-rmkt-uncomplform-lp_na_lancamento-consideracao-nivus-orca_nvl-nvs-imc-dsy-0820-10129&amp;utm_campaign=BR_IMC_DSY_LANCH_ND_NC_2020Q3AUG_NVS_Nivus-Launch-Consideracao-Orca&amp;utm_term=%epid!_%ecid!_%eaid!</v>
      </c>
      <c r="AT129" s="15" t="str">
        <f t="shared" si="54"/>
        <v>other</v>
      </c>
      <c r="AU129" s="15" t="str">
        <f t="shared" si="45"/>
        <v>BR</v>
      </c>
      <c r="AV129" s="15" t="str">
        <f t="shared" si="55"/>
        <v>dv360</v>
      </c>
      <c r="AW129" s="15" t="str">
        <f t="shared" si="56"/>
        <v>dv360</v>
      </c>
      <c r="AX129" s="15" t="str">
        <f t="shared" si="46"/>
        <v>nivus-launch-consideracao-orca</v>
      </c>
      <c r="AY129" s="15" t="str">
        <f t="shared" si="57"/>
        <v>alp_vw_dv360_imc_dsy_lanch_nd_nc_nvs_nivus-launch-consideracao-orca__configuracao_cpm_drct_all_728x90_lancamento-nivus-orca-rmkt-uncomplform-lp_na_lancamento-consideracao-nivus-orca_nvl-nvs-imc-dsy-0820-10129</v>
      </c>
      <c r="AZ129" s="15" t="str">
        <f t="shared" si="58"/>
        <v>728x90</v>
      </c>
      <c r="BA129" s="15" t="str">
        <f t="shared" si="59"/>
        <v>lancamento-consideracao-nivus-orca</v>
      </c>
      <c r="BB129" s="28" t="s">
        <v>798</v>
      </c>
      <c r="BC129" s="28" t="s">
        <v>798</v>
      </c>
      <c r="BD129" s="38" t="str">
        <f t="shared" si="60"/>
        <v>nvl-nvs-imc-dsy-0820-10129</v>
      </c>
      <c r="BE129" s="15" t="str">
        <f t="shared" si="61"/>
        <v>BR</v>
      </c>
      <c r="BF129" s="15" t="str">
        <f t="shared" si="62"/>
        <v>paid</v>
      </c>
      <c r="BG129" s="28"/>
      <c r="BH129" s="28"/>
      <c r="BI129" s="36" t="str">
        <f t="shared" si="47"/>
        <v>https://www.vw.com.br/pt/configurador.html/__app/%2Fnivus/0.app?adlid=nvl-nvs-imc-dsy-0820-10129&amp;adplt=alp_vw_dv360_imc_dsy_lanch_nd_nc_nvs_nivus-launch-consideracao-orca__configuracao_cpm_drct_all_728x90_lancamento-nivus-orca-rmkt-uncomplform-lp_na_lancamento-consideracao-nivus-orca_nvl-nvs-imc-dsy-0820-10129</v>
      </c>
      <c r="BL129" t="str">
        <f t="shared" si="48"/>
        <v>alp_vw_dv360_imc_dsy_lanch_nd_nc_nvs_nivus-launch-consideracao-orca__configuracao</v>
      </c>
      <c r="BM129" t="str">
        <f t="shared" si="49"/>
        <v>cpm_drct_all_728x90_lancamento-nivus-orca-rmkt-uncomplform-lp_na</v>
      </c>
      <c r="BN129" t="str">
        <f t="shared" si="50"/>
        <v>alp_vw_dv360_imc_dsy_lanch_nd_nc_nvs_nivus-launch-consideracao-orca__configuracao_cpm_drct_all_728x90_lancamento-nivus-orca-rmkt-uncomplform-lp_na_generico_nvl-nvs-imc-dsy-0820-10129</v>
      </c>
    </row>
    <row r="130" spans="2:66" ht="15.75" customHeight="1" x14ac:dyDescent="0.25">
      <c r="B130" s="15" t="s">
        <v>1291</v>
      </c>
      <c r="C130" s="15" t="s">
        <v>1294</v>
      </c>
      <c r="D130" s="15"/>
      <c r="E130" s="22">
        <v>44069</v>
      </c>
      <c r="F130" s="22">
        <v>44135</v>
      </c>
      <c r="G130" s="15" t="s">
        <v>651</v>
      </c>
      <c r="H130" s="41" t="s">
        <v>1266</v>
      </c>
      <c r="I130" s="15" t="s">
        <v>801</v>
      </c>
      <c r="J130" s="42" t="s">
        <v>883</v>
      </c>
      <c r="K130" s="42" t="s">
        <v>883</v>
      </c>
      <c r="L130" s="15" t="s">
        <v>676</v>
      </c>
      <c r="M130" s="15" t="s">
        <v>276</v>
      </c>
      <c r="N130" s="15" t="s">
        <v>295</v>
      </c>
      <c r="O130" s="15" t="s">
        <v>677</v>
      </c>
      <c r="P130" s="15" t="str">
        <f>VLOOKUP(Y130,'All Codes'!$BF$3:$BG$278,2,FALSE)</f>
        <v>Leaderboard</v>
      </c>
      <c r="Q130" s="15" t="s">
        <v>179</v>
      </c>
      <c r="R130" s="15" t="s">
        <v>277</v>
      </c>
      <c r="S130" s="15" t="s">
        <v>874</v>
      </c>
      <c r="T130" s="46" t="s">
        <v>884</v>
      </c>
      <c r="U130" s="15" t="s">
        <v>876</v>
      </c>
      <c r="V130" s="64" t="s">
        <v>1084</v>
      </c>
      <c r="W130" s="15" t="s">
        <v>866</v>
      </c>
      <c r="X130" s="15" t="s">
        <v>307</v>
      </c>
      <c r="Y130" s="46" t="s">
        <v>629</v>
      </c>
      <c r="Z130" s="15"/>
      <c r="AA130" s="15"/>
      <c r="AB130" s="15"/>
      <c r="AC130" s="15"/>
      <c r="AD130" s="15"/>
      <c r="AE130" s="15"/>
      <c r="AF130" s="15"/>
      <c r="AG130" s="15"/>
      <c r="AH130" s="15" t="str">
        <f t="shared" si="69"/>
        <v>281619904</v>
      </c>
      <c r="AI130" s="21" t="str">
        <f t="shared" si="63"/>
        <v>alp_vw_dv360_imc_dsy_lanch_nd_nc_nvs_nivus-launch-consideracao-orca__configuracao_cpm_drct_all_970x250_lancamento-nivus-orca-rmkt-uncomplform-lp_na_lancamento-consideracao-nivus-orca_nvl-nvs-imc-dsy-0820-10130</v>
      </c>
      <c r="AJ130" s="40" t="str">
        <f t="shared" si="63"/>
        <v>alp_vw_dv360_imc_dsy_lanch_nd_nc_nvs_nivus-launch-consideracao-orca__configuracao_cpm_drct_all_970x250_lancamento-nivus-orca-rmkt-uncomplform-lp_na_lancamento-consideracao-nivus-orca_nvl-nvs-imc-dsy-0820-10130</v>
      </c>
      <c r="AK130" s="21" t="str">
        <f t="shared" si="41"/>
        <v>vw_nivus_970x250_lancamento-consideracao-nivus-orca_adserver</v>
      </c>
      <c r="AL130" s="21" t="str">
        <f t="shared" si="51"/>
        <v>https://www.vw.com.br/pt/configurador.html/__app/%2Fnivus/0.app?adlid=nvl-nvs-imc-dsy-0820-10130&amp;adplt=alp_vw_dv360_imc_dsy_lanch_nd_nc_nvs_nivus-launch-consideracao-orca__configuracao_cpm_drct_all_970x250_lancamento-nivus-orca-rmkt-uncomplform-lp_na_lancamento-consideracao-nivus-orca_nvl-nvs-imc-dsy-0820-10130</v>
      </c>
      <c r="AM130" s="21" t="str">
        <f t="shared" si="42"/>
        <v>TAG</v>
      </c>
      <c r="AN130" s="15" t="str">
        <f t="shared" si="52"/>
        <v>DV360</v>
      </c>
      <c r="AO130" s="15" t="str">
        <f t="shared" si="53"/>
        <v>Paid-Display</v>
      </c>
      <c r="AP130" s="21" t="str">
        <f>Campanha!$B$3</f>
        <v>BR_IMC_DSY_LANCH_ND_NC_2020Q3AUG_NVS_Nivus-Launch-Consideracao-Orca</v>
      </c>
      <c r="AQ130" s="21" t="str">
        <f t="shared" si="43"/>
        <v>alp_vw_dv360_imc_dsy_lanch_nd_nc_nvs_nivus-launch-consideracao-orca__configuracao_cpm_drct_all_970x250_lancamento-nivus-orca-rmkt-uncomplform-lp_na_lancamento-consideracao-nivus-orca_nvl-nvs-imc-dsy-0820-10130</v>
      </c>
      <c r="AR130" s="15" t="s">
        <v>745</v>
      </c>
      <c r="AS130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970x250_lancamento-nivus-orca-rmkt-uncomplform-lp_na_lancamento-consideracao-nivus-orca_nvl-nvs-imc-dsy-0820-10130&amp;utm_campaign=BR_IMC_DSY_LANCH_ND_NC_2020Q3AUG_NVS_Nivus-Launch-Consideracao-Orca&amp;utm_term=%epid!_%ecid!_%eaid!</v>
      </c>
      <c r="AT130" s="15" t="str">
        <f t="shared" si="54"/>
        <v>other</v>
      </c>
      <c r="AU130" s="15" t="str">
        <f t="shared" si="45"/>
        <v>BR</v>
      </c>
      <c r="AV130" s="15" t="str">
        <f t="shared" si="55"/>
        <v>dv360</v>
      </c>
      <c r="AW130" s="15" t="str">
        <f t="shared" si="56"/>
        <v>dv360</v>
      </c>
      <c r="AX130" s="15" t="str">
        <f t="shared" si="46"/>
        <v>nivus-launch-consideracao-orca</v>
      </c>
      <c r="AY130" s="15" t="str">
        <f t="shared" si="57"/>
        <v>alp_vw_dv360_imc_dsy_lanch_nd_nc_nvs_nivus-launch-consideracao-orca__configuracao_cpm_drct_all_970x250_lancamento-nivus-orca-rmkt-uncomplform-lp_na_lancamento-consideracao-nivus-orca_nvl-nvs-imc-dsy-0820-10130</v>
      </c>
      <c r="AZ130" s="15" t="str">
        <f t="shared" si="58"/>
        <v>970x250</v>
      </c>
      <c r="BA130" s="15" t="str">
        <f t="shared" si="59"/>
        <v>lancamento-consideracao-nivus-orca</v>
      </c>
      <c r="BB130" s="28" t="s">
        <v>798</v>
      </c>
      <c r="BC130" s="28" t="s">
        <v>798</v>
      </c>
      <c r="BD130" s="38" t="str">
        <f t="shared" si="60"/>
        <v>nvl-nvs-imc-dsy-0820-10130</v>
      </c>
      <c r="BE130" s="15" t="str">
        <f t="shared" si="61"/>
        <v>BR</v>
      </c>
      <c r="BF130" s="15" t="str">
        <f t="shared" si="62"/>
        <v>paid</v>
      </c>
      <c r="BG130" s="28"/>
      <c r="BH130" s="28"/>
      <c r="BI130" s="36" t="str">
        <f t="shared" si="47"/>
        <v>https://www.vw.com.br/pt/configurador.html/__app/%2Fnivus/0.app?adlid=nvl-nvs-imc-dsy-0820-10130&amp;adplt=alp_vw_dv360_imc_dsy_lanch_nd_nc_nvs_nivus-launch-consideracao-orca__configuracao_cpm_drct_all_970x250_lancamento-nivus-orca-rmkt-uncomplform-lp_na_lancamento-consideracao-nivus-orca_nvl-nvs-imc-dsy-0820-10130</v>
      </c>
      <c r="BL130" t="str">
        <f t="shared" si="48"/>
        <v>alp_vw_dv360_imc_dsy_lanch_nd_nc_nvs_nivus-launch-consideracao-orca__configuracao</v>
      </c>
      <c r="BM130" t="str">
        <f t="shared" si="49"/>
        <v>cpm_drct_all_970x250_lancamento-nivus-orca-rmkt-uncomplform-lp_na</v>
      </c>
      <c r="BN130" t="str">
        <f t="shared" si="50"/>
        <v>alp_vw_dv360_imc_dsy_lanch_nd_nc_nvs_nivus-launch-consideracao-orca__configuracao_cpm_drct_all_970x250_lancamento-nivus-orca-rmkt-uncomplform-lp_na_generico_nvl-nvs-imc-dsy-0820-10130</v>
      </c>
    </row>
    <row r="131" spans="2:66" ht="15.75" customHeight="1" x14ac:dyDescent="0.25">
      <c r="B131" s="15" t="s">
        <v>1291</v>
      </c>
      <c r="C131" s="15" t="s">
        <v>1294</v>
      </c>
      <c r="D131" s="15"/>
      <c r="E131" s="22">
        <v>44069</v>
      </c>
      <c r="F131" s="22">
        <v>44135</v>
      </c>
      <c r="G131" s="15" t="s">
        <v>651</v>
      </c>
      <c r="H131" s="41" t="s">
        <v>1266</v>
      </c>
      <c r="I131" s="15" t="s">
        <v>801</v>
      </c>
      <c r="J131" s="42" t="s">
        <v>883</v>
      </c>
      <c r="K131" s="42" t="s">
        <v>883</v>
      </c>
      <c r="L131" s="15" t="s">
        <v>676</v>
      </c>
      <c r="M131" s="15" t="s">
        <v>276</v>
      </c>
      <c r="N131" s="15" t="s">
        <v>295</v>
      </c>
      <c r="O131" s="15" t="s">
        <v>677</v>
      </c>
      <c r="P131" s="15" t="str">
        <f>VLOOKUP(Y131,'All Codes'!$BF$3:$BG$278,2,FALSE)</f>
        <v>MPU</v>
      </c>
      <c r="Q131" s="15" t="s">
        <v>179</v>
      </c>
      <c r="R131" s="15" t="s">
        <v>277</v>
      </c>
      <c r="S131" s="15" t="s">
        <v>874</v>
      </c>
      <c r="T131" s="46" t="s">
        <v>884</v>
      </c>
      <c r="U131" s="15" t="s">
        <v>876</v>
      </c>
      <c r="V131" s="56" t="s">
        <v>1087</v>
      </c>
      <c r="W131" s="15" t="s">
        <v>866</v>
      </c>
      <c r="X131" s="15" t="s">
        <v>307</v>
      </c>
      <c r="Y131" s="46" t="s">
        <v>461</v>
      </c>
      <c r="Z131" s="15"/>
      <c r="AA131" s="15"/>
      <c r="AB131" s="15"/>
      <c r="AC131" s="15"/>
      <c r="AD131" s="15"/>
      <c r="AE131" s="15"/>
      <c r="AF131" s="15"/>
      <c r="AG131" s="15"/>
      <c r="AH131" s="15" t="str">
        <f t="shared" ref="AH131:AH137" si="70">VLOOKUP(AI131,id_placement,2,FALSE)</f>
        <v>281619901</v>
      </c>
      <c r="AI131" s="21" t="str">
        <f t="shared" si="63"/>
        <v>alp_vw_dv360_imc_dsy_lanch_nd_nc_nvs_nivus-launch-consideracao-orca__configuracao_cpm_drct_all_300x50_lancamento-nivus-orca-rmkt-complform-ngw_na_lancamento-consideracao-nivus-orca_nvl-nvs-imc-dsy-0820-10131</v>
      </c>
      <c r="AJ131" s="40" t="str">
        <f t="shared" si="63"/>
        <v>alp_vw_dv360_imc_dsy_lanch_nd_nc_nvs_nivus-launch-consideracao-orca__configuracao_cpm_drct_all_300x50_lancamento-nivus-orca-rmkt-complform-ngw_na_lancamento-consideracao-nivus-orca_nvl-nvs-imc-dsy-0820-10131</v>
      </c>
      <c r="AK131" s="21" t="str">
        <f t="shared" si="41"/>
        <v>vw_nivus_300x50_lancamento-consideracao-nivus-orca_adserver</v>
      </c>
      <c r="AL131" s="21" t="str">
        <f t="shared" si="51"/>
        <v>https://www.vw.com.br/pt/configurador.html/__app/%2Fnivus/0.app?adlid=nvl-nvs-imc-dsy-0820-10131&amp;adplt=alp_vw_dv360_imc_dsy_lanch_nd_nc_nvs_nivus-launch-consideracao-orca__configuracao_cpm_drct_all_300x50_lancamento-nivus-orca-rmkt-complform-ngw_na_lancamento-consideracao-nivus-orca_nvl-nvs-imc-dsy-0820-10131</v>
      </c>
      <c r="AM131" s="21" t="str">
        <f t="shared" si="42"/>
        <v>TAG</v>
      </c>
      <c r="AN131" s="15" t="str">
        <f t="shared" si="52"/>
        <v>DV360</v>
      </c>
      <c r="AO131" s="15" t="str">
        <f t="shared" si="53"/>
        <v>Paid-Display</v>
      </c>
      <c r="AP131" s="21" t="str">
        <f>Campanha!$B$3</f>
        <v>BR_IMC_DSY_LANCH_ND_NC_2020Q3AUG_NVS_Nivus-Launch-Consideracao-Orca</v>
      </c>
      <c r="AQ131" s="21" t="str">
        <f t="shared" si="43"/>
        <v>alp_vw_dv360_imc_dsy_lanch_nd_nc_nvs_nivus-launch-consideracao-orca__configuracao_cpm_drct_all_300x50_lancamento-nivus-orca-rmkt-complform-ngw_na_lancamento-consideracao-nivus-orca_nvl-nvs-imc-dsy-0820-10131</v>
      </c>
      <c r="AR131" s="15" t="s">
        <v>745</v>
      </c>
      <c r="AS131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300x50_lancamento-nivus-orca-rmkt-complform-ngw_na_lancamento-consideracao-nivus-orca_nvl-nvs-imc-dsy-0820-10131&amp;utm_campaign=BR_IMC_DSY_LANCH_ND_NC_2020Q3AUG_NVS_Nivus-Launch-Consideracao-Orca&amp;utm_term=%epid!_%ecid!_%eaid!</v>
      </c>
      <c r="AT131" s="15" t="str">
        <f t="shared" si="54"/>
        <v>other</v>
      </c>
      <c r="AU131" s="15" t="str">
        <f t="shared" si="45"/>
        <v>BR</v>
      </c>
      <c r="AV131" s="15" t="str">
        <f t="shared" si="55"/>
        <v>dv360</v>
      </c>
      <c r="AW131" s="15" t="str">
        <f t="shared" si="56"/>
        <v>dv360</v>
      </c>
      <c r="AX131" s="15" t="str">
        <f t="shared" si="46"/>
        <v>nivus-launch-consideracao-orca</v>
      </c>
      <c r="AY131" s="15" t="str">
        <f t="shared" si="57"/>
        <v>alp_vw_dv360_imc_dsy_lanch_nd_nc_nvs_nivus-launch-consideracao-orca__configuracao_cpm_drct_all_300x50_lancamento-nivus-orca-rmkt-complform-ngw_na_lancamento-consideracao-nivus-orca_nvl-nvs-imc-dsy-0820-10131</v>
      </c>
      <c r="AZ131" s="15" t="str">
        <f t="shared" si="58"/>
        <v>300x50</v>
      </c>
      <c r="BA131" s="15" t="str">
        <f t="shared" si="59"/>
        <v>lancamento-consideracao-nivus-orca</v>
      </c>
      <c r="BB131" s="28" t="s">
        <v>798</v>
      </c>
      <c r="BC131" s="28" t="s">
        <v>798</v>
      </c>
      <c r="BD131" s="38" t="str">
        <f t="shared" si="60"/>
        <v>nvl-nvs-imc-dsy-0820-10131</v>
      </c>
      <c r="BE131" s="15" t="str">
        <f t="shared" si="61"/>
        <v>BR</v>
      </c>
      <c r="BF131" s="15" t="str">
        <f t="shared" si="62"/>
        <v>paid</v>
      </c>
      <c r="BG131" s="28"/>
      <c r="BH131" s="28"/>
      <c r="BI131" s="36" t="str">
        <f t="shared" si="47"/>
        <v>https://www.vw.com.br/pt/configurador.html/__app/%2Fnivus/0.app?adlid=nvl-nvs-imc-dsy-0820-10131&amp;adplt=alp_vw_dv360_imc_dsy_lanch_nd_nc_nvs_nivus-launch-consideracao-orca__configuracao_cpm_drct_all_300x50_lancamento-nivus-orca-rmkt-complform-ngw_na_lancamento-consideracao-nivus-orca_nvl-nvs-imc-dsy-0820-10131</v>
      </c>
      <c r="BL131" t="str">
        <f t="shared" si="48"/>
        <v>alp_vw_dv360_imc_dsy_lanch_nd_nc_nvs_nivus-launch-consideracao-orca__configuracao</v>
      </c>
      <c r="BM131" t="str">
        <f t="shared" si="49"/>
        <v>cpm_drct_all_300x50_lancamento-nivus-orca-rmkt-complform-ngw_na</v>
      </c>
      <c r="BN131" t="str">
        <f t="shared" si="50"/>
        <v>alp_vw_dv360_imc_dsy_lanch_nd_nc_nvs_nivus-launch-consideracao-orca__configuracao_cpm_drct_all_300x50_lancamento-nivus-orca-rmkt-complform-ngw_na_generico_nvl-nvs-imc-dsy-0820-10131</v>
      </c>
    </row>
    <row r="132" spans="2:66" ht="15.75" customHeight="1" x14ac:dyDescent="0.25">
      <c r="B132" s="15" t="s">
        <v>1291</v>
      </c>
      <c r="C132" s="15" t="s">
        <v>1294</v>
      </c>
      <c r="D132" s="15"/>
      <c r="E132" s="22">
        <v>44069</v>
      </c>
      <c r="F132" s="22">
        <v>44135</v>
      </c>
      <c r="G132" s="15" t="s">
        <v>651</v>
      </c>
      <c r="H132" s="41" t="s">
        <v>1266</v>
      </c>
      <c r="I132" s="15" t="s">
        <v>801</v>
      </c>
      <c r="J132" s="42" t="s">
        <v>883</v>
      </c>
      <c r="K132" s="42" t="s">
        <v>883</v>
      </c>
      <c r="L132" s="15" t="s">
        <v>676</v>
      </c>
      <c r="M132" s="15" t="s">
        <v>276</v>
      </c>
      <c r="N132" s="15" t="s">
        <v>295</v>
      </c>
      <c r="O132" s="15" t="s">
        <v>677</v>
      </c>
      <c r="P132" s="15" t="str">
        <f>VLOOKUP(Y132,'All Codes'!$BF$3:$BG$278,2,FALSE)</f>
        <v>Skyscraper</v>
      </c>
      <c r="Q132" s="15" t="s">
        <v>179</v>
      </c>
      <c r="R132" s="15" t="s">
        <v>277</v>
      </c>
      <c r="S132" s="15" t="s">
        <v>874</v>
      </c>
      <c r="T132" s="46" t="s">
        <v>884</v>
      </c>
      <c r="U132" s="15" t="s">
        <v>876</v>
      </c>
      <c r="V132" s="56" t="s">
        <v>1087</v>
      </c>
      <c r="W132" s="15" t="s">
        <v>866</v>
      </c>
      <c r="X132" s="15" t="s">
        <v>307</v>
      </c>
      <c r="Y132" s="46" t="s">
        <v>434</v>
      </c>
      <c r="Z132" s="15"/>
      <c r="AA132" s="15"/>
      <c r="AB132" s="15"/>
      <c r="AC132" s="15"/>
      <c r="AD132" s="15"/>
      <c r="AE132" s="15"/>
      <c r="AF132" s="15"/>
      <c r="AG132" s="15"/>
      <c r="AH132" s="15" t="str">
        <f t="shared" si="70"/>
        <v>281619898</v>
      </c>
      <c r="AI132" s="21" t="str">
        <f t="shared" si="63"/>
        <v>alp_vw_dv360_imc_dsy_lanch_nd_nc_nvs_nivus-launch-consideracao-orca__configuracao_cpm_drct_all_160x600_lancamento-nivus-orca-rmkt-complform-ngw_na_lancamento-consideracao-nivus-orca_nvl-nvs-imc-dsy-0820-10132</v>
      </c>
      <c r="AJ132" s="40" t="str">
        <f t="shared" si="63"/>
        <v>alp_vw_dv360_imc_dsy_lanch_nd_nc_nvs_nivus-launch-consideracao-orca__configuracao_cpm_drct_all_160x600_lancamento-nivus-orca-rmkt-complform-ngw_na_lancamento-consideracao-nivus-orca_nvl-nvs-imc-dsy-0820-10132</v>
      </c>
      <c r="AK132" s="21" t="str">
        <f t="shared" si="41"/>
        <v>vw_nivus_160x600_lancamento-consideracao-nivus-orca_adserver</v>
      </c>
      <c r="AL132" s="21" t="str">
        <f t="shared" si="51"/>
        <v>https://www.vw.com.br/pt/configurador.html/__app/%2Fnivus/0.app?adlid=nvl-nvs-imc-dsy-0820-10132&amp;adplt=alp_vw_dv360_imc_dsy_lanch_nd_nc_nvs_nivus-launch-consideracao-orca__configuracao_cpm_drct_all_160x600_lancamento-nivus-orca-rmkt-complform-ngw_na_lancamento-consideracao-nivus-orca_nvl-nvs-imc-dsy-0820-10132</v>
      </c>
      <c r="AM132" s="21" t="str">
        <f t="shared" si="42"/>
        <v>TAG</v>
      </c>
      <c r="AN132" s="15" t="str">
        <f t="shared" si="52"/>
        <v>DV360</v>
      </c>
      <c r="AO132" s="15" t="str">
        <f t="shared" si="53"/>
        <v>Paid-Display</v>
      </c>
      <c r="AP132" s="21" t="str">
        <f>Campanha!$B$3</f>
        <v>BR_IMC_DSY_LANCH_ND_NC_2020Q3AUG_NVS_Nivus-Launch-Consideracao-Orca</v>
      </c>
      <c r="AQ132" s="21" t="str">
        <f t="shared" si="43"/>
        <v>alp_vw_dv360_imc_dsy_lanch_nd_nc_nvs_nivus-launch-consideracao-orca__configuracao_cpm_drct_all_160x600_lancamento-nivus-orca-rmkt-complform-ngw_na_lancamento-consideracao-nivus-orca_nvl-nvs-imc-dsy-0820-10132</v>
      </c>
      <c r="AR132" s="15" t="s">
        <v>745</v>
      </c>
      <c r="AS132" s="21" t="str">
        <f t="shared" si="44"/>
        <v>https://www.vw.com.br/pt/configurador.html/__app/%2Fnivus/0.app?utm_source=DV360&amp;utm_medium=Paid-Display&amp;utm_content=alp_vw_dv360_imc_dsy_lanch_nd_nc_nvs_nivus-launch-consideracao-orca__configuracao_cpm_drct_all_160x600_lancamento-nivus-orca-rmkt-complform-ngw_na_lancamento-consideracao-nivus-orca_nvl-nvs-imc-dsy-0820-10132&amp;utm_campaign=BR_IMC_DSY_LANCH_ND_NC_2020Q3AUG_NVS_Nivus-Launch-Consideracao-Orca&amp;utm_term=%epid!_%ecid!_%eaid!</v>
      </c>
      <c r="AT132" s="15" t="str">
        <f t="shared" si="54"/>
        <v>other</v>
      </c>
      <c r="AU132" s="15" t="str">
        <f t="shared" si="45"/>
        <v>BR</v>
      </c>
      <c r="AV132" s="15" t="str">
        <f t="shared" si="55"/>
        <v>dv360</v>
      </c>
      <c r="AW132" s="15" t="str">
        <f t="shared" si="56"/>
        <v>dv360</v>
      </c>
      <c r="AX132" s="15" t="str">
        <f t="shared" si="46"/>
        <v>nivus-launch-consideracao-orca</v>
      </c>
      <c r="AY132" s="15" t="str">
        <f t="shared" si="57"/>
        <v>alp_vw_dv360_imc_dsy_lanch_nd_nc_nvs_nivus-launch-consideracao-orca__configuracao_cpm_drct_all_160x600_lancamento-nivus-orca-rmkt-complform-ngw_na_lancamento-consideracao-nivus-orca_nvl-nvs-imc-dsy-0820-10132</v>
      </c>
      <c r="AZ132" s="15" t="str">
        <f t="shared" si="58"/>
        <v>160x600</v>
      </c>
      <c r="BA132" s="15" t="str">
        <f t="shared" si="59"/>
        <v>lancamento-consideracao-nivus-orca</v>
      </c>
      <c r="BB132" s="28" t="s">
        <v>798</v>
      </c>
      <c r="BC132" s="28" t="s">
        <v>798</v>
      </c>
      <c r="BD132" s="38" t="str">
        <f t="shared" si="60"/>
        <v>nvl-nvs-imc-dsy-0820-10132</v>
      </c>
      <c r="BE132" s="15" t="str">
        <f t="shared" si="61"/>
        <v>BR</v>
      </c>
      <c r="BF132" s="15" t="str">
        <f t="shared" si="62"/>
        <v>paid</v>
      </c>
      <c r="BG132" s="28"/>
      <c r="BH132" s="28"/>
      <c r="BI132" s="36" t="str">
        <f t="shared" si="47"/>
        <v>https://www.vw.com.br/pt/configurador.html/__app/%2Fnivus/0.app?adlid=nvl-nvs-imc-dsy-0820-10132&amp;adplt=alp_vw_dv360_imc_dsy_lanch_nd_nc_nvs_nivus-launch-consideracao-orca__configuracao_cpm_drct_all_160x600_lancamento-nivus-orca-rmkt-complform-ngw_na_lancamento-consideracao-nivus-orca_nvl-nvs-imc-dsy-0820-10132</v>
      </c>
      <c r="BL132" t="str">
        <f t="shared" si="48"/>
        <v>alp_vw_dv360_imc_dsy_lanch_nd_nc_nvs_nivus-launch-consideracao-orca__configuracao</v>
      </c>
      <c r="BM132" t="str">
        <f t="shared" si="49"/>
        <v>cpm_drct_all_160x600_lancamento-nivus-orca-rmkt-complform-ngw_na</v>
      </c>
      <c r="BN132" t="str">
        <f t="shared" si="50"/>
        <v>alp_vw_dv360_imc_dsy_lanch_nd_nc_nvs_nivus-launch-consideracao-orca__configuracao_cpm_drct_all_160x600_lancamento-nivus-orca-rmkt-complform-ngw_na_generico_nvl-nvs-imc-dsy-0820-10132</v>
      </c>
    </row>
    <row r="133" spans="2:66" ht="15.75" customHeight="1" x14ac:dyDescent="0.25">
      <c r="B133" s="15" t="s">
        <v>1291</v>
      </c>
      <c r="C133" s="15" t="s">
        <v>1294</v>
      </c>
      <c r="D133" s="15"/>
      <c r="E133" s="22">
        <v>44069</v>
      </c>
      <c r="F133" s="22">
        <v>44135</v>
      </c>
      <c r="G133" s="15" t="s">
        <v>651</v>
      </c>
      <c r="H133" s="41" t="s">
        <v>1266</v>
      </c>
      <c r="I133" s="15" t="s">
        <v>801</v>
      </c>
      <c r="J133" s="42" t="s">
        <v>883</v>
      </c>
      <c r="K133" s="42" t="s">
        <v>883</v>
      </c>
      <c r="L133" s="15" t="s">
        <v>676</v>
      </c>
      <c r="M133" s="15" t="s">
        <v>276</v>
      </c>
      <c r="N133" s="15" t="s">
        <v>295</v>
      </c>
      <c r="O133" s="15" t="s">
        <v>677</v>
      </c>
      <c r="P133" s="15" t="str">
        <f>VLOOKUP(Y133,'All Codes'!$BF$3:$BG$278,2,FALSE)</f>
        <v>MPU</v>
      </c>
      <c r="Q133" s="15" t="s">
        <v>179</v>
      </c>
      <c r="R133" s="15" t="s">
        <v>277</v>
      </c>
      <c r="S133" s="15" t="s">
        <v>874</v>
      </c>
      <c r="T133" s="46" t="s">
        <v>884</v>
      </c>
      <c r="U133" s="15" t="s">
        <v>876</v>
      </c>
      <c r="V133" s="56" t="s">
        <v>1087</v>
      </c>
      <c r="W133" s="15" t="s">
        <v>866</v>
      </c>
      <c r="X133" s="15" t="s">
        <v>307</v>
      </c>
      <c r="Y133" s="46" t="s">
        <v>455</v>
      </c>
      <c r="Z133" s="15"/>
      <c r="AA133" s="15"/>
      <c r="AB133" s="15"/>
      <c r="AC133" s="15"/>
      <c r="AD133" s="15"/>
      <c r="AE133" s="15"/>
      <c r="AF133" s="15"/>
      <c r="AG133" s="15"/>
      <c r="AH133" s="15" t="str">
        <f t="shared" si="70"/>
        <v>281619895</v>
      </c>
      <c r="AI133" s="21" t="str">
        <f t="shared" si="63"/>
        <v>alp_vw_dv360_imc_dsy_lanch_nd_nc_nvs_nivus-launch-consideracao-orca__configuracao_cpm_drct_all_300x250_lancamento-nivus-orca-rmkt-complform-ngw_na_lancamento-consideracao-nivus-orca_nvl-nvs-imc-dsy-0820-10133</v>
      </c>
      <c r="AJ133" s="40" t="str">
        <f t="shared" si="63"/>
        <v>alp_vw_dv360_imc_dsy_lanch_nd_nc_nvs_nivus-launch-consideracao-orca__configuracao_cpm_drct_all_300x250_lancamento-nivus-orca-rmkt-complform-ngw_na_lancamento-consideracao-nivus-orca_nvl-nvs-imc-dsy-0820-10133</v>
      </c>
      <c r="AK133" s="21" t="str">
        <f t="shared" ref="AK133:AK196" si="71">LOWER(faxineiro(CONCATENATE("VW","_",cel_modelvariant,"_",col_size,"_",col_localfreetype,"_",IF(col_servidopor="portal",col_supplier,"adserver"))))</f>
        <v>vw_nivus_300x250_lancamento-consideracao-nivus-orca_adserver</v>
      </c>
      <c r="AL133" s="21" t="str">
        <f t="shared" si="51"/>
        <v>https://www.vw.com.br/pt/configurador.html/__app/%2Fnivus/0.app?adlid=nvl-nvs-imc-dsy-0820-10133&amp;adplt=alp_vw_dv360_imc_dsy_lanch_nd_nc_nvs_nivus-launch-consideracao-orca__configuracao_cpm_drct_all_300x250_lancamento-nivus-orca-rmkt-complform-ngw_na_lancamento-consideracao-nivus-orca_nvl-nvs-imc-dsy-0820-10133</v>
      </c>
      <c r="AM133" s="21" t="str">
        <f t="shared" ref="AM133:AM196" si="72">IFERROR(IF(col_servidopor="portal",VLOOKUP(col_placement,tab_contadores,2,FALSE),"TAG"),"Contador")</f>
        <v>TAG</v>
      </c>
      <c r="AN133" s="15" t="str">
        <f t="shared" si="52"/>
        <v>DV360</v>
      </c>
      <c r="AO133" s="15" t="str">
        <f t="shared" si="53"/>
        <v>Paid-Display</v>
      </c>
      <c r="AP133" s="21" t="str">
        <f>Campanha!$B$3</f>
        <v>BR_IMC_DSY_LANCH_ND_NC_2020Q3AUG_NVS_Nivus-Launch-Consideracao-Orca</v>
      </c>
      <c r="AQ133" s="21" t="str">
        <f t="shared" ref="AQ133:AQ196" si="73">col_adname</f>
        <v>alp_vw_dv360_imc_dsy_lanch_nd_nc_nvs_nivus-launch-consideracao-orca__configuracao_cpm_drct_all_300x250_lancamento-nivus-orca-rmkt-complform-ngw_na_lancamento-consideracao-nivus-orca_nvl-nvs-imc-dsy-0820-10133</v>
      </c>
      <c r="AR133" s="15" t="s">
        <v>745</v>
      </c>
      <c r="AS133" s="21" t="str">
        <f t="shared" ref="AS133:AS196" si="74">faxineiro(CONCATENATE(col_url,IF(ISNUMBER(FIND("?",col_url)),"&amp;","?"),"utm_source=",col_utmsource,"&amp;utm_medium=",col_utmmedium,"&amp;utm_content=",col_utmcontent,"&amp;utm_campaign=",col_utmcampaign,"&amp;utm_term=",col_keyword))</f>
        <v>https://www.vw.com.br/pt/configurador.html/__app/%2Fnivus/0.app?utm_source=DV360&amp;utm_medium=Paid-Display&amp;utm_content=alp_vw_dv360_imc_dsy_lanch_nd_nc_nvs_nivus-launch-consideracao-orca__configuracao_cpm_drct_all_300x250_lancamento-nivus-orca-rmkt-complform-ngw_na_lancamento-consideracao-nivus-orca_nvl-nvs-imc-dsy-0820-10133&amp;utm_campaign=BR_IMC_DSY_LANCH_ND_NC_2020Q3AUG_NVS_Nivus-Launch-Consideracao-Orca&amp;utm_term=%epid!_%ecid!_%eaid!</v>
      </c>
      <c r="AT133" s="15" t="str">
        <f t="shared" si="54"/>
        <v>other</v>
      </c>
      <c r="AU133" s="15" t="str">
        <f t="shared" ref="AU133:AU196" si="75">VLOOKUP(cel_country,tab_country,2,FALSE)</f>
        <v>BR</v>
      </c>
      <c r="AV133" s="15" t="str">
        <f t="shared" si="55"/>
        <v>dv360</v>
      </c>
      <c r="AW133" s="15" t="str">
        <f t="shared" si="56"/>
        <v>dv360</v>
      </c>
      <c r="AX133" s="15" t="str">
        <f t="shared" ref="AX133:AX196" si="76">LOWER(cel_campaing)</f>
        <v>nivus-launch-consideracao-orca</v>
      </c>
      <c r="AY133" s="15" t="str">
        <f t="shared" si="57"/>
        <v>alp_vw_dv360_imc_dsy_lanch_nd_nc_nvs_nivus-launch-consideracao-orca__configuracao_cpm_drct_all_300x250_lancamento-nivus-orca-rmkt-complform-ngw_na_lancamento-consideracao-nivus-orca_nvl-nvs-imc-dsy-0820-10133</v>
      </c>
      <c r="AZ133" s="15" t="str">
        <f t="shared" si="58"/>
        <v>300x250</v>
      </c>
      <c r="BA133" s="15" t="str">
        <f t="shared" si="59"/>
        <v>lancamento-consideracao-nivus-orca</v>
      </c>
      <c r="BB133" s="28" t="s">
        <v>798</v>
      </c>
      <c r="BC133" s="28" t="s">
        <v>798</v>
      </c>
      <c r="BD133" s="38" t="str">
        <f t="shared" si="60"/>
        <v>nvl-nvs-imc-dsy-0820-10133</v>
      </c>
      <c r="BE133" s="15" t="str">
        <f t="shared" si="61"/>
        <v>BR</v>
      </c>
      <c r="BF133" s="15" t="str">
        <f t="shared" si="62"/>
        <v>paid</v>
      </c>
      <c r="BG133" s="28"/>
      <c r="BH133" s="28"/>
      <c r="BI133" s="36" t="str">
        <f t="shared" ref="BI133:BI196" si="77">faxineiro(CONCATENATE(col_url,IF(ISNUMBER(FIND("?",col_url)),"&amp;","?"),CONCATENATE("adlid=",col_adlid,"&amp;adplt=",adplt)))</f>
        <v>https://www.vw.com.br/pt/configurador.html/__app/%2Fnivus/0.app?adlid=nvl-nvs-imc-dsy-0820-10133&amp;adplt=alp_vw_dv360_imc_dsy_lanch_nd_nc_nvs_nivus-launch-consideracao-orca__configuracao_cpm_drct_all_300x250_lancamento-nivus-orca-rmkt-complform-ngw_na_lancamento-consideracao-nivus-orca_nvl-nvs-imc-dsy-0820-10133</v>
      </c>
      <c r="BL133" t="str">
        <f t="shared" ref="BL133:BL196" si="78">LOWER(CONCATENATE("alp","_","vw","_",col_supplier,"_",cel_structurename,"_",col_objetivo))</f>
        <v>alp_vw_dv360_imc_dsy_lanch_nd_nc_nvs_nivus-launch-consideracao-orca__configuracao</v>
      </c>
      <c r="BM133" t="str">
        <f t="shared" ref="BM133:BM196" si="79">LOWER(CONCATENATE(col_buyingmetric,"_",VLOOKUP(col_buyingtype,tab_buyingtype,2,FALSE),"_",col_device,"_",col_size,"_",col_segmentacao,"_",col_segmentacaodeanun))</f>
        <v>cpm_drct_all_300x250_lancamento-nivus-orca-rmkt-complform-ngw_na</v>
      </c>
      <c r="BN133" t="str">
        <f t="shared" ref="BN133:BN196" si="80">faxineiro(LOWER(CONCATENATE(col_campanhaanunciante,"_",col_grupoanunciante,"_",col_linhacriativa2,"_",col_adlid)))</f>
        <v>alp_vw_dv360_imc_dsy_lanch_nd_nc_nvs_nivus-launch-consideracao-orca__configuracao_cpm_drct_all_300x250_lancamento-nivus-orca-rmkt-complform-ngw_na_generico_nvl-nvs-imc-dsy-0820-10133</v>
      </c>
    </row>
    <row r="134" spans="2:66" ht="15.75" customHeight="1" x14ac:dyDescent="0.25">
      <c r="B134" s="15" t="s">
        <v>1291</v>
      </c>
      <c r="C134" s="15" t="s">
        <v>1294</v>
      </c>
      <c r="D134" s="15"/>
      <c r="E134" s="22">
        <v>44069</v>
      </c>
      <c r="F134" s="22">
        <v>44135</v>
      </c>
      <c r="G134" s="15" t="s">
        <v>651</v>
      </c>
      <c r="H134" s="41" t="s">
        <v>1266</v>
      </c>
      <c r="I134" s="15" t="s">
        <v>801</v>
      </c>
      <c r="J134" s="42" t="s">
        <v>883</v>
      </c>
      <c r="K134" s="42" t="s">
        <v>883</v>
      </c>
      <c r="L134" s="15" t="s">
        <v>676</v>
      </c>
      <c r="M134" s="15" t="s">
        <v>276</v>
      </c>
      <c r="N134" s="15" t="s">
        <v>295</v>
      </c>
      <c r="O134" s="15" t="s">
        <v>677</v>
      </c>
      <c r="P134" s="15" t="str">
        <f>VLOOKUP(Y134,'All Codes'!$BF$3:$BG$278,2,FALSE)</f>
        <v>Skyscraper</v>
      </c>
      <c r="Q134" s="15" t="s">
        <v>179</v>
      </c>
      <c r="R134" s="15" t="s">
        <v>277</v>
      </c>
      <c r="S134" s="15" t="s">
        <v>874</v>
      </c>
      <c r="T134" s="46" t="s">
        <v>884</v>
      </c>
      <c r="U134" s="15" t="s">
        <v>876</v>
      </c>
      <c r="V134" s="56" t="s">
        <v>1087</v>
      </c>
      <c r="W134" s="15" t="s">
        <v>866</v>
      </c>
      <c r="X134" s="15" t="s">
        <v>307</v>
      </c>
      <c r="Y134" s="46" t="s">
        <v>464</v>
      </c>
      <c r="Z134" s="15"/>
      <c r="AA134" s="15"/>
      <c r="AB134" s="15"/>
      <c r="AC134" s="15"/>
      <c r="AD134" s="15"/>
      <c r="AE134" s="15"/>
      <c r="AF134" s="15"/>
      <c r="AG134" s="15"/>
      <c r="AH134" s="15" t="str">
        <f t="shared" si="70"/>
        <v>281619892</v>
      </c>
      <c r="AI134" s="21" t="str">
        <f t="shared" si="63"/>
        <v>alp_vw_dv360_imc_dsy_lanch_nd_nc_nvs_nivus-launch-consideracao-orca__configuracao_cpm_drct_all_300x600_lancamento-nivus-orca-rmkt-complform-ngw_na_lancamento-consideracao-nivus-orca_nvl-nvs-imc-dsy-0820-10134</v>
      </c>
      <c r="AJ134" s="40" t="str">
        <f t="shared" si="63"/>
        <v>alp_vw_dv360_imc_dsy_lanch_nd_nc_nvs_nivus-launch-consideracao-orca__configuracao_cpm_drct_all_300x600_lancamento-nivus-orca-rmkt-complform-ngw_na_lancamento-consideracao-nivus-orca_nvl-nvs-imc-dsy-0820-10134</v>
      </c>
      <c r="AK134" s="21" t="str">
        <f t="shared" si="71"/>
        <v>vw_nivus_300x600_lancamento-consideracao-nivus-orca_adserver</v>
      </c>
      <c r="AL134" s="21" t="str">
        <f t="shared" ref="AL134:AL197" si="81">IF(col_parametrizacao="GA",AS134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134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www.vw.com.br/pt/configurador.html/__app/%2Fnivus/0.app?adlid=nvl-nvs-imc-dsy-0820-10134&amp;adplt=alp_vw_dv360_imc_dsy_lanch_nd_nc_nvs_nivus-launch-consideracao-orca__configuracao_cpm_drct_all_300x600_lancamento-nivus-orca-rmkt-complform-ngw_na_lancamento-consideracao-nivus-orca_nvl-nvs-imc-dsy-0820-10134</v>
      </c>
      <c r="AM134" s="21" t="str">
        <f t="shared" si="72"/>
        <v>TAG</v>
      </c>
      <c r="AN134" s="15" t="str">
        <f t="shared" ref="AN134:AN197" si="82">J134</f>
        <v>DV360</v>
      </c>
      <c r="AO134" s="15" t="str">
        <f t="shared" ref="AO134:AO197" si="83">L134</f>
        <v>Paid-Display</v>
      </c>
      <c r="AP134" s="21" t="str">
        <f>Campanha!$B$3</f>
        <v>BR_IMC_DSY_LANCH_ND_NC_2020Q3AUG_NVS_Nivus-Launch-Consideracao-Orca</v>
      </c>
      <c r="AQ134" s="21" t="str">
        <f t="shared" si="73"/>
        <v>alp_vw_dv360_imc_dsy_lanch_nd_nc_nvs_nivus-launch-consideracao-orca__configuracao_cpm_drct_all_300x600_lancamento-nivus-orca-rmkt-complform-ngw_na_lancamento-consideracao-nivus-orca_nvl-nvs-imc-dsy-0820-10134</v>
      </c>
      <c r="AR134" s="15" t="s">
        <v>745</v>
      </c>
      <c r="AS134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complform-ngw_na_lancamento-consideracao-nivus-orca_nvl-nvs-imc-dsy-0820-10134&amp;utm_campaign=BR_IMC_DSY_LANCH_ND_NC_2020Q3AUG_NVS_Nivus-Launch-Consideracao-Orca&amp;utm_term=%epid!_%ecid!_%eaid!</v>
      </c>
      <c r="AT134" s="15" t="str">
        <f t="shared" ref="AT134:AT197" si="84">LOWER(Q134)</f>
        <v>other</v>
      </c>
      <c r="AU134" s="15" t="str">
        <f t="shared" si="75"/>
        <v>BR</v>
      </c>
      <c r="AV134" s="15" t="str">
        <f t="shared" ref="AV134:AV197" si="85">LOWER(K134)</f>
        <v>dv360</v>
      </c>
      <c r="AW134" s="15" t="str">
        <f t="shared" ref="AW134:AW197" si="86">LOWER(J134)</f>
        <v>dv360</v>
      </c>
      <c r="AX134" s="15" t="str">
        <f t="shared" si="76"/>
        <v>nivus-launch-consideracao-orca</v>
      </c>
      <c r="AY134" s="15" t="str">
        <f t="shared" ref="AY134:AY197" si="87">LOWER(AI134)</f>
        <v>alp_vw_dv360_imc_dsy_lanch_nd_nc_nvs_nivus-launch-consideracao-orca__configuracao_cpm_drct_all_300x600_lancamento-nivus-orca-rmkt-complform-ngw_na_lancamento-consideracao-nivus-orca_nvl-nvs-imc-dsy-0820-10134</v>
      </c>
      <c r="AZ134" s="15" t="str">
        <f t="shared" ref="AZ134:AZ197" si="88">LOWER(Y134)</f>
        <v>300x600</v>
      </c>
      <c r="BA134" s="15" t="str">
        <f t="shared" ref="BA134:BA197" si="89">LOWER(T134)</f>
        <v>lancamento-consideracao-nivus-orca</v>
      </c>
      <c r="BB134" s="28" t="s">
        <v>798</v>
      </c>
      <c r="BC134" s="28" t="s">
        <v>798</v>
      </c>
      <c r="BD134" s="38" t="str">
        <f t="shared" ref="BD134:BD197" si="90">LOWER(CONCATENATE(cel_idcampaign,"-",SUM(10000+ROW(A134))))</f>
        <v>nvl-nvs-imc-dsy-0820-10134</v>
      </c>
      <c r="BE134" s="15" t="str">
        <f t="shared" ref="BE134:BE197" si="91">AU134</f>
        <v>BR</v>
      </c>
      <c r="BF134" s="15" t="str">
        <f t="shared" ref="BF134:BF197" si="92">LOWER(X134)</f>
        <v>paid</v>
      </c>
      <c r="BG134" s="28"/>
      <c r="BH134" s="28"/>
      <c r="BI134" s="36" t="str">
        <f t="shared" si="77"/>
        <v>https://www.vw.com.br/pt/configurador.html/__app/%2Fnivus/0.app?adlid=nvl-nvs-imc-dsy-0820-10134&amp;adplt=alp_vw_dv360_imc_dsy_lanch_nd_nc_nvs_nivus-launch-consideracao-orca__configuracao_cpm_drct_all_300x600_lancamento-nivus-orca-rmkt-complform-ngw_na_lancamento-consideracao-nivus-orca_nvl-nvs-imc-dsy-0820-10134</v>
      </c>
      <c r="BL134" t="str">
        <f t="shared" si="78"/>
        <v>alp_vw_dv360_imc_dsy_lanch_nd_nc_nvs_nivus-launch-consideracao-orca__configuracao</v>
      </c>
      <c r="BM134" t="str">
        <f t="shared" si="79"/>
        <v>cpm_drct_all_300x600_lancamento-nivus-orca-rmkt-complform-ngw_na</v>
      </c>
      <c r="BN134" t="str">
        <f t="shared" si="80"/>
        <v>alp_vw_dv360_imc_dsy_lanch_nd_nc_nvs_nivus-launch-consideracao-orca__configuracao_cpm_drct_all_300x600_lancamento-nivus-orca-rmkt-complform-ngw_na_generico_nvl-nvs-imc-dsy-0820-10134</v>
      </c>
    </row>
    <row r="135" spans="2:66" ht="15.75" customHeight="1" x14ac:dyDescent="0.25">
      <c r="B135" s="15" t="s">
        <v>1291</v>
      </c>
      <c r="C135" s="15" t="s">
        <v>1294</v>
      </c>
      <c r="D135" s="15"/>
      <c r="E135" s="22">
        <v>44069</v>
      </c>
      <c r="F135" s="22">
        <v>44135</v>
      </c>
      <c r="G135" s="15" t="s">
        <v>651</v>
      </c>
      <c r="H135" s="41" t="s">
        <v>1266</v>
      </c>
      <c r="I135" s="15" t="s">
        <v>801</v>
      </c>
      <c r="J135" s="42" t="s">
        <v>883</v>
      </c>
      <c r="K135" s="42" t="s">
        <v>883</v>
      </c>
      <c r="L135" s="15" t="s">
        <v>676</v>
      </c>
      <c r="M135" s="15" t="s">
        <v>276</v>
      </c>
      <c r="N135" s="15" t="s">
        <v>295</v>
      </c>
      <c r="O135" s="15" t="s">
        <v>677</v>
      </c>
      <c r="P135" s="15" t="str">
        <f>VLOOKUP(Y135,'All Codes'!$BF$3:$BG$278,2,FALSE)</f>
        <v>MPU</v>
      </c>
      <c r="Q135" s="15" t="s">
        <v>179</v>
      </c>
      <c r="R135" s="15" t="s">
        <v>277</v>
      </c>
      <c r="S135" s="15" t="s">
        <v>874</v>
      </c>
      <c r="T135" s="46" t="s">
        <v>884</v>
      </c>
      <c r="U135" s="15" t="s">
        <v>876</v>
      </c>
      <c r="V135" s="56" t="s">
        <v>1087</v>
      </c>
      <c r="W135" s="15" t="s">
        <v>866</v>
      </c>
      <c r="X135" s="15" t="s">
        <v>307</v>
      </c>
      <c r="Y135" s="46" t="s">
        <v>479</v>
      </c>
      <c r="Z135" s="15"/>
      <c r="AA135" s="15"/>
      <c r="AB135" s="15"/>
      <c r="AC135" s="15"/>
      <c r="AD135" s="15"/>
      <c r="AE135" s="15"/>
      <c r="AF135" s="15"/>
      <c r="AG135" s="15"/>
      <c r="AH135" s="15" t="str">
        <f t="shared" si="70"/>
        <v>281619889</v>
      </c>
      <c r="AI135" s="21" t="str">
        <f t="shared" si="63"/>
        <v>alp_vw_dv360_imc_dsy_lanch_nd_nc_nvs_nivus-launch-consideracao-orca__configuracao_cpm_drct_all_320x50_lancamento-nivus-orca-rmkt-complform-ngw_na_lancamento-consideracao-nivus-orca_nvl-nvs-imc-dsy-0820-10135</v>
      </c>
      <c r="AJ135" s="40" t="str">
        <f t="shared" si="63"/>
        <v>alp_vw_dv360_imc_dsy_lanch_nd_nc_nvs_nivus-launch-consideracao-orca__configuracao_cpm_drct_all_320x50_lancamento-nivus-orca-rmkt-complform-ngw_na_lancamento-consideracao-nivus-orca_nvl-nvs-imc-dsy-0820-10135</v>
      </c>
      <c r="AK135" s="21" t="str">
        <f t="shared" si="71"/>
        <v>vw_nivus_320x50_lancamento-consideracao-nivus-orca_adserver</v>
      </c>
      <c r="AL135" s="21" t="str">
        <f t="shared" si="81"/>
        <v>https://www.vw.com.br/pt/configurador.html/__app/%2Fnivus/0.app?adlid=nvl-nvs-imc-dsy-0820-10135&amp;adplt=alp_vw_dv360_imc_dsy_lanch_nd_nc_nvs_nivus-launch-consideracao-orca__configuracao_cpm_drct_all_320x50_lancamento-nivus-orca-rmkt-complform-ngw_na_lancamento-consideracao-nivus-orca_nvl-nvs-imc-dsy-0820-10135</v>
      </c>
      <c r="AM135" s="21" t="str">
        <f t="shared" si="72"/>
        <v>TAG</v>
      </c>
      <c r="AN135" s="15" t="str">
        <f t="shared" si="82"/>
        <v>DV360</v>
      </c>
      <c r="AO135" s="15" t="str">
        <f t="shared" si="83"/>
        <v>Paid-Display</v>
      </c>
      <c r="AP135" s="21" t="str">
        <f>Campanha!$B$3</f>
        <v>BR_IMC_DSY_LANCH_ND_NC_2020Q3AUG_NVS_Nivus-Launch-Consideracao-Orca</v>
      </c>
      <c r="AQ135" s="21" t="str">
        <f t="shared" si="73"/>
        <v>alp_vw_dv360_imc_dsy_lanch_nd_nc_nvs_nivus-launch-consideracao-orca__configuracao_cpm_drct_all_320x50_lancamento-nivus-orca-rmkt-complform-ngw_na_lancamento-consideracao-nivus-orca_nvl-nvs-imc-dsy-0820-10135</v>
      </c>
      <c r="AR135" s="15" t="s">
        <v>745</v>
      </c>
      <c r="AS135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complform-ngw_na_lancamento-consideracao-nivus-orca_nvl-nvs-imc-dsy-0820-10135&amp;utm_campaign=BR_IMC_DSY_LANCH_ND_NC_2020Q3AUG_NVS_Nivus-Launch-Consideracao-Orca&amp;utm_term=%epid!_%ecid!_%eaid!</v>
      </c>
      <c r="AT135" s="15" t="str">
        <f t="shared" si="84"/>
        <v>other</v>
      </c>
      <c r="AU135" s="15" t="str">
        <f t="shared" si="75"/>
        <v>BR</v>
      </c>
      <c r="AV135" s="15" t="str">
        <f t="shared" si="85"/>
        <v>dv360</v>
      </c>
      <c r="AW135" s="15" t="str">
        <f t="shared" si="86"/>
        <v>dv360</v>
      </c>
      <c r="AX135" s="15" t="str">
        <f t="shared" si="76"/>
        <v>nivus-launch-consideracao-orca</v>
      </c>
      <c r="AY135" s="15" t="str">
        <f t="shared" si="87"/>
        <v>alp_vw_dv360_imc_dsy_lanch_nd_nc_nvs_nivus-launch-consideracao-orca__configuracao_cpm_drct_all_320x50_lancamento-nivus-orca-rmkt-complform-ngw_na_lancamento-consideracao-nivus-orca_nvl-nvs-imc-dsy-0820-10135</v>
      </c>
      <c r="AZ135" s="15" t="str">
        <f t="shared" si="88"/>
        <v>320x50</v>
      </c>
      <c r="BA135" s="15" t="str">
        <f t="shared" si="89"/>
        <v>lancamento-consideracao-nivus-orca</v>
      </c>
      <c r="BB135" s="28" t="s">
        <v>798</v>
      </c>
      <c r="BC135" s="28" t="s">
        <v>798</v>
      </c>
      <c r="BD135" s="38" t="str">
        <f t="shared" si="90"/>
        <v>nvl-nvs-imc-dsy-0820-10135</v>
      </c>
      <c r="BE135" s="15" t="str">
        <f t="shared" si="91"/>
        <v>BR</v>
      </c>
      <c r="BF135" s="15" t="str">
        <f t="shared" si="92"/>
        <v>paid</v>
      </c>
      <c r="BG135" s="28"/>
      <c r="BH135" s="28"/>
      <c r="BI135" s="36" t="str">
        <f t="shared" si="77"/>
        <v>https://www.vw.com.br/pt/configurador.html/__app/%2Fnivus/0.app?adlid=nvl-nvs-imc-dsy-0820-10135&amp;adplt=alp_vw_dv360_imc_dsy_lanch_nd_nc_nvs_nivus-launch-consideracao-orca__configuracao_cpm_drct_all_320x50_lancamento-nivus-orca-rmkt-complform-ngw_na_lancamento-consideracao-nivus-orca_nvl-nvs-imc-dsy-0820-10135</v>
      </c>
      <c r="BL135" t="str">
        <f t="shared" si="78"/>
        <v>alp_vw_dv360_imc_dsy_lanch_nd_nc_nvs_nivus-launch-consideracao-orca__configuracao</v>
      </c>
      <c r="BM135" t="str">
        <f t="shared" si="79"/>
        <v>cpm_drct_all_320x50_lancamento-nivus-orca-rmkt-complform-ngw_na</v>
      </c>
      <c r="BN135" t="str">
        <f t="shared" si="80"/>
        <v>alp_vw_dv360_imc_dsy_lanch_nd_nc_nvs_nivus-launch-consideracao-orca__configuracao_cpm_drct_all_320x50_lancamento-nivus-orca-rmkt-complform-ngw_na_generico_nvl-nvs-imc-dsy-0820-10135</v>
      </c>
    </row>
    <row r="136" spans="2:66" ht="15.75" customHeight="1" x14ac:dyDescent="0.25">
      <c r="B136" s="15" t="s">
        <v>1291</v>
      </c>
      <c r="C136" s="15" t="s">
        <v>1294</v>
      </c>
      <c r="D136" s="15"/>
      <c r="E136" s="22">
        <v>44069</v>
      </c>
      <c r="F136" s="22">
        <v>44135</v>
      </c>
      <c r="G136" s="15" t="s">
        <v>651</v>
      </c>
      <c r="H136" s="41" t="s">
        <v>1266</v>
      </c>
      <c r="I136" s="15" t="s">
        <v>801</v>
      </c>
      <c r="J136" s="42" t="s">
        <v>883</v>
      </c>
      <c r="K136" s="42" t="s">
        <v>883</v>
      </c>
      <c r="L136" s="15" t="s">
        <v>676</v>
      </c>
      <c r="M136" s="15" t="s">
        <v>276</v>
      </c>
      <c r="N136" s="15" t="s">
        <v>295</v>
      </c>
      <c r="O136" s="15" t="s">
        <v>677</v>
      </c>
      <c r="P136" s="15" t="str">
        <f>VLOOKUP(Y136,'All Codes'!$BF$3:$BG$278,2,FALSE)</f>
        <v>Leaderboard</v>
      </c>
      <c r="Q136" s="15" t="s">
        <v>179</v>
      </c>
      <c r="R136" s="15" t="s">
        <v>277</v>
      </c>
      <c r="S136" s="15" t="s">
        <v>874</v>
      </c>
      <c r="T136" s="46" t="s">
        <v>884</v>
      </c>
      <c r="U136" s="15" t="s">
        <v>876</v>
      </c>
      <c r="V136" s="56" t="s">
        <v>1087</v>
      </c>
      <c r="W136" s="15" t="s">
        <v>866</v>
      </c>
      <c r="X136" s="15" t="s">
        <v>307</v>
      </c>
      <c r="Y136" s="46" t="s">
        <v>591</v>
      </c>
      <c r="Z136" s="15"/>
      <c r="AA136" s="15"/>
      <c r="AB136" s="15"/>
      <c r="AC136" s="15"/>
      <c r="AD136" s="15"/>
      <c r="AE136" s="15"/>
      <c r="AF136" s="15"/>
      <c r="AG136" s="15"/>
      <c r="AH136" s="15" t="str">
        <f t="shared" si="70"/>
        <v>281619886</v>
      </c>
      <c r="AI136" s="21" t="str">
        <f t="shared" si="63"/>
        <v>alp_vw_dv360_imc_dsy_lanch_nd_nc_nvs_nivus-launch-consideracao-orca__configuracao_cpm_drct_all_728x90_lancamento-nivus-orca-rmkt-complform-ngw_na_lancamento-consideracao-nivus-orca_nvl-nvs-imc-dsy-0820-10136</v>
      </c>
      <c r="AJ136" s="40" t="str">
        <f t="shared" si="63"/>
        <v>alp_vw_dv360_imc_dsy_lanch_nd_nc_nvs_nivus-launch-consideracao-orca__configuracao_cpm_drct_all_728x90_lancamento-nivus-orca-rmkt-complform-ngw_na_lancamento-consideracao-nivus-orca_nvl-nvs-imc-dsy-0820-10136</v>
      </c>
      <c r="AK136" s="21" t="str">
        <f t="shared" si="71"/>
        <v>vw_nivus_728x90_lancamento-consideracao-nivus-orca_adserver</v>
      </c>
      <c r="AL136" s="21" t="str">
        <f t="shared" si="81"/>
        <v>https://www.vw.com.br/pt/configurador.html/__app/%2Fnivus/0.app?adlid=nvl-nvs-imc-dsy-0820-10136&amp;adplt=alp_vw_dv360_imc_dsy_lanch_nd_nc_nvs_nivus-launch-consideracao-orca__configuracao_cpm_drct_all_728x90_lancamento-nivus-orca-rmkt-complform-ngw_na_lancamento-consideracao-nivus-orca_nvl-nvs-imc-dsy-0820-10136</v>
      </c>
      <c r="AM136" s="21" t="str">
        <f t="shared" si="72"/>
        <v>TAG</v>
      </c>
      <c r="AN136" s="15" t="str">
        <f t="shared" si="82"/>
        <v>DV360</v>
      </c>
      <c r="AO136" s="15" t="str">
        <f t="shared" si="83"/>
        <v>Paid-Display</v>
      </c>
      <c r="AP136" s="21" t="str">
        <f>Campanha!$B$3</f>
        <v>BR_IMC_DSY_LANCH_ND_NC_2020Q3AUG_NVS_Nivus-Launch-Consideracao-Orca</v>
      </c>
      <c r="AQ136" s="21" t="str">
        <f t="shared" si="73"/>
        <v>alp_vw_dv360_imc_dsy_lanch_nd_nc_nvs_nivus-launch-consideracao-orca__configuracao_cpm_drct_all_728x90_lancamento-nivus-orca-rmkt-complform-ngw_na_lancamento-consideracao-nivus-orca_nvl-nvs-imc-dsy-0820-10136</v>
      </c>
      <c r="AR136" s="15" t="s">
        <v>745</v>
      </c>
      <c r="AS136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complform-ngw_na_lancamento-consideracao-nivus-orca_nvl-nvs-imc-dsy-0820-10136&amp;utm_campaign=BR_IMC_DSY_LANCH_ND_NC_2020Q3AUG_NVS_Nivus-Launch-Consideracao-Orca&amp;utm_term=%epid!_%ecid!_%eaid!</v>
      </c>
      <c r="AT136" s="15" t="str">
        <f t="shared" si="84"/>
        <v>other</v>
      </c>
      <c r="AU136" s="15" t="str">
        <f t="shared" si="75"/>
        <v>BR</v>
      </c>
      <c r="AV136" s="15" t="str">
        <f t="shared" si="85"/>
        <v>dv360</v>
      </c>
      <c r="AW136" s="15" t="str">
        <f t="shared" si="86"/>
        <v>dv360</v>
      </c>
      <c r="AX136" s="15" t="str">
        <f t="shared" si="76"/>
        <v>nivus-launch-consideracao-orca</v>
      </c>
      <c r="AY136" s="15" t="str">
        <f t="shared" si="87"/>
        <v>alp_vw_dv360_imc_dsy_lanch_nd_nc_nvs_nivus-launch-consideracao-orca__configuracao_cpm_drct_all_728x90_lancamento-nivus-orca-rmkt-complform-ngw_na_lancamento-consideracao-nivus-orca_nvl-nvs-imc-dsy-0820-10136</v>
      </c>
      <c r="AZ136" s="15" t="str">
        <f t="shared" si="88"/>
        <v>728x90</v>
      </c>
      <c r="BA136" s="15" t="str">
        <f t="shared" si="89"/>
        <v>lancamento-consideracao-nivus-orca</v>
      </c>
      <c r="BB136" s="28" t="s">
        <v>798</v>
      </c>
      <c r="BC136" s="28" t="s">
        <v>798</v>
      </c>
      <c r="BD136" s="38" t="str">
        <f t="shared" si="90"/>
        <v>nvl-nvs-imc-dsy-0820-10136</v>
      </c>
      <c r="BE136" s="15" t="str">
        <f t="shared" si="91"/>
        <v>BR</v>
      </c>
      <c r="BF136" s="15" t="str">
        <f t="shared" si="92"/>
        <v>paid</v>
      </c>
      <c r="BG136" s="28"/>
      <c r="BH136" s="28"/>
      <c r="BI136" s="36" t="str">
        <f t="shared" si="77"/>
        <v>https://www.vw.com.br/pt/configurador.html/__app/%2Fnivus/0.app?adlid=nvl-nvs-imc-dsy-0820-10136&amp;adplt=alp_vw_dv360_imc_dsy_lanch_nd_nc_nvs_nivus-launch-consideracao-orca__configuracao_cpm_drct_all_728x90_lancamento-nivus-orca-rmkt-complform-ngw_na_lancamento-consideracao-nivus-orca_nvl-nvs-imc-dsy-0820-10136</v>
      </c>
      <c r="BL136" t="str">
        <f t="shared" si="78"/>
        <v>alp_vw_dv360_imc_dsy_lanch_nd_nc_nvs_nivus-launch-consideracao-orca__configuracao</v>
      </c>
      <c r="BM136" t="str">
        <f t="shared" si="79"/>
        <v>cpm_drct_all_728x90_lancamento-nivus-orca-rmkt-complform-ngw_na</v>
      </c>
      <c r="BN136" t="str">
        <f t="shared" si="80"/>
        <v>alp_vw_dv360_imc_dsy_lanch_nd_nc_nvs_nivus-launch-consideracao-orca__configuracao_cpm_drct_all_728x90_lancamento-nivus-orca-rmkt-complform-ngw_na_generico_nvl-nvs-imc-dsy-0820-10136</v>
      </c>
    </row>
    <row r="137" spans="2:66" ht="15.75" customHeight="1" x14ac:dyDescent="0.25">
      <c r="B137" s="15" t="s">
        <v>1291</v>
      </c>
      <c r="C137" s="15" t="s">
        <v>1294</v>
      </c>
      <c r="D137" s="15"/>
      <c r="E137" s="22">
        <v>44069</v>
      </c>
      <c r="F137" s="22">
        <v>44135</v>
      </c>
      <c r="G137" s="15" t="s">
        <v>651</v>
      </c>
      <c r="H137" s="41" t="s">
        <v>1266</v>
      </c>
      <c r="I137" s="15" t="s">
        <v>801</v>
      </c>
      <c r="J137" s="42" t="s">
        <v>883</v>
      </c>
      <c r="K137" s="42" t="s">
        <v>883</v>
      </c>
      <c r="L137" s="15" t="s">
        <v>676</v>
      </c>
      <c r="M137" s="15" t="s">
        <v>276</v>
      </c>
      <c r="N137" s="15" t="s">
        <v>295</v>
      </c>
      <c r="O137" s="15" t="s">
        <v>677</v>
      </c>
      <c r="P137" s="15" t="str">
        <f>VLOOKUP(Y137,'All Codes'!$BF$3:$BG$278,2,FALSE)</f>
        <v>Leaderboard</v>
      </c>
      <c r="Q137" s="15" t="s">
        <v>179</v>
      </c>
      <c r="R137" s="15" t="s">
        <v>277</v>
      </c>
      <c r="S137" s="15" t="s">
        <v>874</v>
      </c>
      <c r="T137" s="46" t="s">
        <v>884</v>
      </c>
      <c r="U137" s="15" t="s">
        <v>876</v>
      </c>
      <c r="V137" s="56" t="s">
        <v>1087</v>
      </c>
      <c r="W137" s="15" t="s">
        <v>866</v>
      </c>
      <c r="X137" s="15" t="s">
        <v>307</v>
      </c>
      <c r="Y137" s="46" t="s">
        <v>629</v>
      </c>
      <c r="Z137" s="15"/>
      <c r="AA137" s="15"/>
      <c r="AB137" s="15"/>
      <c r="AC137" s="15"/>
      <c r="AD137" s="15"/>
      <c r="AE137" s="15"/>
      <c r="AF137" s="15"/>
      <c r="AG137" s="15"/>
      <c r="AH137" s="15" t="str">
        <f t="shared" si="70"/>
        <v>281619883</v>
      </c>
      <c r="AI137" s="21" t="str">
        <f t="shared" si="63"/>
        <v>alp_vw_dv360_imc_dsy_lanch_nd_nc_nvs_nivus-launch-consideracao-orca__configuracao_cpm_drct_all_970x250_lancamento-nivus-orca-rmkt-complform-ngw_na_lancamento-consideracao-nivus-orca_nvl-nvs-imc-dsy-0820-10137</v>
      </c>
      <c r="AJ137" s="40" t="str">
        <f t="shared" si="63"/>
        <v>alp_vw_dv360_imc_dsy_lanch_nd_nc_nvs_nivus-launch-consideracao-orca__configuracao_cpm_drct_all_970x250_lancamento-nivus-orca-rmkt-complform-ngw_na_lancamento-consideracao-nivus-orca_nvl-nvs-imc-dsy-0820-10137</v>
      </c>
      <c r="AK137" s="21" t="str">
        <f t="shared" si="71"/>
        <v>vw_nivus_970x250_lancamento-consideracao-nivus-orca_adserver</v>
      </c>
      <c r="AL137" s="21" t="str">
        <f t="shared" si="81"/>
        <v>https://www.vw.com.br/pt/configurador.html/__app/%2Fnivus/0.app?adlid=nvl-nvs-imc-dsy-0820-10137&amp;adplt=alp_vw_dv360_imc_dsy_lanch_nd_nc_nvs_nivus-launch-consideracao-orca__configuracao_cpm_drct_all_970x250_lancamento-nivus-orca-rmkt-complform-ngw_na_lancamento-consideracao-nivus-orca_nvl-nvs-imc-dsy-0820-10137</v>
      </c>
      <c r="AM137" s="21" t="str">
        <f t="shared" si="72"/>
        <v>TAG</v>
      </c>
      <c r="AN137" s="15" t="str">
        <f t="shared" si="82"/>
        <v>DV360</v>
      </c>
      <c r="AO137" s="15" t="str">
        <f t="shared" si="83"/>
        <v>Paid-Display</v>
      </c>
      <c r="AP137" s="21" t="str">
        <f>Campanha!$B$3</f>
        <v>BR_IMC_DSY_LANCH_ND_NC_2020Q3AUG_NVS_Nivus-Launch-Consideracao-Orca</v>
      </c>
      <c r="AQ137" s="21" t="str">
        <f t="shared" si="73"/>
        <v>alp_vw_dv360_imc_dsy_lanch_nd_nc_nvs_nivus-launch-consideracao-orca__configuracao_cpm_drct_all_970x250_lancamento-nivus-orca-rmkt-complform-ngw_na_lancamento-consideracao-nivus-orca_nvl-nvs-imc-dsy-0820-10137</v>
      </c>
      <c r="AR137" s="15" t="s">
        <v>745</v>
      </c>
      <c r="AS137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complform-ngw_na_lancamento-consideracao-nivus-orca_nvl-nvs-imc-dsy-0820-10137&amp;utm_campaign=BR_IMC_DSY_LANCH_ND_NC_2020Q3AUG_NVS_Nivus-Launch-Consideracao-Orca&amp;utm_term=%epid!_%ecid!_%eaid!</v>
      </c>
      <c r="AT137" s="15" t="str">
        <f t="shared" si="84"/>
        <v>other</v>
      </c>
      <c r="AU137" s="15" t="str">
        <f t="shared" si="75"/>
        <v>BR</v>
      </c>
      <c r="AV137" s="15" t="str">
        <f t="shared" si="85"/>
        <v>dv360</v>
      </c>
      <c r="AW137" s="15" t="str">
        <f t="shared" si="86"/>
        <v>dv360</v>
      </c>
      <c r="AX137" s="15" t="str">
        <f t="shared" si="76"/>
        <v>nivus-launch-consideracao-orca</v>
      </c>
      <c r="AY137" s="15" t="str">
        <f t="shared" si="87"/>
        <v>alp_vw_dv360_imc_dsy_lanch_nd_nc_nvs_nivus-launch-consideracao-orca__configuracao_cpm_drct_all_970x250_lancamento-nivus-orca-rmkt-complform-ngw_na_lancamento-consideracao-nivus-orca_nvl-nvs-imc-dsy-0820-10137</v>
      </c>
      <c r="AZ137" s="15" t="str">
        <f t="shared" si="88"/>
        <v>970x250</v>
      </c>
      <c r="BA137" s="15" t="str">
        <f t="shared" si="89"/>
        <v>lancamento-consideracao-nivus-orca</v>
      </c>
      <c r="BB137" s="28" t="s">
        <v>798</v>
      </c>
      <c r="BC137" s="28" t="s">
        <v>798</v>
      </c>
      <c r="BD137" s="38" t="str">
        <f t="shared" si="90"/>
        <v>nvl-nvs-imc-dsy-0820-10137</v>
      </c>
      <c r="BE137" s="15" t="str">
        <f t="shared" si="91"/>
        <v>BR</v>
      </c>
      <c r="BF137" s="15" t="str">
        <f t="shared" si="92"/>
        <v>paid</v>
      </c>
      <c r="BG137" s="28"/>
      <c r="BH137" s="28"/>
      <c r="BI137" s="36" t="str">
        <f t="shared" si="77"/>
        <v>https://www.vw.com.br/pt/configurador.html/__app/%2Fnivus/0.app?adlid=nvl-nvs-imc-dsy-0820-10137&amp;adplt=alp_vw_dv360_imc_dsy_lanch_nd_nc_nvs_nivus-launch-consideracao-orca__configuracao_cpm_drct_all_970x250_lancamento-nivus-orca-rmkt-complform-ngw_na_lancamento-consideracao-nivus-orca_nvl-nvs-imc-dsy-0820-10137</v>
      </c>
      <c r="BL137" t="str">
        <f t="shared" si="78"/>
        <v>alp_vw_dv360_imc_dsy_lanch_nd_nc_nvs_nivus-launch-consideracao-orca__configuracao</v>
      </c>
      <c r="BM137" t="str">
        <f t="shared" si="79"/>
        <v>cpm_drct_all_970x250_lancamento-nivus-orca-rmkt-complform-ngw_na</v>
      </c>
      <c r="BN137" t="str">
        <f t="shared" si="80"/>
        <v>alp_vw_dv360_imc_dsy_lanch_nd_nc_nvs_nivus-launch-consideracao-orca__configuracao_cpm_drct_all_970x250_lancamento-nivus-orca-rmkt-complform-ngw_na_generico_nvl-nvs-imc-dsy-0820-10137</v>
      </c>
    </row>
    <row r="138" spans="2:66" ht="15.75" customHeight="1" x14ac:dyDescent="0.25">
      <c r="B138" s="15" t="s">
        <v>1291</v>
      </c>
      <c r="C138" s="15" t="s">
        <v>1294</v>
      </c>
      <c r="D138" s="15"/>
      <c r="E138" s="22">
        <v>44069</v>
      </c>
      <c r="F138" s="22">
        <v>44135</v>
      </c>
      <c r="G138" s="15" t="s">
        <v>651</v>
      </c>
      <c r="H138" s="41" t="s">
        <v>1266</v>
      </c>
      <c r="I138" s="15" t="s">
        <v>801</v>
      </c>
      <c r="J138" s="42" t="s">
        <v>883</v>
      </c>
      <c r="K138" s="42" t="s">
        <v>883</v>
      </c>
      <c r="L138" s="15" t="s">
        <v>676</v>
      </c>
      <c r="M138" s="15" t="s">
        <v>276</v>
      </c>
      <c r="N138" s="15" t="s">
        <v>295</v>
      </c>
      <c r="O138" s="15" t="s">
        <v>677</v>
      </c>
      <c r="P138" s="15" t="str">
        <f>VLOOKUP(Y138,'All Codes'!$BF$3:$BG$278,2,FALSE)</f>
        <v>MPU</v>
      </c>
      <c r="Q138" s="15" t="s">
        <v>179</v>
      </c>
      <c r="R138" s="15" t="s">
        <v>277</v>
      </c>
      <c r="S138" s="15" t="s">
        <v>874</v>
      </c>
      <c r="T138" s="46" t="s">
        <v>884</v>
      </c>
      <c r="U138" s="15" t="s">
        <v>876</v>
      </c>
      <c r="V138" s="65" t="s">
        <v>1086</v>
      </c>
      <c r="W138" s="15" t="s">
        <v>866</v>
      </c>
      <c r="X138" s="15" t="s">
        <v>307</v>
      </c>
      <c r="Y138" s="46" t="s">
        <v>461</v>
      </c>
      <c r="Z138" s="15"/>
      <c r="AA138" s="15"/>
      <c r="AB138" s="15"/>
      <c r="AC138" s="15"/>
      <c r="AD138" s="15"/>
      <c r="AE138" s="15"/>
      <c r="AF138" s="15"/>
      <c r="AG138" s="15"/>
      <c r="AH138" s="15" t="str">
        <f t="shared" ref="AH138:AH144" si="93">VLOOKUP(AI138,id_placement,2,FALSE)</f>
        <v>281619880</v>
      </c>
      <c r="AI138" s="21" t="str">
        <f t="shared" si="63"/>
        <v>alp_vw_dv360_imc_dsy_lanch_nd_nc_nvs_nivus-launch-consideracao-orca__configuracao_cpm_drct_all_300x50_lancamento-nivus-orca-rmkt-uncomplform-ngw_na_lancamento-consideracao-nivus-orca_nvl-nvs-imc-dsy-0820-10138</v>
      </c>
      <c r="AJ138" s="40" t="str">
        <f t="shared" si="63"/>
        <v>alp_vw_dv360_imc_dsy_lanch_nd_nc_nvs_nivus-launch-consideracao-orca__configuracao_cpm_drct_all_300x50_lancamento-nivus-orca-rmkt-uncomplform-ngw_na_lancamento-consideracao-nivus-orca_nvl-nvs-imc-dsy-0820-10138</v>
      </c>
      <c r="AK138" s="21" t="str">
        <f t="shared" si="71"/>
        <v>vw_nivus_300x50_lancamento-consideracao-nivus-orca_adserver</v>
      </c>
      <c r="AL138" s="21" t="str">
        <f t="shared" si="81"/>
        <v>https://www.vw.com.br/pt/configurador.html/__app/%2Fnivus/0.app?adlid=nvl-nvs-imc-dsy-0820-10138&amp;adplt=alp_vw_dv360_imc_dsy_lanch_nd_nc_nvs_nivus-launch-consideracao-orca__configuracao_cpm_drct_all_300x50_lancamento-nivus-orca-rmkt-uncomplform-ngw_na_lancamento-consideracao-nivus-orca_nvl-nvs-imc-dsy-0820-10138</v>
      </c>
      <c r="AM138" s="21" t="str">
        <f t="shared" si="72"/>
        <v>TAG</v>
      </c>
      <c r="AN138" s="15" t="str">
        <f t="shared" si="82"/>
        <v>DV360</v>
      </c>
      <c r="AO138" s="15" t="str">
        <f t="shared" si="83"/>
        <v>Paid-Display</v>
      </c>
      <c r="AP138" s="21" t="str">
        <f>Campanha!$B$3</f>
        <v>BR_IMC_DSY_LANCH_ND_NC_2020Q3AUG_NVS_Nivus-Launch-Consideracao-Orca</v>
      </c>
      <c r="AQ138" s="21" t="str">
        <f t="shared" si="73"/>
        <v>alp_vw_dv360_imc_dsy_lanch_nd_nc_nvs_nivus-launch-consideracao-orca__configuracao_cpm_drct_all_300x50_lancamento-nivus-orca-rmkt-uncomplform-ngw_na_lancamento-consideracao-nivus-orca_nvl-nvs-imc-dsy-0820-10138</v>
      </c>
      <c r="AR138" s="15" t="s">
        <v>745</v>
      </c>
      <c r="AS138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uncomplform-ngw_na_lancamento-consideracao-nivus-orca_nvl-nvs-imc-dsy-0820-10138&amp;utm_campaign=BR_IMC_DSY_LANCH_ND_NC_2020Q3AUG_NVS_Nivus-Launch-Consideracao-Orca&amp;utm_term=%epid!_%ecid!_%eaid!</v>
      </c>
      <c r="AT138" s="15" t="str">
        <f t="shared" si="84"/>
        <v>other</v>
      </c>
      <c r="AU138" s="15" t="str">
        <f t="shared" si="75"/>
        <v>BR</v>
      </c>
      <c r="AV138" s="15" t="str">
        <f t="shared" si="85"/>
        <v>dv360</v>
      </c>
      <c r="AW138" s="15" t="str">
        <f t="shared" si="86"/>
        <v>dv360</v>
      </c>
      <c r="AX138" s="15" t="str">
        <f t="shared" si="76"/>
        <v>nivus-launch-consideracao-orca</v>
      </c>
      <c r="AY138" s="15" t="str">
        <f t="shared" si="87"/>
        <v>alp_vw_dv360_imc_dsy_lanch_nd_nc_nvs_nivus-launch-consideracao-orca__configuracao_cpm_drct_all_300x50_lancamento-nivus-orca-rmkt-uncomplform-ngw_na_lancamento-consideracao-nivus-orca_nvl-nvs-imc-dsy-0820-10138</v>
      </c>
      <c r="AZ138" s="15" t="str">
        <f t="shared" si="88"/>
        <v>300x50</v>
      </c>
      <c r="BA138" s="15" t="str">
        <f t="shared" si="89"/>
        <v>lancamento-consideracao-nivus-orca</v>
      </c>
      <c r="BB138" s="28" t="s">
        <v>798</v>
      </c>
      <c r="BC138" s="28" t="s">
        <v>798</v>
      </c>
      <c r="BD138" s="38" t="str">
        <f t="shared" si="90"/>
        <v>nvl-nvs-imc-dsy-0820-10138</v>
      </c>
      <c r="BE138" s="15" t="str">
        <f t="shared" si="91"/>
        <v>BR</v>
      </c>
      <c r="BF138" s="15" t="str">
        <f t="shared" si="92"/>
        <v>paid</v>
      </c>
      <c r="BG138" s="28"/>
      <c r="BH138" s="28"/>
      <c r="BI138" s="36" t="str">
        <f t="shared" si="77"/>
        <v>https://www.vw.com.br/pt/configurador.html/__app/%2Fnivus/0.app?adlid=nvl-nvs-imc-dsy-0820-10138&amp;adplt=alp_vw_dv360_imc_dsy_lanch_nd_nc_nvs_nivus-launch-consideracao-orca__configuracao_cpm_drct_all_300x50_lancamento-nivus-orca-rmkt-uncomplform-ngw_na_lancamento-consideracao-nivus-orca_nvl-nvs-imc-dsy-0820-10138</v>
      </c>
      <c r="BL138" t="str">
        <f t="shared" si="78"/>
        <v>alp_vw_dv360_imc_dsy_lanch_nd_nc_nvs_nivus-launch-consideracao-orca__configuracao</v>
      </c>
      <c r="BM138" t="str">
        <f t="shared" si="79"/>
        <v>cpm_drct_all_300x50_lancamento-nivus-orca-rmkt-uncomplform-ngw_na</v>
      </c>
      <c r="BN138" t="str">
        <f t="shared" si="80"/>
        <v>alp_vw_dv360_imc_dsy_lanch_nd_nc_nvs_nivus-launch-consideracao-orca__configuracao_cpm_drct_all_300x50_lancamento-nivus-orca-rmkt-uncomplform-ngw_na_generico_nvl-nvs-imc-dsy-0820-10138</v>
      </c>
    </row>
    <row r="139" spans="2:66" ht="15.75" customHeight="1" x14ac:dyDescent="0.25">
      <c r="B139" s="15" t="s">
        <v>1291</v>
      </c>
      <c r="C139" s="15" t="s">
        <v>1294</v>
      </c>
      <c r="D139" s="15"/>
      <c r="E139" s="22">
        <v>44069</v>
      </c>
      <c r="F139" s="22">
        <v>44135</v>
      </c>
      <c r="G139" s="15" t="s">
        <v>651</v>
      </c>
      <c r="H139" s="41" t="s">
        <v>1266</v>
      </c>
      <c r="I139" s="15" t="s">
        <v>801</v>
      </c>
      <c r="J139" s="42" t="s">
        <v>883</v>
      </c>
      <c r="K139" s="42" t="s">
        <v>883</v>
      </c>
      <c r="L139" s="15" t="s">
        <v>676</v>
      </c>
      <c r="M139" s="15" t="s">
        <v>276</v>
      </c>
      <c r="N139" s="15" t="s">
        <v>295</v>
      </c>
      <c r="O139" s="15" t="s">
        <v>677</v>
      </c>
      <c r="P139" s="15" t="str">
        <f>VLOOKUP(Y139,'All Codes'!$BF$3:$BG$278,2,FALSE)</f>
        <v>Skyscraper</v>
      </c>
      <c r="Q139" s="15" t="s">
        <v>179</v>
      </c>
      <c r="R139" s="15" t="s">
        <v>277</v>
      </c>
      <c r="S139" s="15" t="s">
        <v>874</v>
      </c>
      <c r="T139" s="46" t="s">
        <v>884</v>
      </c>
      <c r="U139" s="15" t="s">
        <v>876</v>
      </c>
      <c r="V139" s="65" t="s">
        <v>1086</v>
      </c>
      <c r="W139" s="15" t="s">
        <v>866</v>
      </c>
      <c r="X139" s="15" t="s">
        <v>307</v>
      </c>
      <c r="Y139" s="46" t="s">
        <v>434</v>
      </c>
      <c r="Z139" s="15"/>
      <c r="AA139" s="15"/>
      <c r="AB139" s="15"/>
      <c r="AC139" s="15"/>
      <c r="AD139" s="15"/>
      <c r="AE139" s="15"/>
      <c r="AF139" s="15"/>
      <c r="AG139" s="15"/>
      <c r="AH139" s="15" t="str">
        <f t="shared" si="93"/>
        <v>281619877</v>
      </c>
      <c r="AI139" s="21" t="str">
        <f t="shared" si="63"/>
        <v>alp_vw_dv360_imc_dsy_lanch_nd_nc_nvs_nivus-launch-consideracao-orca__configuracao_cpm_drct_all_160x600_lancamento-nivus-orca-rmkt-uncomplform-ngw_na_lancamento-consideracao-nivus-orca_nvl-nvs-imc-dsy-0820-10139</v>
      </c>
      <c r="AJ139" s="40" t="str">
        <f t="shared" si="63"/>
        <v>alp_vw_dv360_imc_dsy_lanch_nd_nc_nvs_nivus-launch-consideracao-orca__configuracao_cpm_drct_all_160x600_lancamento-nivus-orca-rmkt-uncomplform-ngw_na_lancamento-consideracao-nivus-orca_nvl-nvs-imc-dsy-0820-10139</v>
      </c>
      <c r="AK139" s="21" t="str">
        <f t="shared" si="71"/>
        <v>vw_nivus_160x600_lancamento-consideracao-nivus-orca_adserver</v>
      </c>
      <c r="AL139" s="21" t="str">
        <f t="shared" si="81"/>
        <v>https://www.vw.com.br/pt/configurador.html/__app/%2Fnivus/0.app?adlid=nvl-nvs-imc-dsy-0820-10139&amp;adplt=alp_vw_dv360_imc_dsy_lanch_nd_nc_nvs_nivus-launch-consideracao-orca__configuracao_cpm_drct_all_160x600_lancamento-nivus-orca-rmkt-uncomplform-ngw_na_lancamento-consideracao-nivus-orca_nvl-nvs-imc-dsy-0820-10139</v>
      </c>
      <c r="AM139" s="21" t="str">
        <f t="shared" si="72"/>
        <v>TAG</v>
      </c>
      <c r="AN139" s="15" t="str">
        <f t="shared" si="82"/>
        <v>DV360</v>
      </c>
      <c r="AO139" s="15" t="str">
        <f t="shared" si="83"/>
        <v>Paid-Display</v>
      </c>
      <c r="AP139" s="21" t="str">
        <f>Campanha!$B$3</f>
        <v>BR_IMC_DSY_LANCH_ND_NC_2020Q3AUG_NVS_Nivus-Launch-Consideracao-Orca</v>
      </c>
      <c r="AQ139" s="21" t="str">
        <f t="shared" si="73"/>
        <v>alp_vw_dv360_imc_dsy_lanch_nd_nc_nvs_nivus-launch-consideracao-orca__configuracao_cpm_drct_all_160x600_lancamento-nivus-orca-rmkt-uncomplform-ngw_na_lancamento-consideracao-nivus-orca_nvl-nvs-imc-dsy-0820-10139</v>
      </c>
      <c r="AR139" s="15" t="s">
        <v>745</v>
      </c>
      <c r="AS139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uncomplform-ngw_na_lancamento-consideracao-nivus-orca_nvl-nvs-imc-dsy-0820-10139&amp;utm_campaign=BR_IMC_DSY_LANCH_ND_NC_2020Q3AUG_NVS_Nivus-Launch-Consideracao-Orca&amp;utm_term=%epid!_%ecid!_%eaid!</v>
      </c>
      <c r="AT139" s="15" t="str">
        <f t="shared" si="84"/>
        <v>other</v>
      </c>
      <c r="AU139" s="15" t="str">
        <f t="shared" si="75"/>
        <v>BR</v>
      </c>
      <c r="AV139" s="15" t="str">
        <f t="shared" si="85"/>
        <v>dv360</v>
      </c>
      <c r="AW139" s="15" t="str">
        <f t="shared" si="86"/>
        <v>dv360</v>
      </c>
      <c r="AX139" s="15" t="str">
        <f t="shared" si="76"/>
        <v>nivus-launch-consideracao-orca</v>
      </c>
      <c r="AY139" s="15" t="str">
        <f t="shared" si="87"/>
        <v>alp_vw_dv360_imc_dsy_lanch_nd_nc_nvs_nivus-launch-consideracao-orca__configuracao_cpm_drct_all_160x600_lancamento-nivus-orca-rmkt-uncomplform-ngw_na_lancamento-consideracao-nivus-orca_nvl-nvs-imc-dsy-0820-10139</v>
      </c>
      <c r="AZ139" s="15" t="str">
        <f t="shared" si="88"/>
        <v>160x600</v>
      </c>
      <c r="BA139" s="15" t="str">
        <f t="shared" si="89"/>
        <v>lancamento-consideracao-nivus-orca</v>
      </c>
      <c r="BB139" s="28" t="s">
        <v>798</v>
      </c>
      <c r="BC139" s="28" t="s">
        <v>798</v>
      </c>
      <c r="BD139" s="38" t="str">
        <f t="shared" si="90"/>
        <v>nvl-nvs-imc-dsy-0820-10139</v>
      </c>
      <c r="BE139" s="15" t="str">
        <f t="shared" si="91"/>
        <v>BR</v>
      </c>
      <c r="BF139" s="15" t="str">
        <f t="shared" si="92"/>
        <v>paid</v>
      </c>
      <c r="BG139" s="28"/>
      <c r="BH139" s="28"/>
      <c r="BI139" s="36" t="str">
        <f t="shared" si="77"/>
        <v>https://www.vw.com.br/pt/configurador.html/__app/%2Fnivus/0.app?adlid=nvl-nvs-imc-dsy-0820-10139&amp;adplt=alp_vw_dv360_imc_dsy_lanch_nd_nc_nvs_nivus-launch-consideracao-orca__configuracao_cpm_drct_all_160x600_lancamento-nivus-orca-rmkt-uncomplform-ngw_na_lancamento-consideracao-nivus-orca_nvl-nvs-imc-dsy-0820-10139</v>
      </c>
      <c r="BL139" t="str">
        <f t="shared" si="78"/>
        <v>alp_vw_dv360_imc_dsy_lanch_nd_nc_nvs_nivus-launch-consideracao-orca__configuracao</v>
      </c>
      <c r="BM139" t="str">
        <f t="shared" si="79"/>
        <v>cpm_drct_all_160x600_lancamento-nivus-orca-rmkt-uncomplform-ngw_na</v>
      </c>
      <c r="BN139" t="str">
        <f t="shared" si="80"/>
        <v>alp_vw_dv360_imc_dsy_lanch_nd_nc_nvs_nivus-launch-consideracao-orca__configuracao_cpm_drct_all_160x600_lancamento-nivus-orca-rmkt-uncomplform-ngw_na_generico_nvl-nvs-imc-dsy-0820-10139</v>
      </c>
    </row>
    <row r="140" spans="2:66" ht="15.75" customHeight="1" x14ac:dyDescent="0.25">
      <c r="B140" s="15" t="s">
        <v>1291</v>
      </c>
      <c r="C140" s="15" t="s">
        <v>1294</v>
      </c>
      <c r="D140" s="15"/>
      <c r="E140" s="22">
        <v>44069</v>
      </c>
      <c r="F140" s="22">
        <v>44135</v>
      </c>
      <c r="G140" s="15" t="s">
        <v>651</v>
      </c>
      <c r="H140" s="41" t="s">
        <v>1266</v>
      </c>
      <c r="I140" s="15" t="s">
        <v>801</v>
      </c>
      <c r="J140" s="42" t="s">
        <v>883</v>
      </c>
      <c r="K140" s="42" t="s">
        <v>883</v>
      </c>
      <c r="L140" s="15" t="s">
        <v>676</v>
      </c>
      <c r="M140" s="15" t="s">
        <v>276</v>
      </c>
      <c r="N140" s="15" t="s">
        <v>295</v>
      </c>
      <c r="O140" s="15" t="s">
        <v>677</v>
      </c>
      <c r="P140" s="15" t="str">
        <f>VLOOKUP(Y140,'All Codes'!$BF$3:$BG$278,2,FALSE)</f>
        <v>MPU</v>
      </c>
      <c r="Q140" s="15" t="s">
        <v>179</v>
      </c>
      <c r="R140" s="15" t="s">
        <v>277</v>
      </c>
      <c r="S140" s="15" t="s">
        <v>874</v>
      </c>
      <c r="T140" s="46" t="s">
        <v>884</v>
      </c>
      <c r="U140" s="15" t="s">
        <v>876</v>
      </c>
      <c r="V140" s="65" t="s">
        <v>1086</v>
      </c>
      <c r="W140" s="15" t="s">
        <v>866</v>
      </c>
      <c r="X140" s="15" t="s">
        <v>307</v>
      </c>
      <c r="Y140" s="46" t="s">
        <v>455</v>
      </c>
      <c r="Z140" s="15"/>
      <c r="AA140" s="15"/>
      <c r="AB140" s="15"/>
      <c r="AC140" s="15"/>
      <c r="AD140" s="15"/>
      <c r="AE140" s="15"/>
      <c r="AF140" s="15"/>
      <c r="AG140" s="15"/>
      <c r="AH140" s="15" t="str">
        <f t="shared" si="93"/>
        <v>281619874</v>
      </c>
      <c r="AI140" s="21" t="str">
        <f t="shared" si="63"/>
        <v>alp_vw_dv360_imc_dsy_lanch_nd_nc_nvs_nivus-launch-consideracao-orca__configuracao_cpm_drct_all_300x250_lancamento-nivus-orca-rmkt-uncomplform-ngw_na_lancamento-consideracao-nivus-orca_nvl-nvs-imc-dsy-0820-10140</v>
      </c>
      <c r="AJ140" s="40" t="str">
        <f t="shared" si="63"/>
        <v>alp_vw_dv360_imc_dsy_lanch_nd_nc_nvs_nivus-launch-consideracao-orca__configuracao_cpm_drct_all_300x250_lancamento-nivus-orca-rmkt-uncomplform-ngw_na_lancamento-consideracao-nivus-orca_nvl-nvs-imc-dsy-0820-10140</v>
      </c>
      <c r="AK140" s="21" t="str">
        <f t="shared" si="71"/>
        <v>vw_nivus_300x250_lancamento-consideracao-nivus-orca_adserver</v>
      </c>
      <c r="AL140" s="21" t="str">
        <f t="shared" si="81"/>
        <v>https://www.vw.com.br/pt/configurador.html/__app/%2Fnivus/0.app?adlid=nvl-nvs-imc-dsy-0820-10140&amp;adplt=alp_vw_dv360_imc_dsy_lanch_nd_nc_nvs_nivus-launch-consideracao-orca__configuracao_cpm_drct_all_300x250_lancamento-nivus-orca-rmkt-uncomplform-ngw_na_lancamento-consideracao-nivus-orca_nvl-nvs-imc-dsy-0820-10140</v>
      </c>
      <c r="AM140" s="21" t="str">
        <f t="shared" si="72"/>
        <v>TAG</v>
      </c>
      <c r="AN140" s="15" t="str">
        <f t="shared" si="82"/>
        <v>DV360</v>
      </c>
      <c r="AO140" s="15" t="str">
        <f t="shared" si="83"/>
        <v>Paid-Display</v>
      </c>
      <c r="AP140" s="21" t="str">
        <f>Campanha!$B$3</f>
        <v>BR_IMC_DSY_LANCH_ND_NC_2020Q3AUG_NVS_Nivus-Launch-Consideracao-Orca</v>
      </c>
      <c r="AQ140" s="21" t="str">
        <f t="shared" si="73"/>
        <v>alp_vw_dv360_imc_dsy_lanch_nd_nc_nvs_nivus-launch-consideracao-orca__configuracao_cpm_drct_all_300x250_lancamento-nivus-orca-rmkt-uncomplform-ngw_na_lancamento-consideracao-nivus-orca_nvl-nvs-imc-dsy-0820-10140</v>
      </c>
      <c r="AR140" s="15" t="s">
        <v>745</v>
      </c>
      <c r="AS140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uncomplform-ngw_na_lancamento-consideracao-nivus-orca_nvl-nvs-imc-dsy-0820-10140&amp;utm_campaign=BR_IMC_DSY_LANCH_ND_NC_2020Q3AUG_NVS_Nivus-Launch-Consideracao-Orca&amp;utm_term=%epid!_%ecid!_%eaid!</v>
      </c>
      <c r="AT140" s="15" t="str">
        <f t="shared" si="84"/>
        <v>other</v>
      </c>
      <c r="AU140" s="15" t="str">
        <f t="shared" si="75"/>
        <v>BR</v>
      </c>
      <c r="AV140" s="15" t="str">
        <f t="shared" si="85"/>
        <v>dv360</v>
      </c>
      <c r="AW140" s="15" t="str">
        <f t="shared" si="86"/>
        <v>dv360</v>
      </c>
      <c r="AX140" s="15" t="str">
        <f t="shared" si="76"/>
        <v>nivus-launch-consideracao-orca</v>
      </c>
      <c r="AY140" s="15" t="str">
        <f t="shared" si="87"/>
        <v>alp_vw_dv360_imc_dsy_lanch_nd_nc_nvs_nivus-launch-consideracao-orca__configuracao_cpm_drct_all_300x250_lancamento-nivus-orca-rmkt-uncomplform-ngw_na_lancamento-consideracao-nivus-orca_nvl-nvs-imc-dsy-0820-10140</v>
      </c>
      <c r="AZ140" s="15" t="str">
        <f t="shared" si="88"/>
        <v>300x250</v>
      </c>
      <c r="BA140" s="15" t="str">
        <f t="shared" si="89"/>
        <v>lancamento-consideracao-nivus-orca</v>
      </c>
      <c r="BB140" s="28" t="s">
        <v>798</v>
      </c>
      <c r="BC140" s="28" t="s">
        <v>798</v>
      </c>
      <c r="BD140" s="38" t="str">
        <f t="shared" si="90"/>
        <v>nvl-nvs-imc-dsy-0820-10140</v>
      </c>
      <c r="BE140" s="15" t="str">
        <f t="shared" si="91"/>
        <v>BR</v>
      </c>
      <c r="BF140" s="15" t="str">
        <f t="shared" si="92"/>
        <v>paid</v>
      </c>
      <c r="BG140" s="28"/>
      <c r="BH140" s="28"/>
      <c r="BI140" s="36" t="str">
        <f t="shared" si="77"/>
        <v>https://www.vw.com.br/pt/configurador.html/__app/%2Fnivus/0.app?adlid=nvl-nvs-imc-dsy-0820-10140&amp;adplt=alp_vw_dv360_imc_dsy_lanch_nd_nc_nvs_nivus-launch-consideracao-orca__configuracao_cpm_drct_all_300x250_lancamento-nivus-orca-rmkt-uncomplform-ngw_na_lancamento-consideracao-nivus-orca_nvl-nvs-imc-dsy-0820-10140</v>
      </c>
      <c r="BL140" t="str">
        <f t="shared" si="78"/>
        <v>alp_vw_dv360_imc_dsy_lanch_nd_nc_nvs_nivus-launch-consideracao-orca__configuracao</v>
      </c>
      <c r="BM140" t="str">
        <f t="shared" si="79"/>
        <v>cpm_drct_all_300x250_lancamento-nivus-orca-rmkt-uncomplform-ngw_na</v>
      </c>
      <c r="BN140" t="str">
        <f t="shared" si="80"/>
        <v>alp_vw_dv360_imc_dsy_lanch_nd_nc_nvs_nivus-launch-consideracao-orca__configuracao_cpm_drct_all_300x250_lancamento-nivus-orca-rmkt-uncomplform-ngw_na_generico_nvl-nvs-imc-dsy-0820-10140</v>
      </c>
    </row>
    <row r="141" spans="2:66" ht="15.75" customHeight="1" x14ac:dyDescent="0.25">
      <c r="B141" s="15" t="s">
        <v>1291</v>
      </c>
      <c r="C141" s="15" t="s">
        <v>1294</v>
      </c>
      <c r="D141" s="15"/>
      <c r="E141" s="22">
        <v>44069</v>
      </c>
      <c r="F141" s="22">
        <v>44135</v>
      </c>
      <c r="G141" s="15" t="s">
        <v>651</v>
      </c>
      <c r="H141" s="41" t="s">
        <v>1266</v>
      </c>
      <c r="I141" s="15" t="s">
        <v>801</v>
      </c>
      <c r="J141" s="42" t="s">
        <v>883</v>
      </c>
      <c r="K141" s="42" t="s">
        <v>883</v>
      </c>
      <c r="L141" s="15" t="s">
        <v>676</v>
      </c>
      <c r="M141" s="15" t="s">
        <v>276</v>
      </c>
      <c r="N141" s="15" t="s">
        <v>295</v>
      </c>
      <c r="O141" s="15" t="s">
        <v>677</v>
      </c>
      <c r="P141" s="15" t="str">
        <f>VLOOKUP(Y141,'All Codes'!$BF$3:$BG$278,2,FALSE)</f>
        <v>Skyscraper</v>
      </c>
      <c r="Q141" s="15" t="s">
        <v>179</v>
      </c>
      <c r="R141" s="15" t="s">
        <v>277</v>
      </c>
      <c r="S141" s="15" t="s">
        <v>874</v>
      </c>
      <c r="T141" s="46" t="s">
        <v>884</v>
      </c>
      <c r="U141" s="15" t="s">
        <v>876</v>
      </c>
      <c r="V141" s="65" t="s">
        <v>1086</v>
      </c>
      <c r="W141" s="15" t="s">
        <v>866</v>
      </c>
      <c r="X141" s="15" t="s">
        <v>307</v>
      </c>
      <c r="Y141" s="46" t="s">
        <v>464</v>
      </c>
      <c r="Z141" s="15"/>
      <c r="AA141" s="15"/>
      <c r="AB141" s="15"/>
      <c r="AC141" s="15"/>
      <c r="AD141" s="15"/>
      <c r="AE141" s="15"/>
      <c r="AF141" s="15"/>
      <c r="AG141" s="15"/>
      <c r="AH141" s="15" t="str">
        <f t="shared" si="93"/>
        <v>281619871</v>
      </c>
      <c r="AI141" s="21" t="str">
        <f t="shared" si="63"/>
        <v>alp_vw_dv360_imc_dsy_lanch_nd_nc_nvs_nivus-launch-consideracao-orca__configuracao_cpm_drct_all_300x600_lancamento-nivus-orca-rmkt-uncomplform-ngw_na_lancamento-consideracao-nivus-orca_nvl-nvs-imc-dsy-0820-10141</v>
      </c>
      <c r="AJ141" s="40" t="str">
        <f t="shared" si="63"/>
        <v>alp_vw_dv360_imc_dsy_lanch_nd_nc_nvs_nivus-launch-consideracao-orca__configuracao_cpm_drct_all_300x600_lancamento-nivus-orca-rmkt-uncomplform-ngw_na_lancamento-consideracao-nivus-orca_nvl-nvs-imc-dsy-0820-10141</v>
      </c>
      <c r="AK141" s="21" t="str">
        <f t="shared" si="71"/>
        <v>vw_nivus_300x600_lancamento-consideracao-nivus-orca_adserver</v>
      </c>
      <c r="AL141" s="21" t="str">
        <f t="shared" si="81"/>
        <v>https://www.vw.com.br/pt/configurador.html/__app/%2Fnivus/0.app?adlid=nvl-nvs-imc-dsy-0820-10141&amp;adplt=alp_vw_dv360_imc_dsy_lanch_nd_nc_nvs_nivus-launch-consideracao-orca__configuracao_cpm_drct_all_300x600_lancamento-nivus-orca-rmkt-uncomplform-ngw_na_lancamento-consideracao-nivus-orca_nvl-nvs-imc-dsy-0820-10141</v>
      </c>
      <c r="AM141" s="21" t="str">
        <f t="shared" si="72"/>
        <v>TAG</v>
      </c>
      <c r="AN141" s="15" t="str">
        <f t="shared" si="82"/>
        <v>DV360</v>
      </c>
      <c r="AO141" s="15" t="str">
        <f t="shared" si="83"/>
        <v>Paid-Display</v>
      </c>
      <c r="AP141" s="21" t="str">
        <f>Campanha!$B$3</f>
        <v>BR_IMC_DSY_LANCH_ND_NC_2020Q3AUG_NVS_Nivus-Launch-Consideracao-Orca</v>
      </c>
      <c r="AQ141" s="21" t="str">
        <f t="shared" si="73"/>
        <v>alp_vw_dv360_imc_dsy_lanch_nd_nc_nvs_nivus-launch-consideracao-orca__configuracao_cpm_drct_all_300x600_lancamento-nivus-orca-rmkt-uncomplform-ngw_na_lancamento-consideracao-nivus-orca_nvl-nvs-imc-dsy-0820-10141</v>
      </c>
      <c r="AR141" s="15" t="s">
        <v>745</v>
      </c>
      <c r="AS141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uncomplform-ngw_na_lancamento-consideracao-nivus-orca_nvl-nvs-imc-dsy-0820-10141&amp;utm_campaign=BR_IMC_DSY_LANCH_ND_NC_2020Q3AUG_NVS_Nivus-Launch-Consideracao-Orca&amp;utm_term=%epid!_%ecid!_%eaid!</v>
      </c>
      <c r="AT141" s="15" t="str">
        <f t="shared" si="84"/>
        <v>other</v>
      </c>
      <c r="AU141" s="15" t="str">
        <f t="shared" si="75"/>
        <v>BR</v>
      </c>
      <c r="AV141" s="15" t="str">
        <f t="shared" si="85"/>
        <v>dv360</v>
      </c>
      <c r="AW141" s="15" t="str">
        <f t="shared" si="86"/>
        <v>dv360</v>
      </c>
      <c r="AX141" s="15" t="str">
        <f t="shared" si="76"/>
        <v>nivus-launch-consideracao-orca</v>
      </c>
      <c r="AY141" s="15" t="str">
        <f t="shared" si="87"/>
        <v>alp_vw_dv360_imc_dsy_lanch_nd_nc_nvs_nivus-launch-consideracao-orca__configuracao_cpm_drct_all_300x600_lancamento-nivus-orca-rmkt-uncomplform-ngw_na_lancamento-consideracao-nivus-orca_nvl-nvs-imc-dsy-0820-10141</v>
      </c>
      <c r="AZ141" s="15" t="str">
        <f t="shared" si="88"/>
        <v>300x600</v>
      </c>
      <c r="BA141" s="15" t="str">
        <f t="shared" si="89"/>
        <v>lancamento-consideracao-nivus-orca</v>
      </c>
      <c r="BB141" s="28" t="s">
        <v>798</v>
      </c>
      <c r="BC141" s="28" t="s">
        <v>798</v>
      </c>
      <c r="BD141" s="38" t="str">
        <f t="shared" si="90"/>
        <v>nvl-nvs-imc-dsy-0820-10141</v>
      </c>
      <c r="BE141" s="15" t="str">
        <f t="shared" si="91"/>
        <v>BR</v>
      </c>
      <c r="BF141" s="15" t="str">
        <f t="shared" si="92"/>
        <v>paid</v>
      </c>
      <c r="BG141" s="28"/>
      <c r="BH141" s="28"/>
      <c r="BI141" s="36" t="str">
        <f t="shared" si="77"/>
        <v>https://www.vw.com.br/pt/configurador.html/__app/%2Fnivus/0.app?adlid=nvl-nvs-imc-dsy-0820-10141&amp;adplt=alp_vw_dv360_imc_dsy_lanch_nd_nc_nvs_nivus-launch-consideracao-orca__configuracao_cpm_drct_all_300x600_lancamento-nivus-orca-rmkt-uncomplform-ngw_na_lancamento-consideracao-nivus-orca_nvl-nvs-imc-dsy-0820-10141</v>
      </c>
      <c r="BL141" t="str">
        <f t="shared" si="78"/>
        <v>alp_vw_dv360_imc_dsy_lanch_nd_nc_nvs_nivus-launch-consideracao-orca__configuracao</v>
      </c>
      <c r="BM141" t="str">
        <f t="shared" si="79"/>
        <v>cpm_drct_all_300x600_lancamento-nivus-orca-rmkt-uncomplform-ngw_na</v>
      </c>
      <c r="BN141" t="str">
        <f t="shared" si="80"/>
        <v>alp_vw_dv360_imc_dsy_lanch_nd_nc_nvs_nivus-launch-consideracao-orca__configuracao_cpm_drct_all_300x600_lancamento-nivus-orca-rmkt-uncomplform-ngw_na_generico_nvl-nvs-imc-dsy-0820-10141</v>
      </c>
    </row>
    <row r="142" spans="2:66" ht="15.75" customHeight="1" x14ac:dyDescent="0.25">
      <c r="B142" s="15" t="s">
        <v>1291</v>
      </c>
      <c r="C142" s="15" t="s">
        <v>1294</v>
      </c>
      <c r="D142" s="15"/>
      <c r="E142" s="22">
        <v>44069</v>
      </c>
      <c r="F142" s="22">
        <v>44135</v>
      </c>
      <c r="G142" s="15" t="s">
        <v>651</v>
      </c>
      <c r="H142" s="41" t="s">
        <v>1266</v>
      </c>
      <c r="I142" s="15" t="s">
        <v>801</v>
      </c>
      <c r="J142" s="42" t="s">
        <v>883</v>
      </c>
      <c r="K142" s="42" t="s">
        <v>883</v>
      </c>
      <c r="L142" s="15" t="s">
        <v>676</v>
      </c>
      <c r="M142" s="15" t="s">
        <v>276</v>
      </c>
      <c r="N142" s="15" t="s">
        <v>295</v>
      </c>
      <c r="O142" s="15" t="s">
        <v>677</v>
      </c>
      <c r="P142" s="15" t="str">
        <f>VLOOKUP(Y142,'All Codes'!$BF$3:$BG$278,2,FALSE)</f>
        <v>MPU</v>
      </c>
      <c r="Q142" s="15" t="s">
        <v>179</v>
      </c>
      <c r="R142" s="15" t="s">
        <v>277</v>
      </c>
      <c r="S142" s="15" t="s">
        <v>874</v>
      </c>
      <c r="T142" s="46" t="s">
        <v>884</v>
      </c>
      <c r="U142" s="15" t="s">
        <v>876</v>
      </c>
      <c r="V142" s="65" t="s">
        <v>1086</v>
      </c>
      <c r="W142" s="15" t="s">
        <v>866</v>
      </c>
      <c r="X142" s="15" t="s">
        <v>307</v>
      </c>
      <c r="Y142" s="46" t="s">
        <v>479</v>
      </c>
      <c r="Z142" s="15"/>
      <c r="AA142" s="15"/>
      <c r="AB142" s="15"/>
      <c r="AC142" s="15"/>
      <c r="AD142" s="15"/>
      <c r="AE142" s="15"/>
      <c r="AF142" s="15"/>
      <c r="AG142" s="15"/>
      <c r="AH142" s="15" t="str">
        <f t="shared" si="93"/>
        <v>281619868</v>
      </c>
      <c r="AI142" s="21" t="str">
        <f t="shared" si="63"/>
        <v>alp_vw_dv360_imc_dsy_lanch_nd_nc_nvs_nivus-launch-consideracao-orca__configuracao_cpm_drct_all_320x50_lancamento-nivus-orca-rmkt-uncomplform-ngw_na_lancamento-consideracao-nivus-orca_nvl-nvs-imc-dsy-0820-10142</v>
      </c>
      <c r="AJ142" s="40" t="str">
        <f t="shared" si="63"/>
        <v>alp_vw_dv360_imc_dsy_lanch_nd_nc_nvs_nivus-launch-consideracao-orca__configuracao_cpm_drct_all_320x50_lancamento-nivus-orca-rmkt-uncomplform-ngw_na_lancamento-consideracao-nivus-orca_nvl-nvs-imc-dsy-0820-10142</v>
      </c>
      <c r="AK142" s="21" t="str">
        <f t="shared" si="71"/>
        <v>vw_nivus_320x50_lancamento-consideracao-nivus-orca_adserver</v>
      </c>
      <c r="AL142" s="21" t="str">
        <f t="shared" si="81"/>
        <v>https://www.vw.com.br/pt/configurador.html/__app/%2Fnivus/0.app?adlid=nvl-nvs-imc-dsy-0820-10142&amp;adplt=alp_vw_dv360_imc_dsy_lanch_nd_nc_nvs_nivus-launch-consideracao-orca__configuracao_cpm_drct_all_320x50_lancamento-nivus-orca-rmkt-uncomplform-ngw_na_lancamento-consideracao-nivus-orca_nvl-nvs-imc-dsy-0820-10142</v>
      </c>
      <c r="AM142" s="21" t="str">
        <f t="shared" si="72"/>
        <v>TAG</v>
      </c>
      <c r="AN142" s="15" t="str">
        <f t="shared" si="82"/>
        <v>DV360</v>
      </c>
      <c r="AO142" s="15" t="str">
        <f t="shared" si="83"/>
        <v>Paid-Display</v>
      </c>
      <c r="AP142" s="21" t="str">
        <f>Campanha!$B$3</f>
        <v>BR_IMC_DSY_LANCH_ND_NC_2020Q3AUG_NVS_Nivus-Launch-Consideracao-Orca</v>
      </c>
      <c r="AQ142" s="21" t="str">
        <f t="shared" si="73"/>
        <v>alp_vw_dv360_imc_dsy_lanch_nd_nc_nvs_nivus-launch-consideracao-orca__configuracao_cpm_drct_all_320x50_lancamento-nivus-orca-rmkt-uncomplform-ngw_na_lancamento-consideracao-nivus-orca_nvl-nvs-imc-dsy-0820-10142</v>
      </c>
      <c r="AR142" s="15" t="s">
        <v>745</v>
      </c>
      <c r="AS142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uncomplform-ngw_na_lancamento-consideracao-nivus-orca_nvl-nvs-imc-dsy-0820-10142&amp;utm_campaign=BR_IMC_DSY_LANCH_ND_NC_2020Q3AUG_NVS_Nivus-Launch-Consideracao-Orca&amp;utm_term=%epid!_%ecid!_%eaid!</v>
      </c>
      <c r="AT142" s="15" t="str">
        <f t="shared" si="84"/>
        <v>other</v>
      </c>
      <c r="AU142" s="15" t="str">
        <f t="shared" si="75"/>
        <v>BR</v>
      </c>
      <c r="AV142" s="15" t="str">
        <f t="shared" si="85"/>
        <v>dv360</v>
      </c>
      <c r="AW142" s="15" t="str">
        <f t="shared" si="86"/>
        <v>dv360</v>
      </c>
      <c r="AX142" s="15" t="str">
        <f t="shared" si="76"/>
        <v>nivus-launch-consideracao-orca</v>
      </c>
      <c r="AY142" s="15" t="str">
        <f t="shared" si="87"/>
        <v>alp_vw_dv360_imc_dsy_lanch_nd_nc_nvs_nivus-launch-consideracao-orca__configuracao_cpm_drct_all_320x50_lancamento-nivus-orca-rmkt-uncomplform-ngw_na_lancamento-consideracao-nivus-orca_nvl-nvs-imc-dsy-0820-10142</v>
      </c>
      <c r="AZ142" s="15" t="str">
        <f t="shared" si="88"/>
        <v>320x50</v>
      </c>
      <c r="BA142" s="15" t="str">
        <f t="shared" si="89"/>
        <v>lancamento-consideracao-nivus-orca</v>
      </c>
      <c r="BB142" s="28" t="s">
        <v>798</v>
      </c>
      <c r="BC142" s="28" t="s">
        <v>798</v>
      </c>
      <c r="BD142" s="38" t="str">
        <f t="shared" si="90"/>
        <v>nvl-nvs-imc-dsy-0820-10142</v>
      </c>
      <c r="BE142" s="15" t="str">
        <f t="shared" si="91"/>
        <v>BR</v>
      </c>
      <c r="BF142" s="15" t="str">
        <f t="shared" si="92"/>
        <v>paid</v>
      </c>
      <c r="BG142" s="28"/>
      <c r="BH142" s="28"/>
      <c r="BI142" s="36" t="str">
        <f t="shared" si="77"/>
        <v>https://www.vw.com.br/pt/configurador.html/__app/%2Fnivus/0.app?adlid=nvl-nvs-imc-dsy-0820-10142&amp;adplt=alp_vw_dv360_imc_dsy_lanch_nd_nc_nvs_nivus-launch-consideracao-orca__configuracao_cpm_drct_all_320x50_lancamento-nivus-orca-rmkt-uncomplform-ngw_na_lancamento-consideracao-nivus-orca_nvl-nvs-imc-dsy-0820-10142</v>
      </c>
      <c r="BL142" t="str">
        <f t="shared" si="78"/>
        <v>alp_vw_dv360_imc_dsy_lanch_nd_nc_nvs_nivus-launch-consideracao-orca__configuracao</v>
      </c>
      <c r="BM142" t="str">
        <f t="shared" si="79"/>
        <v>cpm_drct_all_320x50_lancamento-nivus-orca-rmkt-uncomplform-ngw_na</v>
      </c>
      <c r="BN142" t="str">
        <f t="shared" si="80"/>
        <v>alp_vw_dv360_imc_dsy_lanch_nd_nc_nvs_nivus-launch-consideracao-orca__configuracao_cpm_drct_all_320x50_lancamento-nivus-orca-rmkt-uncomplform-ngw_na_generico_nvl-nvs-imc-dsy-0820-10142</v>
      </c>
    </row>
    <row r="143" spans="2:66" ht="15.75" customHeight="1" x14ac:dyDescent="0.25">
      <c r="B143" s="15" t="s">
        <v>1291</v>
      </c>
      <c r="C143" s="15" t="s">
        <v>1294</v>
      </c>
      <c r="D143" s="15"/>
      <c r="E143" s="22">
        <v>44069</v>
      </c>
      <c r="F143" s="22">
        <v>44135</v>
      </c>
      <c r="G143" s="15" t="s">
        <v>651</v>
      </c>
      <c r="H143" s="41" t="s">
        <v>1266</v>
      </c>
      <c r="I143" s="15" t="s">
        <v>801</v>
      </c>
      <c r="J143" s="42" t="s">
        <v>883</v>
      </c>
      <c r="K143" s="42" t="s">
        <v>883</v>
      </c>
      <c r="L143" s="15" t="s">
        <v>676</v>
      </c>
      <c r="M143" s="15" t="s">
        <v>276</v>
      </c>
      <c r="N143" s="15" t="s">
        <v>295</v>
      </c>
      <c r="O143" s="15" t="s">
        <v>677</v>
      </c>
      <c r="P143" s="15" t="str">
        <f>VLOOKUP(Y143,'All Codes'!$BF$3:$BG$278,2,FALSE)</f>
        <v>Leaderboard</v>
      </c>
      <c r="Q143" s="15" t="s">
        <v>179</v>
      </c>
      <c r="R143" s="15" t="s">
        <v>277</v>
      </c>
      <c r="S143" s="15" t="s">
        <v>874</v>
      </c>
      <c r="T143" s="46" t="s">
        <v>884</v>
      </c>
      <c r="U143" s="15" t="s">
        <v>876</v>
      </c>
      <c r="V143" s="65" t="s">
        <v>1086</v>
      </c>
      <c r="W143" s="15" t="s">
        <v>866</v>
      </c>
      <c r="X143" s="15" t="s">
        <v>307</v>
      </c>
      <c r="Y143" s="46" t="s">
        <v>591</v>
      </c>
      <c r="Z143" s="15"/>
      <c r="AA143" s="15"/>
      <c r="AB143" s="15"/>
      <c r="AC143" s="15"/>
      <c r="AD143" s="15"/>
      <c r="AE143" s="15"/>
      <c r="AF143" s="15"/>
      <c r="AG143" s="15"/>
      <c r="AH143" s="15" t="str">
        <f t="shared" si="93"/>
        <v>281619865</v>
      </c>
      <c r="AI143" s="21" t="str">
        <f t="shared" si="63"/>
        <v>alp_vw_dv360_imc_dsy_lanch_nd_nc_nvs_nivus-launch-consideracao-orca__configuracao_cpm_drct_all_728x90_lancamento-nivus-orca-rmkt-uncomplform-ngw_na_lancamento-consideracao-nivus-orca_nvl-nvs-imc-dsy-0820-10143</v>
      </c>
      <c r="AJ143" s="40" t="str">
        <f t="shared" si="63"/>
        <v>alp_vw_dv360_imc_dsy_lanch_nd_nc_nvs_nivus-launch-consideracao-orca__configuracao_cpm_drct_all_728x90_lancamento-nivus-orca-rmkt-uncomplform-ngw_na_lancamento-consideracao-nivus-orca_nvl-nvs-imc-dsy-0820-10143</v>
      </c>
      <c r="AK143" s="21" t="str">
        <f t="shared" si="71"/>
        <v>vw_nivus_728x90_lancamento-consideracao-nivus-orca_adserver</v>
      </c>
      <c r="AL143" s="21" t="str">
        <f t="shared" si="81"/>
        <v>https://www.vw.com.br/pt/configurador.html/__app/%2Fnivus/0.app?adlid=nvl-nvs-imc-dsy-0820-10143&amp;adplt=alp_vw_dv360_imc_dsy_lanch_nd_nc_nvs_nivus-launch-consideracao-orca__configuracao_cpm_drct_all_728x90_lancamento-nivus-orca-rmkt-uncomplform-ngw_na_lancamento-consideracao-nivus-orca_nvl-nvs-imc-dsy-0820-10143</v>
      </c>
      <c r="AM143" s="21" t="str">
        <f t="shared" si="72"/>
        <v>TAG</v>
      </c>
      <c r="AN143" s="15" t="str">
        <f t="shared" si="82"/>
        <v>DV360</v>
      </c>
      <c r="AO143" s="15" t="str">
        <f t="shared" si="83"/>
        <v>Paid-Display</v>
      </c>
      <c r="AP143" s="21" t="str">
        <f>Campanha!$B$3</f>
        <v>BR_IMC_DSY_LANCH_ND_NC_2020Q3AUG_NVS_Nivus-Launch-Consideracao-Orca</v>
      </c>
      <c r="AQ143" s="21" t="str">
        <f t="shared" si="73"/>
        <v>alp_vw_dv360_imc_dsy_lanch_nd_nc_nvs_nivus-launch-consideracao-orca__configuracao_cpm_drct_all_728x90_lancamento-nivus-orca-rmkt-uncomplform-ngw_na_lancamento-consideracao-nivus-orca_nvl-nvs-imc-dsy-0820-10143</v>
      </c>
      <c r="AR143" s="15" t="s">
        <v>745</v>
      </c>
      <c r="AS143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uncomplform-ngw_na_lancamento-consideracao-nivus-orca_nvl-nvs-imc-dsy-0820-10143&amp;utm_campaign=BR_IMC_DSY_LANCH_ND_NC_2020Q3AUG_NVS_Nivus-Launch-Consideracao-Orca&amp;utm_term=%epid!_%ecid!_%eaid!</v>
      </c>
      <c r="AT143" s="15" t="str">
        <f t="shared" si="84"/>
        <v>other</v>
      </c>
      <c r="AU143" s="15" t="str">
        <f t="shared" si="75"/>
        <v>BR</v>
      </c>
      <c r="AV143" s="15" t="str">
        <f t="shared" si="85"/>
        <v>dv360</v>
      </c>
      <c r="AW143" s="15" t="str">
        <f t="shared" si="86"/>
        <v>dv360</v>
      </c>
      <c r="AX143" s="15" t="str">
        <f t="shared" si="76"/>
        <v>nivus-launch-consideracao-orca</v>
      </c>
      <c r="AY143" s="15" t="str">
        <f t="shared" si="87"/>
        <v>alp_vw_dv360_imc_dsy_lanch_nd_nc_nvs_nivus-launch-consideracao-orca__configuracao_cpm_drct_all_728x90_lancamento-nivus-orca-rmkt-uncomplform-ngw_na_lancamento-consideracao-nivus-orca_nvl-nvs-imc-dsy-0820-10143</v>
      </c>
      <c r="AZ143" s="15" t="str">
        <f t="shared" si="88"/>
        <v>728x90</v>
      </c>
      <c r="BA143" s="15" t="str">
        <f t="shared" si="89"/>
        <v>lancamento-consideracao-nivus-orca</v>
      </c>
      <c r="BB143" s="28" t="s">
        <v>798</v>
      </c>
      <c r="BC143" s="28" t="s">
        <v>798</v>
      </c>
      <c r="BD143" s="38" t="str">
        <f t="shared" si="90"/>
        <v>nvl-nvs-imc-dsy-0820-10143</v>
      </c>
      <c r="BE143" s="15" t="str">
        <f t="shared" si="91"/>
        <v>BR</v>
      </c>
      <c r="BF143" s="15" t="str">
        <f t="shared" si="92"/>
        <v>paid</v>
      </c>
      <c r="BG143" s="28"/>
      <c r="BH143" s="28"/>
      <c r="BI143" s="36" t="str">
        <f t="shared" si="77"/>
        <v>https://www.vw.com.br/pt/configurador.html/__app/%2Fnivus/0.app?adlid=nvl-nvs-imc-dsy-0820-10143&amp;adplt=alp_vw_dv360_imc_dsy_lanch_nd_nc_nvs_nivus-launch-consideracao-orca__configuracao_cpm_drct_all_728x90_lancamento-nivus-orca-rmkt-uncomplform-ngw_na_lancamento-consideracao-nivus-orca_nvl-nvs-imc-dsy-0820-10143</v>
      </c>
      <c r="BL143" t="str">
        <f t="shared" si="78"/>
        <v>alp_vw_dv360_imc_dsy_lanch_nd_nc_nvs_nivus-launch-consideracao-orca__configuracao</v>
      </c>
      <c r="BM143" t="str">
        <f t="shared" si="79"/>
        <v>cpm_drct_all_728x90_lancamento-nivus-orca-rmkt-uncomplform-ngw_na</v>
      </c>
      <c r="BN143" t="str">
        <f t="shared" si="80"/>
        <v>alp_vw_dv360_imc_dsy_lanch_nd_nc_nvs_nivus-launch-consideracao-orca__configuracao_cpm_drct_all_728x90_lancamento-nivus-orca-rmkt-uncomplform-ngw_na_generico_nvl-nvs-imc-dsy-0820-10143</v>
      </c>
    </row>
    <row r="144" spans="2:66" ht="15.75" customHeight="1" x14ac:dyDescent="0.25">
      <c r="B144" s="15" t="s">
        <v>1291</v>
      </c>
      <c r="C144" s="15" t="s">
        <v>1294</v>
      </c>
      <c r="D144" s="15"/>
      <c r="E144" s="22">
        <v>44069</v>
      </c>
      <c r="F144" s="22">
        <v>44135</v>
      </c>
      <c r="G144" s="15" t="s">
        <v>651</v>
      </c>
      <c r="H144" s="41" t="s">
        <v>1266</v>
      </c>
      <c r="I144" s="15" t="s">
        <v>801</v>
      </c>
      <c r="J144" s="42" t="s">
        <v>883</v>
      </c>
      <c r="K144" s="42" t="s">
        <v>883</v>
      </c>
      <c r="L144" s="15" t="s">
        <v>676</v>
      </c>
      <c r="M144" s="15" t="s">
        <v>276</v>
      </c>
      <c r="N144" s="15" t="s">
        <v>295</v>
      </c>
      <c r="O144" s="15" t="s">
        <v>677</v>
      </c>
      <c r="P144" s="15" t="str">
        <f>VLOOKUP(Y144,'All Codes'!$BF$3:$BG$278,2,FALSE)</f>
        <v>Leaderboard</v>
      </c>
      <c r="Q144" s="15" t="s">
        <v>179</v>
      </c>
      <c r="R144" s="15" t="s">
        <v>277</v>
      </c>
      <c r="S144" s="15" t="s">
        <v>874</v>
      </c>
      <c r="T144" s="46" t="s">
        <v>884</v>
      </c>
      <c r="U144" s="15" t="s">
        <v>876</v>
      </c>
      <c r="V144" s="65" t="s">
        <v>1086</v>
      </c>
      <c r="W144" s="15" t="s">
        <v>866</v>
      </c>
      <c r="X144" s="15" t="s">
        <v>307</v>
      </c>
      <c r="Y144" s="46" t="s">
        <v>629</v>
      </c>
      <c r="Z144" s="15"/>
      <c r="AA144" s="15"/>
      <c r="AB144" s="15"/>
      <c r="AC144" s="15"/>
      <c r="AD144" s="15"/>
      <c r="AE144" s="15"/>
      <c r="AF144" s="15"/>
      <c r="AG144" s="15"/>
      <c r="AH144" s="15" t="str">
        <f t="shared" si="93"/>
        <v>281619862</v>
      </c>
      <c r="AI144" s="21" t="str">
        <f t="shared" si="63"/>
        <v>alp_vw_dv360_imc_dsy_lanch_nd_nc_nvs_nivus-launch-consideracao-orca__configuracao_cpm_drct_all_970x250_lancamento-nivus-orca-rmkt-uncomplform-ngw_na_lancamento-consideracao-nivus-orca_nvl-nvs-imc-dsy-0820-10144</v>
      </c>
      <c r="AJ144" s="40" t="str">
        <f t="shared" si="63"/>
        <v>alp_vw_dv360_imc_dsy_lanch_nd_nc_nvs_nivus-launch-consideracao-orca__configuracao_cpm_drct_all_970x250_lancamento-nivus-orca-rmkt-uncomplform-ngw_na_lancamento-consideracao-nivus-orca_nvl-nvs-imc-dsy-0820-10144</v>
      </c>
      <c r="AK144" s="21" t="str">
        <f t="shared" si="71"/>
        <v>vw_nivus_970x250_lancamento-consideracao-nivus-orca_adserver</v>
      </c>
      <c r="AL144" s="21" t="str">
        <f t="shared" si="81"/>
        <v>https://www.vw.com.br/pt/configurador.html/__app/%2Fnivus/0.app?adlid=nvl-nvs-imc-dsy-0820-10144&amp;adplt=alp_vw_dv360_imc_dsy_lanch_nd_nc_nvs_nivus-launch-consideracao-orca__configuracao_cpm_drct_all_970x250_lancamento-nivus-orca-rmkt-uncomplform-ngw_na_lancamento-consideracao-nivus-orca_nvl-nvs-imc-dsy-0820-10144</v>
      </c>
      <c r="AM144" s="21" t="str">
        <f t="shared" si="72"/>
        <v>TAG</v>
      </c>
      <c r="AN144" s="15" t="str">
        <f t="shared" si="82"/>
        <v>DV360</v>
      </c>
      <c r="AO144" s="15" t="str">
        <f t="shared" si="83"/>
        <v>Paid-Display</v>
      </c>
      <c r="AP144" s="21" t="str">
        <f>Campanha!$B$3</f>
        <v>BR_IMC_DSY_LANCH_ND_NC_2020Q3AUG_NVS_Nivus-Launch-Consideracao-Orca</v>
      </c>
      <c r="AQ144" s="21" t="str">
        <f t="shared" si="73"/>
        <v>alp_vw_dv360_imc_dsy_lanch_nd_nc_nvs_nivus-launch-consideracao-orca__configuracao_cpm_drct_all_970x250_lancamento-nivus-orca-rmkt-uncomplform-ngw_na_lancamento-consideracao-nivus-orca_nvl-nvs-imc-dsy-0820-10144</v>
      </c>
      <c r="AR144" s="15" t="s">
        <v>745</v>
      </c>
      <c r="AS144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uncomplform-ngw_na_lancamento-consideracao-nivus-orca_nvl-nvs-imc-dsy-0820-10144&amp;utm_campaign=BR_IMC_DSY_LANCH_ND_NC_2020Q3AUG_NVS_Nivus-Launch-Consideracao-Orca&amp;utm_term=%epid!_%ecid!_%eaid!</v>
      </c>
      <c r="AT144" s="15" t="str">
        <f t="shared" si="84"/>
        <v>other</v>
      </c>
      <c r="AU144" s="15" t="str">
        <f t="shared" si="75"/>
        <v>BR</v>
      </c>
      <c r="AV144" s="15" t="str">
        <f t="shared" si="85"/>
        <v>dv360</v>
      </c>
      <c r="AW144" s="15" t="str">
        <f t="shared" si="86"/>
        <v>dv360</v>
      </c>
      <c r="AX144" s="15" t="str">
        <f t="shared" si="76"/>
        <v>nivus-launch-consideracao-orca</v>
      </c>
      <c r="AY144" s="15" t="str">
        <f t="shared" si="87"/>
        <v>alp_vw_dv360_imc_dsy_lanch_nd_nc_nvs_nivus-launch-consideracao-orca__configuracao_cpm_drct_all_970x250_lancamento-nivus-orca-rmkt-uncomplform-ngw_na_lancamento-consideracao-nivus-orca_nvl-nvs-imc-dsy-0820-10144</v>
      </c>
      <c r="AZ144" s="15" t="str">
        <f t="shared" si="88"/>
        <v>970x250</v>
      </c>
      <c r="BA144" s="15" t="str">
        <f t="shared" si="89"/>
        <v>lancamento-consideracao-nivus-orca</v>
      </c>
      <c r="BB144" s="28" t="s">
        <v>798</v>
      </c>
      <c r="BC144" s="28" t="s">
        <v>798</v>
      </c>
      <c r="BD144" s="38" t="str">
        <f t="shared" si="90"/>
        <v>nvl-nvs-imc-dsy-0820-10144</v>
      </c>
      <c r="BE144" s="15" t="str">
        <f t="shared" si="91"/>
        <v>BR</v>
      </c>
      <c r="BF144" s="15" t="str">
        <f t="shared" si="92"/>
        <v>paid</v>
      </c>
      <c r="BG144" s="28"/>
      <c r="BH144" s="28"/>
      <c r="BI144" s="36" t="str">
        <f t="shared" si="77"/>
        <v>https://www.vw.com.br/pt/configurador.html/__app/%2Fnivus/0.app?adlid=nvl-nvs-imc-dsy-0820-10144&amp;adplt=alp_vw_dv360_imc_dsy_lanch_nd_nc_nvs_nivus-launch-consideracao-orca__configuracao_cpm_drct_all_970x250_lancamento-nivus-orca-rmkt-uncomplform-ngw_na_lancamento-consideracao-nivus-orca_nvl-nvs-imc-dsy-0820-10144</v>
      </c>
      <c r="BL144" t="str">
        <f t="shared" si="78"/>
        <v>alp_vw_dv360_imc_dsy_lanch_nd_nc_nvs_nivus-launch-consideracao-orca__configuracao</v>
      </c>
      <c r="BM144" t="str">
        <f t="shared" si="79"/>
        <v>cpm_drct_all_970x250_lancamento-nivus-orca-rmkt-uncomplform-ngw_na</v>
      </c>
      <c r="BN144" t="str">
        <f t="shared" si="80"/>
        <v>alp_vw_dv360_imc_dsy_lanch_nd_nc_nvs_nivus-launch-consideracao-orca__configuracao_cpm_drct_all_970x250_lancamento-nivus-orca-rmkt-uncomplform-ngw_na_generico_nvl-nvs-imc-dsy-0820-10144</v>
      </c>
    </row>
    <row r="145" spans="2:66" ht="15.75" customHeight="1" x14ac:dyDescent="0.25">
      <c r="B145" s="15" t="s">
        <v>1291</v>
      </c>
      <c r="C145" s="15" t="s">
        <v>1294</v>
      </c>
      <c r="D145" s="15"/>
      <c r="E145" s="22">
        <v>44069</v>
      </c>
      <c r="F145" s="22">
        <v>44135</v>
      </c>
      <c r="G145" s="15" t="s">
        <v>651</v>
      </c>
      <c r="H145" s="41" t="s">
        <v>1266</v>
      </c>
      <c r="I145" s="15" t="s">
        <v>801</v>
      </c>
      <c r="J145" s="42" t="s">
        <v>883</v>
      </c>
      <c r="K145" s="42" t="s">
        <v>883</v>
      </c>
      <c r="L145" s="15" t="s">
        <v>676</v>
      </c>
      <c r="M145" s="15" t="s">
        <v>276</v>
      </c>
      <c r="N145" s="15" t="s">
        <v>295</v>
      </c>
      <c r="O145" s="15" t="s">
        <v>677</v>
      </c>
      <c r="P145" s="15" t="str">
        <f>VLOOKUP(Y145,'All Codes'!$BF$3:$BG$278,2,FALSE)</f>
        <v>MPU</v>
      </c>
      <c r="Q145" s="15" t="s">
        <v>179</v>
      </c>
      <c r="R145" s="15" t="s">
        <v>277</v>
      </c>
      <c r="S145" s="15" t="s">
        <v>874</v>
      </c>
      <c r="T145" s="46" t="s">
        <v>884</v>
      </c>
      <c r="U145" s="15" t="s">
        <v>876</v>
      </c>
      <c r="V145" s="66" t="s">
        <v>1088</v>
      </c>
      <c r="W145" s="15" t="s">
        <v>866</v>
      </c>
      <c r="X145" s="15" t="s">
        <v>307</v>
      </c>
      <c r="Y145" s="46" t="s">
        <v>461</v>
      </c>
      <c r="Z145" s="15"/>
      <c r="AA145" s="15"/>
      <c r="AB145" s="15"/>
      <c r="AC145" s="15"/>
      <c r="AD145" s="15"/>
      <c r="AE145" s="15"/>
      <c r="AF145" s="15"/>
      <c r="AG145" s="15"/>
      <c r="AH145" s="15" t="str">
        <f t="shared" ref="AH145:AH158" si="94">VLOOKUP(AI145,id_placement,2,FALSE)</f>
        <v>281619859</v>
      </c>
      <c r="AI145" s="21" t="str">
        <f t="shared" si="63"/>
        <v>alp_vw_dv360_imc_dsy_lanch_nd_nc_nvs_nivus-launch-consideracao-orca__configuracao_cpm_drct_all_300x50_lancamento-nivus-orca-rmkt-gallery_na_lancamento-consideracao-nivus-orca_nvl-nvs-imc-dsy-0820-10145</v>
      </c>
      <c r="AJ145" s="40" t="str">
        <f t="shared" si="63"/>
        <v>alp_vw_dv360_imc_dsy_lanch_nd_nc_nvs_nivus-launch-consideracao-orca__configuracao_cpm_drct_all_300x50_lancamento-nivus-orca-rmkt-gallery_na_lancamento-consideracao-nivus-orca_nvl-nvs-imc-dsy-0820-10145</v>
      </c>
      <c r="AK145" s="21" t="str">
        <f t="shared" si="71"/>
        <v>vw_nivus_300x50_lancamento-consideracao-nivus-orca_adserver</v>
      </c>
      <c r="AL145" s="21" t="str">
        <f t="shared" si="81"/>
        <v>https://www.vw.com.br/pt/configurador.html/__app/%2Fnivus/0.app?adlid=nvl-nvs-imc-dsy-0820-10145&amp;adplt=alp_vw_dv360_imc_dsy_lanch_nd_nc_nvs_nivus-launch-consideracao-orca__configuracao_cpm_drct_all_300x50_lancamento-nivus-orca-rmkt-gallery_na_lancamento-consideracao-nivus-orca_nvl-nvs-imc-dsy-0820-10145</v>
      </c>
      <c r="AM145" s="21" t="str">
        <f t="shared" si="72"/>
        <v>TAG</v>
      </c>
      <c r="AN145" s="15" t="str">
        <f t="shared" si="82"/>
        <v>DV360</v>
      </c>
      <c r="AO145" s="15" t="str">
        <f t="shared" si="83"/>
        <v>Paid-Display</v>
      </c>
      <c r="AP145" s="21" t="str">
        <f>Campanha!$B$3</f>
        <v>BR_IMC_DSY_LANCH_ND_NC_2020Q3AUG_NVS_Nivus-Launch-Consideracao-Orca</v>
      </c>
      <c r="AQ145" s="21" t="str">
        <f t="shared" si="73"/>
        <v>alp_vw_dv360_imc_dsy_lanch_nd_nc_nvs_nivus-launch-consideracao-orca__configuracao_cpm_drct_all_300x50_lancamento-nivus-orca-rmkt-gallery_na_lancamento-consideracao-nivus-orca_nvl-nvs-imc-dsy-0820-10145</v>
      </c>
      <c r="AR145" s="15" t="s">
        <v>745</v>
      </c>
      <c r="AS145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gallery_na_lancamento-consideracao-nivus-orca_nvl-nvs-imc-dsy-0820-10145&amp;utm_campaign=BR_IMC_DSY_LANCH_ND_NC_2020Q3AUG_NVS_Nivus-Launch-Consideracao-Orca&amp;utm_term=%epid!_%ecid!_%eaid!</v>
      </c>
      <c r="AT145" s="15" t="str">
        <f t="shared" si="84"/>
        <v>other</v>
      </c>
      <c r="AU145" s="15" t="str">
        <f t="shared" si="75"/>
        <v>BR</v>
      </c>
      <c r="AV145" s="15" t="str">
        <f t="shared" si="85"/>
        <v>dv360</v>
      </c>
      <c r="AW145" s="15" t="str">
        <f t="shared" si="86"/>
        <v>dv360</v>
      </c>
      <c r="AX145" s="15" t="str">
        <f t="shared" si="76"/>
        <v>nivus-launch-consideracao-orca</v>
      </c>
      <c r="AY145" s="15" t="str">
        <f t="shared" si="87"/>
        <v>alp_vw_dv360_imc_dsy_lanch_nd_nc_nvs_nivus-launch-consideracao-orca__configuracao_cpm_drct_all_300x50_lancamento-nivus-orca-rmkt-gallery_na_lancamento-consideracao-nivus-orca_nvl-nvs-imc-dsy-0820-10145</v>
      </c>
      <c r="AZ145" s="15" t="str">
        <f t="shared" si="88"/>
        <v>300x50</v>
      </c>
      <c r="BA145" s="15" t="str">
        <f t="shared" si="89"/>
        <v>lancamento-consideracao-nivus-orca</v>
      </c>
      <c r="BB145" s="28" t="s">
        <v>798</v>
      </c>
      <c r="BC145" s="28" t="s">
        <v>798</v>
      </c>
      <c r="BD145" s="38" t="str">
        <f t="shared" si="90"/>
        <v>nvl-nvs-imc-dsy-0820-10145</v>
      </c>
      <c r="BE145" s="15" t="str">
        <f t="shared" si="91"/>
        <v>BR</v>
      </c>
      <c r="BF145" s="15" t="str">
        <f t="shared" si="92"/>
        <v>paid</v>
      </c>
      <c r="BG145" s="28"/>
      <c r="BH145" s="28"/>
      <c r="BI145" s="36" t="str">
        <f t="shared" si="77"/>
        <v>https://www.vw.com.br/pt/configurador.html/__app/%2Fnivus/0.app?adlid=nvl-nvs-imc-dsy-0820-10145&amp;adplt=alp_vw_dv360_imc_dsy_lanch_nd_nc_nvs_nivus-launch-consideracao-orca__configuracao_cpm_drct_all_300x50_lancamento-nivus-orca-rmkt-gallery_na_lancamento-consideracao-nivus-orca_nvl-nvs-imc-dsy-0820-10145</v>
      </c>
      <c r="BL145" t="str">
        <f t="shared" si="78"/>
        <v>alp_vw_dv360_imc_dsy_lanch_nd_nc_nvs_nivus-launch-consideracao-orca__configuracao</v>
      </c>
      <c r="BM145" t="str">
        <f t="shared" si="79"/>
        <v>cpm_drct_all_300x50_lancamento-nivus-orca-rmkt-gallery_na</v>
      </c>
      <c r="BN145" t="str">
        <f t="shared" si="80"/>
        <v>alp_vw_dv360_imc_dsy_lanch_nd_nc_nvs_nivus-launch-consideracao-orca__configuracao_cpm_drct_all_300x50_lancamento-nivus-orca-rmkt-gallery_na_generico_nvl-nvs-imc-dsy-0820-10145</v>
      </c>
    </row>
    <row r="146" spans="2:66" ht="15.75" customHeight="1" x14ac:dyDescent="0.25">
      <c r="B146" s="15" t="s">
        <v>1291</v>
      </c>
      <c r="C146" s="15" t="s">
        <v>1294</v>
      </c>
      <c r="D146" s="15"/>
      <c r="E146" s="22">
        <v>44069</v>
      </c>
      <c r="F146" s="22">
        <v>44135</v>
      </c>
      <c r="G146" s="15" t="s">
        <v>651</v>
      </c>
      <c r="H146" s="41" t="s">
        <v>1266</v>
      </c>
      <c r="I146" s="15" t="s">
        <v>801</v>
      </c>
      <c r="J146" s="42" t="s">
        <v>883</v>
      </c>
      <c r="K146" s="42" t="s">
        <v>883</v>
      </c>
      <c r="L146" s="15" t="s">
        <v>676</v>
      </c>
      <c r="M146" s="15" t="s">
        <v>276</v>
      </c>
      <c r="N146" s="15" t="s">
        <v>295</v>
      </c>
      <c r="O146" s="15" t="s">
        <v>677</v>
      </c>
      <c r="P146" s="15" t="str">
        <f>VLOOKUP(Y146,'All Codes'!$BF$3:$BG$278,2,FALSE)</f>
        <v>Skyscraper</v>
      </c>
      <c r="Q146" s="15" t="s">
        <v>179</v>
      </c>
      <c r="R146" s="15" t="s">
        <v>277</v>
      </c>
      <c r="S146" s="15" t="s">
        <v>874</v>
      </c>
      <c r="T146" s="46" t="s">
        <v>884</v>
      </c>
      <c r="U146" s="15" t="s">
        <v>876</v>
      </c>
      <c r="V146" s="66" t="s">
        <v>1088</v>
      </c>
      <c r="W146" s="15" t="s">
        <v>866</v>
      </c>
      <c r="X146" s="15" t="s">
        <v>307</v>
      </c>
      <c r="Y146" s="46" t="s">
        <v>434</v>
      </c>
      <c r="Z146" s="15"/>
      <c r="AA146" s="15"/>
      <c r="AB146" s="15"/>
      <c r="AC146" s="15"/>
      <c r="AD146" s="15"/>
      <c r="AE146" s="15"/>
      <c r="AF146" s="15"/>
      <c r="AG146" s="15"/>
      <c r="AH146" s="15" t="str">
        <f t="shared" si="94"/>
        <v>281619856</v>
      </c>
      <c r="AI146" s="21" t="str">
        <f t="shared" si="63"/>
        <v>alp_vw_dv360_imc_dsy_lanch_nd_nc_nvs_nivus-launch-consideracao-orca__configuracao_cpm_drct_all_160x600_lancamento-nivus-orca-rmkt-gallery_na_lancamento-consideracao-nivus-orca_nvl-nvs-imc-dsy-0820-10146</v>
      </c>
      <c r="AJ146" s="40" t="str">
        <f t="shared" si="63"/>
        <v>alp_vw_dv360_imc_dsy_lanch_nd_nc_nvs_nivus-launch-consideracao-orca__configuracao_cpm_drct_all_160x600_lancamento-nivus-orca-rmkt-gallery_na_lancamento-consideracao-nivus-orca_nvl-nvs-imc-dsy-0820-10146</v>
      </c>
      <c r="AK146" s="21" t="str">
        <f t="shared" si="71"/>
        <v>vw_nivus_160x600_lancamento-consideracao-nivus-orca_adserver</v>
      </c>
      <c r="AL146" s="21" t="str">
        <f t="shared" si="81"/>
        <v>https://www.vw.com.br/pt/configurador.html/__app/%2Fnivus/0.app?adlid=nvl-nvs-imc-dsy-0820-10146&amp;adplt=alp_vw_dv360_imc_dsy_lanch_nd_nc_nvs_nivus-launch-consideracao-orca__configuracao_cpm_drct_all_160x600_lancamento-nivus-orca-rmkt-gallery_na_lancamento-consideracao-nivus-orca_nvl-nvs-imc-dsy-0820-10146</v>
      </c>
      <c r="AM146" s="21" t="str">
        <f t="shared" si="72"/>
        <v>TAG</v>
      </c>
      <c r="AN146" s="15" t="str">
        <f t="shared" si="82"/>
        <v>DV360</v>
      </c>
      <c r="AO146" s="15" t="str">
        <f t="shared" si="83"/>
        <v>Paid-Display</v>
      </c>
      <c r="AP146" s="21" t="str">
        <f>Campanha!$B$3</f>
        <v>BR_IMC_DSY_LANCH_ND_NC_2020Q3AUG_NVS_Nivus-Launch-Consideracao-Orca</v>
      </c>
      <c r="AQ146" s="21" t="str">
        <f t="shared" si="73"/>
        <v>alp_vw_dv360_imc_dsy_lanch_nd_nc_nvs_nivus-launch-consideracao-orca__configuracao_cpm_drct_all_160x600_lancamento-nivus-orca-rmkt-gallery_na_lancamento-consideracao-nivus-orca_nvl-nvs-imc-dsy-0820-10146</v>
      </c>
      <c r="AR146" s="15" t="s">
        <v>745</v>
      </c>
      <c r="AS146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gallery_na_lancamento-consideracao-nivus-orca_nvl-nvs-imc-dsy-0820-10146&amp;utm_campaign=BR_IMC_DSY_LANCH_ND_NC_2020Q3AUG_NVS_Nivus-Launch-Consideracao-Orca&amp;utm_term=%epid!_%ecid!_%eaid!</v>
      </c>
      <c r="AT146" s="15" t="str">
        <f t="shared" si="84"/>
        <v>other</v>
      </c>
      <c r="AU146" s="15" t="str">
        <f t="shared" si="75"/>
        <v>BR</v>
      </c>
      <c r="AV146" s="15" t="str">
        <f t="shared" si="85"/>
        <v>dv360</v>
      </c>
      <c r="AW146" s="15" t="str">
        <f t="shared" si="86"/>
        <v>dv360</v>
      </c>
      <c r="AX146" s="15" t="str">
        <f t="shared" si="76"/>
        <v>nivus-launch-consideracao-orca</v>
      </c>
      <c r="AY146" s="15" t="str">
        <f t="shared" si="87"/>
        <v>alp_vw_dv360_imc_dsy_lanch_nd_nc_nvs_nivus-launch-consideracao-orca__configuracao_cpm_drct_all_160x600_lancamento-nivus-orca-rmkt-gallery_na_lancamento-consideracao-nivus-orca_nvl-nvs-imc-dsy-0820-10146</v>
      </c>
      <c r="AZ146" s="15" t="str">
        <f t="shared" si="88"/>
        <v>160x600</v>
      </c>
      <c r="BA146" s="15" t="str">
        <f t="shared" si="89"/>
        <v>lancamento-consideracao-nivus-orca</v>
      </c>
      <c r="BB146" s="28" t="s">
        <v>798</v>
      </c>
      <c r="BC146" s="28" t="s">
        <v>798</v>
      </c>
      <c r="BD146" s="38" t="str">
        <f t="shared" si="90"/>
        <v>nvl-nvs-imc-dsy-0820-10146</v>
      </c>
      <c r="BE146" s="15" t="str">
        <f t="shared" si="91"/>
        <v>BR</v>
      </c>
      <c r="BF146" s="15" t="str">
        <f t="shared" si="92"/>
        <v>paid</v>
      </c>
      <c r="BG146" s="28"/>
      <c r="BH146" s="28"/>
      <c r="BI146" s="36" t="str">
        <f t="shared" si="77"/>
        <v>https://www.vw.com.br/pt/configurador.html/__app/%2Fnivus/0.app?adlid=nvl-nvs-imc-dsy-0820-10146&amp;adplt=alp_vw_dv360_imc_dsy_lanch_nd_nc_nvs_nivus-launch-consideracao-orca__configuracao_cpm_drct_all_160x600_lancamento-nivus-orca-rmkt-gallery_na_lancamento-consideracao-nivus-orca_nvl-nvs-imc-dsy-0820-10146</v>
      </c>
      <c r="BL146" t="str">
        <f t="shared" si="78"/>
        <v>alp_vw_dv360_imc_dsy_lanch_nd_nc_nvs_nivus-launch-consideracao-orca__configuracao</v>
      </c>
      <c r="BM146" t="str">
        <f t="shared" si="79"/>
        <v>cpm_drct_all_160x600_lancamento-nivus-orca-rmkt-gallery_na</v>
      </c>
      <c r="BN146" t="str">
        <f t="shared" si="80"/>
        <v>alp_vw_dv360_imc_dsy_lanch_nd_nc_nvs_nivus-launch-consideracao-orca__configuracao_cpm_drct_all_160x600_lancamento-nivus-orca-rmkt-gallery_na_generico_nvl-nvs-imc-dsy-0820-10146</v>
      </c>
    </row>
    <row r="147" spans="2:66" ht="15.75" customHeight="1" x14ac:dyDescent="0.25">
      <c r="B147" s="15" t="s">
        <v>1291</v>
      </c>
      <c r="C147" s="15" t="s">
        <v>1294</v>
      </c>
      <c r="D147" s="15"/>
      <c r="E147" s="22">
        <v>44069</v>
      </c>
      <c r="F147" s="22">
        <v>44135</v>
      </c>
      <c r="G147" s="15" t="s">
        <v>651</v>
      </c>
      <c r="H147" s="41" t="s">
        <v>1266</v>
      </c>
      <c r="I147" s="15" t="s">
        <v>801</v>
      </c>
      <c r="J147" s="42" t="s">
        <v>883</v>
      </c>
      <c r="K147" s="42" t="s">
        <v>883</v>
      </c>
      <c r="L147" s="15" t="s">
        <v>676</v>
      </c>
      <c r="M147" s="15" t="s">
        <v>276</v>
      </c>
      <c r="N147" s="15" t="s">
        <v>295</v>
      </c>
      <c r="O147" s="15" t="s">
        <v>677</v>
      </c>
      <c r="P147" s="15" t="str">
        <f>VLOOKUP(Y147,'All Codes'!$BF$3:$BG$278,2,FALSE)</f>
        <v>MPU</v>
      </c>
      <c r="Q147" s="15" t="s">
        <v>179</v>
      </c>
      <c r="R147" s="15" t="s">
        <v>277</v>
      </c>
      <c r="S147" s="15" t="s">
        <v>874</v>
      </c>
      <c r="T147" s="46" t="s">
        <v>884</v>
      </c>
      <c r="U147" s="15" t="s">
        <v>876</v>
      </c>
      <c r="V147" s="66" t="s">
        <v>1088</v>
      </c>
      <c r="W147" s="15" t="s">
        <v>866</v>
      </c>
      <c r="X147" s="15" t="s">
        <v>307</v>
      </c>
      <c r="Y147" s="46" t="s">
        <v>455</v>
      </c>
      <c r="Z147" s="15"/>
      <c r="AA147" s="15"/>
      <c r="AB147" s="15"/>
      <c r="AC147" s="15"/>
      <c r="AD147" s="15"/>
      <c r="AE147" s="15"/>
      <c r="AF147" s="15"/>
      <c r="AG147" s="15"/>
      <c r="AH147" s="15" t="str">
        <f t="shared" si="94"/>
        <v>281619853</v>
      </c>
      <c r="AI147" s="21" t="str">
        <f t="shared" si="63"/>
        <v>alp_vw_dv360_imc_dsy_lanch_nd_nc_nvs_nivus-launch-consideracao-orca__configuracao_cpm_drct_all_300x250_lancamento-nivus-orca-rmkt-gallery_na_lancamento-consideracao-nivus-orca_nvl-nvs-imc-dsy-0820-10147</v>
      </c>
      <c r="AJ147" s="40" t="str">
        <f t="shared" si="63"/>
        <v>alp_vw_dv360_imc_dsy_lanch_nd_nc_nvs_nivus-launch-consideracao-orca__configuracao_cpm_drct_all_300x250_lancamento-nivus-orca-rmkt-gallery_na_lancamento-consideracao-nivus-orca_nvl-nvs-imc-dsy-0820-10147</v>
      </c>
      <c r="AK147" s="21" t="str">
        <f t="shared" si="71"/>
        <v>vw_nivus_300x250_lancamento-consideracao-nivus-orca_adserver</v>
      </c>
      <c r="AL147" s="21" t="str">
        <f t="shared" si="81"/>
        <v>https://www.vw.com.br/pt/configurador.html/__app/%2Fnivus/0.app?adlid=nvl-nvs-imc-dsy-0820-10147&amp;adplt=alp_vw_dv360_imc_dsy_lanch_nd_nc_nvs_nivus-launch-consideracao-orca__configuracao_cpm_drct_all_300x250_lancamento-nivus-orca-rmkt-gallery_na_lancamento-consideracao-nivus-orca_nvl-nvs-imc-dsy-0820-10147</v>
      </c>
      <c r="AM147" s="21" t="str">
        <f t="shared" si="72"/>
        <v>TAG</v>
      </c>
      <c r="AN147" s="15" t="str">
        <f t="shared" si="82"/>
        <v>DV360</v>
      </c>
      <c r="AO147" s="15" t="str">
        <f t="shared" si="83"/>
        <v>Paid-Display</v>
      </c>
      <c r="AP147" s="21" t="str">
        <f>Campanha!$B$3</f>
        <v>BR_IMC_DSY_LANCH_ND_NC_2020Q3AUG_NVS_Nivus-Launch-Consideracao-Orca</v>
      </c>
      <c r="AQ147" s="21" t="str">
        <f t="shared" si="73"/>
        <v>alp_vw_dv360_imc_dsy_lanch_nd_nc_nvs_nivus-launch-consideracao-orca__configuracao_cpm_drct_all_300x250_lancamento-nivus-orca-rmkt-gallery_na_lancamento-consideracao-nivus-orca_nvl-nvs-imc-dsy-0820-10147</v>
      </c>
      <c r="AR147" s="15" t="s">
        <v>745</v>
      </c>
      <c r="AS147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gallery_na_lancamento-consideracao-nivus-orca_nvl-nvs-imc-dsy-0820-10147&amp;utm_campaign=BR_IMC_DSY_LANCH_ND_NC_2020Q3AUG_NVS_Nivus-Launch-Consideracao-Orca&amp;utm_term=%epid!_%ecid!_%eaid!</v>
      </c>
      <c r="AT147" s="15" t="str">
        <f t="shared" si="84"/>
        <v>other</v>
      </c>
      <c r="AU147" s="15" t="str">
        <f t="shared" si="75"/>
        <v>BR</v>
      </c>
      <c r="AV147" s="15" t="str">
        <f t="shared" si="85"/>
        <v>dv360</v>
      </c>
      <c r="AW147" s="15" t="str">
        <f t="shared" si="86"/>
        <v>dv360</v>
      </c>
      <c r="AX147" s="15" t="str">
        <f t="shared" si="76"/>
        <v>nivus-launch-consideracao-orca</v>
      </c>
      <c r="AY147" s="15" t="str">
        <f t="shared" si="87"/>
        <v>alp_vw_dv360_imc_dsy_lanch_nd_nc_nvs_nivus-launch-consideracao-orca__configuracao_cpm_drct_all_300x250_lancamento-nivus-orca-rmkt-gallery_na_lancamento-consideracao-nivus-orca_nvl-nvs-imc-dsy-0820-10147</v>
      </c>
      <c r="AZ147" s="15" t="str">
        <f t="shared" si="88"/>
        <v>300x250</v>
      </c>
      <c r="BA147" s="15" t="str">
        <f t="shared" si="89"/>
        <v>lancamento-consideracao-nivus-orca</v>
      </c>
      <c r="BB147" s="28" t="s">
        <v>798</v>
      </c>
      <c r="BC147" s="28" t="s">
        <v>798</v>
      </c>
      <c r="BD147" s="38" t="str">
        <f t="shared" si="90"/>
        <v>nvl-nvs-imc-dsy-0820-10147</v>
      </c>
      <c r="BE147" s="15" t="str">
        <f t="shared" si="91"/>
        <v>BR</v>
      </c>
      <c r="BF147" s="15" t="str">
        <f t="shared" si="92"/>
        <v>paid</v>
      </c>
      <c r="BG147" s="28"/>
      <c r="BH147" s="28"/>
      <c r="BI147" s="36" t="str">
        <f t="shared" si="77"/>
        <v>https://www.vw.com.br/pt/configurador.html/__app/%2Fnivus/0.app?adlid=nvl-nvs-imc-dsy-0820-10147&amp;adplt=alp_vw_dv360_imc_dsy_lanch_nd_nc_nvs_nivus-launch-consideracao-orca__configuracao_cpm_drct_all_300x250_lancamento-nivus-orca-rmkt-gallery_na_lancamento-consideracao-nivus-orca_nvl-nvs-imc-dsy-0820-10147</v>
      </c>
      <c r="BL147" t="str">
        <f t="shared" si="78"/>
        <v>alp_vw_dv360_imc_dsy_lanch_nd_nc_nvs_nivus-launch-consideracao-orca__configuracao</v>
      </c>
      <c r="BM147" t="str">
        <f t="shared" si="79"/>
        <v>cpm_drct_all_300x250_lancamento-nivus-orca-rmkt-gallery_na</v>
      </c>
      <c r="BN147" t="str">
        <f t="shared" si="80"/>
        <v>alp_vw_dv360_imc_dsy_lanch_nd_nc_nvs_nivus-launch-consideracao-orca__configuracao_cpm_drct_all_300x250_lancamento-nivus-orca-rmkt-gallery_na_generico_nvl-nvs-imc-dsy-0820-10147</v>
      </c>
    </row>
    <row r="148" spans="2:66" ht="15.75" customHeight="1" x14ac:dyDescent="0.25">
      <c r="B148" s="15" t="s">
        <v>1291</v>
      </c>
      <c r="C148" s="15" t="s">
        <v>1294</v>
      </c>
      <c r="D148" s="15"/>
      <c r="E148" s="22">
        <v>44069</v>
      </c>
      <c r="F148" s="22">
        <v>44135</v>
      </c>
      <c r="G148" s="15" t="s">
        <v>651</v>
      </c>
      <c r="H148" s="41" t="s">
        <v>1266</v>
      </c>
      <c r="I148" s="15" t="s">
        <v>801</v>
      </c>
      <c r="J148" s="42" t="s">
        <v>883</v>
      </c>
      <c r="K148" s="42" t="s">
        <v>883</v>
      </c>
      <c r="L148" s="15" t="s">
        <v>676</v>
      </c>
      <c r="M148" s="15" t="s">
        <v>276</v>
      </c>
      <c r="N148" s="15" t="s">
        <v>295</v>
      </c>
      <c r="O148" s="15" t="s">
        <v>677</v>
      </c>
      <c r="P148" s="15" t="str">
        <f>VLOOKUP(Y148,'All Codes'!$BF$3:$BG$278,2,FALSE)</f>
        <v>Skyscraper</v>
      </c>
      <c r="Q148" s="15" t="s">
        <v>179</v>
      </c>
      <c r="R148" s="15" t="s">
        <v>277</v>
      </c>
      <c r="S148" s="15" t="s">
        <v>874</v>
      </c>
      <c r="T148" s="46" t="s">
        <v>884</v>
      </c>
      <c r="U148" s="15" t="s">
        <v>876</v>
      </c>
      <c r="V148" s="66" t="s">
        <v>1088</v>
      </c>
      <c r="W148" s="15" t="s">
        <v>866</v>
      </c>
      <c r="X148" s="15" t="s">
        <v>307</v>
      </c>
      <c r="Y148" s="46" t="s">
        <v>464</v>
      </c>
      <c r="Z148" s="15"/>
      <c r="AA148" s="15"/>
      <c r="AB148" s="15"/>
      <c r="AC148" s="15"/>
      <c r="AD148" s="15"/>
      <c r="AE148" s="15"/>
      <c r="AF148" s="15"/>
      <c r="AG148" s="15"/>
      <c r="AH148" s="15" t="str">
        <f t="shared" si="94"/>
        <v>281619850</v>
      </c>
      <c r="AI148" s="21" t="str">
        <f t="shared" si="63"/>
        <v>alp_vw_dv360_imc_dsy_lanch_nd_nc_nvs_nivus-launch-consideracao-orca__configuracao_cpm_drct_all_300x600_lancamento-nivus-orca-rmkt-gallery_na_lancamento-consideracao-nivus-orca_nvl-nvs-imc-dsy-0820-10148</v>
      </c>
      <c r="AJ148" s="40" t="str">
        <f t="shared" si="63"/>
        <v>alp_vw_dv360_imc_dsy_lanch_nd_nc_nvs_nivus-launch-consideracao-orca__configuracao_cpm_drct_all_300x600_lancamento-nivus-orca-rmkt-gallery_na_lancamento-consideracao-nivus-orca_nvl-nvs-imc-dsy-0820-10148</v>
      </c>
      <c r="AK148" s="21" t="str">
        <f t="shared" si="71"/>
        <v>vw_nivus_300x600_lancamento-consideracao-nivus-orca_adserver</v>
      </c>
      <c r="AL148" s="21" t="str">
        <f t="shared" si="81"/>
        <v>https://www.vw.com.br/pt/configurador.html/__app/%2Fnivus/0.app?adlid=nvl-nvs-imc-dsy-0820-10148&amp;adplt=alp_vw_dv360_imc_dsy_lanch_nd_nc_nvs_nivus-launch-consideracao-orca__configuracao_cpm_drct_all_300x600_lancamento-nivus-orca-rmkt-gallery_na_lancamento-consideracao-nivus-orca_nvl-nvs-imc-dsy-0820-10148</v>
      </c>
      <c r="AM148" s="21" t="str">
        <f t="shared" si="72"/>
        <v>TAG</v>
      </c>
      <c r="AN148" s="15" t="str">
        <f t="shared" si="82"/>
        <v>DV360</v>
      </c>
      <c r="AO148" s="15" t="str">
        <f t="shared" si="83"/>
        <v>Paid-Display</v>
      </c>
      <c r="AP148" s="21" t="str">
        <f>Campanha!$B$3</f>
        <v>BR_IMC_DSY_LANCH_ND_NC_2020Q3AUG_NVS_Nivus-Launch-Consideracao-Orca</v>
      </c>
      <c r="AQ148" s="21" t="str">
        <f t="shared" si="73"/>
        <v>alp_vw_dv360_imc_dsy_lanch_nd_nc_nvs_nivus-launch-consideracao-orca__configuracao_cpm_drct_all_300x600_lancamento-nivus-orca-rmkt-gallery_na_lancamento-consideracao-nivus-orca_nvl-nvs-imc-dsy-0820-10148</v>
      </c>
      <c r="AR148" s="15" t="s">
        <v>745</v>
      </c>
      <c r="AS148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gallery_na_lancamento-consideracao-nivus-orca_nvl-nvs-imc-dsy-0820-10148&amp;utm_campaign=BR_IMC_DSY_LANCH_ND_NC_2020Q3AUG_NVS_Nivus-Launch-Consideracao-Orca&amp;utm_term=%epid!_%ecid!_%eaid!</v>
      </c>
      <c r="AT148" s="15" t="str">
        <f t="shared" si="84"/>
        <v>other</v>
      </c>
      <c r="AU148" s="15" t="str">
        <f t="shared" si="75"/>
        <v>BR</v>
      </c>
      <c r="AV148" s="15" t="str">
        <f t="shared" si="85"/>
        <v>dv360</v>
      </c>
      <c r="AW148" s="15" t="str">
        <f t="shared" si="86"/>
        <v>dv360</v>
      </c>
      <c r="AX148" s="15" t="str">
        <f t="shared" si="76"/>
        <v>nivus-launch-consideracao-orca</v>
      </c>
      <c r="AY148" s="15" t="str">
        <f t="shared" si="87"/>
        <v>alp_vw_dv360_imc_dsy_lanch_nd_nc_nvs_nivus-launch-consideracao-orca__configuracao_cpm_drct_all_300x600_lancamento-nivus-orca-rmkt-gallery_na_lancamento-consideracao-nivus-orca_nvl-nvs-imc-dsy-0820-10148</v>
      </c>
      <c r="AZ148" s="15" t="str">
        <f t="shared" si="88"/>
        <v>300x600</v>
      </c>
      <c r="BA148" s="15" t="str">
        <f t="shared" si="89"/>
        <v>lancamento-consideracao-nivus-orca</v>
      </c>
      <c r="BB148" s="28" t="s">
        <v>798</v>
      </c>
      <c r="BC148" s="28" t="s">
        <v>798</v>
      </c>
      <c r="BD148" s="38" t="str">
        <f t="shared" si="90"/>
        <v>nvl-nvs-imc-dsy-0820-10148</v>
      </c>
      <c r="BE148" s="15" t="str">
        <f t="shared" si="91"/>
        <v>BR</v>
      </c>
      <c r="BF148" s="15" t="str">
        <f t="shared" si="92"/>
        <v>paid</v>
      </c>
      <c r="BG148" s="28"/>
      <c r="BH148" s="28"/>
      <c r="BI148" s="36" t="str">
        <f t="shared" si="77"/>
        <v>https://www.vw.com.br/pt/configurador.html/__app/%2Fnivus/0.app?adlid=nvl-nvs-imc-dsy-0820-10148&amp;adplt=alp_vw_dv360_imc_dsy_lanch_nd_nc_nvs_nivus-launch-consideracao-orca__configuracao_cpm_drct_all_300x600_lancamento-nivus-orca-rmkt-gallery_na_lancamento-consideracao-nivus-orca_nvl-nvs-imc-dsy-0820-10148</v>
      </c>
      <c r="BL148" t="str">
        <f t="shared" si="78"/>
        <v>alp_vw_dv360_imc_dsy_lanch_nd_nc_nvs_nivus-launch-consideracao-orca__configuracao</v>
      </c>
      <c r="BM148" t="str">
        <f t="shared" si="79"/>
        <v>cpm_drct_all_300x600_lancamento-nivus-orca-rmkt-gallery_na</v>
      </c>
      <c r="BN148" t="str">
        <f t="shared" si="80"/>
        <v>alp_vw_dv360_imc_dsy_lanch_nd_nc_nvs_nivus-launch-consideracao-orca__configuracao_cpm_drct_all_300x600_lancamento-nivus-orca-rmkt-gallery_na_generico_nvl-nvs-imc-dsy-0820-10148</v>
      </c>
    </row>
    <row r="149" spans="2:66" ht="15.75" customHeight="1" x14ac:dyDescent="0.25">
      <c r="B149" s="15" t="s">
        <v>1291</v>
      </c>
      <c r="C149" s="15" t="s">
        <v>1294</v>
      </c>
      <c r="D149" s="15"/>
      <c r="E149" s="22">
        <v>44069</v>
      </c>
      <c r="F149" s="22">
        <v>44135</v>
      </c>
      <c r="G149" s="15" t="s">
        <v>651</v>
      </c>
      <c r="H149" s="41" t="s">
        <v>1266</v>
      </c>
      <c r="I149" s="15" t="s">
        <v>801</v>
      </c>
      <c r="J149" s="42" t="s">
        <v>883</v>
      </c>
      <c r="K149" s="42" t="s">
        <v>883</v>
      </c>
      <c r="L149" s="15" t="s">
        <v>676</v>
      </c>
      <c r="M149" s="15" t="s">
        <v>276</v>
      </c>
      <c r="N149" s="15" t="s">
        <v>295</v>
      </c>
      <c r="O149" s="15" t="s">
        <v>677</v>
      </c>
      <c r="P149" s="15" t="str">
        <f>VLOOKUP(Y149,'All Codes'!$BF$3:$BG$278,2,FALSE)</f>
        <v>MPU</v>
      </c>
      <c r="Q149" s="15" t="s">
        <v>179</v>
      </c>
      <c r="R149" s="15" t="s">
        <v>277</v>
      </c>
      <c r="S149" s="15" t="s">
        <v>874</v>
      </c>
      <c r="T149" s="46" t="s">
        <v>884</v>
      </c>
      <c r="U149" s="15" t="s">
        <v>876</v>
      </c>
      <c r="V149" s="66" t="s">
        <v>1088</v>
      </c>
      <c r="W149" s="15" t="s">
        <v>866</v>
      </c>
      <c r="X149" s="15" t="s">
        <v>307</v>
      </c>
      <c r="Y149" s="46" t="s">
        <v>479</v>
      </c>
      <c r="Z149" s="15"/>
      <c r="AA149" s="15"/>
      <c r="AB149" s="15"/>
      <c r="AC149" s="15"/>
      <c r="AD149" s="15"/>
      <c r="AE149" s="15"/>
      <c r="AF149" s="15"/>
      <c r="AG149" s="15"/>
      <c r="AH149" s="15" t="str">
        <f t="shared" si="94"/>
        <v>281610247</v>
      </c>
      <c r="AI149" s="21" t="str">
        <f t="shared" ref="AI149:AJ212" si="95">LOWER(CONCATENATE(col_campanhaanunciante,"_",col_grupoanunciante,"_",col_localfreetype,"_",col_adlid))</f>
        <v>alp_vw_dv360_imc_dsy_lanch_nd_nc_nvs_nivus-launch-consideracao-orca__configuracao_cpm_drct_all_320x50_lancamento-nivus-orca-rmkt-gallery_na_lancamento-consideracao-nivus-orca_nvl-nvs-imc-dsy-0820-10149</v>
      </c>
      <c r="AJ149" s="40" t="str">
        <f t="shared" si="95"/>
        <v>alp_vw_dv360_imc_dsy_lanch_nd_nc_nvs_nivus-launch-consideracao-orca__configuracao_cpm_drct_all_320x50_lancamento-nivus-orca-rmkt-gallery_na_lancamento-consideracao-nivus-orca_nvl-nvs-imc-dsy-0820-10149</v>
      </c>
      <c r="AK149" s="21" t="str">
        <f t="shared" si="71"/>
        <v>vw_nivus_320x50_lancamento-consideracao-nivus-orca_adserver</v>
      </c>
      <c r="AL149" s="21" t="str">
        <f t="shared" si="81"/>
        <v>https://www.vw.com.br/pt/configurador.html/__app/%2Fnivus/0.app?adlid=nvl-nvs-imc-dsy-0820-10149&amp;adplt=alp_vw_dv360_imc_dsy_lanch_nd_nc_nvs_nivus-launch-consideracao-orca__configuracao_cpm_drct_all_320x50_lancamento-nivus-orca-rmkt-gallery_na_lancamento-consideracao-nivus-orca_nvl-nvs-imc-dsy-0820-10149</v>
      </c>
      <c r="AM149" s="21" t="str">
        <f t="shared" si="72"/>
        <v>TAG</v>
      </c>
      <c r="AN149" s="15" t="str">
        <f t="shared" si="82"/>
        <v>DV360</v>
      </c>
      <c r="AO149" s="15" t="str">
        <f t="shared" si="83"/>
        <v>Paid-Display</v>
      </c>
      <c r="AP149" s="21" t="str">
        <f>Campanha!$B$3</f>
        <v>BR_IMC_DSY_LANCH_ND_NC_2020Q3AUG_NVS_Nivus-Launch-Consideracao-Orca</v>
      </c>
      <c r="AQ149" s="21" t="str">
        <f t="shared" si="73"/>
        <v>alp_vw_dv360_imc_dsy_lanch_nd_nc_nvs_nivus-launch-consideracao-orca__configuracao_cpm_drct_all_320x50_lancamento-nivus-orca-rmkt-gallery_na_lancamento-consideracao-nivus-orca_nvl-nvs-imc-dsy-0820-10149</v>
      </c>
      <c r="AR149" s="15" t="s">
        <v>745</v>
      </c>
      <c r="AS149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gallery_na_lancamento-consideracao-nivus-orca_nvl-nvs-imc-dsy-0820-10149&amp;utm_campaign=BR_IMC_DSY_LANCH_ND_NC_2020Q3AUG_NVS_Nivus-Launch-Consideracao-Orca&amp;utm_term=%epid!_%ecid!_%eaid!</v>
      </c>
      <c r="AT149" s="15" t="str">
        <f t="shared" si="84"/>
        <v>other</v>
      </c>
      <c r="AU149" s="15" t="str">
        <f t="shared" si="75"/>
        <v>BR</v>
      </c>
      <c r="AV149" s="15" t="str">
        <f t="shared" si="85"/>
        <v>dv360</v>
      </c>
      <c r="AW149" s="15" t="str">
        <f t="shared" si="86"/>
        <v>dv360</v>
      </c>
      <c r="AX149" s="15" t="str">
        <f t="shared" si="76"/>
        <v>nivus-launch-consideracao-orca</v>
      </c>
      <c r="AY149" s="15" t="str">
        <f t="shared" si="87"/>
        <v>alp_vw_dv360_imc_dsy_lanch_nd_nc_nvs_nivus-launch-consideracao-orca__configuracao_cpm_drct_all_320x50_lancamento-nivus-orca-rmkt-gallery_na_lancamento-consideracao-nivus-orca_nvl-nvs-imc-dsy-0820-10149</v>
      </c>
      <c r="AZ149" s="15" t="str">
        <f t="shared" si="88"/>
        <v>320x50</v>
      </c>
      <c r="BA149" s="15" t="str">
        <f t="shared" si="89"/>
        <v>lancamento-consideracao-nivus-orca</v>
      </c>
      <c r="BB149" s="28" t="s">
        <v>798</v>
      </c>
      <c r="BC149" s="28" t="s">
        <v>798</v>
      </c>
      <c r="BD149" s="38" t="str">
        <f t="shared" si="90"/>
        <v>nvl-nvs-imc-dsy-0820-10149</v>
      </c>
      <c r="BE149" s="15" t="str">
        <f t="shared" si="91"/>
        <v>BR</v>
      </c>
      <c r="BF149" s="15" t="str">
        <f t="shared" si="92"/>
        <v>paid</v>
      </c>
      <c r="BG149" s="28"/>
      <c r="BH149" s="28"/>
      <c r="BI149" s="36" t="str">
        <f t="shared" si="77"/>
        <v>https://www.vw.com.br/pt/configurador.html/__app/%2Fnivus/0.app?adlid=nvl-nvs-imc-dsy-0820-10149&amp;adplt=alp_vw_dv360_imc_dsy_lanch_nd_nc_nvs_nivus-launch-consideracao-orca__configuracao_cpm_drct_all_320x50_lancamento-nivus-orca-rmkt-gallery_na_lancamento-consideracao-nivus-orca_nvl-nvs-imc-dsy-0820-10149</v>
      </c>
      <c r="BL149" t="str">
        <f t="shared" si="78"/>
        <v>alp_vw_dv360_imc_dsy_lanch_nd_nc_nvs_nivus-launch-consideracao-orca__configuracao</v>
      </c>
      <c r="BM149" t="str">
        <f t="shared" si="79"/>
        <v>cpm_drct_all_320x50_lancamento-nivus-orca-rmkt-gallery_na</v>
      </c>
      <c r="BN149" t="str">
        <f t="shared" si="80"/>
        <v>alp_vw_dv360_imc_dsy_lanch_nd_nc_nvs_nivus-launch-consideracao-orca__configuracao_cpm_drct_all_320x50_lancamento-nivus-orca-rmkt-gallery_na_generico_nvl-nvs-imc-dsy-0820-10149</v>
      </c>
    </row>
    <row r="150" spans="2:66" ht="15.75" customHeight="1" x14ac:dyDescent="0.25">
      <c r="B150" s="15" t="s">
        <v>1291</v>
      </c>
      <c r="C150" s="15" t="s">
        <v>1294</v>
      </c>
      <c r="D150" s="15"/>
      <c r="E150" s="22">
        <v>44069</v>
      </c>
      <c r="F150" s="22">
        <v>44135</v>
      </c>
      <c r="G150" s="15" t="s">
        <v>651</v>
      </c>
      <c r="H150" s="41" t="s">
        <v>1266</v>
      </c>
      <c r="I150" s="15" t="s">
        <v>801</v>
      </c>
      <c r="J150" s="42" t="s">
        <v>883</v>
      </c>
      <c r="K150" s="42" t="s">
        <v>883</v>
      </c>
      <c r="L150" s="15" t="s">
        <v>676</v>
      </c>
      <c r="M150" s="15" t="s">
        <v>276</v>
      </c>
      <c r="N150" s="15" t="s">
        <v>295</v>
      </c>
      <c r="O150" s="15" t="s">
        <v>677</v>
      </c>
      <c r="P150" s="15" t="str">
        <f>VLOOKUP(Y150,'All Codes'!$BF$3:$BG$278,2,FALSE)</f>
        <v>Leaderboard</v>
      </c>
      <c r="Q150" s="15" t="s">
        <v>179</v>
      </c>
      <c r="R150" s="15" t="s">
        <v>277</v>
      </c>
      <c r="S150" s="15" t="s">
        <v>874</v>
      </c>
      <c r="T150" s="46" t="s">
        <v>884</v>
      </c>
      <c r="U150" s="15" t="s">
        <v>876</v>
      </c>
      <c r="V150" s="66" t="s">
        <v>1088</v>
      </c>
      <c r="W150" s="15" t="s">
        <v>866</v>
      </c>
      <c r="X150" s="15" t="s">
        <v>307</v>
      </c>
      <c r="Y150" s="46" t="s">
        <v>591</v>
      </c>
      <c r="Z150" s="15"/>
      <c r="AA150" s="15"/>
      <c r="AB150" s="15"/>
      <c r="AC150" s="15"/>
      <c r="AD150" s="15"/>
      <c r="AE150" s="15"/>
      <c r="AF150" s="15"/>
      <c r="AG150" s="15"/>
      <c r="AH150" s="15" t="str">
        <f t="shared" si="94"/>
        <v>281610244</v>
      </c>
      <c r="AI150" s="21" t="str">
        <f t="shared" si="95"/>
        <v>alp_vw_dv360_imc_dsy_lanch_nd_nc_nvs_nivus-launch-consideracao-orca__configuracao_cpm_drct_all_728x90_lancamento-nivus-orca-rmkt-gallery_na_lancamento-consideracao-nivus-orca_nvl-nvs-imc-dsy-0820-10150</v>
      </c>
      <c r="AJ150" s="40" t="str">
        <f t="shared" si="95"/>
        <v>alp_vw_dv360_imc_dsy_lanch_nd_nc_nvs_nivus-launch-consideracao-orca__configuracao_cpm_drct_all_728x90_lancamento-nivus-orca-rmkt-gallery_na_lancamento-consideracao-nivus-orca_nvl-nvs-imc-dsy-0820-10150</v>
      </c>
      <c r="AK150" s="21" t="str">
        <f t="shared" si="71"/>
        <v>vw_nivus_728x90_lancamento-consideracao-nivus-orca_adserver</v>
      </c>
      <c r="AL150" s="21" t="str">
        <f t="shared" si="81"/>
        <v>https://www.vw.com.br/pt/configurador.html/__app/%2Fnivus/0.app?adlid=nvl-nvs-imc-dsy-0820-10150&amp;adplt=alp_vw_dv360_imc_dsy_lanch_nd_nc_nvs_nivus-launch-consideracao-orca__configuracao_cpm_drct_all_728x90_lancamento-nivus-orca-rmkt-gallery_na_lancamento-consideracao-nivus-orca_nvl-nvs-imc-dsy-0820-10150</v>
      </c>
      <c r="AM150" s="21" t="str">
        <f t="shared" si="72"/>
        <v>TAG</v>
      </c>
      <c r="AN150" s="15" t="str">
        <f t="shared" si="82"/>
        <v>DV360</v>
      </c>
      <c r="AO150" s="15" t="str">
        <f t="shared" si="83"/>
        <v>Paid-Display</v>
      </c>
      <c r="AP150" s="21" t="str">
        <f>Campanha!$B$3</f>
        <v>BR_IMC_DSY_LANCH_ND_NC_2020Q3AUG_NVS_Nivus-Launch-Consideracao-Orca</v>
      </c>
      <c r="AQ150" s="21" t="str">
        <f t="shared" si="73"/>
        <v>alp_vw_dv360_imc_dsy_lanch_nd_nc_nvs_nivus-launch-consideracao-orca__configuracao_cpm_drct_all_728x90_lancamento-nivus-orca-rmkt-gallery_na_lancamento-consideracao-nivus-orca_nvl-nvs-imc-dsy-0820-10150</v>
      </c>
      <c r="AR150" s="15" t="s">
        <v>745</v>
      </c>
      <c r="AS150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gallery_na_lancamento-consideracao-nivus-orca_nvl-nvs-imc-dsy-0820-10150&amp;utm_campaign=BR_IMC_DSY_LANCH_ND_NC_2020Q3AUG_NVS_Nivus-Launch-Consideracao-Orca&amp;utm_term=%epid!_%ecid!_%eaid!</v>
      </c>
      <c r="AT150" s="15" t="str">
        <f t="shared" si="84"/>
        <v>other</v>
      </c>
      <c r="AU150" s="15" t="str">
        <f t="shared" si="75"/>
        <v>BR</v>
      </c>
      <c r="AV150" s="15" t="str">
        <f t="shared" si="85"/>
        <v>dv360</v>
      </c>
      <c r="AW150" s="15" t="str">
        <f t="shared" si="86"/>
        <v>dv360</v>
      </c>
      <c r="AX150" s="15" t="str">
        <f t="shared" si="76"/>
        <v>nivus-launch-consideracao-orca</v>
      </c>
      <c r="AY150" s="15" t="str">
        <f t="shared" si="87"/>
        <v>alp_vw_dv360_imc_dsy_lanch_nd_nc_nvs_nivus-launch-consideracao-orca__configuracao_cpm_drct_all_728x90_lancamento-nivus-orca-rmkt-gallery_na_lancamento-consideracao-nivus-orca_nvl-nvs-imc-dsy-0820-10150</v>
      </c>
      <c r="AZ150" s="15" t="str">
        <f t="shared" si="88"/>
        <v>728x90</v>
      </c>
      <c r="BA150" s="15" t="str">
        <f t="shared" si="89"/>
        <v>lancamento-consideracao-nivus-orca</v>
      </c>
      <c r="BB150" s="28" t="s">
        <v>798</v>
      </c>
      <c r="BC150" s="28" t="s">
        <v>798</v>
      </c>
      <c r="BD150" s="38" t="str">
        <f t="shared" si="90"/>
        <v>nvl-nvs-imc-dsy-0820-10150</v>
      </c>
      <c r="BE150" s="15" t="str">
        <f t="shared" si="91"/>
        <v>BR</v>
      </c>
      <c r="BF150" s="15" t="str">
        <f t="shared" si="92"/>
        <v>paid</v>
      </c>
      <c r="BG150" s="28"/>
      <c r="BH150" s="28"/>
      <c r="BI150" s="36" t="str">
        <f t="shared" si="77"/>
        <v>https://www.vw.com.br/pt/configurador.html/__app/%2Fnivus/0.app?adlid=nvl-nvs-imc-dsy-0820-10150&amp;adplt=alp_vw_dv360_imc_dsy_lanch_nd_nc_nvs_nivus-launch-consideracao-orca__configuracao_cpm_drct_all_728x90_lancamento-nivus-orca-rmkt-gallery_na_lancamento-consideracao-nivus-orca_nvl-nvs-imc-dsy-0820-10150</v>
      </c>
      <c r="BL150" t="str">
        <f t="shared" si="78"/>
        <v>alp_vw_dv360_imc_dsy_lanch_nd_nc_nvs_nivus-launch-consideracao-orca__configuracao</v>
      </c>
      <c r="BM150" t="str">
        <f t="shared" si="79"/>
        <v>cpm_drct_all_728x90_lancamento-nivus-orca-rmkt-gallery_na</v>
      </c>
      <c r="BN150" t="str">
        <f t="shared" si="80"/>
        <v>alp_vw_dv360_imc_dsy_lanch_nd_nc_nvs_nivus-launch-consideracao-orca__configuracao_cpm_drct_all_728x90_lancamento-nivus-orca-rmkt-gallery_na_generico_nvl-nvs-imc-dsy-0820-10150</v>
      </c>
    </row>
    <row r="151" spans="2:66" ht="15.75" customHeight="1" x14ac:dyDescent="0.25">
      <c r="B151" s="15" t="s">
        <v>1291</v>
      </c>
      <c r="C151" s="15" t="s">
        <v>1294</v>
      </c>
      <c r="D151" s="15"/>
      <c r="E151" s="22">
        <v>44069</v>
      </c>
      <c r="F151" s="22">
        <v>44135</v>
      </c>
      <c r="G151" s="15" t="s">
        <v>651</v>
      </c>
      <c r="H151" s="41" t="s">
        <v>1266</v>
      </c>
      <c r="I151" s="15" t="s">
        <v>801</v>
      </c>
      <c r="J151" s="42" t="s">
        <v>883</v>
      </c>
      <c r="K151" s="42" t="s">
        <v>883</v>
      </c>
      <c r="L151" s="15" t="s">
        <v>676</v>
      </c>
      <c r="M151" s="15" t="s">
        <v>276</v>
      </c>
      <c r="N151" s="15" t="s">
        <v>295</v>
      </c>
      <c r="O151" s="15" t="s">
        <v>677</v>
      </c>
      <c r="P151" s="15" t="str">
        <f>VLOOKUP(Y151,'All Codes'!$BF$3:$BG$278,2,FALSE)</f>
        <v>Leaderboard</v>
      </c>
      <c r="Q151" s="15" t="s">
        <v>179</v>
      </c>
      <c r="R151" s="15" t="s">
        <v>277</v>
      </c>
      <c r="S151" s="15" t="s">
        <v>874</v>
      </c>
      <c r="T151" s="46" t="s">
        <v>884</v>
      </c>
      <c r="U151" s="15" t="s">
        <v>876</v>
      </c>
      <c r="V151" s="66" t="s">
        <v>1088</v>
      </c>
      <c r="W151" s="15" t="s">
        <v>866</v>
      </c>
      <c r="X151" s="15" t="s">
        <v>307</v>
      </c>
      <c r="Y151" s="46" t="s">
        <v>629</v>
      </c>
      <c r="Z151" s="15"/>
      <c r="AA151" s="15"/>
      <c r="AB151" s="15"/>
      <c r="AC151" s="15"/>
      <c r="AD151" s="15"/>
      <c r="AE151" s="15"/>
      <c r="AF151" s="15"/>
      <c r="AG151" s="15"/>
      <c r="AH151" s="15" t="str">
        <f t="shared" si="94"/>
        <v>281610241</v>
      </c>
      <c r="AI151" s="21" t="str">
        <f t="shared" si="95"/>
        <v>alp_vw_dv360_imc_dsy_lanch_nd_nc_nvs_nivus-launch-consideracao-orca__configuracao_cpm_drct_all_970x250_lancamento-nivus-orca-rmkt-gallery_na_lancamento-consideracao-nivus-orca_nvl-nvs-imc-dsy-0820-10151</v>
      </c>
      <c r="AJ151" s="40" t="str">
        <f t="shared" si="95"/>
        <v>alp_vw_dv360_imc_dsy_lanch_nd_nc_nvs_nivus-launch-consideracao-orca__configuracao_cpm_drct_all_970x250_lancamento-nivus-orca-rmkt-gallery_na_lancamento-consideracao-nivus-orca_nvl-nvs-imc-dsy-0820-10151</v>
      </c>
      <c r="AK151" s="21" t="str">
        <f t="shared" si="71"/>
        <v>vw_nivus_970x250_lancamento-consideracao-nivus-orca_adserver</v>
      </c>
      <c r="AL151" s="21" t="str">
        <f t="shared" si="81"/>
        <v>https://www.vw.com.br/pt/configurador.html/__app/%2Fnivus/0.app?adlid=nvl-nvs-imc-dsy-0820-10151&amp;adplt=alp_vw_dv360_imc_dsy_lanch_nd_nc_nvs_nivus-launch-consideracao-orca__configuracao_cpm_drct_all_970x250_lancamento-nivus-orca-rmkt-gallery_na_lancamento-consideracao-nivus-orca_nvl-nvs-imc-dsy-0820-10151</v>
      </c>
      <c r="AM151" s="21" t="str">
        <f t="shared" si="72"/>
        <v>TAG</v>
      </c>
      <c r="AN151" s="15" t="str">
        <f t="shared" si="82"/>
        <v>DV360</v>
      </c>
      <c r="AO151" s="15" t="str">
        <f t="shared" si="83"/>
        <v>Paid-Display</v>
      </c>
      <c r="AP151" s="21" t="str">
        <f>Campanha!$B$3</f>
        <v>BR_IMC_DSY_LANCH_ND_NC_2020Q3AUG_NVS_Nivus-Launch-Consideracao-Orca</v>
      </c>
      <c r="AQ151" s="21" t="str">
        <f t="shared" si="73"/>
        <v>alp_vw_dv360_imc_dsy_lanch_nd_nc_nvs_nivus-launch-consideracao-orca__configuracao_cpm_drct_all_970x250_lancamento-nivus-orca-rmkt-gallery_na_lancamento-consideracao-nivus-orca_nvl-nvs-imc-dsy-0820-10151</v>
      </c>
      <c r="AR151" s="15" t="s">
        <v>745</v>
      </c>
      <c r="AS151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gallery_na_lancamento-consideracao-nivus-orca_nvl-nvs-imc-dsy-0820-10151&amp;utm_campaign=BR_IMC_DSY_LANCH_ND_NC_2020Q3AUG_NVS_Nivus-Launch-Consideracao-Orca&amp;utm_term=%epid!_%ecid!_%eaid!</v>
      </c>
      <c r="AT151" s="15" t="str">
        <f t="shared" si="84"/>
        <v>other</v>
      </c>
      <c r="AU151" s="15" t="str">
        <f t="shared" si="75"/>
        <v>BR</v>
      </c>
      <c r="AV151" s="15" t="str">
        <f t="shared" si="85"/>
        <v>dv360</v>
      </c>
      <c r="AW151" s="15" t="str">
        <f t="shared" si="86"/>
        <v>dv360</v>
      </c>
      <c r="AX151" s="15" t="str">
        <f t="shared" si="76"/>
        <v>nivus-launch-consideracao-orca</v>
      </c>
      <c r="AY151" s="15" t="str">
        <f t="shared" si="87"/>
        <v>alp_vw_dv360_imc_dsy_lanch_nd_nc_nvs_nivus-launch-consideracao-orca__configuracao_cpm_drct_all_970x250_lancamento-nivus-orca-rmkt-gallery_na_lancamento-consideracao-nivus-orca_nvl-nvs-imc-dsy-0820-10151</v>
      </c>
      <c r="AZ151" s="15" t="str">
        <f t="shared" si="88"/>
        <v>970x250</v>
      </c>
      <c r="BA151" s="15" t="str">
        <f t="shared" si="89"/>
        <v>lancamento-consideracao-nivus-orca</v>
      </c>
      <c r="BB151" s="28" t="s">
        <v>798</v>
      </c>
      <c r="BC151" s="28" t="s">
        <v>798</v>
      </c>
      <c r="BD151" s="38" t="str">
        <f t="shared" si="90"/>
        <v>nvl-nvs-imc-dsy-0820-10151</v>
      </c>
      <c r="BE151" s="15" t="str">
        <f t="shared" si="91"/>
        <v>BR</v>
      </c>
      <c r="BF151" s="15" t="str">
        <f t="shared" si="92"/>
        <v>paid</v>
      </c>
      <c r="BG151" s="28"/>
      <c r="BH151" s="28"/>
      <c r="BI151" s="36" t="str">
        <f t="shared" si="77"/>
        <v>https://www.vw.com.br/pt/configurador.html/__app/%2Fnivus/0.app?adlid=nvl-nvs-imc-dsy-0820-10151&amp;adplt=alp_vw_dv360_imc_dsy_lanch_nd_nc_nvs_nivus-launch-consideracao-orca__configuracao_cpm_drct_all_970x250_lancamento-nivus-orca-rmkt-gallery_na_lancamento-consideracao-nivus-orca_nvl-nvs-imc-dsy-0820-10151</v>
      </c>
      <c r="BL151" t="str">
        <f t="shared" si="78"/>
        <v>alp_vw_dv360_imc_dsy_lanch_nd_nc_nvs_nivus-launch-consideracao-orca__configuracao</v>
      </c>
      <c r="BM151" t="str">
        <f t="shared" si="79"/>
        <v>cpm_drct_all_970x250_lancamento-nivus-orca-rmkt-gallery_na</v>
      </c>
      <c r="BN151" t="str">
        <f t="shared" si="80"/>
        <v>alp_vw_dv360_imc_dsy_lanch_nd_nc_nvs_nivus-launch-consideracao-orca__configuracao_cpm_drct_all_970x250_lancamento-nivus-orca-rmkt-gallery_na_generico_nvl-nvs-imc-dsy-0820-10151</v>
      </c>
    </row>
    <row r="152" spans="2:66" ht="15.75" customHeight="1" x14ac:dyDescent="0.25">
      <c r="B152" s="15" t="s">
        <v>1291</v>
      </c>
      <c r="C152" s="15" t="s">
        <v>1292</v>
      </c>
      <c r="D152" s="15"/>
      <c r="E152" s="22">
        <v>44069</v>
      </c>
      <c r="F152" s="22">
        <v>44135</v>
      </c>
      <c r="G152" s="15" t="s">
        <v>651</v>
      </c>
      <c r="H152" s="41" t="s">
        <v>1266</v>
      </c>
      <c r="I152" s="15" t="s">
        <v>801</v>
      </c>
      <c r="J152" s="42" t="s">
        <v>883</v>
      </c>
      <c r="K152" s="42" t="s">
        <v>883</v>
      </c>
      <c r="L152" s="15" t="s">
        <v>676</v>
      </c>
      <c r="M152" s="15" t="s">
        <v>276</v>
      </c>
      <c r="N152" s="15" t="s">
        <v>295</v>
      </c>
      <c r="O152" s="15" t="s">
        <v>677</v>
      </c>
      <c r="P152" s="15" t="str">
        <f>VLOOKUP(Y152,'All Codes'!$BF$3:$BG$278,2,FALSE)</f>
        <v>MPU</v>
      </c>
      <c r="Q152" s="15" t="s">
        <v>179</v>
      </c>
      <c r="R152" s="15" t="s">
        <v>277</v>
      </c>
      <c r="S152" s="15" t="s">
        <v>865</v>
      </c>
      <c r="T152" s="46" t="s">
        <v>884</v>
      </c>
      <c r="U152" s="15" t="s">
        <v>876</v>
      </c>
      <c r="V152" s="55" t="s">
        <v>1267</v>
      </c>
      <c r="W152" s="15" t="s">
        <v>866</v>
      </c>
      <c r="X152" s="15" t="s">
        <v>307</v>
      </c>
      <c r="Y152" s="46" t="s">
        <v>461</v>
      </c>
      <c r="Z152" s="15"/>
      <c r="AA152" s="15"/>
      <c r="AB152" s="15"/>
      <c r="AC152" s="15"/>
      <c r="AD152" s="15"/>
      <c r="AE152" s="15"/>
      <c r="AF152" s="15"/>
      <c r="AG152" s="15"/>
      <c r="AH152" s="15" t="str">
        <f t="shared" si="94"/>
        <v>284335944</v>
      </c>
      <c r="AI152" s="21" t="str">
        <f t="shared" si="95"/>
        <v>alp_vw_dv360_imc_dsy_lanch_nd_nc_nvs_nivus-launch-consideracao-orca__trafego_cpm_drct_all_300x50_lancamento-nivus-orca-customerlist1st-v2_na_lancamento-consideracao-nivus-orca_nvl-nvs-imc-dsy-0820-10152</v>
      </c>
      <c r="AJ152" s="40" t="str">
        <f t="shared" si="95"/>
        <v>alp_vw_dv360_imc_dsy_lanch_nd_nc_nvs_nivus-launch-consideracao-orca__trafego_cpm_drct_all_300x50_lancamento-nivus-orca-customerlist1st-v2_na_lancamento-consideracao-nivus-orca_nvl-nvs-imc-dsy-0820-10152</v>
      </c>
      <c r="AK152" s="21" t="str">
        <f t="shared" si="71"/>
        <v>vw_nivus_300x50_lancamento-consideracao-nivus-orca_adserver</v>
      </c>
      <c r="AL152" s="21" t="str">
        <f t="shared" si="81"/>
        <v>https://www.vw.com.br/pt/configurador.html/__app/%2Fnivus/0.app?adlid=nvl-nvs-imc-dsy-0820-10152&amp;adplt=alp_vw_dv360_imc_dsy_lanch_nd_nc_nvs_nivus-launch-consideracao-orca__trafego_cpm_drct_all_300x50_lancamento-nivus-orca-customerlist1st-v2_na_lancamento-consideracao-nivus-orca_nvl-nvs-imc-dsy-0820-10152</v>
      </c>
      <c r="AM152" s="21" t="str">
        <f t="shared" si="72"/>
        <v>TAG</v>
      </c>
      <c r="AN152" s="15" t="str">
        <f t="shared" si="82"/>
        <v>DV360</v>
      </c>
      <c r="AO152" s="15" t="str">
        <f t="shared" si="83"/>
        <v>Paid-Display</v>
      </c>
      <c r="AP152" s="21" t="str">
        <f>Campanha!$B$3</f>
        <v>BR_IMC_DSY_LANCH_ND_NC_2020Q3AUG_NVS_Nivus-Launch-Consideracao-Orca</v>
      </c>
      <c r="AQ152" s="21" t="str">
        <f t="shared" si="73"/>
        <v>alp_vw_dv360_imc_dsy_lanch_nd_nc_nvs_nivus-launch-consideracao-orca__trafego_cpm_drct_all_300x50_lancamento-nivus-orca-customerlist1st-v2_na_lancamento-consideracao-nivus-orca_nvl-nvs-imc-dsy-0820-10152</v>
      </c>
      <c r="AR152" s="15" t="s">
        <v>745</v>
      </c>
      <c r="AS152" s="21" t="str">
        <f t="shared" si="74"/>
        <v>https://www.vw.com.br/pt/configurador.html/__app/%2Fnivus/0.app?utm_source=DV360&amp;utm_medium=Paid-Display&amp;utm_content=alp_vw_dv360_imc_dsy_lanch_nd_nc_nvs_nivus-launch-consideracao-orca__trafego_cpm_drct_all_300x50_lancamento-nivus-orca-customerlist1st-v2_na_lancamento-consideracao-nivus-orca_nvl-nvs-imc-dsy-0820-10152&amp;utm_campaign=BR_IMC_DSY_LANCH_ND_NC_2020Q3AUG_NVS_Nivus-Launch-Consideracao-Orca&amp;utm_term=%epid!_%ecid!_%eaid!</v>
      </c>
      <c r="AT152" s="15" t="str">
        <f t="shared" si="84"/>
        <v>other</v>
      </c>
      <c r="AU152" s="15" t="str">
        <f t="shared" si="75"/>
        <v>BR</v>
      </c>
      <c r="AV152" s="15" t="str">
        <f t="shared" si="85"/>
        <v>dv360</v>
      </c>
      <c r="AW152" s="15" t="str">
        <f t="shared" si="86"/>
        <v>dv360</v>
      </c>
      <c r="AX152" s="15" t="str">
        <f t="shared" si="76"/>
        <v>nivus-launch-consideracao-orca</v>
      </c>
      <c r="AY152" s="15" t="str">
        <f t="shared" si="87"/>
        <v>alp_vw_dv360_imc_dsy_lanch_nd_nc_nvs_nivus-launch-consideracao-orca__trafego_cpm_drct_all_300x50_lancamento-nivus-orca-customerlist1st-v2_na_lancamento-consideracao-nivus-orca_nvl-nvs-imc-dsy-0820-10152</v>
      </c>
      <c r="AZ152" s="15" t="str">
        <f t="shared" si="88"/>
        <v>300x50</v>
      </c>
      <c r="BA152" s="15" t="str">
        <f t="shared" si="89"/>
        <v>lancamento-consideracao-nivus-orca</v>
      </c>
      <c r="BB152" s="28" t="s">
        <v>798</v>
      </c>
      <c r="BC152" s="28" t="s">
        <v>798</v>
      </c>
      <c r="BD152" s="38" t="str">
        <f t="shared" si="90"/>
        <v>nvl-nvs-imc-dsy-0820-10152</v>
      </c>
      <c r="BE152" s="15" t="str">
        <f t="shared" si="91"/>
        <v>BR</v>
      </c>
      <c r="BF152" s="15" t="str">
        <f t="shared" si="92"/>
        <v>paid</v>
      </c>
      <c r="BG152" s="28"/>
      <c r="BH152" s="28"/>
      <c r="BI152" s="36" t="str">
        <f t="shared" si="77"/>
        <v>https://www.vw.com.br/pt/configurador.html/__app/%2Fnivus/0.app?adlid=nvl-nvs-imc-dsy-0820-10152&amp;adplt=alp_vw_dv360_imc_dsy_lanch_nd_nc_nvs_nivus-launch-consideracao-orca__trafego_cpm_drct_all_300x50_lancamento-nivus-orca-customerlist1st-v2_na_lancamento-consideracao-nivus-orca_nvl-nvs-imc-dsy-0820-10152</v>
      </c>
      <c r="BL152" t="str">
        <f t="shared" si="78"/>
        <v>alp_vw_dv360_imc_dsy_lanch_nd_nc_nvs_nivus-launch-consideracao-orca__trafego</v>
      </c>
      <c r="BM152" t="str">
        <f t="shared" si="79"/>
        <v>cpm_drct_all_300x50_lancamento-nivus-orca-customerlist1st-v2_na</v>
      </c>
      <c r="BN152" t="str">
        <f t="shared" si="80"/>
        <v>alp_vw_dv360_imc_dsy_lanch_nd_nc_nvs_nivus-launch-consideracao-orca__trafego_cpm_drct_all_300x50_lancamento-nivus-orca-customerlist1st-v2_na_generico_nvl-nvs-imc-dsy-0820-10152</v>
      </c>
    </row>
    <row r="153" spans="2:66" ht="15.75" customHeight="1" x14ac:dyDescent="0.25">
      <c r="B153" s="15" t="s">
        <v>1291</v>
      </c>
      <c r="C153" s="15" t="s">
        <v>1292</v>
      </c>
      <c r="D153" s="15"/>
      <c r="E153" s="22">
        <v>44069</v>
      </c>
      <c r="F153" s="22">
        <v>44135</v>
      </c>
      <c r="G153" s="15" t="s">
        <v>651</v>
      </c>
      <c r="H153" s="41" t="s">
        <v>1266</v>
      </c>
      <c r="I153" s="15" t="s">
        <v>801</v>
      </c>
      <c r="J153" s="42" t="s">
        <v>883</v>
      </c>
      <c r="K153" s="42" t="s">
        <v>883</v>
      </c>
      <c r="L153" s="15" t="s">
        <v>676</v>
      </c>
      <c r="M153" s="15" t="s">
        <v>276</v>
      </c>
      <c r="N153" s="15" t="s">
        <v>295</v>
      </c>
      <c r="O153" s="15" t="s">
        <v>677</v>
      </c>
      <c r="P153" s="15" t="str">
        <f>VLOOKUP(Y153,'All Codes'!$BF$3:$BG$278,2,FALSE)</f>
        <v>Skyscraper</v>
      </c>
      <c r="Q153" s="15" t="s">
        <v>179</v>
      </c>
      <c r="R153" s="15" t="s">
        <v>277</v>
      </c>
      <c r="S153" s="15" t="s">
        <v>865</v>
      </c>
      <c r="T153" s="46" t="s">
        <v>884</v>
      </c>
      <c r="U153" s="15" t="s">
        <v>876</v>
      </c>
      <c r="V153" s="55" t="s">
        <v>1267</v>
      </c>
      <c r="W153" s="15" t="s">
        <v>866</v>
      </c>
      <c r="X153" s="15" t="s">
        <v>307</v>
      </c>
      <c r="Y153" s="46" t="s">
        <v>434</v>
      </c>
      <c r="Z153" s="15"/>
      <c r="AA153" s="15"/>
      <c r="AB153" s="15"/>
      <c r="AC153" s="15"/>
      <c r="AD153" s="15"/>
      <c r="AE153" s="15"/>
      <c r="AF153" s="15"/>
      <c r="AG153" s="15"/>
      <c r="AH153" s="15" t="str">
        <f t="shared" si="94"/>
        <v>284335941</v>
      </c>
      <c r="AI153" s="21" t="str">
        <f t="shared" si="95"/>
        <v>alp_vw_dv360_imc_dsy_lanch_nd_nc_nvs_nivus-launch-consideracao-orca__trafego_cpm_drct_all_160x600_lancamento-nivus-orca-customerlist1st-v2_na_lancamento-consideracao-nivus-orca_nvl-nvs-imc-dsy-0820-10153</v>
      </c>
      <c r="AJ153" s="40" t="str">
        <f t="shared" si="95"/>
        <v>alp_vw_dv360_imc_dsy_lanch_nd_nc_nvs_nivus-launch-consideracao-orca__trafego_cpm_drct_all_160x600_lancamento-nivus-orca-customerlist1st-v2_na_lancamento-consideracao-nivus-orca_nvl-nvs-imc-dsy-0820-10153</v>
      </c>
      <c r="AK153" s="21" t="str">
        <f t="shared" si="71"/>
        <v>vw_nivus_160x600_lancamento-consideracao-nivus-orca_adserver</v>
      </c>
      <c r="AL153" s="21" t="str">
        <f t="shared" si="81"/>
        <v>https://www.vw.com.br/pt/configurador.html/__app/%2Fnivus/0.app?adlid=nvl-nvs-imc-dsy-0820-10153&amp;adplt=alp_vw_dv360_imc_dsy_lanch_nd_nc_nvs_nivus-launch-consideracao-orca__trafego_cpm_drct_all_160x600_lancamento-nivus-orca-customerlist1st-v2_na_lancamento-consideracao-nivus-orca_nvl-nvs-imc-dsy-0820-10153</v>
      </c>
      <c r="AM153" s="21" t="str">
        <f t="shared" si="72"/>
        <v>TAG</v>
      </c>
      <c r="AN153" s="15" t="str">
        <f t="shared" si="82"/>
        <v>DV360</v>
      </c>
      <c r="AO153" s="15" t="str">
        <f t="shared" si="83"/>
        <v>Paid-Display</v>
      </c>
      <c r="AP153" s="21" t="str">
        <f>Campanha!$B$3</f>
        <v>BR_IMC_DSY_LANCH_ND_NC_2020Q3AUG_NVS_Nivus-Launch-Consideracao-Orca</v>
      </c>
      <c r="AQ153" s="21" t="str">
        <f t="shared" si="73"/>
        <v>alp_vw_dv360_imc_dsy_lanch_nd_nc_nvs_nivus-launch-consideracao-orca__trafego_cpm_drct_all_160x600_lancamento-nivus-orca-customerlist1st-v2_na_lancamento-consideracao-nivus-orca_nvl-nvs-imc-dsy-0820-10153</v>
      </c>
      <c r="AR153" s="15" t="s">
        <v>745</v>
      </c>
      <c r="AS153" s="21" t="str">
        <f t="shared" si="74"/>
        <v>https://www.vw.com.br/pt/configurador.html/__app/%2Fnivus/0.app?utm_source=DV360&amp;utm_medium=Paid-Display&amp;utm_content=alp_vw_dv360_imc_dsy_lanch_nd_nc_nvs_nivus-launch-consideracao-orca__trafego_cpm_drct_all_160x600_lancamento-nivus-orca-customerlist1st-v2_na_lancamento-consideracao-nivus-orca_nvl-nvs-imc-dsy-0820-10153&amp;utm_campaign=BR_IMC_DSY_LANCH_ND_NC_2020Q3AUG_NVS_Nivus-Launch-Consideracao-Orca&amp;utm_term=%epid!_%ecid!_%eaid!</v>
      </c>
      <c r="AT153" s="15" t="str">
        <f t="shared" si="84"/>
        <v>other</v>
      </c>
      <c r="AU153" s="15" t="str">
        <f t="shared" si="75"/>
        <v>BR</v>
      </c>
      <c r="AV153" s="15" t="str">
        <f t="shared" si="85"/>
        <v>dv360</v>
      </c>
      <c r="AW153" s="15" t="str">
        <f t="shared" si="86"/>
        <v>dv360</v>
      </c>
      <c r="AX153" s="15" t="str">
        <f t="shared" si="76"/>
        <v>nivus-launch-consideracao-orca</v>
      </c>
      <c r="AY153" s="15" t="str">
        <f t="shared" si="87"/>
        <v>alp_vw_dv360_imc_dsy_lanch_nd_nc_nvs_nivus-launch-consideracao-orca__trafego_cpm_drct_all_160x600_lancamento-nivus-orca-customerlist1st-v2_na_lancamento-consideracao-nivus-orca_nvl-nvs-imc-dsy-0820-10153</v>
      </c>
      <c r="AZ153" s="15" t="str">
        <f t="shared" si="88"/>
        <v>160x600</v>
      </c>
      <c r="BA153" s="15" t="str">
        <f t="shared" si="89"/>
        <v>lancamento-consideracao-nivus-orca</v>
      </c>
      <c r="BB153" s="28" t="s">
        <v>798</v>
      </c>
      <c r="BC153" s="28" t="s">
        <v>798</v>
      </c>
      <c r="BD153" s="38" t="str">
        <f t="shared" si="90"/>
        <v>nvl-nvs-imc-dsy-0820-10153</v>
      </c>
      <c r="BE153" s="15" t="str">
        <f t="shared" si="91"/>
        <v>BR</v>
      </c>
      <c r="BF153" s="15" t="str">
        <f t="shared" si="92"/>
        <v>paid</v>
      </c>
      <c r="BG153" s="28"/>
      <c r="BH153" s="28"/>
      <c r="BI153" s="36" t="str">
        <f t="shared" si="77"/>
        <v>https://www.vw.com.br/pt/configurador.html/__app/%2Fnivus/0.app?adlid=nvl-nvs-imc-dsy-0820-10153&amp;adplt=alp_vw_dv360_imc_dsy_lanch_nd_nc_nvs_nivus-launch-consideracao-orca__trafego_cpm_drct_all_160x600_lancamento-nivus-orca-customerlist1st-v2_na_lancamento-consideracao-nivus-orca_nvl-nvs-imc-dsy-0820-10153</v>
      </c>
      <c r="BL153" t="str">
        <f t="shared" si="78"/>
        <v>alp_vw_dv360_imc_dsy_lanch_nd_nc_nvs_nivus-launch-consideracao-orca__trafego</v>
      </c>
      <c r="BM153" t="str">
        <f t="shared" si="79"/>
        <v>cpm_drct_all_160x600_lancamento-nivus-orca-customerlist1st-v2_na</v>
      </c>
      <c r="BN153" t="str">
        <f t="shared" si="80"/>
        <v>alp_vw_dv360_imc_dsy_lanch_nd_nc_nvs_nivus-launch-consideracao-orca__trafego_cpm_drct_all_160x600_lancamento-nivus-orca-customerlist1st-v2_na_generico_nvl-nvs-imc-dsy-0820-10153</v>
      </c>
    </row>
    <row r="154" spans="2:66" ht="15.75" customHeight="1" x14ac:dyDescent="0.25">
      <c r="B154" s="15" t="s">
        <v>1291</v>
      </c>
      <c r="C154" s="15" t="s">
        <v>1292</v>
      </c>
      <c r="D154" s="15"/>
      <c r="E154" s="22">
        <v>44069</v>
      </c>
      <c r="F154" s="22">
        <v>44135</v>
      </c>
      <c r="G154" s="15" t="s">
        <v>651</v>
      </c>
      <c r="H154" s="41" t="s">
        <v>1266</v>
      </c>
      <c r="I154" s="15" t="s">
        <v>801</v>
      </c>
      <c r="J154" s="42" t="s">
        <v>883</v>
      </c>
      <c r="K154" s="42" t="s">
        <v>883</v>
      </c>
      <c r="L154" s="15" t="s">
        <v>676</v>
      </c>
      <c r="M154" s="15" t="s">
        <v>276</v>
      </c>
      <c r="N154" s="15" t="s">
        <v>295</v>
      </c>
      <c r="O154" s="15" t="s">
        <v>677</v>
      </c>
      <c r="P154" s="15" t="str">
        <f>VLOOKUP(Y154,'All Codes'!$BF$3:$BG$278,2,FALSE)</f>
        <v>MPU</v>
      </c>
      <c r="Q154" s="15" t="s">
        <v>179</v>
      </c>
      <c r="R154" s="15" t="s">
        <v>277</v>
      </c>
      <c r="S154" s="15" t="s">
        <v>865</v>
      </c>
      <c r="T154" s="46" t="s">
        <v>884</v>
      </c>
      <c r="U154" s="15" t="s">
        <v>876</v>
      </c>
      <c r="V154" s="55" t="s">
        <v>1267</v>
      </c>
      <c r="W154" s="15" t="s">
        <v>866</v>
      </c>
      <c r="X154" s="15" t="s">
        <v>307</v>
      </c>
      <c r="Y154" s="46" t="s">
        <v>455</v>
      </c>
      <c r="Z154" s="15"/>
      <c r="AA154" s="15"/>
      <c r="AB154" s="15"/>
      <c r="AC154" s="15"/>
      <c r="AD154" s="15"/>
      <c r="AE154" s="15"/>
      <c r="AF154" s="15"/>
      <c r="AG154" s="15"/>
      <c r="AH154" s="15" t="str">
        <f t="shared" si="94"/>
        <v>284335938</v>
      </c>
      <c r="AI154" s="21" t="str">
        <f t="shared" si="95"/>
        <v>alp_vw_dv360_imc_dsy_lanch_nd_nc_nvs_nivus-launch-consideracao-orca__trafego_cpm_drct_all_300x250_lancamento-nivus-orca-customerlist1st-v2_na_lancamento-consideracao-nivus-orca_nvl-nvs-imc-dsy-0820-10154</v>
      </c>
      <c r="AJ154" s="40" t="str">
        <f t="shared" si="95"/>
        <v>alp_vw_dv360_imc_dsy_lanch_nd_nc_nvs_nivus-launch-consideracao-orca__trafego_cpm_drct_all_300x250_lancamento-nivus-orca-customerlist1st-v2_na_lancamento-consideracao-nivus-orca_nvl-nvs-imc-dsy-0820-10154</v>
      </c>
      <c r="AK154" s="21" t="str">
        <f t="shared" si="71"/>
        <v>vw_nivus_300x250_lancamento-consideracao-nivus-orca_adserver</v>
      </c>
      <c r="AL154" s="21" t="str">
        <f t="shared" si="81"/>
        <v>https://www.vw.com.br/pt/configurador.html/__app/%2Fnivus/0.app?adlid=nvl-nvs-imc-dsy-0820-10154&amp;adplt=alp_vw_dv360_imc_dsy_lanch_nd_nc_nvs_nivus-launch-consideracao-orca__trafego_cpm_drct_all_300x250_lancamento-nivus-orca-customerlist1st-v2_na_lancamento-consideracao-nivus-orca_nvl-nvs-imc-dsy-0820-10154</v>
      </c>
      <c r="AM154" s="21" t="str">
        <f t="shared" si="72"/>
        <v>TAG</v>
      </c>
      <c r="AN154" s="15" t="str">
        <f t="shared" si="82"/>
        <v>DV360</v>
      </c>
      <c r="AO154" s="15" t="str">
        <f t="shared" si="83"/>
        <v>Paid-Display</v>
      </c>
      <c r="AP154" s="21" t="str">
        <f>Campanha!$B$3</f>
        <v>BR_IMC_DSY_LANCH_ND_NC_2020Q3AUG_NVS_Nivus-Launch-Consideracao-Orca</v>
      </c>
      <c r="AQ154" s="21" t="str">
        <f t="shared" si="73"/>
        <v>alp_vw_dv360_imc_dsy_lanch_nd_nc_nvs_nivus-launch-consideracao-orca__trafego_cpm_drct_all_300x250_lancamento-nivus-orca-customerlist1st-v2_na_lancamento-consideracao-nivus-orca_nvl-nvs-imc-dsy-0820-10154</v>
      </c>
      <c r="AR154" s="15" t="s">
        <v>745</v>
      </c>
      <c r="AS154" s="21" t="str">
        <f t="shared" si="74"/>
        <v>https://www.vw.com.br/pt/configurador.html/__app/%2Fnivus/0.app?utm_source=DV360&amp;utm_medium=Paid-Display&amp;utm_content=alp_vw_dv360_imc_dsy_lanch_nd_nc_nvs_nivus-launch-consideracao-orca__trafego_cpm_drct_all_300x250_lancamento-nivus-orca-customerlist1st-v2_na_lancamento-consideracao-nivus-orca_nvl-nvs-imc-dsy-0820-10154&amp;utm_campaign=BR_IMC_DSY_LANCH_ND_NC_2020Q3AUG_NVS_Nivus-Launch-Consideracao-Orca&amp;utm_term=%epid!_%ecid!_%eaid!</v>
      </c>
      <c r="AT154" s="15" t="str">
        <f t="shared" si="84"/>
        <v>other</v>
      </c>
      <c r="AU154" s="15" t="str">
        <f t="shared" si="75"/>
        <v>BR</v>
      </c>
      <c r="AV154" s="15" t="str">
        <f t="shared" si="85"/>
        <v>dv360</v>
      </c>
      <c r="AW154" s="15" t="str">
        <f t="shared" si="86"/>
        <v>dv360</v>
      </c>
      <c r="AX154" s="15" t="str">
        <f t="shared" si="76"/>
        <v>nivus-launch-consideracao-orca</v>
      </c>
      <c r="AY154" s="15" t="str">
        <f t="shared" si="87"/>
        <v>alp_vw_dv360_imc_dsy_lanch_nd_nc_nvs_nivus-launch-consideracao-orca__trafego_cpm_drct_all_300x250_lancamento-nivus-orca-customerlist1st-v2_na_lancamento-consideracao-nivus-orca_nvl-nvs-imc-dsy-0820-10154</v>
      </c>
      <c r="AZ154" s="15" t="str">
        <f t="shared" si="88"/>
        <v>300x250</v>
      </c>
      <c r="BA154" s="15" t="str">
        <f t="shared" si="89"/>
        <v>lancamento-consideracao-nivus-orca</v>
      </c>
      <c r="BB154" s="28" t="s">
        <v>798</v>
      </c>
      <c r="BC154" s="28" t="s">
        <v>798</v>
      </c>
      <c r="BD154" s="38" t="str">
        <f t="shared" si="90"/>
        <v>nvl-nvs-imc-dsy-0820-10154</v>
      </c>
      <c r="BE154" s="15" t="str">
        <f t="shared" si="91"/>
        <v>BR</v>
      </c>
      <c r="BF154" s="15" t="str">
        <f t="shared" si="92"/>
        <v>paid</v>
      </c>
      <c r="BG154" s="28"/>
      <c r="BH154" s="28"/>
      <c r="BI154" s="36" t="str">
        <f t="shared" si="77"/>
        <v>https://www.vw.com.br/pt/configurador.html/__app/%2Fnivus/0.app?adlid=nvl-nvs-imc-dsy-0820-10154&amp;adplt=alp_vw_dv360_imc_dsy_lanch_nd_nc_nvs_nivus-launch-consideracao-orca__trafego_cpm_drct_all_300x250_lancamento-nivus-orca-customerlist1st-v2_na_lancamento-consideracao-nivus-orca_nvl-nvs-imc-dsy-0820-10154</v>
      </c>
      <c r="BL154" t="str">
        <f t="shared" si="78"/>
        <v>alp_vw_dv360_imc_dsy_lanch_nd_nc_nvs_nivus-launch-consideracao-orca__trafego</v>
      </c>
      <c r="BM154" t="str">
        <f t="shared" si="79"/>
        <v>cpm_drct_all_300x250_lancamento-nivus-orca-customerlist1st-v2_na</v>
      </c>
      <c r="BN154" t="str">
        <f t="shared" si="80"/>
        <v>alp_vw_dv360_imc_dsy_lanch_nd_nc_nvs_nivus-launch-consideracao-orca__trafego_cpm_drct_all_300x250_lancamento-nivus-orca-customerlist1st-v2_na_generico_nvl-nvs-imc-dsy-0820-10154</v>
      </c>
    </row>
    <row r="155" spans="2:66" ht="15.75" customHeight="1" x14ac:dyDescent="0.25">
      <c r="B155" s="15" t="s">
        <v>1291</v>
      </c>
      <c r="C155" s="15" t="s">
        <v>1292</v>
      </c>
      <c r="D155" s="15"/>
      <c r="E155" s="22">
        <v>44069</v>
      </c>
      <c r="F155" s="22">
        <v>44135</v>
      </c>
      <c r="G155" s="15" t="s">
        <v>651</v>
      </c>
      <c r="H155" s="41" t="s">
        <v>1266</v>
      </c>
      <c r="I155" s="15" t="s">
        <v>801</v>
      </c>
      <c r="J155" s="42" t="s">
        <v>883</v>
      </c>
      <c r="K155" s="42" t="s">
        <v>883</v>
      </c>
      <c r="L155" s="15" t="s">
        <v>676</v>
      </c>
      <c r="M155" s="15" t="s">
        <v>276</v>
      </c>
      <c r="N155" s="15" t="s">
        <v>295</v>
      </c>
      <c r="O155" s="15" t="s">
        <v>677</v>
      </c>
      <c r="P155" s="15" t="str">
        <f>VLOOKUP(Y155,'All Codes'!$BF$3:$BG$278,2,FALSE)</f>
        <v>Skyscraper</v>
      </c>
      <c r="Q155" s="15" t="s">
        <v>179</v>
      </c>
      <c r="R155" s="15" t="s">
        <v>277</v>
      </c>
      <c r="S155" s="15" t="s">
        <v>865</v>
      </c>
      <c r="T155" s="46" t="s">
        <v>884</v>
      </c>
      <c r="U155" s="15" t="s">
        <v>876</v>
      </c>
      <c r="V155" s="55" t="s">
        <v>1267</v>
      </c>
      <c r="W155" s="15" t="s">
        <v>866</v>
      </c>
      <c r="X155" s="15" t="s">
        <v>307</v>
      </c>
      <c r="Y155" s="46" t="s">
        <v>464</v>
      </c>
      <c r="Z155" s="15"/>
      <c r="AA155" s="15"/>
      <c r="AB155" s="15"/>
      <c r="AC155" s="15"/>
      <c r="AD155" s="15"/>
      <c r="AE155" s="15"/>
      <c r="AF155" s="15"/>
      <c r="AG155" s="15"/>
      <c r="AH155" s="15" t="str">
        <f t="shared" si="94"/>
        <v>284335935</v>
      </c>
      <c r="AI155" s="21" t="str">
        <f t="shared" si="95"/>
        <v>alp_vw_dv360_imc_dsy_lanch_nd_nc_nvs_nivus-launch-consideracao-orca__trafego_cpm_drct_all_300x600_lancamento-nivus-orca-customerlist1st-v2_na_lancamento-consideracao-nivus-orca_nvl-nvs-imc-dsy-0820-10155</v>
      </c>
      <c r="AJ155" s="40" t="str">
        <f t="shared" si="95"/>
        <v>alp_vw_dv360_imc_dsy_lanch_nd_nc_nvs_nivus-launch-consideracao-orca__trafego_cpm_drct_all_300x600_lancamento-nivus-orca-customerlist1st-v2_na_lancamento-consideracao-nivus-orca_nvl-nvs-imc-dsy-0820-10155</v>
      </c>
      <c r="AK155" s="21" t="str">
        <f t="shared" si="71"/>
        <v>vw_nivus_300x600_lancamento-consideracao-nivus-orca_adserver</v>
      </c>
      <c r="AL155" s="21" t="str">
        <f t="shared" si="81"/>
        <v>https://www.vw.com.br/pt/configurador.html/__app/%2Fnivus/0.app?adlid=nvl-nvs-imc-dsy-0820-10155&amp;adplt=alp_vw_dv360_imc_dsy_lanch_nd_nc_nvs_nivus-launch-consideracao-orca__trafego_cpm_drct_all_300x600_lancamento-nivus-orca-customerlist1st-v2_na_lancamento-consideracao-nivus-orca_nvl-nvs-imc-dsy-0820-10155</v>
      </c>
      <c r="AM155" s="21" t="str">
        <f t="shared" si="72"/>
        <v>TAG</v>
      </c>
      <c r="AN155" s="15" t="str">
        <f t="shared" si="82"/>
        <v>DV360</v>
      </c>
      <c r="AO155" s="15" t="str">
        <f t="shared" si="83"/>
        <v>Paid-Display</v>
      </c>
      <c r="AP155" s="21" t="str">
        <f>Campanha!$B$3</f>
        <v>BR_IMC_DSY_LANCH_ND_NC_2020Q3AUG_NVS_Nivus-Launch-Consideracao-Orca</v>
      </c>
      <c r="AQ155" s="21" t="str">
        <f t="shared" si="73"/>
        <v>alp_vw_dv360_imc_dsy_lanch_nd_nc_nvs_nivus-launch-consideracao-orca__trafego_cpm_drct_all_300x600_lancamento-nivus-orca-customerlist1st-v2_na_lancamento-consideracao-nivus-orca_nvl-nvs-imc-dsy-0820-10155</v>
      </c>
      <c r="AR155" s="15" t="s">
        <v>745</v>
      </c>
      <c r="AS155" s="21" t="str">
        <f t="shared" si="74"/>
        <v>https://www.vw.com.br/pt/configurador.html/__app/%2Fnivus/0.app?utm_source=DV360&amp;utm_medium=Paid-Display&amp;utm_content=alp_vw_dv360_imc_dsy_lanch_nd_nc_nvs_nivus-launch-consideracao-orca__trafego_cpm_drct_all_300x600_lancamento-nivus-orca-customerlist1st-v2_na_lancamento-consideracao-nivus-orca_nvl-nvs-imc-dsy-0820-10155&amp;utm_campaign=BR_IMC_DSY_LANCH_ND_NC_2020Q3AUG_NVS_Nivus-Launch-Consideracao-Orca&amp;utm_term=%epid!_%ecid!_%eaid!</v>
      </c>
      <c r="AT155" s="15" t="str">
        <f t="shared" si="84"/>
        <v>other</v>
      </c>
      <c r="AU155" s="15" t="str">
        <f t="shared" si="75"/>
        <v>BR</v>
      </c>
      <c r="AV155" s="15" t="str">
        <f t="shared" si="85"/>
        <v>dv360</v>
      </c>
      <c r="AW155" s="15" t="str">
        <f t="shared" si="86"/>
        <v>dv360</v>
      </c>
      <c r="AX155" s="15" t="str">
        <f t="shared" si="76"/>
        <v>nivus-launch-consideracao-orca</v>
      </c>
      <c r="AY155" s="15" t="str">
        <f t="shared" si="87"/>
        <v>alp_vw_dv360_imc_dsy_lanch_nd_nc_nvs_nivus-launch-consideracao-orca__trafego_cpm_drct_all_300x600_lancamento-nivus-orca-customerlist1st-v2_na_lancamento-consideracao-nivus-orca_nvl-nvs-imc-dsy-0820-10155</v>
      </c>
      <c r="AZ155" s="15" t="str">
        <f t="shared" si="88"/>
        <v>300x600</v>
      </c>
      <c r="BA155" s="15" t="str">
        <f t="shared" si="89"/>
        <v>lancamento-consideracao-nivus-orca</v>
      </c>
      <c r="BB155" s="28" t="s">
        <v>798</v>
      </c>
      <c r="BC155" s="28" t="s">
        <v>798</v>
      </c>
      <c r="BD155" s="38" t="str">
        <f t="shared" si="90"/>
        <v>nvl-nvs-imc-dsy-0820-10155</v>
      </c>
      <c r="BE155" s="15" t="str">
        <f t="shared" si="91"/>
        <v>BR</v>
      </c>
      <c r="BF155" s="15" t="str">
        <f t="shared" si="92"/>
        <v>paid</v>
      </c>
      <c r="BG155" s="28"/>
      <c r="BH155" s="28"/>
      <c r="BI155" s="36" t="str">
        <f t="shared" si="77"/>
        <v>https://www.vw.com.br/pt/configurador.html/__app/%2Fnivus/0.app?adlid=nvl-nvs-imc-dsy-0820-10155&amp;adplt=alp_vw_dv360_imc_dsy_lanch_nd_nc_nvs_nivus-launch-consideracao-orca__trafego_cpm_drct_all_300x600_lancamento-nivus-orca-customerlist1st-v2_na_lancamento-consideracao-nivus-orca_nvl-nvs-imc-dsy-0820-10155</v>
      </c>
      <c r="BL155" t="str">
        <f t="shared" si="78"/>
        <v>alp_vw_dv360_imc_dsy_lanch_nd_nc_nvs_nivus-launch-consideracao-orca__trafego</v>
      </c>
      <c r="BM155" t="str">
        <f t="shared" si="79"/>
        <v>cpm_drct_all_300x600_lancamento-nivus-orca-customerlist1st-v2_na</v>
      </c>
      <c r="BN155" t="str">
        <f t="shared" si="80"/>
        <v>alp_vw_dv360_imc_dsy_lanch_nd_nc_nvs_nivus-launch-consideracao-orca__trafego_cpm_drct_all_300x600_lancamento-nivus-orca-customerlist1st-v2_na_generico_nvl-nvs-imc-dsy-0820-10155</v>
      </c>
    </row>
    <row r="156" spans="2:66" ht="15.75" customHeight="1" x14ac:dyDescent="0.25">
      <c r="B156" s="15" t="s">
        <v>1291</v>
      </c>
      <c r="C156" s="15" t="s">
        <v>1292</v>
      </c>
      <c r="D156" s="15"/>
      <c r="E156" s="22">
        <v>44069</v>
      </c>
      <c r="F156" s="22">
        <v>44135</v>
      </c>
      <c r="G156" s="15" t="s">
        <v>651</v>
      </c>
      <c r="H156" s="41" t="s">
        <v>1266</v>
      </c>
      <c r="I156" s="15" t="s">
        <v>801</v>
      </c>
      <c r="J156" s="42" t="s">
        <v>883</v>
      </c>
      <c r="K156" s="42" t="s">
        <v>883</v>
      </c>
      <c r="L156" s="15" t="s">
        <v>676</v>
      </c>
      <c r="M156" s="15" t="s">
        <v>276</v>
      </c>
      <c r="N156" s="15" t="s">
        <v>295</v>
      </c>
      <c r="O156" s="15" t="s">
        <v>677</v>
      </c>
      <c r="P156" s="15" t="str">
        <f>VLOOKUP(Y156,'All Codes'!$BF$3:$BG$278,2,FALSE)</f>
        <v>MPU</v>
      </c>
      <c r="Q156" s="15" t="s">
        <v>179</v>
      </c>
      <c r="R156" s="15" t="s">
        <v>277</v>
      </c>
      <c r="S156" s="15" t="s">
        <v>865</v>
      </c>
      <c r="T156" s="46" t="s">
        <v>884</v>
      </c>
      <c r="U156" s="15" t="s">
        <v>876</v>
      </c>
      <c r="V156" s="55" t="s">
        <v>1267</v>
      </c>
      <c r="W156" s="15" t="s">
        <v>866</v>
      </c>
      <c r="X156" s="15" t="s">
        <v>307</v>
      </c>
      <c r="Y156" s="46" t="s">
        <v>479</v>
      </c>
      <c r="Z156" s="15"/>
      <c r="AA156" s="15"/>
      <c r="AB156" s="15"/>
      <c r="AC156" s="15"/>
      <c r="AD156" s="15"/>
      <c r="AE156" s="15"/>
      <c r="AF156" s="15"/>
      <c r="AG156" s="15"/>
      <c r="AH156" s="15" t="str">
        <f t="shared" si="94"/>
        <v>284335932</v>
      </c>
      <c r="AI156" s="21" t="str">
        <f t="shared" si="95"/>
        <v>alp_vw_dv360_imc_dsy_lanch_nd_nc_nvs_nivus-launch-consideracao-orca__trafego_cpm_drct_all_320x50_lancamento-nivus-orca-customerlist1st-v2_na_lancamento-consideracao-nivus-orca_nvl-nvs-imc-dsy-0820-10156</v>
      </c>
      <c r="AJ156" s="40" t="str">
        <f t="shared" si="95"/>
        <v>alp_vw_dv360_imc_dsy_lanch_nd_nc_nvs_nivus-launch-consideracao-orca__trafego_cpm_drct_all_320x50_lancamento-nivus-orca-customerlist1st-v2_na_lancamento-consideracao-nivus-orca_nvl-nvs-imc-dsy-0820-10156</v>
      </c>
      <c r="AK156" s="21" t="str">
        <f t="shared" si="71"/>
        <v>vw_nivus_320x50_lancamento-consideracao-nivus-orca_adserver</v>
      </c>
      <c r="AL156" s="21" t="str">
        <f t="shared" si="81"/>
        <v>https://www.vw.com.br/pt/configurador.html/__app/%2Fnivus/0.app?adlid=nvl-nvs-imc-dsy-0820-10156&amp;adplt=alp_vw_dv360_imc_dsy_lanch_nd_nc_nvs_nivus-launch-consideracao-orca__trafego_cpm_drct_all_320x50_lancamento-nivus-orca-customerlist1st-v2_na_lancamento-consideracao-nivus-orca_nvl-nvs-imc-dsy-0820-10156</v>
      </c>
      <c r="AM156" s="21" t="str">
        <f t="shared" si="72"/>
        <v>TAG</v>
      </c>
      <c r="AN156" s="15" t="str">
        <f t="shared" si="82"/>
        <v>DV360</v>
      </c>
      <c r="AO156" s="15" t="str">
        <f t="shared" si="83"/>
        <v>Paid-Display</v>
      </c>
      <c r="AP156" s="21" t="str">
        <f>Campanha!$B$3</f>
        <v>BR_IMC_DSY_LANCH_ND_NC_2020Q3AUG_NVS_Nivus-Launch-Consideracao-Orca</v>
      </c>
      <c r="AQ156" s="21" t="str">
        <f t="shared" si="73"/>
        <v>alp_vw_dv360_imc_dsy_lanch_nd_nc_nvs_nivus-launch-consideracao-orca__trafego_cpm_drct_all_320x50_lancamento-nivus-orca-customerlist1st-v2_na_lancamento-consideracao-nivus-orca_nvl-nvs-imc-dsy-0820-10156</v>
      </c>
      <c r="AR156" s="15" t="s">
        <v>745</v>
      </c>
      <c r="AS156" s="21" t="str">
        <f t="shared" si="74"/>
        <v>https://www.vw.com.br/pt/configurador.html/__app/%2Fnivus/0.app?utm_source=DV360&amp;utm_medium=Paid-Display&amp;utm_content=alp_vw_dv360_imc_dsy_lanch_nd_nc_nvs_nivus-launch-consideracao-orca__trafego_cpm_drct_all_320x50_lancamento-nivus-orca-customerlist1st-v2_na_lancamento-consideracao-nivus-orca_nvl-nvs-imc-dsy-0820-10156&amp;utm_campaign=BR_IMC_DSY_LANCH_ND_NC_2020Q3AUG_NVS_Nivus-Launch-Consideracao-Orca&amp;utm_term=%epid!_%ecid!_%eaid!</v>
      </c>
      <c r="AT156" s="15" t="str">
        <f t="shared" si="84"/>
        <v>other</v>
      </c>
      <c r="AU156" s="15" t="str">
        <f t="shared" si="75"/>
        <v>BR</v>
      </c>
      <c r="AV156" s="15" t="str">
        <f t="shared" si="85"/>
        <v>dv360</v>
      </c>
      <c r="AW156" s="15" t="str">
        <f t="shared" si="86"/>
        <v>dv360</v>
      </c>
      <c r="AX156" s="15" t="str">
        <f t="shared" si="76"/>
        <v>nivus-launch-consideracao-orca</v>
      </c>
      <c r="AY156" s="15" t="str">
        <f t="shared" si="87"/>
        <v>alp_vw_dv360_imc_dsy_lanch_nd_nc_nvs_nivus-launch-consideracao-orca__trafego_cpm_drct_all_320x50_lancamento-nivus-orca-customerlist1st-v2_na_lancamento-consideracao-nivus-orca_nvl-nvs-imc-dsy-0820-10156</v>
      </c>
      <c r="AZ156" s="15" t="str">
        <f t="shared" si="88"/>
        <v>320x50</v>
      </c>
      <c r="BA156" s="15" t="str">
        <f t="shared" si="89"/>
        <v>lancamento-consideracao-nivus-orca</v>
      </c>
      <c r="BB156" s="28" t="s">
        <v>798</v>
      </c>
      <c r="BC156" s="28" t="s">
        <v>798</v>
      </c>
      <c r="BD156" s="38" t="str">
        <f t="shared" si="90"/>
        <v>nvl-nvs-imc-dsy-0820-10156</v>
      </c>
      <c r="BE156" s="15" t="str">
        <f t="shared" si="91"/>
        <v>BR</v>
      </c>
      <c r="BF156" s="15" t="str">
        <f t="shared" si="92"/>
        <v>paid</v>
      </c>
      <c r="BG156" s="28"/>
      <c r="BH156" s="28"/>
      <c r="BI156" s="36" t="str">
        <f t="shared" si="77"/>
        <v>https://www.vw.com.br/pt/configurador.html/__app/%2Fnivus/0.app?adlid=nvl-nvs-imc-dsy-0820-10156&amp;adplt=alp_vw_dv360_imc_dsy_lanch_nd_nc_nvs_nivus-launch-consideracao-orca__trafego_cpm_drct_all_320x50_lancamento-nivus-orca-customerlist1st-v2_na_lancamento-consideracao-nivus-orca_nvl-nvs-imc-dsy-0820-10156</v>
      </c>
      <c r="BL156" t="str">
        <f t="shared" si="78"/>
        <v>alp_vw_dv360_imc_dsy_lanch_nd_nc_nvs_nivus-launch-consideracao-orca__trafego</v>
      </c>
      <c r="BM156" t="str">
        <f t="shared" si="79"/>
        <v>cpm_drct_all_320x50_lancamento-nivus-orca-customerlist1st-v2_na</v>
      </c>
      <c r="BN156" t="str">
        <f t="shared" si="80"/>
        <v>alp_vw_dv360_imc_dsy_lanch_nd_nc_nvs_nivus-launch-consideracao-orca__trafego_cpm_drct_all_320x50_lancamento-nivus-orca-customerlist1st-v2_na_generico_nvl-nvs-imc-dsy-0820-10156</v>
      </c>
    </row>
    <row r="157" spans="2:66" ht="15.75" customHeight="1" x14ac:dyDescent="0.25">
      <c r="B157" s="15" t="s">
        <v>1291</v>
      </c>
      <c r="C157" s="15" t="s">
        <v>1292</v>
      </c>
      <c r="D157" s="15"/>
      <c r="E157" s="22">
        <v>44069</v>
      </c>
      <c r="F157" s="22">
        <v>44135</v>
      </c>
      <c r="G157" s="15" t="s">
        <v>651</v>
      </c>
      <c r="H157" s="41" t="s">
        <v>1266</v>
      </c>
      <c r="I157" s="15" t="s">
        <v>801</v>
      </c>
      <c r="J157" s="42" t="s">
        <v>883</v>
      </c>
      <c r="K157" s="42" t="s">
        <v>883</v>
      </c>
      <c r="L157" s="15" t="s">
        <v>676</v>
      </c>
      <c r="M157" s="15" t="s">
        <v>276</v>
      </c>
      <c r="N157" s="15" t="s">
        <v>295</v>
      </c>
      <c r="O157" s="15" t="s">
        <v>677</v>
      </c>
      <c r="P157" s="15" t="str">
        <f>VLOOKUP(Y157,'All Codes'!$BF$3:$BG$278,2,FALSE)</f>
        <v>Leaderboard</v>
      </c>
      <c r="Q157" s="15" t="s">
        <v>179</v>
      </c>
      <c r="R157" s="15" t="s">
        <v>277</v>
      </c>
      <c r="S157" s="15" t="s">
        <v>865</v>
      </c>
      <c r="T157" s="46" t="s">
        <v>884</v>
      </c>
      <c r="U157" s="15" t="s">
        <v>876</v>
      </c>
      <c r="V157" s="55" t="s">
        <v>1267</v>
      </c>
      <c r="W157" s="15" t="s">
        <v>866</v>
      </c>
      <c r="X157" s="15" t="s">
        <v>307</v>
      </c>
      <c r="Y157" s="46" t="s">
        <v>591</v>
      </c>
      <c r="Z157" s="15"/>
      <c r="AA157" s="15"/>
      <c r="AB157" s="15"/>
      <c r="AC157" s="15"/>
      <c r="AD157" s="15"/>
      <c r="AE157" s="15"/>
      <c r="AF157" s="15"/>
      <c r="AG157" s="15"/>
      <c r="AH157" s="15" t="str">
        <f t="shared" si="94"/>
        <v>284335929</v>
      </c>
      <c r="AI157" s="21" t="str">
        <f t="shared" si="95"/>
        <v>alp_vw_dv360_imc_dsy_lanch_nd_nc_nvs_nivus-launch-consideracao-orca__trafego_cpm_drct_all_728x90_lancamento-nivus-orca-customerlist1st-v2_na_lancamento-consideracao-nivus-orca_nvl-nvs-imc-dsy-0820-10157</v>
      </c>
      <c r="AJ157" s="40" t="str">
        <f t="shared" si="95"/>
        <v>alp_vw_dv360_imc_dsy_lanch_nd_nc_nvs_nivus-launch-consideracao-orca__trafego_cpm_drct_all_728x90_lancamento-nivus-orca-customerlist1st-v2_na_lancamento-consideracao-nivus-orca_nvl-nvs-imc-dsy-0820-10157</v>
      </c>
      <c r="AK157" s="21" t="str">
        <f t="shared" si="71"/>
        <v>vw_nivus_728x90_lancamento-consideracao-nivus-orca_adserver</v>
      </c>
      <c r="AL157" s="21" t="str">
        <f t="shared" si="81"/>
        <v>https://www.vw.com.br/pt/configurador.html/__app/%2Fnivus/0.app?adlid=nvl-nvs-imc-dsy-0820-10157&amp;adplt=alp_vw_dv360_imc_dsy_lanch_nd_nc_nvs_nivus-launch-consideracao-orca__trafego_cpm_drct_all_728x90_lancamento-nivus-orca-customerlist1st-v2_na_lancamento-consideracao-nivus-orca_nvl-nvs-imc-dsy-0820-10157</v>
      </c>
      <c r="AM157" s="21" t="str">
        <f t="shared" si="72"/>
        <v>TAG</v>
      </c>
      <c r="AN157" s="15" t="str">
        <f t="shared" si="82"/>
        <v>DV360</v>
      </c>
      <c r="AO157" s="15" t="str">
        <f t="shared" si="83"/>
        <v>Paid-Display</v>
      </c>
      <c r="AP157" s="21" t="str">
        <f>Campanha!$B$3</f>
        <v>BR_IMC_DSY_LANCH_ND_NC_2020Q3AUG_NVS_Nivus-Launch-Consideracao-Orca</v>
      </c>
      <c r="AQ157" s="21" t="str">
        <f t="shared" si="73"/>
        <v>alp_vw_dv360_imc_dsy_lanch_nd_nc_nvs_nivus-launch-consideracao-orca__trafego_cpm_drct_all_728x90_lancamento-nivus-orca-customerlist1st-v2_na_lancamento-consideracao-nivus-orca_nvl-nvs-imc-dsy-0820-10157</v>
      </c>
      <c r="AR157" s="15" t="s">
        <v>745</v>
      </c>
      <c r="AS157" s="21" t="str">
        <f t="shared" si="74"/>
        <v>https://www.vw.com.br/pt/configurador.html/__app/%2Fnivus/0.app?utm_source=DV360&amp;utm_medium=Paid-Display&amp;utm_content=alp_vw_dv360_imc_dsy_lanch_nd_nc_nvs_nivus-launch-consideracao-orca__trafego_cpm_drct_all_728x90_lancamento-nivus-orca-customerlist1st-v2_na_lancamento-consideracao-nivus-orca_nvl-nvs-imc-dsy-0820-10157&amp;utm_campaign=BR_IMC_DSY_LANCH_ND_NC_2020Q3AUG_NVS_Nivus-Launch-Consideracao-Orca&amp;utm_term=%epid!_%ecid!_%eaid!</v>
      </c>
      <c r="AT157" s="15" t="str">
        <f t="shared" si="84"/>
        <v>other</v>
      </c>
      <c r="AU157" s="15" t="str">
        <f t="shared" si="75"/>
        <v>BR</v>
      </c>
      <c r="AV157" s="15" t="str">
        <f t="shared" si="85"/>
        <v>dv360</v>
      </c>
      <c r="AW157" s="15" t="str">
        <f t="shared" si="86"/>
        <v>dv360</v>
      </c>
      <c r="AX157" s="15" t="str">
        <f t="shared" si="76"/>
        <v>nivus-launch-consideracao-orca</v>
      </c>
      <c r="AY157" s="15" t="str">
        <f t="shared" si="87"/>
        <v>alp_vw_dv360_imc_dsy_lanch_nd_nc_nvs_nivus-launch-consideracao-orca__trafego_cpm_drct_all_728x90_lancamento-nivus-orca-customerlist1st-v2_na_lancamento-consideracao-nivus-orca_nvl-nvs-imc-dsy-0820-10157</v>
      </c>
      <c r="AZ157" s="15" t="str">
        <f t="shared" si="88"/>
        <v>728x90</v>
      </c>
      <c r="BA157" s="15" t="str">
        <f t="shared" si="89"/>
        <v>lancamento-consideracao-nivus-orca</v>
      </c>
      <c r="BB157" s="28" t="s">
        <v>798</v>
      </c>
      <c r="BC157" s="28" t="s">
        <v>798</v>
      </c>
      <c r="BD157" s="38" t="str">
        <f t="shared" si="90"/>
        <v>nvl-nvs-imc-dsy-0820-10157</v>
      </c>
      <c r="BE157" s="15" t="str">
        <f t="shared" si="91"/>
        <v>BR</v>
      </c>
      <c r="BF157" s="15" t="str">
        <f t="shared" si="92"/>
        <v>paid</v>
      </c>
      <c r="BG157" s="28"/>
      <c r="BH157" s="28"/>
      <c r="BI157" s="36" t="str">
        <f t="shared" si="77"/>
        <v>https://www.vw.com.br/pt/configurador.html/__app/%2Fnivus/0.app?adlid=nvl-nvs-imc-dsy-0820-10157&amp;adplt=alp_vw_dv360_imc_dsy_lanch_nd_nc_nvs_nivus-launch-consideracao-orca__trafego_cpm_drct_all_728x90_lancamento-nivus-orca-customerlist1st-v2_na_lancamento-consideracao-nivus-orca_nvl-nvs-imc-dsy-0820-10157</v>
      </c>
      <c r="BL157" t="str">
        <f t="shared" si="78"/>
        <v>alp_vw_dv360_imc_dsy_lanch_nd_nc_nvs_nivus-launch-consideracao-orca__trafego</v>
      </c>
      <c r="BM157" t="str">
        <f t="shared" si="79"/>
        <v>cpm_drct_all_728x90_lancamento-nivus-orca-customerlist1st-v2_na</v>
      </c>
      <c r="BN157" t="str">
        <f t="shared" si="80"/>
        <v>alp_vw_dv360_imc_dsy_lanch_nd_nc_nvs_nivus-launch-consideracao-orca__trafego_cpm_drct_all_728x90_lancamento-nivus-orca-customerlist1st-v2_na_generico_nvl-nvs-imc-dsy-0820-10157</v>
      </c>
    </row>
    <row r="158" spans="2:66" ht="15.75" customHeight="1" x14ac:dyDescent="0.25">
      <c r="B158" s="15" t="s">
        <v>1291</v>
      </c>
      <c r="C158" s="15" t="s">
        <v>1292</v>
      </c>
      <c r="D158" s="15"/>
      <c r="E158" s="22">
        <v>44069</v>
      </c>
      <c r="F158" s="22">
        <v>44135</v>
      </c>
      <c r="G158" s="15" t="s">
        <v>651</v>
      </c>
      <c r="H158" s="41" t="s">
        <v>1266</v>
      </c>
      <c r="I158" s="15" t="s">
        <v>801</v>
      </c>
      <c r="J158" s="42" t="s">
        <v>883</v>
      </c>
      <c r="K158" s="42" t="s">
        <v>883</v>
      </c>
      <c r="L158" s="15" t="s">
        <v>676</v>
      </c>
      <c r="M158" s="15" t="s">
        <v>276</v>
      </c>
      <c r="N158" s="15" t="s">
        <v>295</v>
      </c>
      <c r="O158" s="15" t="s">
        <v>677</v>
      </c>
      <c r="P158" s="15" t="str">
        <f>VLOOKUP(Y158,'All Codes'!$BF$3:$BG$278,2,FALSE)</f>
        <v>Leaderboard</v>
      </c>
      <c r="Q158" s="15" t="s">
        <v>179</v>
      </c>
      <c r="R158" s="15" t="s">
        <v>277</v>
      </c>
      <c r="S158" s="15" t="s">
        <v>865</v>
      </c>
      <c r="T158" s="46" t="s">
        <v>884</v>
      </c>
      <c r="U158" s="15" t="s">
        <v>876</v>
      </c>
      <c r="V158" s="55" t="s">
        <v>1267</v>
      </c>
      <c r="W158" s="15" t="s">
        <v>866</v>
      </c>
      <c r="X158" s="15" t="s">
        <v>307</v>
      </c>
      <c r="Y158" s="46" t="s">
        <v>629</v>
      </c>
      <c r="Z158" s="15"/>
      <c r="AA158" s="15"/>
      <c r="AB158" s="15"/>
      <c r="AC158" s="15"/>
      <c r="AD158" s="15"/>
      <c r="AE158" s="15"/>
      <c r="AF158" s="15"/>
      <c r="AG158" s="15"/>
      <c r="AH158" s="15" t="str">
        <f t="shared" si="94"/>
        <v>284335926</v>
      </c>
      <c r="AI158" s="21" t="str">
        <f t="shared" si="95"/>
        <v>alp_vw_dv360_imc_dsy_lanch_nd_nc_nvs_nivus-launch-consideracao-orca__trafego_cpm_drct_all_970x250_lancamento-nivus-orca-customerlist1st-v2_na_lancamento-consideracao-nivus-orca_nvl-nvs-imc-dsy-0820-10158</v>
      </c>
      <c r="AJ158" s="40" t="str">
        <f t="shared" si="95"/>
        <v>alp_vw_dv360_imc_dsy_lanch_nd_nc_nvs_nivus-launch-consideracao-orca__trafego_cpm_drct_all_970x250_lancamento-nivus-orca-customerlist1st-v2_na_lancamento-consideracao-nivus-orca_nvl-nvs-imc-dsy-0820-10158</v>
      </c>
      <c r="AK158" s="21" t="str">
        <f t="shared" si="71"/>
        <v>vw_nivus_970x250_lancamento-consideracao-nivus-orca_adserver</v>
      </c>
      <c r="AL158" s="21" t="str">
        <f t="shared" si="81"/>
        <v>https://www.vw.com.br/pt/configurador.html/__app/%2Fnivus/0.app?adlid=nvl-nvs-imc-dsy-0820-10158&amp;adplt=alp_vw_dv360_imc_dsy_lanch_nd_nc_nvs_nivus-launch-consideracao-orca__trafego_cpm_drct_all_970x250_lancamento-nivus-orca-customerlist1st-v2_na_lancamento-consideracao-nivus-orca_nvl-nvs-imc-dsy-0820-10158</v>
      </c>
      <c r="AM158" s="21" t="str">
        <f t="shared" si="72"/>
        <v>TAG</v>
      </c>
      <c r="AN158" s="15" t="str">
        <f t="shared" si="82"/>
        <v>DV360</v>
      </c>
      <c r="AO158" s="15" t="str">
        <f t="shared" si="83"/>
        <v>Paid-Display</v>
      </c>
      <c r="AP158" s="21" t="str">
        <f>Campanha!$B$3</f>
        <v>BR_IMC_DSY_LANCH_ND_NC_2020Q3AUG_NVS_Nivus-Launch-Consideracao-Orca</v>
      </c>
      <c r="AQ158" s="21" t="str">
        <f t="shared" si="73"/>
        <v>alp_vw_dv360_imc_dsy_lanch_nd_nc_nvs_nivus-launch-consideracao-orca__trafego_cpm_drct_all_970x250_lancamento-nivus-orca-customerlist1st-v2_na_lancamento-consideracao-nivus-orca_nvl-nvs-imc-dsy-0820-10158</v>
      </c>
      <c r="AR158" s="15" t="s">
        <v>745</v>
      </c>
      <c r="AS158" s="21" t="str">
        <f t="shared" si="74"/>
        <v>https://www.vw.com.br/pt/configurador.html/__app/%2Fnivus/0.app?utm_source=DV360&amp;utm_medium=Paid-Display&amp;utm_content=alp_vw_dv360_imc_dsy_lanch_nd_nc_nvs_nivus-launch-consideracao-orca__trafego_cpm_drct_all_970x250_lancamento-nivus-orca-customerlist1st-v2_na_lancamento-consideracao-nivus-orca_nvl-nvs-imc-dsy-0820-10158&amp;utm_campaign=BR_IMC_DSY_LANCH_ND_NC_2020Q3AUG_NVS_Nivus-Launch-Consideracao-Orca&amp;utm_term=%epid!_%ecid!_%eaid!</v>
      </c>
      <c r="AT158" s="15" t="str">
        <f t="shared" si="84"/>
        <v>other</v>
      </c>
      <c r="AU158" s="15" t="str">
        <f t="shared" si="75"/>
        <v>BR</v>
      </c>
      <c r="AV158" s="15" t="str">
        <f t="shared" si="85"/>
        <v>dv360</v>
      </c>
      <c r="AW158" s="15" t="str">
        <f t="shared" si="86"/>
        <v>dv360</v>
      </c>
      <c r="AX158" s="15" t="str">
        <f t="shared" si="76"/>
        <v>nivus-launch-consideracao-orca</v>
      </c>
      <c r="AY158" s="15" t="str">
        <f t="shared" si="87"/>
        <v>alp_vw_dv360_imc_dsy_lanch_nd_nc_nvs_nivus-launch-consideracao-orca__trafego_cpm_drct_all_970x250_lancamento-nivus-orca-customerlist1st-v2_na_lancamento-consideracao-nivus-orca_nvl-nvs-imc-dsy-0820-10158</v>
      </c>
      <c r="AZ158" s="15" t="str">
        <f t="shared" si="88"/>
        <v>970x250</v>
      </c>
      <c r="BA158" s="15" t="str">
        <f t="shared" si="89"/>
        <v>lancamento-consideracao-nivus-orca</v>
      </c>
      <c r="BB158" s="28" t="s">
        <v>798</v>
      </c>
      <c r="BC158" s="28" t="s">
        <v>798</v>
      </c>
      <c r="BD158" s="38" t="str">
        <f t="shared" si="90"/>
        <v>nvl-nvs-imc-dsy-0820-10158</v>
      </c>
      <c r="BE158" s="15" t="str">
        <f t="shared" si="91"/>
        <v>BR</v>
      </c>
      <c r="BF158" s="15" t="str">
        <f t="shared" si="92"/>
        <v>paid</v>
      </c>
      <c r="BG158" s="28"/>
      <c r="BH158" s="28"/>
      <c r="BI158" s="36" t="str">
        <f t="shared" si="77"/>
        <v>https://www.vw.com.br/pt/configurador.html/__app/%2Fnivus/0.app?adlid=nvl-nvs-imc-dsy-0820-10158&amp;adplt=alp_vw_dv360_imc_dsy_lanch_nd_nc_nvs_nivus-launch-consideracao-orca__trafego_cpm_drct_all_970x250_lancamento-nivus-orca-customerlist1st-v2_na_lancamento-consideracao-nivus-orca_nvl-nvs-imc-dsy-0820-10158</v>
      </c>
      <c r="BL158" t="str">
        <f t="shared" si="78"/>
        <v>alp_vw_dv360_imc_dsy_lanch_nd_nc_nvs_nivus-launch-consideracao-orca__trafego</v>
      </c>
      <c r="BM158" t="str">
        <f t="shared" si="79"/>
        <v>cpm_drct_all_970x250_lancamento-nivus-orca-customerlist1st-v2_na</v>
      </c>
      <c r="BN158" t="str">
        <f t="shared" si="80"/>
        <v>alp_vw_dv360_imc_dsy_lanch_nd_nc_nvs_nivus-launch-consideracao-orca__trafego_cpm_drct_all_970x250_lancamento-nivus-orca-customerlist1st-v2_na_generico_nvl-nvs-imc-dsy-0820-10158</v>
      </c>
    </row>
    <row r="159" spans="2:66" ht="15.75" customHeight="1" x14ac:dyDescent="0.25">
      <c r="B159" s="15" t="s">
        <v>1291</v>
      </c>
      <c r="C159" s="15" t="s">
        <v>1477</v>
      </c>
      <c r="D159" s="15"/>
      <c r="E159" s="22">
        <v>44069</v>
      </c>
      <c r="F159" s="22">
        <v>44135</v>
      </c>
      <c r="G159" s="15" t="s">
        <v>651</v>
      </c>
      <c r="H159" s="41" t="s">
        <v>1266</v>
      </c>
      <c r="I159" s="15" t="s">
        <v>801</v>
      </c>
      <c r="J159" s="42" t="s">
        <v>883</v>
      </c>
      <c r="K159" s="42" t="s">
        <v>883</v>
      </c>
      <c r="L159" s="15" t="s">
        <v>676</v>
      </c>
      <c r="M159" s="15" t="s">
        <v>276</v>
      </c>
      <c r="N159" s="15" t="s">
        <v>295</v>
      </c>
      <c r="O159" s="15" t="s">
        <v>677</v>
      </c>
      <c r="P159" s="15" t="str">
        <f>VLOOKUP(Y159,'All Codes'!$BF$3:$BG$278,2,FALSE)</f>
        <v>MPU</v>
      </c>
      <c r="Q159" s="15" t="s">
        <v>179</v>
      </c>
      <c r="R159" s="15" t="s">
        <v>277</v>
      </c>
      <c r="S159" s="15" t="s">
        <v>874</v>
      </c>
      <c r="T159" s="46" t="s">
        <v>884</v>
      </c>
      <c r="U159" s="15" t="s">
        <v>876</v>
      </c>
      <c r="V159" s="15" t="s">
        <v>1261</v>
      </c>
      <c r="W159" s="15" t="s">
        <v>866</v>
      </c>
      <c r="X159" s="15" t="s">
        <v>307</v>
      </c>
      <c r="Y159" s="46" t="s">
        <v>461</v>
      </c>
      <c r="Z159" s="15"/>
      <c r="AA159" s="15"/>
      <c r="AB159" s="15"/>
      <c r="AC159" s="15"/>
      <c r="AD159" s="15"/>
      <c r="AE159" s="15"/>
      <c r="AF159" s="15"/>
      <c r="AG159" s="15"/>
      <c r="AH159" s="15" t="str">
        <f t="shared" ref="AH159:AH183" si="96">VLOOKUP(AI159,id_placement,2,FALSE)</f>
        <v>284460871</v>
      </c>
      <c r="AI159" s="21" t="str">
        <f t="shared" si="95"/>
        <v>alp_vw_dv360_imc_dsy_lanch_nd_nc_nvs_nivus-launch-consideracao-orca__configuracao_cpm_drct_all_300x50_lancamento-nivus-orca-rmkt-start-configurator-nivus-suv-model-intent_na_lancamento-consideracao-nivus-orca_nvl-nvs-imc-dsy-0820-10159</v>
      </c>
      <c r="AJ159" s="40" t="str">
        <f t="shared" si="95"/>
        <v>alp_vw_dv360_imc_dsy_lanch_nd_nc_nvs_nivus-launch-consideracao-orca__configuracao_cpm_drct_all_300x50_lancamento-nivus-orca-rmkt-start-configurator-nivus-suv-model-intent_na_lancamento-consideracao-nivus-orca_nvl-nvs-imc-dsy-0820-10159</v>
      </c>
      <c r="AK159" s="21" t="str">
        <f t="shared" si="71"/>
        <v>vw_nivus_300x50_lancamento-consideracao-nivus-orca_adserver</v>
      </c>
      <c r="AL159" s="21" t="str">
        <f t="shared" si="81"/>
        <v>https://www.vw.com.br/pt/configurador.html/__app/%2Fnivus/0.app?adlid=nvl-nvs-imc-dsy-0820-10159&amp;adplt=alp_vw_dv360_imc_dsy_lanch_nd_nc_nvs_nivus-launch-consideracao-orca__configuracao_cpm_drct_all_300x50_lancamento-nivus-orca-rmkt-start-configurator-nivus-suv-model-intent_na_lancamento-consideracao-nivus-orca_nvl-nvs-imc-dsy-0820-10159</v>
      </c>
      <c r="AM159" s="21" t="str">
        <f t="shared" si="72"/>
        <v>TAG</v>
      </c>
      <c r="AN159" s="15" t="str">
        <f t="shared" si="82"/>
        <v>DV360</v>
      </c>
      <c r="AO159" s="15" t="str">
        <f t="shared" si="83"/>
        <v>Paid-Display</v>
      </c>
      <c r="AP159" s="21" t="str">
        <f>Campanha!$B$3</f>
        <v>BR_IMC_DSY_LANCH_ND_NC_2020Q3AUG_NVS_Nivus-Launch-Consideracao-Orca</v>
      </c>
      <c r="AQ159" s="21" t="str">
        <f t="shared" si="73"/>
        <v>alp_vw_dv360_imc_dsy_lanch_nd_nc_nvs_nivus-launch-consideracao-orca__configuracao_cpm_drct_all_300x50_lancamento-nivus-orca-rmkt-start-configurator-nivus-suv-model-intent_na_lancamento-consideracao-nivus-orca_nvl-nvs-imc-dsy-0820-10159</v>
      </c>
      <c r="AR159" s="15" t="s">
        <v>745</v>
      </c>
      <c r="AS159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start-configurator-nivus-suv-model-intent_na_lancamento-consideracao-nivus-orca_nvl-nvs-imc-dsy-0820-10159&amp;utm_campaign=BR_IMC_DSY_LANCH_ND_NC_2020Q3AUG_NVS_Nivus-Launch-Consideracao-Orca&amp;utm_term=%epid!_%ecid!_%eaid!</v>
      </c>
      <c r="AT159" s="15" t="str">
        <f t="shared" si="84"/>
        <v>other</v>
      </c>
      <c r="AU159" s="15" t="str">
        <f t="shared" si="75"/>
        <v>BR</v>
      </c>
      <c r="AV159" s="15" t="str">
        <f t="shared" si="85"/>
        <v>dv360</v>
      </c>
      <c r="AW159" s="15" t="str">
        <f t="shared" si="86"/>
        <v>dv360</v>
      </c>
      <c r="AX159" s="15" t="str">
        <f t="shared" si="76"/>
        <v>nivus-launch-consideracao-orca</v>
      </c>
      <c r="AY159" s="15" t="str">
        <f t="shared" si="87"/>
        <v>alp_vw_dv360_imc_dsy_lanch_nd_nc_nvs_nivus-launch-consideracao-orca__configuracao_cpm_drct_all_300x50_lancamento-nivus-orca-rmkt-start-configurator-nivus-suv-model-intent_na_lancamento-consideracao-nivus-orca_nvl-nvs-imc-dsy-0820-10159</v>
      </c>
      <c r="AZ159" s="15" t="str">
        <f t="shared" si="88"/>
        <v>300x50</v>
      </c>
      <c r="BA159" s="15" t="str">
        <f t="shared" si="89"/>
        <v>lancamento-consideracao-nivus-orca</v>
      </c>
      <c r="BB159" s="28" t="s">
        <v>798</v>
      </c>
      <c r="BC159" s="28" t="s">
        <v>798</v>
      </c>
      <c r="BD159" s="38" t="str">
        <f t="shared" si="90"/>
        <v>nvl-nvs-imc-dsy-0820-10159</v>
      </c>
      <c r="BE159" s="15" t="str">
        <f t="shared" si="91"/>
        <v>BR</v>
      </c>
      <c r="BF159" s="15" t="str">
        <f t="shared" si="92"/>
        <v>paid</v>
      </c>
      <c r="BG159" s="28"/>
      <c r="BH159" s="28"/>
      <c r="BI159" s="36" t="str">
        <f t="shared" si="77"/>
        <v>https://www.vw.com.br/pt/configurador.html/__app/%2Fnivus/0.app?adlid=nvl-nvs-imc-dsy-0820-10159&amp;adplt=alp_vw_dv360_imc_dsy_lanch_nd_nc_nvs_nivus-launch-consideracao-orca__configuracao_cpm_drct_all_300x50_lancamento-nivus-orca-rmkt-start-configurator-nivus-suv-model-intent_na_lancamento-consideracao-nivus-orca_nvl-nvs-imc-dsy-0820-10159</v>
      </c>
      <c r="BL159" t="str">
        <f t="shared" si="78"/>
        <v>alp_vw_dv360_imc_dsy_lanch_nd_nc_nvs_nivus-launch-consideracao-orca__configuracao</v>
      </c>
      <c r="BM159" t="str">
        <f t="shared" si="79"/>
        <v>cpm_drct_all_300x50_lancamento-nivus-orca-rmkt-start-configurator-nivus-suv-model-intent_na</v>
      </c>
      <c r="BN159" t="str">
        <f t="shared" si="80"/>
        <v>alp_vw_dv360_imc_dsy_lanch_nd_nc_nvs_nivus-launch-consideracao-orca__configuracao_cpm_drct_all_300x50_lancamento-nivus-orca-rmkt-start-configurator-nivus-suv-model-intent_na_generico_nvl-nvs-imc-dsy-0820-10159</v>
      </c>
    </row>
    <row r="160" spans="2:66" ht="15.75" customHeight="1" x14ac:dyDescent="0.25">
      <c r="B160" s="15" t="s">
        <v>1291</v>
      </c>
      <c r="C160" s="15" t="s">
        <v>1477</v>
      </c>
      <c r="D160" s="15"/>
      <c r="E160" s="22">
        <v>44069</v>
      </c>
      <c r="F160" s="22">
        <v>44135</v>
      </c>
      <c r="G160" s="15" t="s">
        <v>651</v>
      </c>
      <c r="H160" s="41" t="s">
        <v>1266</v>
      </c>
      <c r="I160" s="15" t="s">
        <v>801</v>
      </c>
      <c r="J160" s="42" t="s">
        <v>883</v>
      </c>
      <c r="K160" s="42" t="s">
        <v>883</v>
      </c>
      <c r="L160" s="15" t="s">
        <v>676</v>
      </c>
      <c r="M160" s="15" t="s">
        <v>276</v>
      </c>
      <c r="N160" s="15" t="s">
        <v>295</v>
      </c>
      <c r="O160" s="15" t="s">
        <v>677</v>
      </c>
      <c r="P160" s="15" t="str">
        <f>VLOOKUP(Y160,'All Codes'!$BF$3:$BG$278,2,FALSE)</f>
        <v>Skyscraper</v>
      </c>
      <c r="Q160" s="15" t="s">
        <v>179</v>
      </c>
      <c r="R160" s="15" t="s">
        <v>277</v>
      </c>
      <c r="S160" s="15" t="s">
        <v>874</v>
      </c>
      <c r="T160" s="46" t="s">
        <v>884</v>
      </c>
      <c r="U160" s="15" t="s">
        <v>876</v>
      </c>
      <c r="V160" s="15" t="s">
        <v>1261</v>
      </c>
      <c r="W160" s="15" t="s">
        <v>866</v>
      </c>
      <c r="X160" s="15" t="s">
        <v>307</v>
      </c>
      <c r="Y160" s="46" t="s">
        <v>434</v>
      </c>
      <c r="Z160" s="15"/>
      <c r="AA160" s="15"/>
      <c r="AB160" s="15"/>
      <c r="AC160" s="15"/>
      <c r="AD160" s="15"/>
      <c r="AE160" s="15"/>
      <c r="AF160" s="15"/>
      <c r="AG160" s="15"/>
      <c r="AH160" s="15" t="str">
        <f t="shared" si="96"/>
        <v>284460865</v>
      </c>
      <c r="AI160" s="21" t="str">
        <f t="shared" si="95"/>
        <v>alp_vw_dv360_imc_dsy_lanch_nd_nc_nvs_nivus-launch-consideracao-orca__configuracao_cpm_drct_all_160x600_lancamento-nivus-orca-rmkt-start-configurator-nivus-suv-model-intent_na_lancamento-consideracao-nivus-orca_nvl-nvs-imc-dsy-0820-10160</v>
      </c>
      <c r="AJ160" s="40" t="str">
        <f t="shared" si="95"/>
        <v>alp_vw_dv360_imc_dsy_lanch_nd_nc_nvs_nivus-launch-consideracao-orca__configuracao_cpm_drct_all_160x600_lancamento-nivus-orca-rmkt-start-configurator-nivus-suv-model-intent_na_lancamento-consideracao-nivus-orca_nvl-nvs-imc-dsy-0820-10160</v>
      </c>
      <c r="AK160" s="21" t="str">
        <f t="shared" si="71"/>
        <v>vw_nivus_160x600_lancamento-consideracao-nivus-orca_adserver</v>
      </c>
      <c r="AL160" s="21" t="str">
        <f t="shared" si="81"/>
        <v>https://www.vw.com.br/pt/configurador.html/__app/%2Fnivus/0.app?adlid=nvl-nvs-imc-dsy-0820-10160&amp;adplt=alp_vw_dv360_imc_dsy_lanch_nd_nc_nvs_nivus-launch-consideracao-orca__configuracao_cpm_drct_all_160x600_lancamento-nivus-orca-rmkt-start-configurator-nivus-suv-model-intent_na_lancamento-consideracao-nivus-orca_nvl-nvs-imc-dsy-0820-10160</v>
      </c>
      <c r="AM160" s="21" t="str">
        <f t="shared" si="72"/>
        <v>TAG</v>
      </c>
      <c r="AN160" s="15" t="str">
        <f t="shared" si="82"/>
        <v>DV360</v>
      </c>
      <c r="AO160" s="15" t="str">
        <f t="shared" si="83"/>
        <v>Paid-Display</v>
      </c>
      <c r="AP160" s="21" t="str">
        <f>Campanha!$B$3</f>
        <v>BR_IMC_DSY_LANCH_ND_NC_2020Q3AUG_NVS_Nivus-Launch-Consideracao-Orca</v>
      </c>
      <c r="AQ160" s="21" t="str">
        <f t="shared" si="73"/>
        <v>alp_vw_dv360_imc_dsy_lanch_nd_nc_nvs_nivus-launch-consideracao-orca__configuracao_cpm_drct_all_160x600_lancamento-nivus-orca-rmkt-start-configurator-nivus-suv-model-intent_na_lancamento-consideracao-nivus-orca_nvl-nvs-imc-dsy-0820-10160</v>
      </c>
      <c r="AR160" s="15" t="s">
        <v>745</v>
      </c>
      <c r="AS160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start-configurator-nivus-suv-model-intent_na_lancamento-consideracao-nivus-orca_nvl-nvs-imc-dsy-0820-10160&amp;utm_campaign=BR_IMC_DSY_LANCH_ND_NC_2020Q3AUG_NVS_Nivus-Launch-Consideracao-Orca&amp;utm_term=%epid!_%ecid!_%eaid!</v>
      </c>
      <c r="AT160" s="15" t="str">
        <f t="shared" si="84"/>
        <v>other</v>
      </c>
      <c r="AU160" s="15" t="str">
        <f t="shared" si="75"/>
        <v>BR</v>
      </c>
      <c r="AV160" s="15" t="str">
        <f t="shared" si="85"/>
        <v>dv360</v>
      </c>
      <c r="AW160" s="15" t="str">
        <f t="shared" si="86"/>
        <v>dv360</v>
      </c>
      <c r="AX160" s="15" t="str">
        <f t="shared" si="76"/>
        <v>nivus-launch-consideracao-orca</v>
      </c>
      <c r="AY160" s="15" t="str">
        <f t="shared" si="87"/>
        <v>alp_vw_dv360_imc_dsy_lanch_nd_nc_nvs_nivus-launch-consideracao-orca__configuracao_cpm_drct_all_160x600_lancamento-nivus-orca-rmkt-start-configurator-nivus-suv-model-intent_na_lancamento-consideracao-nivus-orca_nvl-nvs-imc-dsy-0820-10160</v>
      </c>
      <c r="AZ160" s="15" t="str">
        <f t="shared" si="88"/>
        <v>160x600</v>
      </c>
      <c r="BA160" s="15" t="str">
        <f t="shared" si="89"/>
        <v>lancamento-consideracao-nivus-orca</v>
      </c>
      <c r="BB160" s="28" t="s">
        <v>798</v>
      </c>
      <c r="BC160" s="28" t="s">
        <v>798</v>
      </c>
      <c r="BD160" s="38" t="str">
        <f t="shared" si="90"/>
        <v>nvl-nvs-imc-dsy-0820-10160</v>
      </c>
      <c r="BE160" s="15" t="str">
        <f t="shared" si="91"/>
        <v>BR</v>
      </c>
      <c r="BF160" s="15" t="str">
        <f t="shared" si="92"/>
        <v>paid</v>
      </c>
      <c r="BG160" s="28"/>
      <c r="BH160" s="28"/>
      <c r="BI160" s="36" t="str">
        <f t="shared" si="77"/>
        <v>https://www.vw.com.br/pt/configurador.html/__app/%2Fnivus/0.app?adlid=nvl-nvs-imc-dsy-0820-10160&amp;adplt=alp_vw_dv360_imc_dsy_lanch_nd_nc_nvs_nivus-launch-consideracao-orca__configuracao_cpm_drct_all_160x600_lancamento-nivus-orca-rmkt-start-configurator-nivus-suv-model-intent_na_lancamento-consideracao-nivus-orca_nvl-nvs-imc-dsy-0820-10160</v>
      </c>
      <c r="BL160" t="str">
        <f t="shared" si="78"/>
        <v>alp_vw_dv360_imc_dsy_lanch_nd_nc_nvs_nivus-launch-consideracao-orca__configuracao</v>
      </c>
      <c r="BM160" t="str">
        <f t="shared" si="79"/>
        <v>cpm_drct_all_160x600_lancamento-nivus-orca-rmkt-start-configurator-nivus-suv-model-intent_na</v>
      </c>
      <c r="BN160" t="str">
        <f t="shared" si="80"/>
        <v>alp_vw_dv360_imc_dsy_lanch_nd_nc_nvs_nivus-launch-consideracao-orca__configuracao_cpm_drct_all_160x600_lancamento-nivus-orca-rmkt-start-configurator-nivus-suv-model-intent_na_generico_nvl-nvs-imc-dsy-0820-10160</v>
      </c>
    </row>
    <row r="161" spans="2:66" ht="15.75" customHeight="1" x14ac:dyDescent="0.25">
      <c r="B161" s="15" t="s">
        <v>1291</v>
      </c>
      <c r="C161" s="15" t="s">
        <v>1477</v>
      </c>
      <c r="D161" s="15"/>
      <c r="E161" s="22">
        <v>44069</v>
      </c>
      <c r="F161" s="22">
        <v>44135</v>
      </c>
      <c r="G161" s="15" t="s">
        <v>651</v>
      </c>
      <c r="H161" s="41" t="s">
        <v>1266</v>
      </c>
      <c r="I161" s="15" t="s">
        <v>801</v>
      </c>
      <c r="J161" s="42" t="s">
        <v>883</v>
      </c>
      <c r="K161" s="42" t="s">
        <v>883</v>
      </c>
      <c r="L161" s="15" t="s">
        <v>676</v>
      </c>
      <c r="M161" s="15" t="s">
        <v>276</v>
      </c>
      <c r="N161" s="15" t="s">
        <v>295</v>
      </c>
      <c r="O161" s="15" t="s">
        <v>677</v>
      </c>
      <c r="P161" s="15" t="str">
        <f>VLOOKUP(Y161,'All Codes'!$BF$3:$BG$278,2,FALSE)</f>
        <v>MPU</v>
      </c>
      <c r="Q161" s="15" t="s">
        <v>179</v>
      </c>
      <c r="R161" s="15" t="s">
        <v>277</v>
      </c>
      <c r="S161" s="15" t="s">
        <v>874</v>
      </c>
      <c r="T161" s="46" t="s">
        <v>884</v>
      </c>
      <c r="U161" s="15" t="s">
        <v>876</v>
      </c>
      <c r="V161" s="15" t="s">
        <v>1261</v>
      </c>
      <c r="W161" s="15" t="s">
        <v>866</v>
      </c>
      <c r="X161" s="15" t="s">
        <v>307</v>
      </c>
      <c r="Y161" s="46" t="s">
        <v>455</v>
      </c>
      <c r="Z161" s="15"/>
      <c r="AA161" s="15"/>
      <c r="AB161" s="15"/>
      <c r="AC161" s="15"/>
      <c r="AD161" s="15"/>
      <c r="AE161" s="15"/>
      <c r="AF161" s="15"/>
      <c r="AG161" s="15"/>
      <c r="AH161" s="15" t="str">
        <f t="shared" si="96"/>
        <v>284460859</v>
      </c>
      <c r="AI161" s="21" t="str">
        <f t="shared" si="95"/>
        <v>alp_vw_dv360_imc_dsy_lanch_nd_nc_nvs_nivus-launch-consideracao-orca__configuracao_cpm_drct_all_300x250_lancamento-nivus-orca-rmkt-start-configurator-nivus-suv-model-intent_na_lancamento-consideracao-nivus-orca_nvl-nvs-imc-dsy-0820-10161</v>
      </c>
      <c r="AJ161" s="40" t="str">
        <f t="shared" si="95"/>
        <v>alp_vw_dv360_imc_dsy_lanch_nd_nc_nvs_nivus-launch-consideracao-orca__configuracao_cpm_drct_all_300x250_lancamento-nivus-orca-rmkt-start-configurator-nivus-suv-model-intent_na_lancamento-consideracao-nivus-orca_nvl-nvs-imc-dsy-0820-10161</v>
      </c>
      <c r="AK161" s="21" t="str">
        <f t="shared" si="71"/>
        <v>vw_nivus_300x250_lancamento-consideracao-nivus-orca_adserver</v>
      </c>
      <c r="AL161" s="21" t="str">
        <f t="shared" si="81"/>
        <v>https://www.vw.com.br/pt/configurador.html/__app/%2Fnivus/0.app?adlid=nvl-nvs-imc-dsy-0820-10161&amp;adplt=alp_vw_dv360_imc_dsy_lanch_nd_nc_nvs_nivus-launch-consideracao-orca__configuracao_cpm_drct_all_300x250_lancamento-nivus-orca-rmkt-start-configurator-nivus-suv-model-intent_na_lancamento-consideracao-nivus-orca_nvl-nvs-imc-dsy-0820-10161</v>
      </c>
      <c r="AM161" s="21" t="str">
        <f t="shared" si="72"/>
        <v>TAG</v>
      </c>
      <c r="AN161" s="15" t="str">
        <f t="shared" si="82"/>
        <v>DV360</v>
      </c>
      <c r="AO161" s="15" t="str">
        <f t="shared" si="83"/>
        <v>Paid-Display</v>
      </c>
      <c r="AP161" s="21" t="str">
        <f>Campanha!$B$3</f>
        <v>BR_IMC_DSY_LANCH_ND_NC_2020Q3AUG_NVS_Nivus-Launch-Consideracao-Orca</v>
      </c>
      <c r="AQ161" s="21" t="str">
        <f t="shared" si="73"/>
        <v>alp_vw_dv360_imc_dsy_lanch_nd_nc_nvs_nivus-launch-consideracao-orca__configuracao_cpm_drct_all_300x250_lancamento-nivus-orca-rmkt-start-configurator-nivus-suv-model-intent_na_lancamento-consideracao-nivus-orca_nvl-nvs-imc-dsy-0820-10161</v>
      </c>
      <c r="AR161" s="15" t="s">
        <v>745</v>
      </c>
      <c r="AS161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start-configurator-nivus-suv-model-intent_na_lancamento-consideracao-nivus-orca_nvl-nvs-imc-dsy-0820-10161&amp;utm_campaign=BR_IMC_DSY_LANCH_ND_NC_2020Q3AUG_NVS_Nivus-Launch-Consideracao-Orca&amp;utm_term=%epid!_%ecid!_%eaid!</v>
      </c>
      <c r="AT161" s="15" t="str">
        <f t="shared" si="84"/>
        <v>other</v>
      </c>
      <c r="AU161" s="15" t="str">
        <f t="shared" si="75"/>
        <v>BR</v>
      </c>
      <c r="AV161" s="15" t="str">
        <f t="shared" si="85"/>
        <v>dv360</v>
      </c>
      <c r="AW161" s="15" t="str">
        <f t="shared" si="86"/>
        <v>dv360</v>
      </c>
      <c r="AX161" s="15" t="str">
        <f t="shared" si="76"/>
        <v>nivus-launch-consideracao-orca</v>
      </c>
      <c r="AY161" s="15" t="str">
        <f t="shared" si="87"/>
        <v>alp_vw_dv360_imc_dsy_lanch_nd_nc_nvs_nivus-launch-consideracao-orca__configuracao_cpm_drct_all_300x250_lancamento-nivus-orca-rmkt-start-configurator-nivus-suv-model-intent_na_lancamento-consideracao-nivus-orca_nvl-nvs-imc-dsy-0820-10161</v>
      </c>
      <c r="AZ161" s="15" t="str">
        <f t="shared" si="88"/>
        <v>300x250</v>
      </c>
      <c r="BA161" s="15" t="str">
        <f t="shared" si="89"/>
        <v>lancamento-consideracao-nivus-orca</v>
      </c>
      <c r="BB161" s="28" t="s">
        <v>798</v>
      </c>
      <c r="BC161" s="28" t="s">
        <v>798</v>
      </c>
      <c r="BD161" s="38" t="str">
        <f t="shared" si="90"/>
        <v>nvl-nvs-imc-dsy-0820-10161</v>
      </c>
      <c r="BE161" s="15" t="str">
        <f t="shared" si="91"/>
        <v>BR</v>
      </c>
      <c r="BF161" s="15" t="str">
        <f t="shared" si="92"/>
        <v>paid</v>
      </c>
      <c r="BG161" s="28"/>
      <c r="BH161" s="28"/>
      <c r="BI161" s="36" t="str">
        <f t="shared" si="77"/>
        <v>https://www.vw.com.br/pt/configurador.html/__app/%2Fnivus/0.app?adlid=nvl-nvs-imc-dsy-0820-10161&amp;adplt=alp_vw_dv360_imc_dsy_lanch_nd_nc_nvs_nivus-launch-consideracao-orca__configuracao_cpm_drct_all_300x250_lancamento-nivus-orca-rmkt-start-configurator-nivus-suv-model-intent_na_lancamento-consideracao-nivus-orca_nvl-nvs-imc-dsy-0820-10161</v>
      </c>
      <c r="BL161" t="str">
        <f t="shared" si="78"/>
        <v>alp_vw_dv360_imc_dsy_lanch_nd_nc_nvs_nivus-launch-consideracao-orca__configuracao</v>
      </c>
      <c r="BM161" t="str">
        <f t="shared" si="79"/>
        <v>cpm_drct_all_300x250_lancamento-nivus-orca-rmkt-start-configurator-nivus-suv-model-intent_na</v>
      </c>
      <c r="BN161" t="str">
        <f t="shared" si="80"/>
        <v>alp_vw_dv360_imc_dsy_lanch_nd_nc_nvs_nivus-launch-consideracao-orca__configuracao_cpm_drct_all_300x250_lancamento-nivus-orca-rmkt-start-configurator-nivus-suv-model-intent_na_generico_nvl-nvs-imc-dsy-0820-10161</v>
      </c>
    </row>
    <row r="162" spans="2:66" ht="15.75" customHeight="1" x14ac:dyDescent="0.25">
      <c r="B162" s="15" t="s">
        <v>1291</v>
      </c>
      <c r="C162" s="15" t="s">
        <v>1477</v>
      </c>
      <c r="D162" s="15"/>
      <c r="E162" s="22">
        <v>44069</v>
      </c>
      <c r="F162" s="22">
        <v>44135</v>
      </c>
      <c r="G162" s="15" t="s">
        <v>651</v>
      </c>
      <c r="H162" s="41" t="s">
        <v>1266</v>
      </c>
      <c r="I162" s="15" t="s">
        <v>801</v>
      </c>
      <c r="J162" s="42" t="s">
        <v>883</v>
      </c>
      <c r="K162" s="42" t="s">
        <v>883</v>
      </c>
      <c r="L162" s="15" t="s">
        <v>676</v>
      </c>
      <c r="M162" s="15" t="s">
        <v>276</v>
      </c>
      <c r="N162" s="15" t="s">
        <v>295</v>
      </c>
      <c r="O162" s="15" t="s">
        <v>677</v>
      </c>
      <c r="P162" s="15" t="str">
        <f>VLOOKUP(Y162,'All Codes'!$BF$3:$BG$278,2,FALSE)</f>
        <v>Skyscraper</v>
      </c>
      <c r="Q162" s="15" t="s">
        <v>179</v>
      </c>
      <c r="R162" s="15" t="s">
        <v>277</v>
      </c>
      <c r="S162" s="15" t="s">
        <v>874</v>
      </c>
      <c r="T162" s="46" t="s">
        <v>884</v>
      </c>
      <c r="U162" s="15" t="s">
        <v>876</v>
      </c>
      <c r="V162" s="15" t="s">
        <v>1261</v>
      </c>
      <c r="W162" s="15" t="s">
        <v>866</v>
      </c>
      <c r="X162" s="15" t="s">
        <v>307</v>
      </c>
      <c r="Y162" s="46" t="s">
        <v>464</v>
      </c>
      <c r="Z162" s="15"/>
      <c r="AA162" s="15"/>
      <c r="AB162" s="15"/>
      <c r="AC162" s="15"/>
      <c r="AD162" s="15"/>
      <c r="AE162" s="15"/>
      <c r="AF162" s="15"/>
      <c r="AG162" s="15"/>
      <c r="AH162" s="15" t="str">
        <f t="shared" si="96"/>
        <v>284460853</v>
      </c>
      <c r="AI162" s="21" t="str">
        <f t="shared" si="95"/>
        <v>alp_vw_dv360_imc_dsy_lanch_nd_nc_nvs_nivus-launch-consideracao-orca__configuracao_cpm_drct_all_300x600_lancamento-nivus-orca-rmkt-start-configurator-nivus-suv-model-intent_na_lancamento-consideracao-nivus-orca_nvl-nvs-imc-dsy-0820-10162</v>
      </c>
      <c r="AJ162" s="40" t="str">
        <f t="shared" si="95"/>
        <v>alp_vw_dv360_imc_dsy_lanch_nd_nc_nvs_nivus-launch-consideracao-orca__configuracao_cpm_drct_all_300x600_lancamento-nivus-orca-rmkt-start-configurator-nivus-suv-model-intent_na_lancamento-consideracao-nivus-orca_nvl-nvs-imc-dsy-0820-10162</v>
      </c>
      <c r="AK162" s="21" t="str">
        <f t="shared" si="71"/>
        <v>vw_nivus_300x600_lancamento-consideracao-nivus-orca_adserver</v>
      </c>
      <c r="AL162" s="21" t="str">
        <f t="shared" si="81"/>
        <v>https://www.vw.com.br/pt/configurador.html/__app/%2Fnivus/0.app?adlid=nvl-nvs-imc-dsy-0820-10162&amp;adplt=alp_vw_dv360_imc_dsy_lanch_nd_nc_nvs_nivus-launch-consideracao-orca__configuracao_cpm_drct_all_300x600_lancamento-nivus-orca-rmkt-start-configurator-nivus-suv-model-intent_na_lancamento-consideracao-nivus-orca_nvl-nvs-imc-dsy-0820-10162</v>
      </c>
      <c r="AM162" s="21" t="str">
        <f t="shared" si="72"/>
        <v>TAG</v>
      </c>
      <c r="AN162" s="15" t="str">
        <f t="shared" si="82"/>
        <v>DV360</v>
      </c>
      <c r="AO162" s="15" t="str">
        <f t="shared" si="83"/>
        <v>Paid-Display</v>
      </c>
      <c r="AP162" s="21" t="str">
        <f>Campanha!$B$3</f>
        <v>BR_IMC_DSY_LANCH_ND_NC_2020Q3AUG_NVS_Nivus-Launch-Consideracao-Orca</v>
      </c>
      <c r="AQ162" s="21" t="str">
        <f t="shared" si="73"/>
        <v>alp_vw_dv360_imc_dsy_lanch_nd_nc_nvs_nivus-launch-consideracao-orca__configuracao_cpm_drct_all_300x600_lancamento-nivus-orca-rmkt-start-configurator-nivus-suv-model-intent_na_lancamento-consideracao-nivus-orca_nvl-nvs-imc-dsy-0820-10162</v>
      </c>
      <c r="AR162" s="15" t="s">
        <v>745</v>
      </c>
      <c r="AS162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start-configurator-nivus-suv-model-intent_na_lancamento-consideracao-nivus-orca_nvl-nvs-imc-dsy-0820-10162&amp;utm_campaign=BR_IMC_DSY_LANCH_ND_NC_2020Q3AUG_NVS_Nivus-Launch-Consideracao-Orca&amp;utm_term=%epid!_%ecid!_%eaid!</v>
      </c>
      <c r="AT162" s="15" t="str">
        <f t="shared" si="84"/>
        <v>other</v>
      </c>
      <c r="AU162" s="15" t="str">
        <f t="shared" si="75"/>
        <v>BR</v>
      </c>
      <c r="AV162" s="15" t="str">
        <f t="shared" si="85"/>
        <v>dv360</v>
      </c>
      <c r="AW162" s="15" t="str">
        <f t="shared" si="86"/>
        <v>dv360</v>
      </c>
      <c r="AX162" s="15" t="str">
        <f t="shared" si="76"/>
        <v>nivus-launch-consideracao-orca</v>
      </c>
      <c r="AY162" s="15" t="str">
        <f t="shared" si="87"/>
        <v>alp_vw_dv360_imc_dsy_lanch_nd_nc_nvs_nivus-launch-consideracao-orca__configuracao_cpm_drct_all_300x600_lancamento-nivus-orca-rmkt-start-configurator-nivus-suv-model-intent_na_lancamento-consideracao-nivus-orca_nvl-nvs-imc-dsy-0820-10162</v>
      </c>
      <c r="AZ162" s="15" t="str">
        <f t="shared" si="88"/>
        <v>300x600</v>
      </c>
      <c r="BA162" s="15" t="str">
        <f t="shared" si="89"/>
        <v>lancamento-consideracao-nivus-orca</v>
      </c>
      <c r="BB162" s="28" t="s">
        <v>798</v>
      </c>
      <c r="BC162" s="28" t="s">
        <v>798</v>
      </c>
      <c r="BD162" s="38" t="str">
        <f t="shared" si="90"/>
        <v>nvl-nvs-imc-dsy-0820-10162</v>
      </c>
      <c r="BE162" s="15" t="str">
        <f t="shared" si="91"/>
        <v>BR</v>
      </c>
      <c r="BF162" s="15" t="str">
        <f t="shared" si="92"/>
        <v>paid</v>
      </c>
      <c r="BG162" s="28"/>
      <c r="BH162" s="28"/>
      <c r="BI162" s="36" t="str">
        <f t="shared" si="77"/>
        <v>https://www.vw.com.br/pt/configurador.html/__app/%2Fnivus/0.app?adlid=nvl-nvs-imc-dsy-0820-10162&amp;adplt=alp_vw_dv360_imc_dsy_lanch_nd_nc_nvs_nivus-launch-consideracao-orca__configuracao_cpm_drct_all_300x600_lancamento-nivus-orca-rmkt-start-configurator-nivus-suv-model-intent_na_lancamento-consideracao-nivus-orca_nvl-nvs-imc-dsy-0820-10162</v>
      </c>
      <c r="BL162" t="str">
        <f t="shared" si="78"/>
        <v>alp_vw_dv360_imc_dsy_lanch_nd_nc_nvs_nivus-launch-consideracao-orca__configuracao</v>
      </c>
      <c r="BM162" t="str">
        <f t="shared" si="79"/>
        <v>cpm_drct_all_300x600_lancamento-nivus-orca-rmkt-start-configurator-nivus-suv-model-intent_na</v>
      </c>
      <c r="BN162" t="str">
        <f t="shared" si="80"/>
        <v>alp_vw_dv360_imc_dsy_lanch_nd_nc_nvs_nivus-launch-consideracao-orca__configuracao_cpm_drct_all_300x600_lancamento-nivus-orca-rmkt-start-configurator-nivus-suv-model-intent_na_generico_nvl-nvs-imc-dsy-0820-10162</v>
      </c>
    </row>
    <row r="163" spans="2:66" ht="15.75" customHeight="1" x14ac:dyDescent="0.25">
      <c r="B163" s="15" t="s">
        <v>1291</v>
      </c>
      <c r="C163" s="15" t="s">
        <v>1477</v>
      </c>
      <c r="D163" s="15"/>
      <c r="E163" s="22">
        <v>44069</v>
      </c>
      <c r="F163" s="22">
        <v>44135</v>
      </c>
      <c r="G163" s="15" t="s">
        <v>651</v>
      </c>
      <c r="H163" s="41" t="s">
        <v>1266</v>
      </c>
      <c r="I163" s="15" t="s">
        <v>801</v>
      </c>
      <c r="J163" s="42" t="s">
        <v>883</v>
      </c>
      <c r="K163" s="42" t="s">
        <v>883</v>
      </c>
      <c r="L163" s="15" t="s">
        <v>676</v>
      </c>
      <c r="M163" s="15" t="s">
        <v>276</v>
      </c>
      <c r="N163" s="15" t="s">
        <v>295</v>
      </c>
      <c r="O163" s="15" t="s">
        <v>677</v>
      </c>
      <c r="P163" s="15" t="str">
        <f>VLOOKUP(Y163,'All Codes'!$BF$3:$BG$278,2,FALSE)</f>
        <v>MPU</v>
      </c>
      <c r="Q163" s="15" t="s">
        <v>179</v>
      </c>
      <c r="R163" s="15" t="s">
        <v>277</v>
      </c>
      <c r="S163" s="15" t="s">
        <v>874</v>
      </c>
      <c r="T163" s="46" t="s">
        <v>884</v>
      </c>
      <c r="U163" s="15" t="s">
        <v>876</v>
      </c>
      <c r="V163" s="15" t="s">
        <v>1261</v>
      </c>
      <c r="W163" s="15" t="s">
        <v>866</v>
      </c>
      <c r="X163" s="15" t="s">
        <v>307</v>
      </c>
      <c r="Y163" s="46" t="s">
        <v>479</v>
      </c>
      <c r="Z163" s="15"/>
      <c r="AA163" s="15"/>
      <c r="AB163" s="15"/>
      <c r="AC163" s="15"/>
      <c r="AD163" s="15"/>
      <c r="AE163" s="15"/>
      <c r="AF163" s="15"/>
      <c r="AG163" s="15"/>
      <c r="AH163" s="15" t="str">
        <f t="shared" si="96"/>
        <v>284453947</v>
      </c>
      <c r="AI163" s="21" t="str">
        <f t="shared" si="95"/>
        <v>alp_vw_dv360_imc_dsy_lanch_nd_nc_nvs_nivus-launch-consideracao-orca__configuracao_cpm_drct_all_320x50_lancamento-nivus-orca-rmkt-start-configurator-nivus-suv-model-intent_na_lancamento-consideracao-nivus-orca_nvl-nvs-imc-dsy-0820-10163</v>
      </c>
      <c r="AJ163" s="40" t="str">
        <f t="shared" si="95"/>
        <v>alp_vw_dv360_imc_dsy_lanch_nd_nc_nvs_nivus-launch-consideracao-orca__configuracao_cpm_drct_all_320x50_lancamento-nivus-orca-rmkt-start-configurator-nivus-suv-model-intent_na_lancamento-consideracao-nivus-orca_nvl-nvs-imc-dsy-0820-10163</v>
      </c>
      <c r="AK163" s="21" t="str">
        <f t="shared" si="71"/>
        <v>vw_nivus_320x50_lancamento-consideracao-nivus-orca_adserver</v>
      </c>
      <c r="AL163" s="21" t="str">
        <f t="shared" si="81"/>
        <v>https://www.vw.com.br/pt/configurador.html/__app/%2Fnivus/0.app?adlid=nvl-nvs-imc-dsy-0820-10163&amp;adplt=alp_vw_dv360_imc_dsy_lanch_nd_nc_nvs_nivus-launch-consideracao-orca__configuracao_cpm_drct_all_320x50_lancamento-nivus-orca-rmkt-start-configurator-nivus-suv-model-intent_na_lancamento-consideracao-nivus-orca_nvl-nvs-imc-dsy-0820-10163</v>
      </c>
      <c r="AM163" s="21" t="str">
        <f t="shared" si="72"/>
        <v>TAG</v>
      </c>
      <c r="AN163" s="15" t="str">
        <f t="shared" si="82"/>
        <v>DV360</v>
      </c>
      <c r="AO163" s="15" t="str">
        <f t="shared" si="83"/>
        <v>Paid-Display</v>
      </c>
      <c r="AP163" s="21" t="str">
        <f>Campanha!$B$3</f>
        <v>BR_IMC_DSY_LANCH_ND_NC_2020Q3AUG_NVS_Nivus-Launch-Consideracao-Orca</v>
      </c>
      <c r="AQ163" s="21" t="str">
        <f t="shared" si="73"/>
        <v>alp_vw_dv360_imc_dsy_lanch_nd_nc_nvs_nivus-launch-consideracao-orca__configuracao_cpm_drct_all_320x50_lancamento-nivus-orca-rmkt-start-configurator-nivus-suv-model-intent_na_lancamento-consideracao-nivus-orca_nvl-nvs-imc-dsy-0820-10163</v>
      </c>
      <c r="AR163" s="15" t="s">
        <v>745</v>
      </c>
      <c r="AS163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start-configurator-nivus-suv-model-intent_na_lancamento-consideracao-nivus-orca_nvl-nvs-imc-dsy-0820-10163&amp;utm_campaign=BR_IMC_DSY_LANCH_ND_NC_2020Q3AUG_NVS_Nivus-Launch-Consideracao-Orca&amp;utm_term=%epid!_%ecid!_%eaid!</v>
      </c>
      <c r="AT163" s="15" t="str">
        <f t="shared" si="84"/>
        <v>other</v>
      </c>
      <c r="AU163" s="15" t="str">
        <f t="shared" si="75"/>
        <v>BR</v>
      </c>
      <c r="AV163" s="15" t="str">
        <f t="shared" si="85"/>
        <v>dv360</v>
      </c>
      <c r="AW163" s="15" t="str">
        <f t="shared" si="86"/>
        <v>dv360</v>
      </c>
      <c r="AX163" s="15" t="str">
        <f t="shared" si="76"/>
        <v>nivus-launch-consideracao-orca</v>
      </c>
      <c r="AY163" s="15" t="str">
        <f t="shared" si="87"/>
        <v>alp_vw_dv360_imc_dsy_lanch_nd_nc_nvs_nivus-launch-consideracao-orca__configuracao_cpm_drct_all_320x50_lancamento-nivus-orca-rmkt-start-configurator-nivus-suv-model-intent_na_lancamento-consideracao-nivus-orca_nvl-nvs-imc-dsy-0820-10163</v>
      </c>
      <c r="AZ163" s="15" t="str">
        <f t="shared" si="88"/>
        <v>320x50</v>
      </c>
      <c r="BA163" s="15" t="str">
        <f t="shared" si="89"/>
        <v>lancamento-consideracao-nivus-orca</v>
      </c>
      <c r="BB163" s="28" t="s">
        <v>798</v>
      </c>
      <c r="BC163" s="28" t="s">
        <v>798</v>
      </c>
      <c r="BD163" s="38" t="str">
        <f t="shared" si="90"/>
        <v>nvl-nvs-imc-dsy-0820-10163</v>
      </c>
      <c r="BE163" s="15" t="str">
        <f t="shared" si="91"/>
        <v>BR</v>
      </c>
      <c r="BF163" s="15" t="str">
        <f t="shared" si="92"/>
        <v>paid</v>
      </c>
      <c r="BG163" s="28"/>
      <c r="BH163" s="28"/>
      <c r="BI163" s="36" t="str">
        <f t="shared" si="77"/>
        <v>https://www.vw.com.br/pt/configurador.html/__app/%2Fnivus/0.app?adlid=nvl-nvs-imc-dsy-0820-10163&amp;adplt=alp_vw_dv360_imc_dsy_lanch_nd_nc_nvs_nivus-launch-consideracao-orca__configuracao_cpm_drct_all_320x50_lancamento-nivus-orca-rmkt-start-configurator-nivus-suv-model-intent_na_lancamento-consideracao-nivus-orca_nvl-nvs-imc-dsy-0820-10163</v>
      </c>
      <c r="BL163" t="str">
        <f t="shared" si="78"/>
        <v>alp_vw_dv360_imc_dsy_lanch_nd_nc_nvs_nivus-launch-consideracao-orca__configuracao</v>
      </c>
      <c r="BM163" t="str">
        <f t="shared" si="79"/>
        <v>cpm_drct_all_320x50_lancamento-nivus-orca-rmkt-start-configurator-nivus-suv-model-intent_na</v>
      </c>
      <c r="BN163" t="str">
        <f t="shared" si="80"/>
        <v>alp_vw_dv360_imc_dsy_lanch_nd_nc_nvs_nivus-launch-consideracao-orca__configuracao_cpm_drct_all_320x50_lancamento-nivus-orca-rmkt-start-configurator-nivus-suv-model-intent_na_generico_nvl-nvs-imc-dsy-0820-10163</v>
      </c>
    </row>
    <row r="164" spans="2:66" ht="15.75" customHeight="1" x14ac:dyDescent="0.25">
      <c r="B164" s="15" t="s">
        <v>1291</v>
      </c>
      <c r="C164" s="15" t="s">
        <v>1477</v>
      </c>
      <c r="D164" s="15"/>
      <c r="E164" s="22">
        <v>44069</v>
      </c>
      <c r="F164" s="22">
        <v>44135</v>
      </c>
      <c r="G164" s="15" t="s">
        <v>651</v>
      </c>
      <c r="H164" s="41" t="s">
        <v>1266</v>
      </c>
      <c r="I164" s="15" t="s">
        <v>801</v>
      </c>
      <c r="J164" s="42" t="s">
        <v>883</v>
      </c>
      <c r="K164" s="42" t="s">
        <v>883</v>
      </c>
      <c r="L164" s="15" t="s">
        <v>676</v>
      </c>
      <c r="M164" s="15" t="s">
        <v>276</v>
      </c>
      <c r="N164" s="15" t="s">
        <v>295</v>
      </c>
      <c r="O164" s="15" t="s">
        <v>677</v>
      </c>
      <c r="P164" s="15" t="str">
        <f>VLOOKUP(Y164,'All Codes'!$BF$3:$BG$278,2,FALSE)</f>
        <v>Leaderboard</v>
      </c>
      <c r="Q164" s="15" t="s">
        <v>179</v>
      </c>
      <c r="R164" s="15" t="s">
        <v>277</v>
      </c>
      <c r="S164" s="15" t="s">
        <v>874</v>
      </c>
      <c r="T164" s="46" t="s">
        <v>884</v>
      </c>
      <c r="U164" s="15" t="s">
        <v>876</v>
      </c>
      <c r="V164" s="15" t="s">
        <v>1261</v>
      </c>
      <c r="W164" s="15" t="s">
        <v>866</v>
      </c>
      <c r="X164" s="15" t="s">
        <v>307</v>
      </c>
      <c r="Y164" s="46" t="s">
        <v>591</v>
      </c>
      <c r="Z164" s="15"/>
      <c r="AA164" s="15"/>
      <c r="AB164" s="15"/>
      <c r="AC164" s="15"/>
      <c r="AD164" s="15"/>
      <c r="AE164" s="15"/>
      <c r="AF164" s="15"/>
      <c r="AG164" s="15"/>
      <c r="AH164" s="15" t="str">
        <f t="shared" si="96"/>
        <v>284453941</v>
      </c>
      <c r="AI164" s="21" t="str">
        <f t="shared" si="95"/>
        <v>alp_vw_dv360_imc_dsy_lanch_nd_nc_nvs_nivus-launch-consideracao-orca__configuracao_cpm_drct_all_728x90_lancamento-nivus-orca-rmkt-start-configurator-nivus-suv-model-intent_na_lancamento-consideracao-nivus-orca_nvl-nvs-imc-dsy-0820-10164</v>
      </c>
      <c r="AJ164" s="40" t="str">
        <f t="shared" si="95"/>
        <v>alp_vw_dv360_imc_dsy_lanch_nd_nc_nvs_nivus-launch-consideracao-orca__configuracao_cpm_drct_all_728x90_lancamento-nivus-orca-rmkt-start-configurator-nivus-suv-model-intent_na_lancamento-consideracao-nivus-orca_nvl-nvs-imc-dsy-0820-10164</v>
      </c>
      <c r="AK164" s="21" t="str">
        <f t="shared" si="71"/>
        <v>vw_nivus_728x90_lancamento-consideracao-nivus-orca_adserver</v>
      </c>
      <c r="AL164" s="21" t="str">
        <f t="shared" si="81"/>
        <v>https://www.vw.com.br/pt/configurador.html/__app/%2Fnivus/0.app?adlid=nvl-nvs-imc-dsy-0820-10164&amp;adplt=alp_vw_dv360_imc_dsy_lanch_nd_nc_nvs_nivus-launch-consideracao-orca__configuracao_cpm_drct_all_728x90_lancamento-nivus-orca-rmkt-start-configurator-nivus-suv-model-intent_na_lancamento-consideracao-nivus-orca_nvl-nvs-imc-dsy-0820-10164</v>
      </c>
      <c r="AM164" s="21" t="str">
        <f t="shared" si="72"/>
        <v>TAG</v>
      </c>
      <c r="AN164" s="15" t="str">
        <f t="shared" si="82"/>
        <v>DV360</v>
      </c>
      <c r="AO164" s="15" t="str">
        <f t="shared" si="83"/>
        <v>Paid-Display</v>
      </c>
      <c r="AP164" s="21" t="str">
        <f>Campanha!$B$3</f>
        <v>BR_IMC_DSY_LANCH_ND_NC_2020Q3AUG_NVS_Nivus-Launch-Consideracao-Orca</v>
      </c>
      <c r="AQ164" s="21" t="str">
        <f t="shared" si="73"/>
        <v>alp_vw_dv360_imc_dsy_lanch_nd_nc_nvs_nivus-launch-consideracao-orca__configuracao_cpm_drct_all_728x90_lancamento-nivus-orca-rmkt-start-configurator-nivus-suv-model-intent_na_lancamento-consideracao-nivus-orca_nvl-nvs-imc-dsy-0820-10164</v>
      </c>
      <c r="AR164" s="15" t="s">
        <v>745</v>
      </c>
      <c r="AS164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start-configurator-nivus-suv-model-intent_na_lancamento-consideracao-nivus-orca_nvl-nvs-imc-dsy-0820-10164&amp;utm_campaign=BR_IMC_DSY_LANCH_ND_NC_2020Q3AUG_NVS_Nivus-Launch-Consideracao-Orca&amp;utm_term=%epid!_%ecid!_%eaid!</v>
      </c>
      <c r="AT164" s="15" t="str">
        <f t="shared" si="84"/>
        <v>other</v>
      </c>
      <c r="AU164" s="15" t="str">
        <f t="shared" si="75"/>
        <v>BR</v>
      </c>
      <c r="AV164" s="15" t="str">
        <f t="shared" si="85"/>
        <v>dv360</v>
      </c>
      <c r="AW164" s="15" t="str">
        <f t="shared" si="86"/>
        <v>dv360</v>
      </c>
      <c r="AX164" s="15" t="str">
        <f t="shared" si="76"/>
        <v>nivus-launch-consideracao-orca</v>
      </c>
      <c r="AY164" s="15" t="str">
        <f t="shared" si="87"/>
        <v>alp_vw_dv360_imc_dsy_lanch_nd_nc_nvs_nivus-launch-consideracao-orca__configuracao_cpm_drct_all_728x90_lancamento-nivus-orca-rmkt-start-configurator-nivus-suv-model-intent_na_lancamento-consideracao-nivus-orca_nvl-nvs-imc-dsy-0820-10164</v>
      </c>
      <c r="AZ164" s="15" t="str">
        <f t="shared" si="88"/>
        <v>728x90</v>
      </c>
      <c r="BA164" s="15" t="str">
        <f t="shared" si="89"/>
        <v>lancamento-consideracao-nivus-orca</v>
      </c>
      <c r="BB164" s="28" t="s">
        <v>798</v>
      </c>
      <c r="BC164" s="28" t="s">
        <v>798</v>
      </c>
      <c r="BD164" s="38" t="str">
        <f t="shared" si="90"/>
        <v>nvl-nvs-imc-dsy-0820-10164</v>
      </c>
      <c r="BE164" s="15" t="str">
        <f t="shared" si="91"/>
        <v>BR</v>
      </c>
      <c r="BF164" s="15" t="str">
        <f t="shared" si="92"/>
        <v>paid</v>
      </c>
      <c r="BG164" s="28"/>
      <c r="BH164" s="28"/>
      <c r="BI164" s="36" t="str">
        <f t="shared" si="77"/>
        <v>https://www.vw.com.br/pt/configurador.html/__app/%2Fnivus/0.app?adlid=nvl-nvs-imc-dsy-0820-10164&amp;adplt=alp_vw_dv360_imc_dsy_lanch_nd_nc_nvs_nivus-launch-consideracao-orca__configuracao_cpm_drct_all_728x90_lancamento-nivus-orca-rmkt-start-configurator-nivus-suv-model-intent_na_lancamento-consideracao-nivus-orca_nvl-nvs-imc-dsy-0820-10164</v>
      </c>
      <c r="BL164" t="str">
        <f t="shared" si="78"/>
        <v>alp_vw_dv360_imc_dsy_lanch_nd_nc_nvs_nivus-launch-consideracao-orca__configuracao</v>
      </c>
      <c r="BM164" t="str">
        <f t="shared" si="79"/>
        <v>cpm_drct_all_728x90_lancamento-nivus-orca-rmkt-start-configurator-nivus-suv-model-intent_na</v>
      </c>
      <c r="BN164" t="str">
        <f t="shared" si="80"/>
        <v>alp_vw_dv360_imc_dsy_lanch_nd_nc_nvs_nivus-launch-consideracao-orca__configuracao_cpm_drct_all_728x90_lancamento-nivus-orca-rmkt-start-configurator-nivus-suv-model-intent_na_generico_nvl-nvs-imc-dsy-0820-10164</v>
      </c>
    </row>
    <row r="165" spans="2:66" ht="15.75" customHeight="1" x14ac:dyDescent="0.25">
      <c r="B165" s="15" t="s">
        <v>1291</v>
      </c>
      <c r="C165" s="15" t="s">
        <v>1477</v>
      </c>
      <c r="D165" s="15"/>
      <c r="E165" s="22">
        <v>44069</v>
      </c>
      <c r="F165" s="22">
        <v>44135</v>
      </c>
      <c r="G165" s="15" t="s">
        <v>651</v>
      </c>
      <c r="H165" s="41" t="s">
        <v>1266</v>
      </c>
      <c r="I165" s="15" t="s">
        <v>801</v>
      </c>
      <c r="J165" s="42" t="s">
        <v>883</v>
      </c>
      <c r="K165" s="42" t="s">
        <v>883</v>
      </c>
      <c r="L165" s="15" t="s">
        <v>676</v>
      </c>
      <c r="M165" s="15" t="s">
        <v>276</v>
      </c>
      <c r="N165" s="15" t="s">
        <v>295</v>
      </c>
      <c r="O165" s="15" t="s">
        <v>677</v>
      </c>
      <c r="P165" s="15" t="str">
        <f>VLOOKUP(Y165,'All Codes'!$BF$3:$BG$278,2,FALSE)</f>
        <v>Leaderboard</v>
      </c>
      <c r="Q165" s="15" t="s">
        <v>179</v>
      </c>
      <c r="R165" s="15" t="s">
        <v>277</v>
      </c>
      <c r="S165" s="15" t="s">
        <v>874</v>
      </c>
      <c r="T165" s="46" t="s">
        <v>884</v>
      </c>
      <c r="U165" s="15" t="s">
        <v>876</v>
      </c>
      <c r="V165" s="15" t="s">
        <v>1261</v>
      </c>
      <c r="W165" s="15" t="s">
        <v>866</v>
      </c>
      <c r="X165" s="15" t="s">
        <v>307</v>
      </c>
      <c r="Y165" s="46" t="s">
        <v>629</v>
      </c>
      <c r="Z165" s="15"/>
      <c r="AA165" s="15"/>
      <c r="AB165" s="15"/>
      <c r="AC165" s="15"/>
      <c r="AD165" s="15"/>
      <c r="AE165" s="15"/>
      <c r="AF165" s="15"/>
      <c r="AG165" s="15"/>
      <c r="AH165" s="15" t="str">
        <f t="shared" si="96"/>
        <v>284453935</v>
      </c>
      <c r="AI165" s="21" t="str">
        <f t="shared" si="95"/>
        <v>alp_vw_dv360_imc_dsy_lanch_nd_nc_nvs_nivus-launch-consideracao-orca__configuracao_cpm_drct_all_970x250_lancamento-nivus-orca-rmkt-start-configurator-nivus-suv-model-intent_na_lancamento-consideracao-nivus-orca_nvl-nvs-imc-dsy-0820-10165</v>
      </c>
      <c r="AJ165" s="40" t="str">
        <f t="shared" si="95"/>
        <v>alp_vw_dv360_imc_dsy_lanch_nd_nc_nvs_nivus-launch-consideracao-orca__configuracao_cpm_drct_all_970x250_lancamento-nivus-orca-rmkt-start-configurator-nivus-suv-model-intent_na_lancamento-consideracao-nivus-orca_nvl-nvs-imc-dsy-0820-10165</v>
      </c>
      <c r="AK165" s="21" t="str">
        <f t="shared" si="71"/>
        <v>vw_nivus_970x250_lancamento-consideracao-nivus-orca_adserver</v>
      </c>
      <c r="AL165" s="21" t="str">
        <f t="shared" si="81"/>
        <v>https://www.vw.com.br/pt/configurador.html/__app/%2Fnivus/0.app?adlid=nvl-nvs-imc-dsy-0820-10165&amp;adplt=alp_vw_dv360_imc_dsy_lanch_nd_nc_nvs_nivus-launch-consideracao-orca__configuracao_cpm_drct_all_970x250_lancamento-nivus-orca-rmkt-start-configurator-nivus-suv-model-intent_na_lancamento-consideracao-nivus-orca_nvl-nvs-imc-dsy-0820-10165</v>
      </c>
      <c r="AM165" s="21" t="str">
        <f t="shared" si="72"/>
        <v>TAG</v>
      </c>
      <c r="AN165" s="15" t="str">
        <f t="shared" si="82"/>
        <v>DV360</v>
      </c>
      <c r="AO165" s="15" t="str">
        <f t="shared" si="83"/>
        <v>Paid-Display</v>
      </c>
      <c r="AP165" s="21" t="str">
        <f>Campanha!$B$3</f>
        <v>BR_IMC_DSY_LANCH_ND_NC_2020Q3AUG_NVS_Nivus-Launch-Consideracao-Orca</v>
      </c>
      <c r="AQ165" s="21" t="str">
        <f t="shared" si="73"/>
        <v>alp_vw_dv360_imc_dsy_lanch_nd_nc_nvs_nivus-launch-consideracao-orca__configuracao_cpm_drct_all_970x250_lancamento-nivus-orca-rmkt-start-configurator-nivus-suv-model-intent_na_lancamento-consideracao-nivus-orca_nvl-nvs-imc-dsy-0820-10165</v>
      </c>
      <c r="AR165" s="15" t="s">
        <v>745</v>
      </c>
      <c r="AS165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start-configurator-nivus-suv-model-intent_na_lancamento-consideracao-nivus-orca_nvl-nvs-imc-dsy-0820-10165&amp;utm_campaign=BR_IMC_DSY_LANCH_ND_NC_2020Q3AUG_NVS_Nivus-Launch-Consideracao-Orca&amp;utm_term=%epid!_%ecid!_%eaid!</v>
      </c>
      <c r="AT165" s="15" t="str">
        <f t="shared" si="84"/>
        <v>other</v>
      </c>
      <c r="AU165" s="15" t="str">
        <f t="shared" si="75"/>
        <v>BR</v>
      </c>
      <c r="AV165" s="15" t="str">
        <f t="shared" si="85"/>
        <v>dv360</v>
      </c>
      <c r="AW165" s="15" t="str">
        <f t="shared" si="86"/>
        <v>dv360</v>
      </c>
      <c r="AX165" s="15" t="str">
        <f t="shared" si="76"/>
        <v>nivus-launch-consideracao-orca</v>
      </c>
      <c r="AY165" s="15" t="str">
        <f t="shared" si="87"/>
        <v>alp_vw_dv360_imc_dsy_lanch_nd_nc_nvs_nivus-launch-consideracao-orca__configuracao_cpm_drct_all_970x250_lancamento-nivus-orca-rmkt-start-configurator-nivus-suv-model-intent_na_lancamento-consideracao-nivus-orca_nvl-nvs-imc-dsy-0820-10165</v>
      </c>
      <c r="AZ165" s="15" t="str">
        <f t="shared" si="88"/>
        <v>970x250</v>
      </c>
      <c r="BA165" s="15" t="str">
        <f t="shared" si="89"/>
        <v>lancamento-consideracao-nivus-orca</v>
      </c>
      <c r="BB165" s="28" t="s">
        <v>798</v>
      </c>
      <c r="BC165" s="28" t="s">
        <v>798</v>
      </c>
      <c r="BD165" s="38" t="str">
        <f t="shared" si="90"/>
        <v>nvl-nvs-imc-dsy-0820-10165</v>
      </c>
      <c r="BE165" s="15" t="str">
        <f t="shared" si="91"/>
        <v>BR</v>
      </c>
      <c r="BF165" s="15" t="str">
        <f t="shared" si="92"/>
        <v>paid</v>
      </c>
      <c r="BG165" s="28"/>
      <c r="BH165" s="28"/>
      <c r="BI165" s="36" t="str">
        <f t="shared" si="77"/>
        <v>https://www.vw.com.br/pt/configurador.html/__app/%2Fnivus/0.app?adlid=nvl-nvs-imc-dsy-0820-10165&amp;adplt=alp_vw_dv360_imc_dsy_lanch_nd_nc_nvs_nivus-launch-consideracao-orca__configuracao_cpm_drct_all_970x250_lancamento-nivus-orca-rmkt-start-configurator-nivus-suv-model-intent_na_lancamento-consideracao-nivus-orca_nvl-nvs-imc-dsy-0820-10165</v>
      </c>
      <c r="BL165" t="str">
        <f t="shared" si="78"/>
        <v>alp_vw_dv360_imc_dsy_lanch_nd_nc_nvs_nivus-launch-consideracao-orca__configuracao</v>
      </c>
      <c r="BM165" t="str">
        <f t="shared" si="79"/>
        <v>cpm_drct_all_970x250_lancamento-nivus-orca-rmkt-start-configurator-nivus-suv-model-intent_na</v>
      </c>
      <c r="BN165" t="str">
        <f t="shared" si="80"/>
        <v>alp_vw_dv360_imc_dsy_lanch_nd_nc_nvs_nivus-launch-consideracao-orca__configuracao_cpm_drct_all_970x250_lancamento-nivus-orca-rmkt-start-configurator-nivus-suv-model-intent_na_generico_nvl-nvs-imc-dsy-0820-10165</v>
      </c>
    </row>
    <row r="166" spans="2:66" ht="15.75" customHeight="1" x14ac:dyDescent="0.25">
      <c r="B166" s="15" t="s">
        <v>1291</v>
      </c>
      <c r="C166" s="15" t="s">
        <v>1477</v>
      </c>
      <c r="D166" s="15"/>
      <c r="E166" s="22">
        <v>44069</v>
      </c>
      <c r="F166" s="22">
        <v>44135</v>
      </c>
      <c r="G166" s="15" t="s">
        <v>651</v>
      </c>
      <c r="H166" s="41" t="s">
        <v>1266</v>
      </c>
      <c r="I166" s="15" t="s">
        <v>801</v>
      </c>
      <c r="J166" s="42" t="s">
        <v>883</v>
      </c>
      <c r="K166" s="42" t="s">
        <v>883</v>
      </c>
      <c r="L166" s="15" t="s">
        <v>676</v>
      </c>
      <c r="M166" s="15" t="s">
        <v>276</v>
      </c>
      <c r="N166" s="15" t="s">
        <v>295</v>
      </c>
      <c r="O166" s="15" t="s">
        <v>677</v>
      </c>
      <c r="P166" s="15" t="str">
        <f>VLOOKUP(Y166,'All Codes'!$BF$3:$BG$278,2,FALSE)</f>
        <v>MPU</v>
      </c>
      <c r="Q166" s="15" t="s">
        <v>179</v>
      </c>
      <c r="R166" s="15" t="s">
        <v>277</v>
      </c>
      <c r="S166" s="15" t="s">
        <v>874</v>
      </c>
      <c r="T166" s="46" t="s">
        <v>884</v>
      </c>
      <c r="U166" s="15" t="s">
        <v>876</v>
      </c>
      <c r="V166" s="15" t="s">
        <v>1262</v>
      </c>
      <c r="W166" s="15" t="s">
        <v>866</v>
      </c>
      <c r="X166" s="15" t="s">
        <v>307</v>
      </c>
      <c r="Y166" s="46" t="s">
        <v>461</v>
      </c>
      <c r="Z166" s="15"/>
      <c r="AA166" s="15"/>
      <c r="AB166" s="15"/>
      <c r="AC166" s="15"/>
      <c r="AD166" s="15"/>
      <c r="AE166" s="15"/>
      <c r="AF166" s="15"/>
      <c r="AG166" s="15"/>
      <c r="AH166" s="15" t="str">
        <f t="shared" si="96"/>
        <v>284453929</v>
      </c>
      <c r="AI166" s="21" t="str">
        <f t="shared" si="95"/>
        <v>alp_vw_dv360_imc_dsy_lanch_nd_nc_nvs_nivus-launch-consideracao-orca__configuracao_cpm_drct_all_300x50_lancamento-nivus-orca-rmkt-start-configurator-nivus-suv-model-interest_na_lancamento-consideracao-nivus-orca_nvl-nvs-imc-dsy-0820-10166</v>
      </c>
      <c r="AJ166" s="40" t="str">
        <f t="shared" si="95"/>
        <v>alp_vw_dv360_imc_dsy_lanch_nd_nc_nvs_nivus-launch-consideracao-orca__configuracao_cpm_drct_all_300x50_lancamento-nivus-orca-rmkt-start-configurator-nivus-suv-model-interest_na_lancamento-consideracao-nivus-orca_nvl-nvs-imc-dsy-0820-10166</v>
      </c>
      <c r="AK166" s="21" t="str">
        <f t="shared" si="71"/>
        <v>vw_nivus_300x50_lancamento-consideracao-nivus-orca_adserver</v>
      </c>
      <c r="AL166" s="21" t="str">
        <f t="shared" si="81"/>
        <v>https://www.vw.com.br/pt/configurador.html/__app/%2Fnivus/0.app?adlid=nvl-nvs-imc-dsy-0820-10166&amp;adplt=alp_vw_dv360_imc_dsy_lanch_nd_nc_nvs_nivus-launch-consideracao-orca__configuracao_cpm_drct_all_300x50_lancamento-nivus-orca-rmkt-start-configurator-nivus-suv-model-interest_na_lancamento-consideracao-nivus-orca_nvl-nvs-imc-dsy-0820-10166</v>
      </c>
      <c r="AM166" s="21" t="str">
        <f t="shared" si="72"/>
        <v>TAG</v>
      </c>
      <c r="AN166" s="15" t="str">
        <f t="shared" si="82"/>
        <v>DV360</v>
      </c>
      <c r="AO166" s="15" t="str">
        <f t="shared" si="83"/>
        <v>Paid-Display</v>
      </c>
      <c r="AP166" s="21" t="str">
        <f>Campanha!$B$3</f>
        <v>BR_IMC_DSY_LANCH_ND_NC_2020Q3AUG_NVS_Nivus-Launch-Consideracao-Orca</v>
      </c>
      <c r="AQ166" s="21" t="str">
        <f t="shared" si="73"/>
        <v>alp_vw_dv360_imc_dsy_lanch_nd_nc_nvs_nivus-launch-consideracao-orca__configuracao_cpm_drct_all_300x50_lancamento-nivus-orca-rmkt-start-configurator-nivus-suv-model-interest_na_lancamento-consideracao-nivus-orca_nvl-nvs-imc-dsy-0820-10166</v>
      </c>
      <c r="AR166" s="15" t="s">
        <v>745</v>
      </c>
      <c r="AS166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start-configurator-nivus-suv-model-interest_na_lancamento-consideracao-nivus-orca_nvl-nvs-imc-dsy-0820-10166&amp;utm_campaign=BR_IMC_DSY_LANCH_ND_NC_2020Q3AUG_NVS_Nivus-Launch-Consideracao-Orca&amp;utm_term=%epid!_%ecid!_%eaid!</v>
      </c>
      <c r="AT166" s="15" t="str">
        <f t="shared" si="84"/>
        <v>other</v>
      </c>
      <c r="AU166" s="15" t="str">
        <f t="shared" si="75"/>
        <v>BR</v>
      </c>
      <c r="AV166" s="15" t="str">
        <f t="shared" si="85"/>
        <v>dv360</v>
      </c>
      <c r="AW166" s="15" t="str">
        <f t="shared" si="86"/>
        <v>dv360</v>
      </c>
      <c r="AX166" s="15" t="str">
        <f t="shared" si="76"/>
        <v>nivus-launch-consideracao-orca</v>
      </c>
      <c r="AY166" s="15" t="str">
        <f t="shared" si="87"/>
        <v>alp_vw_dv360_imc_dsy_lanch_nd_nc_nvs_nivus-launch-consideracao-orca__configuracao_cpm_drct_all_300x50_lancamento-nivus-orca-rmkt-start-configurator-nivus-suv-model-interest_na_lancamento-consideracao-nivus-orca_nvl-nvs-imc-dsy-0820-10166</v>
      </c>
      <c r="AZ166" s="15" t="str">
        <f t="shared" si="88"/>
        <v>300x50</v>
      </c>
      <c r="BA166" s="15" t="str">
        <f t="shared" si="89"/>
        <v>lancamento-consideracao-nivus-orca</v>
      </c>
      <c r="BB166" s="28" t="s">
        <v>798</v>
      </c>
      <c r="BC166" s="28" t="s">
        <v>798</v>
      </c>
      <c r="BD166" s="38" t="str">
        <f t="shared" si="90"/>
        <v>nvl-nvs-imc-dsy-0820-10166</v>
      </c>
      <c r="BE166" s="15" t="str">
        <f t="shared" si="91"/>
        <v>BR</v>
      </c>
      <c r="BF166" s="15" t="str">
        <f t="shared" si="92"/>
        <v>paid</v>
      </c>
      <c r="BG166" s="28"/>
      <c r="BH166" s="28"/>
      <c r="BI166" s="36" t="str">
        <f t="shared" si="77"/>
        <v>https://www.vw.com.br/pt/configurador.html/__app/%2Fnivus/0.app?adlid=nvl-nvs-imc-dsy-0820-10166&amp;adplt=alp_vw_dv360_imc_dsy_lanch_nd_nc_nvs_nivus-launch-consideracao-orca__configuracao_cpm_drct_all_300x50_lancamento-nivus-orca-rmkt-start-configurator-nivus-suv-model-interest_na_lancamento-consideracao-nivus-orca_nvl-nvs-imc-dsy-0820-10166</v>
      </c>
      <c r="BL166" t="str">
        <f t="shared" si="78"/>
        <v>alp_vw_dv360_imc_dsy_lanch_nd_nc_nvs_nivus-launch-consideracao-orca__configuracao</v>
      </c>
      <c r="BM166" t="str">
        <f t="shared" si="79"/>
        <v>cpm_drct_all_300x50_lancamento-nivus-orca-rmkt-start-configurator-nivus-suv-model-interest_na</v>
      </c>
      <c r="BN166" t="str">
        <f t="shared" si="80"/>
        <v>alp_vw_dv360_imc_dsy_lanch_nd_nc_nvs_nivus-launch-consideracao-orca__configuracao_cpm_drct_all_300x50_lancamento-nivus-orca-rmkt-start-configurator-nivus-suv-model-interest_na_generico_nvl-nvs-imc-dsy-0820-10166</v>
      </c>
    </row>
    <row r="167" spans="2:66" ht="15.75" customHeight="1" x14ac:dyDescent="0.25">
      <c r="B167" s="15" t="s">
        <v>1291</v>
      </c>
      <c r="C167" s="15" t="s">
        <v>1477</v>
      </c>
      <c r="D167" s="15"/>
      <c r="E167" s="22">
        <v>44069</v>
      </c>
      <c r="F167" s="22">
        <v>44135</v>
      </c>
      <c r="G167" s="15" t="s">
        <v>651</v>
      </c>
      <c r="H167" s="41" t="s">
        <v>1266</v>
      </c>
      <c r="I167" s="15" t="s">
        <v>801</v>
      </c>
      <c r="J167" s="42" t="s">
        <v>883</v>
      </c>
      <c r="K167" s="42" t="s">
        <v>883</v>
      </c>
      <c r="L167" s="15" t="s">
        <v>676</v>
      </c>
      <c r="M167" s="15" t="s">
        <v>276</v>
      </c>
      <c r="N167" s="15" t="s">
        <v>295</v>
      </c>
      <c r="O167" s="15" t="s">
        <v>677</v>
      </c>
      <c r="P167" s="15" t="str">
        <f>VLOOKUP(Y167,'All Codes'!$BF$3:$BG$278,2,FALSE)</f>
        <v>Skyscraper</v>
      </c>
      <c r="Q167" s="15" t="s">
        <v>179</v>
      </c>
      <c r="R167" s="15" t="s">
        <v>277</v>
      </c>
      <c r="S167" s="15" t="s">
        <v>874</v>
      </c>
      <c r="T167" s="46" t="s">
        <v>884</v>
      </c>
      <c r="U167" s="15" t="s">
        <v>876</v>
      </c>
      <c r="V167" s="15" t="s">
        <v>1262</v>
      </c>
      <c r="W167" s="15" t="s">
        <v>866</v>
      </c>
      <c r="X167" s="15" t="s">
        <v>307</v>
      </c>
      <c r="Y167" s="46" t="s">
        <v>434</v>
      </c>
      <c r="Z167" s="15"/>
      <c r="AA167" s="15"/>
      <c r="AB167" s="15"/>
      <c r="AC167" s="15"/>
      <c r="AD167" s="15"/>
      <c r="AE167" s="15"/>
      <c r="AF167" s="15"/>
      <c r="AG167" s="15"/>
      <c r="AH167" s="15" t="str">
        <f t="shared" si="96"/>
        <v>284453923</v>
      </c>
      <c r="AI167" s="21" t="str">
        <f t="shared" si="95"/>
        <v>alp_vw_dv360_imc_dsy_lanch_nd_nc_nvs_nivus-launch-consideracao-orca__configuracao_cpm_drct_all_160x600_lancamento-nivus-orca-rmkt-start-configurator-nivus-suv-model-interest_na_lancamento-consideracao-nivus-orca_nvl-nvs-imc-dsy-0820-10167</v>
      </c>
      <c r="AJ167" s="40" t="str">
        <f t="shared" si="95"/>
        <v>alp_vw_dv360_imc_dsy_lanch_nd_nc_nvs_nivus-launch-consideracao-orca__configuracao_cpm_drct_all_160x600_lancamento-nivus-orca-rmkt-start-configurator-nivus-suv-model-interest_na_lancamento-consideracao-nivus-orca_nvl-nvs-imc-dsy-0820-10167</v>
      </c>
      <c r="AK167" s="21" t="str">
        <f t="shared" si="71"/>
        <v>vw_nivus_160x600_lancamento-consideracao-nivus-orca_adserver</v>
      </c>
      <c r="AL167" s="21" t="str">
        <f t="shared" si="81"/>
        <v>https://www.vw.com.br/pt/configurador.html/__app/%2Fnivus/0.app?adlid=nvl-nvs-imc-dsy-0820-10167&amp;adplt=alp_vw_dv360_imc_dsy_lanch_nd_nc_nvs_nivus-launch-consideracao-orca__configuracao_cpm_drct_all_160x600_lancamento-nivus-orca-rmkt-start-configurator-nivus-suv-model-interest_na_lancamento-consideracao-nivus-orca_nvl-nvs-imc-dsy-0820-10167</v>
      </c>
      <c r="AM167" s="21" t="str">
        <f t="shared" si="72"/>
        <v>TAG</v>
      </c>
      <c r="AN167" s="15" t="str">
        <f t="shared" si="82"/>
        <v>DV360</v>
      </c>
      <c r="AO167" s="15" t="str">
        <f t="shared" si="83"/>
        <v>Paid-Display</v>
      </c>
      <c r="AP167" s="21" t="str">
        <f>Campanha!$B$3</f>
        <v>BR_IMC_DSY_LANCH_ND_NC_2020Q3AUG_NVS_Nivus-Launch-Consideracao-Orca</v>
      </c>
      <c r="AQ167" s="21" t="str">
        <f t="shared" si="73"/>
        <v>alp_vw_dv360_imc_dsy_lanch_nd_nc_nvs_nivus-launch-consideracao-orca__configuracao_cpm_drct_all_160x600_lancamento-nivus-orca-rmkt-start-configurator-nivus-suv-model-interest_na_lancamento-consideracao-nivus-orca_nvl-nvs-imc-dsy-0820-10167</v>
      </c>
      <c r="AR167" s="15" t="s">
        <v>745</v>
      </c>
      <c r="AS167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start-configurator-nivus-suv-model-interest_na_lancamento-consideracao-nivus-orca_nvl-nvs-imc-dsy-0820-10167&amp;utm_campaign=BR_IMC_DSY_LANCH_ND_NC_2020Q3AUG_NVS_Nivus-Launch-Consideracao-Orca&amp;utm_term=%epid!_%ecid!_%eaid!</v>
      </c>
      <c r="AT167" s="15" t="str">
        <f t="shared" si="84"/>
        <v>other</v>
      </c>
      <c r="AU167" s="15" t="str">
        <f t="shared" si="75"/>
        <v>BR</v>
      </c>
      <c r="AV167" s="15" t="str">
        <f t="shared" si="85"/>
        <v>dv360</v>
      </c>
      <c r="AW167" s="15" t="str">
        <f t="shared" si="86"/>
        <v>dv360</v>
      </c>
      <c r="AX167" s="15" t="str">
        <f t="shared" si="76"/>
        <v>nivus-launch-consideracao-orca</v>
      </c>
      <c r="AY167" s="15" t="str">
        <f t="shared" si="87"/>
        <v>alp_vw_dv360_imc_dsy_lanch_nd_nc_nvs_nivus-launch-consideracao-orca__configuracao_cpm_drct_all_160x600_lancamento-nivus-orca-rmkt-start-configurator-nivus-suv-model-interest_na_lancamento-consideracao-nivus-orca_nvl-nvs-imc-dsy-0820-10167</v>
      </c>
      <c r="AZ167" s="15" t="str">
        <f t="shared" si="88"/>
        <v>160x600</v>
      </c>
      <c r="BA167" s="15" t="str">
        <f t="shared" si="89"/>
        <v>lancamento-consideracao-nivus-orca</v>
      </c>
      <c r="BB167" s="28" t="s">
        <v>798</v>
      </c>
      <c r="BC167" s="28" t="s">
        <v>798</v>
      </c>
      <c r="BD167" s="38" t="str">
        <f t="shared" si="90"/>
        <v>nvl-nvs-imc-dsy-0820-10167</v>
      </c>
      <c r="BE167" s="15" t="str">
        <f t="shared" si="91"/>
        <v>BR</v>
      </c>
      <c r="BF167" s="15" t="str">
        <f t="shared" si="92"/>
        <v>paid</v>
      </c>
      <c r="BG167" s="28"/>
      <c r="BH167" s="28"/>
      <c r="BI167" s="36" t="str">
        <f t="shared" si="77"/>
        <v>https://www.vw.com.br/pt/configurador.html/__app/%2Fnivus/0.app?adlid=nvl-nvs-imc-dsy-0820-10167&amp;adplt=alp_vw_dv360_imc_dsy_lanch_nd_nc_nvs_nivus-launch-consideracao-orca__configuracao_cpm_drct_all_160x600_lancamento-nivus-orca-rmkt-start-configurator-nivus-suv-model-interest_na_lancamento-consideracao-nivus-orca_nvl-nvs-imc-dsy-0820-10167</v>
      </c>
      <c r="BL167" t="str">
        <f t="shared" si="78"/>
        <v>alp_vw_dv360_imc_dsy_lanch_nd_nc_nvs_nivus-launch-consideracao-orca__configuracao</v>
      </c>
      <c r="BM167" t="str">
        <f t="shared" si="79"/>
        <v>cpm_drct_all_160x600_lancamento-nivus-orca-rmkt-start-configurator-nivus-suv-model-interest_na</v>
      </c>
      <c r="BN167" t="str">
        <f t="shared" si="80"/>
        <v>alp_vw_dv360_imc_dsy_lanch_nd_nc_nvs_nivus-launch-consideracao-orca__configuracao_cpm_drct_all_160x600_lancamento-nivus-orca-rmkt-start-configurator-nivus-suv-model-interest_na_generico_nvl-nvs-imc-dsy-0820-10167</v>
      </c>
    </row>
    <row r="168" spans="2:66" ht="15.75" customHeight="1" x14ac:dyDescent="0.25">
      <c r="B168" s="15" t="s">
        <v>1291</v>
      </c>
      <c r="C168" s="15" t="s">
        <v>1477</v>
      </c>
      <c r="D168" s="15"/>
      <c r="E168" s="22">
        <v>44069</v>
      </c>
      <c r="F168" s="22">
        <v>44135</v>
      </c>
      <c r="G168" s="15" t="s">
        <v>651</v>
      </c>
      <c r="H168" s="41" t="s">
        <v>1266</v>
      </c>
      <c r="I168" s="15" t="s">
        <v>801</v>
      </c>
      <c r="J168" s="42" t="s">
        <v>883</v>
      </c>
      <c r="K168" s="42" t="s">
        <v>883</v>
      </c>
      <c r="L168" s="15" t="s">
        <v>676</v>
      </c>
      <c r="M168" s="15" t="s">
        <v>276</v>
      </c>
      <c r="N168" s="15" t="s">
        <v>295</v>
      </c>
      <c r="O168" s="15" t="s">
        <v>677</v>
      </c>
      <c r="P168" s="15" t="str">
        <f>VLOOKUP(Y168,'All Codes'!$BF$3:$BG$278,2,FALSE)</f>
        <v>MPU</v>
      </c>
      <c r="Q168" s="15" t="s">
        <v>179</v>
      </c>
      <c r="R168" s="15" t="s">
        <v>277</v>
      </c>
      <c r="S168" s="15" t="s">
        <v>874</v>
      </c>
      <c r="T168" s="46" t="s">
        <v>884</v>
      </c>
      <c r="U168" s="15" t="s">
        <v>876</v>
      </c>
      <c r="V168" s="15" t="s">
        <v>1262</v>
      </c>
      <c r="W168" s="15" t="s">
        <v>866</v>
      </c>
      <c r="X168" s="15" t="s">
        <v>307</v>
      </c>
      <c r="Y168" s="46" t="s">
        <v>455</v>
      </c>
      <c r="Z168" s="15"/>
      <c r="AA168" s="15"/>
      <c r="AB168" s="15"/>
      <c r="AC168" s="15"/>
      <c r="AD168" s="15"/>
      <c r="AE168" s="15"/>
      <c r="AF168" s="15"/>
      <c r="AG168" s="15"/>
      <c r="AH168" s="15" t="str">
        <f t="shared" si="96"/>
        <v>284453917</v>
      </c>
      <c r="AI168" s="21" t="str">
        <f t="shared" si="95"/>
        <v>alp_vw_dv360_imc_dsy_lanch_nd_nc_nvs_nivus-launch-consideracao-orca__configuracao_cpm_drct_all_300x250_lancamento-nivus-orca-rmkt-start-configurator-nivus-suv-model-interest_na_lancamento-consideracao-nivus-orca_nvl-nvs-imc-dsy-0820-10168</v>
      </c>
      <c r="AJ168" s="40" t="str">
        <f t="shared" si="95"/>
        <v>alp_vw_dv360_imc_dsy_lanch_nd_nc_nvs_nivus-launch-consideracao-orca__configuracao_cpm_drct_all_300x250_lancamento-nivus-orca-rmkt-start-configurator-nivus-suv-model-interest_na_lancamento-consideracao-nivus-orca_nvl-nvs-imc-dsy-0820-10168</v>
      </c>
      <c r="AK168" s="21" t="str">
        <f t="shared" si="71"/>
        <v>vw_nivus_300x250_lancamento-consideracao-nivus-orca_adserver</v>
      </c>
      <c r="AL168" s="21" t="str">
        <f t="shared" si="81"/>
        <v>https://www.vw.com.br/pt/configurador.html/__app/%2Fnivus/0.app?adlid=nvl-nvs-imc-dsy-0820-10168&amp;adplt=alp_vw_dv360_imc_dsy_lanch_nd_nc_nvs_nivus-launch-consideracao-orca__configuracao_cpm_drct_all_300x250_lancamento-nivus-orca-rmkt-start-configurator-nivus-suv-model-interest_na_lancamento-consideracao-nivus-orca_nvl-nvs-imc-dsy-0820-10168</v>
      </c>
      <c r="AM168" s="21" t="str">
        <f t="shared" si="72"/>
        <v>TAG</v>
      </c>
      <c r="AN168" s="15" t="str">
        <f t="shared" si="82"/>
        <v>DV360</v>
      </c>
      <c r="AO168" s="15" t="str">
        <f t="shared" si="83"/>
        <v>Paid-Display</v>
      </c>
      <c r="AP168" s="21" t="str">
        <f>Campanha!$B$3</f>
        <v>BR_IMC_DSY_LANCH_ND_NC_2020Q3AUG_NVS_Nivus-Launch-Consideracao-Orca</v>
      </c>
      <c r="AQ168" s="21" t="str">
        <f t="shared" si="73"/>
        <v>alp_vw_dv360_imc_dsy_lanch_nd_nc_nvs_nivus-launch-consideracao-orca__configuracao_cpm_drct_all_300x250_lancamento-nivus-orca-rmkt-start-configurator-nivus-suv-model-interest_na_lancamento-consideracao-nivus-orca_nvl-nvs-imc-dsy-0820-10168</v>
      </c>
      <c r="AR168" s="15" t="s">
        <v>745</v>
      </c>
      <c r="AS168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start-configurator-nivus-suv-model-interest_na_lancamento-consideracao-nivus-orca_nvl-nvs-imc-dsy-0820-10168&amp;utm_campaign=BR_IMC_DSY_LANCH_ND_NC_2020Q3AUG_NVS_Nivus-Launch-Consideracao-Orca&amp;utm_term=%epid!_%ecid!_%eaid!</v>
      </c>
      <c r="AT168" s="15" t="str">
        <f t="shared" si="84"/>
        <v>other</v>
      </c>
      <c r="AU168" s="15" t="str">
        <f t="shared" si="75"/>
        <v>BR</v>
      </c>
      <c r="AV168" s="15" t="str">
        <f t="shared" si="85"/>
        <v>dv360</v>
      </c>
      <c r="AW168" s="15" t="str">
        <f t="shared" si="86"/>
        <v>dv360</v>
      </c>
      <c r="AX168" s="15" t="str">
        <f t="shared" si="76"/>
        <v>nivus-launch-consideracao-orca</v>
      </c>
      <c r="AY168" s="15" t="str">
        <f t="shared" si="87"/>
        <v>alp_vw_dv360_imc_dsy_lanch_nd_nc_nvs_nivus-launch-consideracao-orca__configuracao_cpm_drct_all_300x250_lancamento-nivus-orca-rmkt-start-configurator-nivus-suv-model-interest_na_lancamento-consideracao-nivus-orca_nvl-nvs-imc-dsy-0820-10168</v>
      </c>
      <c r="AZ168" s="15" t="str">
        <f t="shared" si="88"/>
        <v>300x250</v>
      </c>
      <c r="BA168" s="15" t="str">
        <f t="shared" si="89"/>
        <v>lancamento-consideracao-nivus-orca</v>
      </c>
      <c r="BB168" s="28" t="s">
        <v>798</v>
      </c>
      <c r="BC168" s="28" t="s">
        <v>798</v>
      </c>
      <c r="BD168" s="38" t="str">
        <f t="shared" si="90"/>
        <v>nvl-nvs-imc-dsy-0820-10168</v>
      </c>
      <c r="BE168" s="15" t="str">
        <f t="shared" si="91"/>
        <v>BR</v>
      </c>
      <c r="BF168" s="15" t="str">
        <f t="shared" si="92"/>
        <v>paid</v>
      </c>
      <c r="BG168" s="28"/>
      <c r="BH168" s="28"/>
      <c r="BI168" s="36" t="str">
        <f t="shared" si="77"/>
        <v>https://www.vw.com.br/pt/configurador.html/__app/%2Fnivus/0.app?adlid=nvl-nvs-imc-dsy-0820-10168&amp;adplt=alp_vw_dv360_imc_dsy_lanch_nd_nc_nvs_nivus-launch-consideracao-orca__configuracao_cpm_drct_all_300x250_lancamento-nivus-orca-rmkt-start-configurator-nivus-suv-model-interest_na_lancamento-consideracao-nivus-orca_nvl-nvs-imc-dsy-0820-10168</v>
      </c>
      <c r="BL168" t="str">
        <f t="shared" si="78"/>
        <v>alp_vw_dv360_imc_dsy_lanch_nd_nc_nvs_nivus-launch-consideracao-orca__configuracao</v>
      </c>
      <c r="BM168" t="str">
        <f t="shared" si="79"/>
        <v>cpm_drct_all_300x250_lancamento-nivus-orca-rmkt-start-configurator-nivus-suv-model-interest_na</v>
      </c>
      <c r="BN168" t="str">
        <f t="shared" si="80"/>
        <v>alp_vw_dv360_imc_dsy_lanch_nd_nc_nvs_nivus-launch-consideracao-orca__configuracao_cpm_drct_all_300x250_lancamento-nivus-orca-rmkt-start-configurator-nivus-suv-model-interest_na_generico_nvl-nvs-imc-dsy-0820-10168</v>
      </c>
    </row>
    <row r="169" spans="2:66" ht="15.75" customHeight="1" x14ac:dyDescent="0.25">
      <c r="B169" s="15" t="s">
        <v>1291</v>
      </c>
      <c r="C169" s="15" t="s">
        <v>1477</v>
      </c>
      <c r="D169" s="15"/>
      <c r="E169" s="22">
        <v>44069</v>
      </c>
      <c r="F169" s="22">
        <v>44135</v>
      </c>
      <c r="G169" s="15" t="s">
        <v>651</v>
      </c>
      <c r="H169" s="41" t="s">
        <v>1266</v>
      </c>
      <c r="I169" s="15" t="s">
        <v>801</v>
      </c>
      <c r="J169" s="42" t="s">
        <v>883</v>
      </c>
      <c r="K169" s="42" t="s">
        <v>883</v>
      </c>
      <c r="L169" s="15" t="s">
        <v>676</v>
      </c>
      <c r="M169" s="15" t="s">
        <v>276</v>
      </c>
      <c r="N169" s="15" t="s">
        <v>295</v>
      </c>
      <c r="O169" s="15" t="s">
        <v>677</v>
      </c>
      <c r="P169" s="15" t="str">
        <f>VLOOKUP(Y169,'All Codes'!$BF$3:$BG$278,2,FALSE)</f>
        <v>Skyscraper</v>
      </c>
      <c r="Q169" s="15" t="s">
        <v>179</v>
      </c>
      <c r="R169" s="15" t="s">
        <v>277</v>
      </c>
      <c r="S169" s="15" t="s">
        <v>874</v>
      </c>
      <c r="T169" s="46" t="s">
        <v>884</v>
      </c>
      <c r="U169" s="15" t="s">
        <v>876</v>
      </c>
      <c r="V169" s="15" t="s">
        <v>1262</v>
      </c>
      <c r="W169" s="15" t="s">
        <v>866</v>
      </c>
      <c r="X169" s="15" t="s">
        <v>307</v>
      </c>
      <c r="Y169" s="46" t="s">
        <v>464</v>
      </c>
      <c r="Z169" s="15"/>
      <c r="AA169" s="15"/>
      <c r="AB169" s="15"/>
      <c r="AC169" s="15"/>
      <c r="AD169" s="15"/>
      <c r="AE169" s="15"/>
      <c r="AF169" s="15"/>
      <c r="AG169" s="15"/>
      <c r="AH169" s="15" t="str">
        <f t="shared" si="96"/>
        <v>284453911</v>
      </c>
      <c r="AI169" s="21" t="str">
        <f t="shared" si="95"/>
        <v>alp_vw_dv360_imc_dsy_lanch_nd_nc_nvs_nivus-launch-consideracao-orca__configuracao_cpm_drct_all_300x600_lancamento-nivus-orca-rmkt-start-configurator-nivus-suv-model-interest_na_lancamento-consideracao-nivus-orca_nvl-nvs-imc-dsy-0820-10169</v>
      </c>
      <c r="AJ169" s="40" t="str">
        <f t="shared" si="95"/>
        <v>alp_vw_dv360_imc_dsy_lanch_nd_nc_nvs_nivus-launch-consideracao-orca__configuracao_cpm_drct_all_300x600_lancamento-nivus-orca-rmkt-start-configurator-nivus-suv-model-interest_na_lancamento-consideracao-nivus-orca_nvl-nvs-imc-dsy-0820-10169</v>
      </c>
      <c r="AK169" s="21" t="str">
        <f t="shared" si="71"/>
        <v>vw_nivus_300x600_lancamento-consideracao-nivus-orca_adserver</v>
      </c>
      <c r="AL169" s="21" t="str">
        <f t="shared" si="81"/>
        <v>https://www.vw.com.br/pt/configurador.html/__app/%2Fnivus/0.app?adlid=nvl-nvs-imc-dsy-0820-10169&amp;adplt=alp_vw_dv360_imc_dsy_lanch_nd_nc_nvs_nivus-launch-consideracao-orca__configuracao_cpm_drct_all_300x600_lancamento-nivus-orca-rmkt-start-configurator-nivus-suv-model-interest_na_lancamento-consideracao-nivus-orca_nvl-nvs-imc-dsy-0820-10169</v>
      </c>
      <c r="AM169" s="21" t="str">
        <f t="shared" si="72"/>
        <v>TAG</v>
      </c>
      <c r="AN169" s="15" t="str">
        <f t="shared" si="82"/>
        <v>DV360</v>
      </c>
      <c r="AO169" s="15" t="str">
        <f t="shared" si="83"/>
        <v>Paid-Display</v>
      </c>
      <c r="AP169" s="21" t="str">
        <f>Campanha!$B$3</f>
        <v>BR_IMC_DSY_LANCH_ND_NC_2020Q3AUG_NVS_Nivus-Launch-Consideracao-Orca</v>
      </c>
      <c r="AQ169" s="21" t="str">
        <f t="shared" si="73"/>
        <v>alp_vw_dv360_imc_dsy_lanch_nd_nc_nvs_nivus-launch-consideracao-orca__configuracao_cpm_drct_all_300x600_lancamento-nivus-orca-rmkt-start-configurator-nivus-suv-model-interest_na_lancamento-consideracao-nivus-orca_nvl-nvs-imc-dsy-0820-10169</v>
      </c>
      <c r="AR169" s="15" t="s">
        <v>745</v>
      </c>
      <c r="AS169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start-configurator-nivus-suv-model-interest_na_lancamento-consideracao-nivus-orca_nvl-nvs-imc-dsy-0820-10169&amp;utm_campaign=BR_IMC_DSY_LANCH_ND_NC_2020Q3AUG_NVS_Nivus-Launch-Consideracao-Orca&amp;utm_term=%epid!_%ecid!_%eaid!</v>
      </c>
      <c r="AT169" s="15" t="str">
        <f t="shared" si="84"/>
        <v>other</v>
      </c>
      <c r="AU169" s="15" t="str">
        <f t="shared" si="75"/>
        <v>BR</v>
      </c>
      <c r="AV169" s="15" t="str">
        <f t="shared" si="85"/>
        <v>dv360</v>
      </c>
      <c r="AW169" s="15" t="str">
        <f t="shared" si="86"/>
        <v>dv360</v>
      </c>
      <c r="AX169" s="15" t="str">
        <f t="shared" si="76"/>
        <v>nivus-launch-consideracao-orca</v>
      </c>
      <c r="AY169" s="15" t="str">
        <f t="shared" si="87"/>
        <v>alp_vw_dv360_imc_dsy_lanch_nd_nc_nvs_nivus-launch-consideracao-orca__configuracao_cpm_drct_all_300x600_lancamento-nivus-orca-rmkt-start-configurator-nivus-suv-model-interest_na_lancamento-consideracao-nivus-orca_nvl-nvs-imc-dsy-0820-10169</v>
      </c>
      <c r="AZ169" s="15" t="str">
        <f t="shared" si="88"/>
        <v>300x600</v>
      </c>
      <c r="BA169" s="15" t="str">
        <f t="shared" si="89"/>
        <v>lancamento-consideracao-nivus-orca</v>
      </c>
      <c r="BB169" s="28" t="s">
        <v>798</v>
      </c>
      <c r="BC169" s="28" t="s">
        <v>798</v>
      </c>
      <c r="BD169" s="38" t="str">
        <f t="shared" si="90"/>
        <v>nvl-nvs-imc-dsy-0820-10169</v>
      </c>
      <c r="BE169" s="15" t="str">
        <f t="shared" si="91"/>
        <v>BR</v>
      </c>
      <c r="BF169" s="15" t="str">
        <f t="shared" si="92"/>
        <v>paid</v>
      </c>
      <c r="BG169" s="28"/>
      <c r="BH169" s="28"/>
      <c r="BI169" s="36" t="str">
        <f t="shared" si="77"/>
        <v>https://www.vw.com.br/pt/configurador.html/__app/%2Fnivus/0.app?adlid=nvl-nvs-imc-dsy-0820-10169&amp;adplt=alp_vw_dv360_imc_dsy_lanch_nd_nc_nvs_nivus-launch-consideracao-orca__configuracao_cpm_drct_all_300x600_lancamento-nivus-orca-rmkt-start-configurator-nivus-suv-model-interest_na_lancamento-consideracao-nivus-orca_nvl-nvs-imc-dsy-0820-10169</v>
      </c>
      <c r="BL169" t="str">
        <f t="shared" si="78"/>
        <v>alp_vw_dv360_imc_dsy_lanch_nd_nc_nvs_nivus-launch-consideracao-orca__configuracao</v>
      </c>
      <c r="BM169" t="str">
        <f t="shared" si="79"/>
        <v>cpm_drct_all_300x600_lancamento-nivus-orca-rmkt-start-configurator-nivus-suv-model-interest_na</v>
      </c>
      <c r="BN169" t="str">
        <f t="shared" si="80"/>
        <v>alp_vw_dv360_imc_dsy_lanch_nd_nc_nvs_nivus-launch-consideracao-orca__configuracao_cpm_drct_all_300x600_lancamento-nivus-orca-rmkt-start-configurator-nivus-suv-model-interest_na_generico_nvl-nvs-imc-dsy-0820-10169</v>
      </c>
    </row>
    <row r="170" spans="2:66" ht="15.75" customHeight="1" x14ac:dyDescent="0.25">
      <c r="B170" s="15" t="s">
        <v>1291</v>
      </c>
      <c r="C170" s="15" t="s">
        <v>1477</v>
      </c>
      <c r="D170" s="15"/>
      <c r="E170" s="22">
        <v>44069</v>
      </c>
      <c r="F170" s="22">
        <v>44135</v>
      </c>
      <c r="G170" s="15" t="s">
        <v>651</v>
      </c>
      <c r="H170" s="41" t="s">
        <v>1266</v>
      </c>
      <c r="I170" s="15" t="s">
        <v>801</v>
      </c>
      <c r="J170" s="42" t="s">
        <v>883</v>
      </c>
      <c r="K170" s="42" t="s">
        <v>883</v>
      </c>
      <c r="L170" s="15" t="s">
        <v>676</v>
      </c>
      <c r="M170" s="15" t="s">
        <v>276</v>
      </c>
      <c r="N170" s="15" t="s">
        <v>295</v>
      </c>
      <c r="O170" s="15" t="s">
        <v>677</v>
      </c>
      <c r="P170" s="15" t="str">
        <f>VLOOKUP(Y170,'All Codes'!$BF$3:$BG$278,2,FALSE)</f>
        <v>MPU</v>
      </c>
      <c r="Q170" s="15" t="s">
        <v>179</v>
      </c>
      <c r="R170" s="15" t="s">
        <v>277</v>
      </c>
      <c r="S170" s="15" t="s">
        <v>874</v>
      </c>
      <c r="T170" s="46" t="s">
        <v>884</v>
      </c>
      <c r="U170" s="15" t="s">
        <v>876</v>
      </c>
      <c r="V170" s="15" t="s">
        <v>1262</v>
      </c>
      <c r="W170" s="15" t="s">
        <v>866</v>
      </c>
      <c r="X170" s="15" t="s">
        <v>307</v>
      </c>
      <c r="Y170" s="46" t="s">
        <v>479</v>
      </c>
      <c r="Z170" s="15"/>
      <c r="AA170" s="15"/>
      <c r="AB170" s="15"/>
      <c r="AC170" s="15"/>
      <c r="AD170" s="15"/>
      <c r="AE170" s="15"/>
      <c r="AF170" s="15"/>
      <c r="AG170" s="15"/>
      <c r="AH170" s="15" t="str">
        <f t="shared" si="96"/>
        <v>284453905</v>
      </c>
      <c r="AI170" s="21" t="str">
        <f t="shared" si="95"/>
        <v>alp_vw_dv360_imc_dsy_lanch_nd_nc_nvs_nivus-launch-consideracao-orca__configuracao_cpm_drct_all_320x50_lancamento-nivus-orca-rmkt-start-configurator-nivus-suv-model-interest_na_lancamento-consideracao-nivus-orca_nvl-nvs-imc-dsy-0820-10170</v>
      </c>
      <c r="AJ170" s="40" t="str">
        <f t="shared" si="95"/>
        <v>alp_vw_dv360_imc_dsy_lanch_nd_nc_nvs_nivus-launch-consideracao-orca__configuracao_cpm_drct_all_320x50_lancamento-nivus-orca-rmkt-start-configurator-nivus-suv-model-interest_na_lancamento-consideracao-nivus-orca_nvl-nvs-imc-dsy-0820-10170</v>
      </c>
      <c r="AK170" s="21" t="str">
        <f t="shared" si="71"/>
        <v>vw_nivus_320x50_lancamento-consideracao-nivus-orca_adserver</v>
      </c>
      <c r="AL170" s="21" t="str">
        <f t="shared" si="81"/>
        <v>https://www.vw.com.br/pt/configurador.html/__app/%2Fnivus/0.app?adlid=nvl-nvs-imc-dsy-0820-10170&amp;adplt=alp_vw_dv360_imc_dsy_lanch_nd_nc_nvs_nivus-launch-consideracao-orca__configuracao_cpm_drct_all_320x50_lancamento-nivus-orca-rmkt-start-configurator-nivus-suv-model-interest_na_lancamento-consideracao-nivus-orca_nvl-nvs-imc-dsy-0820-10170</v>
      </c>
      <c r="AM170" s="21" t="str">
        <f t="shared" si="72"/>
        <v>TAG</v>
      </c>
      <c r="AN170" s="15" t="str">
        <f t="shared" si="82"/>
        <v>DV360</v>
      </c>
      <c r="AO170" s="15" t="str">
        <f t="shared" si="83"/>
        <v>Paid-Display</v>
      </c>
      <c r="AP170" s="21" t="str">
        <f>Campanha!$B$3</f>
        <v>BR_IMC_DSY_LANCH_ND_NC_2020Q3AUG_NVS_Nivus-Launch-Consideracao-Orca</v>
      </c>
      <c r="AQ170" s="21" t="str">
        <f t="shared" si="73"/>
        <v>alp_vw_dv360_imc_dsy_lanch_nd_nc_nvs_nivus-launch-consideracao-orca__configuracao_cpm_drct_all_320x50_lancamento-nivus-orca-rmkt-start-configurator-nivus-suv-model-interest_na_lancamento-consideracao-nivus-orca_nvl-nvs-imc-dsy-0820-10170</v>
      </c>
      <c r="AR170" s="15" t="s">
        <v>745</v>
      </c>
      <c r="AS170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start-configurator-nivus-suv-model-interest_na_lancamento-consideracao-nivus-orca_nvl-nvs-imc-dsy-0820-10170&amp;utm_campaign=BR_IMC_DSY_LANCH_ND_NC_2020Q3AUG_NVS_Nivus-Launch-Consideracao-Orca&amp;utm_term=%epid!_%ecid!_%eaid!</v>
      </c>
      <c r="AT170" s="15" t="str">
        <f t="shared" si="84"/>
        <v>other</v>
      </c>
      <c r="AU170" s="15" t="str">
        <f t="shared" si="75"/>
        <v>BR</v>
      </c>
      <c r="AV170" s="15" t="str">
        <f t="shared" si="85"/>
        <v>dv360</v>
      </c>
      <c r="AW170" s="15" t="str">
        <f t="shared" si="86"/>
        <v>dv360</v>
      </c>
      <c r="AX170" s="15" t="str">
        <f t="shared" si="76"/>
        <v>nivus-launch-consideracao-orca</v>
      </c>
      <c r="AY170" s="15" t="str">
        <f t="shared" si="87"/>
        <v>alp_vw_dv360_imc_dsy_lanch_nd_nc_nvs_nivus-launch-consideracao-orca__configuracao_cpm_drct_all_320x50_lancamento-nivus-orca-rmkt-start-configurator-nivus-suv-model-interest_na_lancamento-consideracao-nivus-orca_nvl-nvs-imc-dsy-0820-10170</v>
      </c>
      <c r="AZ170" s="15" t="str">
        <f t="shared" si="88"/>
        <v>320x50</v>
      </c>
      <c r="BA170" s="15" t="str">
        <f t="shared" si="89"/>
        <v>lancamento-consideracao-nivus-orca</v>
      </c>
      <c r="BB170" s="28" t="s">
        <v>798</v>
      </c>
      <c r="BC170" s="28" t="s">
        <v>798</v>
      </c>
      <c r="BD170" s="38" t="str">
        <f t="shared" si="90"/>
        <v>nvl-nvs-imc-dsy-0820-10170</v>
      </c>
      <c r="BE170" s="15" t="str">
        <f t="shared" si="91"/>
        <v>BR</v>
      </c>
      <c r="BF170" s="15" t="str">
        <f t="shared" si="92"/>
        <v>paid</v>
      </c>
      <c r="BG170" s="28"/>
      <c r="BH170" s="28"/>
      <c r="BI170" s="36" t="str">
        <f t="shared" si="77"/>
        <v>https://www.vw.com.br/pt/configurador.html/__app/%2Fnivus/0.app?adlid=nvl-nvs-imc-dsy-0820-10170&amp;adplt=alp_vw_dv360_imc_dsy_lanch_nd_nc_nvs_nivus-launch-consideracao-orca__configuracao_cpm_drct_all_320x50_lancamento-nivus-orca-rmkt-start-configurator-nivus-suv-model-interest_na_lancamento-consideracao-nivus-orca_nvl-nvs-imc-dsy-0820-10170</v>
      </c>
      <c r="BL170" t="str">
        <f t="shared" si="78"/>
        <v>alp_vw_dv360_imc_dsy_lanch_nd_nc_nvs_nivus-launch-consideracao-orca__configuracao</v>
      </c>
      <c r="BM170" t="str">
        <f t="shared" si="79"/>
        <v>cpm_drct_all_320x50_lancamento-nivus-orca-rmkt-start-configurator-nivus-suv-model-interest_na</v>
      </c>
      <c r="BN170" t="str">
        <f t="shared" si="80"/>
        <v>alp_vw_dv360_imc_dsy_lanch_nd_nc_nvs_nivus-launch-consideracao-orca__configuracao_cpm_drct_all_320x50_lancamento-nivus-orca-rmkt-start-configurator-nivus-suv-model-interest_na_generico_nvl-nvs-imc-dsy-0820-10170</v>
      </c>
    </row>
    <row r="171" spans="2:66" ht="15.75" customHeight="1" x14ac:dyDescent="0.25">
      <c r="B171" s="15" t="s">
        <v>1291</v>
      </c>
      <c r="C171" s="15" t="s">
        <v>1477</v>
      </c>
      <c r="D171" s="15"/>
      <c r="E171" s="22">
        <v>44069</v>
      </c>
      <c r="F171" s="22">
        <v>44135</v>
      </c>
      <c r="G171" s="15" t="s">
        <v>651</v>
      </c>
      <c r="H171" s="41" t="s">
        <v>1266</v>
      </c>
      <c r="I171" s="15" t="s">
        <v>801</v>
      </c>
      <c r="J171" s="42" t="s">
        <v>883</v>
      </c>
      <c r="K171" s="42" t="s">
        <v>883</v>
      </c>
      <c r="L171" s="15" t="s">
        <v>676</v>
      </c>
      <c r="M171" s="15" t="s">
        <v>276</v>
      </c>
      <c r="N171" s="15" t="s">
        <v>295</v>
      </c>
      <c r="O171" s="15" t="s">
        <v>677</v>
      </c>
      <c r="P171" s="15" t="str">
        <f>VLOOKUP(Y171,'All Codes'!$BF$3:$BG$278,2,FALSE)</f>
        <v>Leaderboard</v>
      </c>
      <c r="Q171" s="15" t="s">
        <v>179</v>
      </c>
      <c r="R171" s="15" t="s">
        <v>277</v>
      </c>
      <c r="S171" s="15" t="s">
        <v>874</v>
      </c>
      <c r="T171" s="46" t="s">
        <v>884</v>
      </c>
      <c r="U171" s="15" t="s">
        <v>876</v>
      </c>
      <c r="V171" s="15" t="s">
        <v>1262</v>
      </c>
      <c r="W171" s="15" t="s">
        <v>866</v>
      </c>
      <c r="X171" s="15" t="s">
        <v>307</v>
      </c>
      <c r="Y171" s="46" t="s">
        <v>591</v>
      </c>
      <c r="Z171" s="15"/>
      <c r="AA171" s="15"/>
      <c r="AB171" s="15"/>
      <c r="AC171" s="15"/>
      <c r="AD171" s="15"/>
      <c r="AE171" s="15"/>
      <c r="AF171" s="15"/>
      <c r="AG171" s="15"/>
      <c r="AH171" s="15" t="str">
        <f t="shared" si="96"/>
        <v>284453899</v>
      </c>
      <c r="AI171" s="21" t="str">
        <f t="shared" si="95"/>
        <v>alp_vw_dv360_imc_dsy_lanch_nd_nc_nvs_nivus-launch-consideracao-orca__configuracao_cpm_drct_all_728x90_lancamento-nivus-orca-rmkt-start-configurator-nivus-suv-model-interest_na_lancamento-consideracao-nivus-orca_nvl-nvs-imc-dsy-0820-10171</v>
      </c>
      <c r="AJ171" s="40" t="str">
        <f t="shared" si="95"/>
        <v>alp_vw_dv360_imc_dsy_lanch_nd_nc_nvs_nivus-launch-consideracao-orca__configuracao_cpm_drct_all_728x90_lancamento-nivus-orca-rmkt-start-configurator-nivus-suv-model-interest_na_lancamento-consideracao-nivus-orca_nvl-nvs-imc-dsy-0820-10171</v>
      </c>
      <c r="AK171" s="21" t="str">
        <f t="shared" si="71"/>
        <v>vw_nivus_728x90_lancamento-consideracao-nivus-orca_adserver</v>
      </c>
      <c r="AL171" s="21" t="str">
        <f t="shared" si="81"/>
        <v>https://www.vw.com.br/pt/configurador.html/__app/%2Fnivus/0.app?adlid=nvl-nvs-imc-dsy-0820-10171&amp;adplt=alp_vw_dv360_imc_dsy_lanch_nd_nc_nvs_nivus-launch-consideracao-orca__configuracao_cpm_drct_all_728x90_lancamento-nivus-orca-rmkt-start-configurator-nivus-suv-model-interest_na_lancamento-consideracao-nivus-orca_nvl-nvs-imc-dsy-0820-10171</v>
      </c>
      <c r="AM171" s="21" t="str">
        <f t="shared" si="72"/>
        <v>TAG</v>
      </c>
      <c r="AN171" s="15" t="str">
        <f t="shared" si="82"/>
        <v>DV360</v>
      </c>
      <c r="AO171" s="15" t="str">
        <f t="shared" si="83"/>
        <v>Paid-Display</v>
      </c>
      <c r="AP171" s="21" t="str">
        <f>Campanha!$B$3</f>
        <v>BR_IMC_DSY_LANCH_ND_NC_2020Q3AUG_NVS_Nivus-Launch-Consideracao-Orca</v>
      </c>
      <c r="AQ171" s="21" t="str">
        <f t="shared" si="73"/>
        <v>alp_vw_dv360_imc_dsy_lanch_nd_nc_nvs_nivus-launch-consideracao-orca__configuracao_cpm_drct_all_728x90_lancamento-nivus-orca-rmkt-start-configurator-nivus-suv-model-interest_na_lancamento-consideracao-nivus-orca_nvl-nvs-imc-dsy-0820-10171</v>
      </c>
      <c r="AR171" s="15" t="s">
        <v>745</v>
      </c>
      <c r="AS171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start-configurator-nivus-suv-model-interest_na_lancamento-consideracao-nivus-orca_nvl-nvs-imc-dsy-0820-10171&amp;utm_campaign=BR_IMC_DSY_LANCH_ND_NC_2020Q3AUG_NVS_Nivus-Launch-Consideracao-Orca&amp;utm_term=%epid!_%ecid!_%eaid!</v>
      </c>
      <c r="AT171" s="15" t="str">
        <f t="shared" si="84"/>
        <v>other</v>
      </c>
      <c r="AU171" s="15" t="str">
        <f t="shared" si="75"/>
        <v>BR</v>
      </c>
      <c r="AV171" s="15" t="str">
        <f t="shared" si="85"/>
        <v>dv360</v>
      </c>
      <c r="AW171" s="15" t="str">
        <f t="shared" si="86"/>
        <v>dv360</v>
      </c>
      <c r="AX171" s="15" t="str">
        <f t="shared" si="76"/>
        <v>nivus-launch-consideracao-orca</v>
      </c>
      <c r="AY171" s="15" t="str">
        <f t="shared" si="87"/>
        <v>alp_vw_dv360_imc_dsy_lanch_nd_nc_nvs_nivus-launch-consideracao-orca__configuracao_cpm_drct_all_728x90_lancamento-nivus-orca-rmkt-start-configurator-nivus-suv-model-interest_na_lancamento-consideracao-nivus-orca_nvl-nvs-imc-dsy-0820-10171</v>
      </c>
      <c r="AZ171" s="15" t="str">
        <f t="shared" si="88"/>
        <v>728x90</v>
      </c>
      <c r="BA171" s="15" t="str">
        <f t="shared" si="89"/>
        <v>lancamento-consideracao-nivus-orca</v>
      </c>
      <c r="BB171" s="28" t="s">
        <v>798</v>
      </c>
      <c r="BC171" s="28" t="s">
        <v>798</v>
      </c>
      <c r="BD171" s="38" t="str">
        <f t="shared" si="90"/>
        <v>nvl-nvs-imc-dsy-0820-10171</v>
      </c>
      <c r="BE171" s="15" t="str">
        <f t="shared" si="91"/>
        <v>BR</v>
      </c>
      <c r="BF171" s="15" t="str">
        <f t="shared" si="92"/>
        <v>paid</v>
      </c>
      <c r="BG171" s="28"/>
      <c r="BH171" s="28"/>
      <c r="BI171" s="36" t="str">
        <f t="shared" si="77"/>
        <v>https://www.vw.com.br/pt/configurador.html/__app/%2Fnivus/0.app?adlid=nvl-nvs-imc-dsy-0820-10171&amp;adplt=alp_vw_dv360_imc_dsy_lanch_nd_nc_nvs_nivus-launch-consideracao-orca__configuracao_cpm_drct_all_728x90_lancamento-nivus-orca-rmkt-start-configurator-nivus-suv-model-interest_na_lancamento-consideracao-nivus-orca_nvl-nvs-imc-dsy-0820-10171</v>
      </c>
      <c r="BL171" t="str">
        <f t="shared" si="78"/>
        <v>alp_vw_dv360_imc_dsy_lanch_nd_nc_nvs_nivus-launch-consideracao-orca__configuracao</v>
      </c>
      <c r="BM171" t="str">
        <f t="shared" si="79"/>
        <v>cpm_drct_all_728x90_lancamento-nivus-orca-rmkt-start-configurator-nivus-suv-model-interest_na</v>
      </c>
      <c r="BN171" t="str">
        <f t="shared" si="80"/>
        <v>alp_vw_dv360_imc_dsy_lanch_nd_nc_nvs_nivus-launch-consideracao-orca__configuracao_cpm_drct_all_728x90_lancamento-nivus-orca-rmkt-start-configurator-nivus-suv-model-interest_na_generico_nvl-nvs-imc-dsy-0820-10171</v>
      </c>
    </row>
    <row r="172" spans="2:66" ht="15.75" customHeight="1" x14ac:dyDescent="0.25">
      <c r="B172" s="15" t="s">
        <v>1291</v>
      </c>
      <c r="C172" s="15" t="s">
        <v>1477</v>
      </c>
      <c r="D172" s="15"/>
      <c r="E172" s="22">
        <v>44069</v>
      </c>
      <c r="F172" s="22">
        <v>44135</v>
      </c>
      <c r="G172" s="15" t="s">
        <v>651</v>
      </c>
      <c r="H172" s="41" t="s">
        <v>1266</v>
      </c>
      <c r="I172" s="15" t="s">
        <v>801</v>
      </c>
      <c r="J172" s="42" t="s">
        <v>883</v>
      </c>
      <c r="K172" s="42" t="s">
        <v>883</v>
      </c>
      <c r="L172" s="15" t="s">
        <v>676</v>
      </c>
      <c r="M172" s="15" t="s">
        <v>276</v>
      </c>
      <c r="N172" s="15" t="s">
        <v>295</v>
      </c>
      <c r="O172" s="15" t="s">
        <v>677</v>
      </c>
      <c r="P172" s="15" t="str">
        <f>VLOOKUP(Y172,'All Codes'!$BF$3:$BG$278,2,FALSE)</f>
        <v>Leaderboard</v>
      </c>
      <c r="Q172" s="15" t="s">
        <v>179</v>
      </c>
      <c r="R172" s="15" t="s">
        <v>277</v>
      </c>
      <c r="S172" s="15" t="s">
        <v>874</v>
      </c>
      <c r="T172" s="46" t="s">
        <v>884</v>
      </c>
      <c r="U172" s="15" t="s">
        <v>876</v>
      </c>
      <c r="V172" s="15" t="s">
        <v>1262</v>
      </c>
      <c r="W172" s="15" t="s">
        <v>866</v>
      </c>
      <c r="X172" s="15" t="s">
        <v>307</v>
      </c>
      <c r="Y172" s="46" t="s">
        <v>629</v>
      </c>
      <c r="Z172" s="15"/>
      <c r="AA172" s="15"/>
      <c r="AB172" s="15"/>
      <c r="AC172" s="15"/>
      <c r="AD172" s="15"/>
      <c r="AE172" s="15"/>
      <c r="AF172" s="15"/>
      <c r="AG172" s="15"/>
      <c r="AH172" s="15" t="str">
        <f t="shared" si="96"/>
        <v>284453893</v>
      </c>
      <c r="AI172" s="21" t="str">
        <f t="shared" si="95"/>
        <v>alp_vw_dv360_imc_dsy_lanch_nd_nc_nvs_nivus-launch-consideracao-orca__configuracao_cpm_drct_all_970x250_lancamento-nivus-orca-rmkt-start-configurator-nivus-suv-model-interest_na_lancamento-consideracao-nivus-orca_nvl-nvs-imc-dsy-0820-10172</v>
      </c>
      <c r="AJ172" s="40" t="str">
        <f t="shared" si="95"/>
        <v>alp_vw_dv360_imc_dsy_lanch_nd_nc_nvs_nivus-launch-consideracao-orca__configuracao_cpm_drct_all_970x250_lancamento-nivus-orca-rmkt-start-configurator-nivus-suv-model-interest_na_lancamento-consideracao-nivus-orca_nvl-nvs-imc-dsy-0820-10172</v>
      </c>
      <c r="AK172" s="21" t="str">
        <f t="shared" si="71"/>
        <v>vw_nivus_970x250_lancamento-consideracao-nivus-orca_adserver</v>
      </c>
      <c r="AL172" s="21" t="str">
        <f t="shared" si="81"/>
        <v>https://www.vw.com.br/pt/configurador.html/__app/%2Fnivus/0.app?adlid=nvl-nvs-imc-dsy-0820-10172&amp;adplt=alp_vw_dv360_imc_dsy_lanch_nd_nc_nvs_nivus-launch-consideracao-orca__configuracao_cpm_drct_all_970x250_lancamento-nivus-orca-rmkt-start-configurator-nivus-suv-model-interest_na_lancamento-consideracao-nivus-orca_nvl-nvs-imc-dsy-0820-10172</v>
      </c>
      <c r="AM172" s="21" t="str">
        <f t="shared" si="72"/>
        <v>TAG</v>
      </c>
      <c r="AN172" s="15" t="str">
        <f t="shared" si="82"/>
        <v>DV360</v>
      </c>
      <c r="AO172" s="15" t="str">
        <f t="shared" si="83"/>
        <v>Paid-Display</v>
      </c>
      <c r="AP172" s="21" t="str">
        <f>Campanha!$B$3</f>
        <v>BR_IMC_DSY_LANCH_ND_NC_2020Q3AUG_NVS_Nivus-Launch-Consideracao-Orca</v>
      </c>
      <c r="AQ172" s="21" t="str">
        <f t="shared" si="73"/>
        <v>alp_vw_dv360_imc_dsy_lanch_nd_nc_nvs_nivus-launch-consideracao-orca__configuracao_cpm_drct_all_970x250_lancamento-nivus-orca-rmkt-start-configurator-nivus-suv-model-interest_na_lancamento-consideracao-nivus-orca_nvl-nvs-imc-dsy-0820-10172</v>
      </c>
      <c r="AR172" s="15" t="s">
        <v>745</v>
      </c>
      <c r="AS172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start-configurator-nivus-suv-model-interest_na_lancamento-consideracao-nivus-orca_nvl-nvs-imc-dsy-0820-10172&amp;utm_campaign=BR_IMC_DSY_LANCH_ND_NC_2020Q3AUG_NVS_Nivus-Launch-Consideracao-Orca&amp;utm_term=%epid!_%ecid!_%eaid!</v>
      </c>
      <c r="AT172" s="15" t="str">
        <f t="shared" si="84"/>
        <v>other</v>
      </c>
      <c r="AU172" s="15" t="str">
        <f t="shared" si="75"/>
        <v>BR</v>
      </c>
      <c r="AV172" s="15" t="str">
        <f t="shared" si="85"/>
        <v>dv360</v>
      </c>
      <c r="AW172" s="15" t="str">
        <f t="shared" si="86"/>
        <v>dv360</v>
      </c>
      <c r="AX172" s="15" t="str">
        <f t="shared" si="76"/>
        <v>nivus-launch-consideracao-orca</v>
      </c>
      <c r="AY172" s="15" t="str">
        <f t="shared" si="87"/>
        <v>alp_vw_dv360_imc_dsy_lanch_nd_nc_nvs_nivus-launch-consideracao-orca__configuracao_cpm_drct_all_970x250_lancamento-nivus-orca-rmkt-start-configurator-nivus-suv-model-interest_na_lancamento-consideracao-nivus-orca_nvl-nvs-imc-dsy-0820-10172</v>
      </c>
      <c r="AZ172" s="15" t="str">
        <f t="shared" si="88"/>
        <v>970x250</v>
      </c>
      <c r="BA172" s="15" t="str">
        <f t="shared" si="89"/>
        <v>lancamento-consideracao-nivus-orca</v>
      </c>
      <c r="BB172" s="28" t="s">
        <v>798</v>
      </c>
      <c r="BC172" s="28" t="s">
        <v>798</v>
      </c>
      <c r="BD172" s="38" t="str">
        <f t="shared" si="90"/>
        <v>nvl-nvs-imc-dsy-0820-10172</v>
      </c>
      <c r="BE172" s="15" t="str">
        <f t="shared" si="91"/>
        <v>BR</v>
      </c>
      <c r="BF172" s="15" t="str">
        <f t="shared" si="92"/>
        <v>paid</v>
      </c>
      <c r="BG172" s="28"/>
      <c r="BH172" s="28"/>
      <c r="BI172" s="36" t="str">
        <f t="shared" si="77"/>
        <v>https://www.vw.com.br/pt/configurador.html/__app/%2Fnivus/0.app?adlid=nvl-nvs-imc-dsy-0820-10172&amp;adplt=alp_vw_dv360_imc_dsy_lanch_nd_nc_nvs_nivus-launch-consideracao-orca__configuracao_cpm_drct_all_970x250_lancamento-nivus-orca-rmkt-start-configurator-nivus-suv-model-interest_na_lancamento-consideracao-nivus-orca_nvl-nvs-imc-dsy-0820-10172</v>
      </c>
      <c r="BL172" t="str">
        <f t="shared" si="78"/>
        <v>alp_vw_dv360_imc_dsy_lanch_nd_nc_nvs_nivus-launch-consideracao-orca__configuracao</v>
      </c>
      <c r="BM172" t="str">
        <f t="shared" si="79"/>
        <v>cpm_drct_all_970x250_lancamento-nivus-orca-rmkt-start-configurator-nivus-suv-model-interest_na</v>
      </c>
      <c r="BN172" t="str">
        <f t="shared" si="80"/>
        <v>alp_vw_dv360_imc_dsy_lanch_nd_nc_nvs_nivus-launch-consideracao-orca__configuracao_cpm_drct_all_970x250_lancamento-nivus-orca-rmkt-start-configurator-nivus-suv-model-interest_na_generico_nvl-nvs-imc-dsy-0820-10172</v>
      </c>
    </row>
    <row r="173" spans="2:66" ht="15.75" customHeight="1" x14ac:dyDescent="0.25">
      <c r="B173" s="15" t="s">
        <v>1291</v>
      </c>
      <c r="C173" s="15" t="s">
        <v>1477</v>
      </c>
      <c r="D173" s="15"/>
      <c r="E173" s="22">
        <v>44069</v>
      </c>
      <c r="F173" s="22">
        <v>44135</v>
      </c>
      <c r="G173" s="15" t="s">
        <v>651</v>
      </c>
      <c r="H173" s="41" t="s">
        <v>1266</v>
      </c>
      <c r="I173" s="15" t="s">
        <v>801</v>
      </c>
      <c r="J173" s="42" t="s">
        <v>883</v>
      </c>
      <c r="K173" s="42" t="s">
        <v>883</v>
      </c>
      <c r="L173" s="15" t="s">
        <v>676</v>
      </c>
      <c r="M173" s="15" t="s">
        <v>276</v>
      </c>
      <c r="N173" s="15" t="s">
        <v>295</v>
      </c>
      <c r="O173" s="15" t="s">
        <v>677</v>
      </c>
      <c r="P173" s="15" t="str">
        <f>VLOOKUP(Y173,'All Codes'!$BF$3:$BG$278,2,FALSE)</f>
        <v>MPU</v>
      </c>
      <c r="Q173" s="15" t="s">
        <v>179</v>
      </c>
      <c r="R173" s="15" t="s">
        <v>277</v>
      </c>
      <c r="S173" s="15" t="s">
        <v>874</v>
      </c>
      <c r="T173" s="46" t="s">
        <v>884</v>
      </c>
      <c r="U173" s="15" t="s">
        <v>876</v>
      </c>
      <c r="V173" s="15" t="s">
        <v>1263</v>
      </c>
      <c r="W173" s="15" t="s">
        <v>866</v>
      </c>
      <c r="X173" s="15" t="s">
        <v>307</v>
      </c>
      <c r="Y173" s="46" t="s">
        <v>461</v>
      </c>
      <c r="Z173" s="15"/>
      <c r="AA173" s="15"/>
      <c r="AB173" s="15"/>
      <c r="AC173" s="15"/>
      <c r="AD173" s="15"/>
      <c r="AE173" s="15"/>
      <c r="AF173" s="15"/>
      <c r="AG173" s="15"/>
      <c r="AH173" s="15" t="str">
        <f t="shared" si="96"/>
        <v>284453887</v>
      </c>
      <c r="AI173" s="21" t="str">
        <f t="shared" si="95"/>
        <v>alp_vw_dv360_imc_dsy_lanch_nd_nc_nvs_nivus-launch-consideracao-orca__configuracao_cpm_drct_all_300x50_lancamento-nivus-orca-rmkt-site-visitation-brand-interest_na_lancamento-consideracao-nivus-orca_nvl-nvs-imc-dsy-0820-10173</v>
      </c>
      <c r="AJ173" s="40" t="str">
        <f t="shared" si="95"/>
        <v>alp_vw_dv360_imc_dsy_lanch_nd_nc_nvs_nivus-launch-consideracao-orca__configuracao_cpm_drct_all_300x50_lancamento-nivus-orca-rmkt-site-visitation-brand-interest_na_lancamento-consideracao-nivus-orca_nvl-nvs-imc-dsy-0820-10173</v>
      </c>
      <c r="AK173" s="21" t="str">
        <f t="shared" si="71"/>
        <v>vw_nivus_300x50_lancamento-consideracao-nivus-orca_adserver</v>
      </c>
      <c r="AL173" s="21" t="str">
        <f t="shared" si="81"/>
        <v>https://www.vw.com.br/pt/configurador.html/__app/%2Fnivus/0.app?adlid=nvl-nvs-imc-dsy-0820-10173&amp;adplt=alp_vw_dv360_imc_dsy_lanch_nd_nc_nvs_nivus-launch-consideracao-orca__configuracao_cpm_drct_all_300x50_lancamento-nivus-orca-rmkt-site-visitation-brand-interest_na_lancamento-consideracao-nivus-orca_nvl-nvs-imc-dsy-0820-10173</v>
      </c>
      <c r="AM173" s="21" t="str">
        <f t="shared" si="72"/>
        <v>TAG</v>
      </c>
      <c r="AN173" s="15" t="str">
        <f t="shared" si="82"/>
        <v>DV360</v>
      </c>
      <c r="AO173" s="15" t="str">
        <f t="shared" si="83"/>
        <v>Paid-Display</v>
      </c>
      <c r="AP173" s="21" t="str">
        <f>Campanha!$B$3</f>
        <v>BR_IMC_DSY_LANCH_ND_NC_2020Q3AUG_NVS_Nivus-Launch-Consideracao-Orca</v>
      </c>
      <c r="AQ173" s="21" t="str">
        <f t="shared" si="73"/>
        <v>alp_vw_dv360_imc_dsy_lanch_nd_nc_nvs_nivus-launch-consideracao-orca__configuracao_cpm_drct_all_300x50_lancamento-nivus-orca-rmkt-site-visitation-brand-interest_na_lancamento-consideracao-nivus-orca_nvl-nvs-imc-dsy-0820-10173</v>
      </c>
      <c r="AR173" s="15" t="s">
        <v>745</v>
      </c>
      <c r="AS173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site-visitation-brand-interest_na_lancamento-consideracao-nivus-orca_nvl-nvs-imc-dsy-0820-10173&amp;utm_campaign=BR_IMC_DSY_LANCH_ND_NC_2020Q3AUG_NVS_Nivus-Launch-Consideracao-Orca&amp;utm_term=%epid!_%ecid!_%eaid!</v>
      </c>
      <c r="AT173" s="15" t="str">
        <f t="shared" si="84"/>
        <v>other</v>
      </c>
      <c r="AU173" s="15" t="str">
        <f t="shared" si="75"/>
        <v>BR</v>
      </c>
      <c r="AV173" s="15" t="str">
        <f t="shared" si="85"/>
        <v>dv360</v>
      </c>
      <c r="AW173" s="15" t="str">
        <f t="shared" si="86"/>
        <v>dv360</v>
      </c>
      <c r="AX173" s="15" t="str">
        <f t="shared" si="76"/>
        <v>nivus-launch-consideracao-orca</v>
      </c>
      <c r="AY173" s="15" t="str">
        <f t="shared" si="87"/>
        <v>alp_vw_dv360_imc_dsy_lanch_nd_nc_nvs_nivus-launch-consideracao-orca__configuracao_cpm_drct_all_300x50_lancamento-nivus-orca-rmkt-site-visitation-brand-interest_na_lancamento-consideracao-nivus-orca_nvl-nvs-imc-dsy-0820-10173</v>
      </c>
      <c r="AZ173" s="15" t="str">
        <f t="shared" si="88"/>
        <v>300x50</v>
      </c>
      <c r="BA173" s="15" t="str">
        <f t="shared" si="89"/>
        <v>lancamento-consideracao-nivus-orca</v>
      </c>
      <c r="BB173" s="28" t="s">
        <v>798</v>
      </c>
      <c r="BC173" s="28" t="s">
        <v>798</v>
      </c>
      <c r="BD173" s="38" t="str">
        <f t="shared" si="90"/>
        <v>nvl-nvs-imc-dsy-0820-10173</v>
      </c>
      <c r="BE173" s="15" t="str">
        <f t="shared" si="91"/>
        <v>BR</v>
      </c>
      <c r="BF173" s="15" t="str">
        <f t="shared" si="92"/>
        <v>paid</v>
      </c>
      <c r="BG173" s="28"/>
      <c r="BH173" s="28"/>
      <c r="BI173" s="36" t="str">
        <f t="shared" si="77"/>
        <v>https://www.vw.com.br/pt/configurador.html/__app/%2Fnivus/0.app?adlid=nvl-nvs-imc-dsy-0820-10173&amp;adplt=alp_vw_dv360_imc_dsy_lanch_nd_nc_nvs_nivus-launch-consideracao-orca__configuracao_cpm_drct_all_300x50_lancamento-nivus-orca-rmkt-site-visitation-brand-interest_na_lancamento-consideracao-nivus-orca_nvl-nvs-imc-dsy-0820-10173</v>
      </c>
      <c r="BL173" t="str">
        <f t="shared" si="78"/>
        <v>alp_vw_dv360_imc_dsy_lanch_nd_nc_nvs_nivus-launch-consideracao-orca__configuracao</v>
      </c>
      <c r="BM173" t="str">
        <f t="shared" si="79"/>
        <v>cpm_drct_all_300x50_lancamento-nivus-orca-rmkt-site-visitation-brand-interest_na</v>
      </c>
      <c r="BN173" t="str">
        <f t="shared" si="80"/>
        <v>alp_vw_dv360_imc_dsy_lanch_nd_nc_nvs_nivus-launch-consideracao-orca__configuracao_cpm_drct_all_300x50_lancamento-nivus-orca-rmkt-site-visitation-brand-interest_na_generico_nvl-nvs-imc-dsy-0820-10173</v>
      </c>
    </row>
    <row r="174" spans="2:66" ht="15.75" customHeight="1" x14ac:dyDescent="0.25">
      <c r="B174" s="15" t="s">
        <v>1291</v>
      </c>
      <c r="C174" s="15" t="s">
        <v>1477</v>
      </c>
      <c r="D174" s="15"/>
      <c r="E174" s="22">
        <v>44069</v>
      </c>
      <c r="F174" s="22">
        <v>44135</v>
      </c>
      <c r="G174" s="15" t="s">
        <v>651</v>
      </c>
      <c r="H174" s="41" t="s">
        <v>1266</v>
      </c>
      <c r="I174" s="15" t="s">
        <v>801</v>
      </c>
      <c r="J174" s="42" t="s">
        <v>883</v>
      </c>
      <c r="K174" s="42" t="s">
        <v>883</v>
      </c>
      <c r="L174" s="15" t="s">
        <v>676</v>
      </c>
      <c r="M174" s="15" t="s">
        <v>276</v>
      </c>
      <c r="N174" s="15" t="s">
        <v>295</v>
      </c>
      <c r="O174" s="15" t="s">
        <v>677</v>
      </c>
      <c r="P174" s="15" t="str">
        <f>VLOOKUP(Y174,'All Codes'!$BF$3:$BG$278,2,FALSE)</f>
        <v>Skyscraper</v>
      </c>
      <c r="Q174" s="15" t="s">
        <v>179</v>
      </c>
      <c r="R174" s="15" t="s">
        <v>277</v>
      </c>
      <c r="S174" s="15" t="s">
        <v>874</v>
      </c>
      <c r="T174" s="46" t="s">
        <v>884</v>
      </c>
      <c r="U174" s="15" t="s">
        <v>876</v>
      </c>
      <c r="V174" s="15" t="s">
        <v>1263</v>
      </c>
      <c r="W174" s="15" t="s">
        <v>866</v>
      </c>
      <c r="X174" s="15" t="s">
        <v>307</v>
      </c>
      <c r="Y174" s="46" t="s">
        <v>434</v>
      </c>
      <c r="Z174" s="15"/>
      <c r="AA174" s="15"/>
      <c r="AB174" s="15"/>
      <c r="AC174" s="15"/>
      <c r="AD174" s="15"/>
      <c r="AE174" s="15"/>
      <c r="AF174" s="15"/>
      <c r="AG174" s="15"/>
      <c r="AH174" s="15" t="str">
        <f t="shared" si="96"/>
        <v>284453881</v>
      </c>
      <c r="AI174" s="21" t="str">
        <f t="shared" si="95"/>
        <v>alp_vw_dv360_imc_dsy_lanch_nd_nc_nvs_nivus-launch-consideracao-orca__configuracao_cpm_drct_all_160x600_lancamento-nivus-orca-rmkt-site-visitation-brand-interest_na_lancamento-consideracao-nivus-orca_nvl-nvs-imc-dsy-0820-10174</v>
      </c>
      <c r="AJ174" s="40" t="str">
        <f t="shared" si="95"/>
        <v>alp_vw_dv360_imc_dsy_lanch_nd_nc_nvs_nivus-launch-consideracao-orca__configuracao_cpm_drct_all_160x600_lancamento-nivus-orca-rmkt-site-visitation-brand-interest_na_lancamento-consideracao-nivus-orca_nvl-nvs-imc-dsy-0820-10174</v>
      </c>
      <c r="AK174" s="21" t="str">
        <f t="shared" si="71"/>
        <v>vw_nivus_160x600_lancamento-consideracao-nivus-orca_adserver</v>
      </c>
      <c r="AL174" s="21" t="str">
        <f t="shared" si="81"/>
        <v>https://www.vw.com.br/pt/configurador.html/__app/%2Fnivus/0.app?adlid=nvl-nvs-imc-dsy-0820-10174&amp;adplt=alp_vw_dv360_imc_dsy_lanch_nd_nc_nvs_nivus-launch-consideracao-orca__configuracao_cpm_drct_all_160x600_lancamento-nivus-orca-rmkt-site-visitation-brand-interest_na_lancamento-consideracao-nivus-orca_nvl-nvs-imc-dsy-0820-10174</v>
      </c>
      <c r="AM174" s="21" t="str">
        <f t="shared" si="72"/>
        <v>TAG</v>
      </c>
      <c r="AN174" s="15" t="str">
        <f t="shared" si="82"/>
        <v>DV360</v>
      </c>
      <c r="AO174" s="15" t="str">
        <f t="shared" si="83"/>
        <v>Paid-Display</v>
      </c>
      <c r="AP174" s="21" t="str">
        <f>Campanha!$B$3</f>
        <v>BR_IMC_DSY_LANCH_ND_NC_2020Q3AUG_NVS_Nivus-Launch-Consideracao-Orca</v>
      </c>
      <c r="AQ174" s="21" t="str">
        <f t="shared" si="73"/>
        <v>alp_vw_dv360_imc_dsy_lanch_nd_nc_nvs_nivus-launch-consideracao-orca__configuracao_cpm_drct_all_160x600_lancamento-nivus-orca-rmkt-site-visitation-brand-interest_na_lancamento-consideracao-nivus-orca_nvl-nvs-imc-dsy-0820-10174</v>
      </c>
      <c r="AR174" s="15" t="s">
        <v>745</v>
      </c>
      <c r="AS174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site-visitation-brand-interest_na_lancamento-consideracao-nivus-orca_nvl-nvs-imc-dsy-0820-10174&amp;utm_campaign=BR_IMC_DSY_LANCH_ND_NC_2020Q3AUG_NVS_Nivus-Launch-Consideracao-Orca&amp;utm_term=%epid!_%ecid!_%eaid!</v>
      </c>
      <c r="AT174" s="15" t="str">
        <f t="shared" si="84"/>
        <v>other</v>
      </c>
      <c r="AU174" s="15" t="str">
        <f t="shared" si="75"/>
        <v>BR</v>
      </c>
      <c r="AV174" s="15" t="str">
        <f t="shared" si="85"/>
        <v>dv360</v>
      </c>
      <c r="AW174" s="15" t="str">
        <f t="shared" si="86"/>
        <v>dv360</v>
      </c>
      <c r="AX174" s="15" t="str">
        <f t="shared" si="76"/>
        <v>nivus-launch-consideracao-orca</v>
      </c>
      <c r="AY174" s="15" t="str">
        <f t="shared" si="87"/>
        <v>alp_vw_dv360_imc_dsy_lanch_nd_nc_nvs_nivus-launch-consideracao-orca__configuracao_cpm_drct_all_160x600_lancamento-nivus-orca-rmkt-site-visitation-brand-interest_na_lancamento-consideracao-nivus-orca_nvl-nvs-imc-dsy-0820-10174</v>
      </c>
      <c r="AZ174" s="15" t="str">
        <f t="shared" si="88"/>
        <v>160x600</v>
      </c>
      <c r="BA174" s="15" t="str">
        <f t="shared" si="89"/>
        <v>lancamento-consideracao-nivus-orca</v>
      </c>
      <c r="BB174" s="28" t="s">
        <v>798</v>
      </c>
      <c r="BC174" s="28" t="s">
        <v>798</v>
      </c>
      <c r="BD174" s="38" t="str">
        <f t="shared" si="90"/>
        <v>nvl-nvs-imc-dsy-0820-10174</v>
      </c>
      <c r="BE174" s="15" t="str">
        <f t="shared" si="91"/>
        <v>BR</v>
      </c>
      <c r="BF174" s="15" t="str">
        <f t="shared" si="92"/>
        <v>paid</v>
      </c>
      <c r="BG174" s="28"/>
      <c r="BH174" s="28"/>
      <c r="BI174" s="36" t="str">
        <f t="shared" si="77"/>
        <v>https://www.vw.com.br/pt/configurador.html/__app/%2Fnivus/0.app?adlid=nvl-nvs-imc-dsy-0820-10174&amp;adplt=alp_vw_dv360_imc_dsy_lanch_nd_nc_nvs_nivus-launch-consideracao-orca__configuracao_cpm_drct_all_160x600_lancamento-nivus-orca-rmkt-site-visitation-brand-interest_na_lancamento-consideracao-nivus-orca_nvl-nvs-imc-dsy-0820-10174</v>
      </c>
      <c r="BL174" t="str">
        <f t="shared" si="78"/>
        <v>alp_vw_dv360_imc_dsy_lanch_nd_nc_nvs_nivus-launch-consideracao-orca__configuracao</v>
      </c>
      <c r="BM174" t="str">
        <f t="shared" si="79"/>
        <v>cpm_drct_all_160x600_lancamento-nivus-orca-rmkt-site-visitation-brand-interest_na</v>
      </c>
      <c r="BN174" t="str">
        <f t="shared" si="80"/>
        <v>alp_vw_dv360_imc_dsy_lanch_nd_nc_nvs_nivus-launch-consideracao-orca__configuracao_cpm_drct_all_160x600_lancamento-nivus-orca-rmkt-site-visitation-brand-interest_na_generico_nvl-nvs-imc-dsy-0820-10174</v>
      </c>
    </row>
    <row r="175" spans="2:66" ht="15.75" customHeight="1" x14ac:dyDescent="0.25">
      <c r="B175" s="15" t="s">
        <v>1291</v>
      </c>
      <c r="C175" s="15" t="s">
        <v>1477</v>
      </c>
      <c r="D175" s="15"/>
      <c r="E175" s="22">
        <v>44069</v>
      </c>
      <c r="F175" s="22">
        <v>44135</v>
      </c>
      <c r="G175" s="15" t="s">
        <v>651</v>
      </c>
      <c r="H175" s="41" t="s">
        <v>1266</v>
      </c>
      <c r="I175" s="15" t="s">
        <v>801</v>
      </c>
      <c r="J175" s="42" t="s">
        <v>883</v>
      </c>
      <c r="K175" s="42" t="s">
        <v>883</v>
      </c>
      <c r="L175" s="15" t="s">
        <v>676</v>
      </c>
      <c r="M175" s="15" t="s">
        <v>276</v>
      </c>
      <c r="N175" s="15" t="s">
        <v>295</v>
      </c>
      <c r="O175" s="15" t="s">
        <v>677</v>
      </c>
      <c r="P175" s="15" t="str">
        <f>VLOOKUP(Y175,'All Codes'!$BF$3:$BG$278,2,FALSE)</f>
        <v>MPU</v>
      </c>
      <c r="Q175" s="15" t="s">
        <v>179</v>
      </c>
      <c r="R175" s="15" t="s">
        <v>277</v>
      </c>
      <c r="S175" s="15" t="s">
        <v>874</v>
      </c>
      <c r="T175" s="46" t="s">
        <v>884</v>
      </c>
      <c r="U175" s="15" t="s">
        <v>876</v>
      </c>
      <c r="V175" s="15" t="s">
        <v>1263</v>
      </c>
      <c r="W175" s="15" t="s">
        <v>866</v>
      </c>
      <c r="X175" s="15" t="s">
        <v>307</v>
      </c>
      <c r="Y175" s="46" t="s">
        <v>455</v>
      </c>
      <c r="Z175" s="15"/>
      <c r="AA175" s="15"/>
      <c r="AB175" s="15"/>
      <c r="AC175" s="15"/>
      <c r="AD175" s="15"/>
      <c r="AE175" s="15"/>
      <c r="AF175" s="15"/>
      <c r="AG175" s="15"/>
      <c r="AH175" s="15" t="str">
        <f t="shared" si="96"/>
        <v>284453875</v>
      </c>
      <c r="AI175" s="21" t="str">
        <f t="shared" si="95"/>
        <v>alp_vw_dv360_imc_dsy_lanch_nd_nc_nvs_nivus-launch-consideracao-orca__configuracao_cpm_drct_all_300x250_lancamento-nivus-orca-rmkt-site-visitation-brand-interest_na_lancamento-consideracao-nivus-orca_nvl-nvs-imc-dsy-0820-10175</v>
      </c>
      <c r="AJ175" s="40" t="str">
        <f t="shared" si="95"/>
        <v>alp_vw_dv360_imc_dsy_lanch_nd_nc_nvs_nivus-launch-consideracao-orca__configuracao_cpm_drct_all_300x250_lancamento-nivus-orca-rmkt-site-visitation-brand-interest_na_lancamento-consideracao-nivus-orca_nvl-nvs-imc-dsy-0820-10175</v>
      </c>
      <c r="AK175" s="21" t="str">
        <f t="shared" si="71"/>
        <v>vw_nivus_300x250_lancamento-consideracao-nivus-orca_adserver</v>
      </c>
      <c r="AL175" s="21" t="str">
        <f t="shared" si="81"/>
        <v>https://www.vw.com.br/pt/configurador.html/__app/%2Fnivus/0.app?adlid=nvl-nvs-imc-dsy-0820-10175&amp;adplt=alp_vw_dv360_imc_dsy_lanch_nd_nc_nvs_nivus-launch-consideracao-orca__configuracao_cpm_drct_all_300x250_lancamento-nivus-orca-rmkt-site-visitation-brand-interest_na_lancamento-consideracao-nivus-orca_nvl-nvs-imc-dsy-0820-10175</v>
      </c>
      <c r="AM175" s="21" t="str">
        <f t="shared" si="72"/>
        <v>TAG</v>
      </c>
      <c r="AN175" s="15" t="str">
        <f t="shared" si="82"/>
        <v>DV360</v>
      </c>
      <c r="AO175" s="15" t="str">
        <f t="shared" si="83"/>
        <v>Paid-Display</v>
      </c>
      <c r="AP175" s="21" t="str">
        <f>Campanha!$B$3</f>
        <v>BR_IMC_DSY_LANCH_ND_NC_2020Q3AUG_NVS_Nivus-Launch-Consideracao-Orca</v>
      </c>
      <c r="AQ175" s="21" t="str">
        <f t="shared" si="73"/>
        <v>alp_vw_dv360_imc_dsy_lanch_nd_nc_nvs_nivus-launch-consideracao-orca__configuracao_cpm_drct_all_300x250_lancamento-nivus-orca-rmkt-site-visitation-brand-interest_na_lancamento-consideracao-nivus-orca_nvl-nvs-imc-dsy-0820-10175</v>
      </c>
      <c r="AR175" s="15" t="s">
        <v>745</v>
      </c>
      <c r="AS175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site-visitation-brand-interest_na_lancamento-consideracao-nivus-orca_nvl-nvs-imc-dsy-0820-10175&amp;utm_campaign=BR_IMC_DSY_LANCH_ND_NC_2020Q3AUG_NVS_Nivus-Launch-Consideracao-Orca&amp;utm_term=%epid!_%ecid!_%eaid!</v>
      </c>
      <c r="AT175" s="15" t="str">
        <f t="shared" si="84"/>
        <v>other</v>
      </c>
      <c r="AU175" s="15" t="str">
        <f t="shared" si="75"/>
        <v>BR</v>
      </c>
      <c r="AV175" s="15" t="str">
        <f t="shared" si="85"/>
        <v>dv360</v>
      </c>
      <c r="AW175" s="15" t="str">
        <f t="shared" si="86"/>
        <v>dv360</v>
      </c>
      <c r="AX175" s="15" t="str">
        <f t="shared" si="76"/>
        <v>nivus-launch-consideracao-orca</v>
      </c>
      <c r="AY175" s="15" t="str">
        <f t="shared" si="87"/>
        <v>alp_vw_dv360_imc_dsy_lanch_nd_nc_nvs_nivus-launch-consideracao-orca__configuracao_cpm_drct_all_300x250_lancamento-nivus-orca-rmkt-site-visitation-brand-interest_na_lancamento-consideracao-nivus-orca_nvl-nvs-imc-dsy-0820-10175</v>
      </c>
      <c r="AZ175" s="15" t="str">
        <f t="shared" si="88"/>
        <v>300x250</v>
      </c>
      <c r="BA175" s="15" t="str">
        <f t="shared" si="89"/>
        <v>lancamento-consideracao-nivus-orca</v>
      </c>
      <c r="BB175" s="28" t="s">
        <v>798</v>
      </c>
      <c r="BC175" s="28" t="s">
        <v>798</v>
      </c>
      <c r="BD175" s="38" t="str">
        <f t="shared" si="90"/>
        <v>nvl-nvs-imc-dsy-0820-10175</v>
      </c>
      <c r="BE175" s="15" t="str">
        <f t="shared" si="91"/>
        <v>BR</v>
      </c>
      <c r="BF175" s="15" t="str">
        <f t="shared" si="92"/>
        <v>paid</v>
      </c>
      <c r="BG175" s="28"/>
      <c r="BH175" s="28"/>
      <c r="BI175" s="36" t="str">
        <f t="shared" si="77"/>
        <v>https://www.vw.com.br/pt/configurador.html/__app/%2Fnivus/0.app?adlid=nvl-nvs-imc-dsy-0820-10175&amp;adplt=alp_vw_dv360_imc_dsy_lanch_nd_nc_nvs_nivus-launch-consideracao-orca__configuracao_cpm_drct_all_300x250_lancamento-nivus-orca-rmkt-site-visitation-brand-interest_na_lancamento-consideracao-nivus-orca_nvl-nvs-imc-dsy-0820-10175</v>
      </c>
      <c r="BL175" t="str">
        <f t="shared" si="78"/>
        <v>alp_vw_dv360_imc_dsy_lanch_nd_nc_nvs_nivus-launch-consideracao-orca__configuracao</v>
      </c>
      <c r="BM175" t="str">
        <f t="shared" si="79"/>
        <v>cpm_drct_all_300x250_lancamento-nivus-orca-rmkt-site-visitation-brand-interest_na</v>
      </c>
      <c r="BN175" t="str">
        <f t="shared" si="80"/>
        <v>alp_vw_dv360_imc_dsy_lanch_nd_nc_nvs_nivus-launch-consideracao-orca__configuracao_cpm_drct_all_300x250_lancamento-nivus-orca-rmkt-site-visitation-brand-interest_na_generico_nvl-nvs-imc-dsy-0820-10175</v>
      </c>
    </row>
    <row r="176" spans="2:66" ht="15.75" customHeight="1" x14ac:dyDescent="0.25">
      <c r="B176" s="15" t="s">
        <v>1291</v>
      </c>
      <c r="C176" s="15" t="s">
        <v>1477</v>
      </c>
      <c r="D176" s="15"/>
      <c r="E176" s="22">
        <v>44069</v>
      </c>
      <c r="F176" s="22">
        <v>44135</v>
      </c>
      <c r="G176" s="15" t="s">
        <v>651</v>
      </c>
      <c r="H176" s="41" t="s">
        <v>1266</v>
      </c>
      <c r="I176" s="15" t="s">
        <v>801</v>
      </c>
      <c r="J176" s="42" t="s">
        <v>883</v>
      </c>
      <c r="K176" s="42" t="s">
        <v>883</v>
      </c>
      <c r="L176" s="15" t="s">
        <v>676</v>
      </c>
      <c r="M176" s="15" t="s">
        <v>276</v>
      </c>
      <c r="N176" s="15" t="s">
        <v>295</v>
      </c>
      <c r="O176" s="15" t="s">
        <v>677</v>
      </c>
      <c r="P176" s="15" t="str">
        <f>VLOOKUP(Y176,'All Codes'!$BF$3:$BG$278,2,FALSE)</f>
        <v>Skyscraper</v>
      </c>
      <c r="Q176" s="15" t="s">
        <v>179</v>
      </c>
      <c r="R176" s="15" t="s">
        <v>277</v>
      </c>
      <c r="S176" s="15" t="s">
        <v>874</v>
      </c>
      <c r="T176" s="46" t="s">
        <v>884</v>
      </c>
      <c r="U176" s="15" t="s">
        <v>876</v>
      </c>
      <c r="V176" s="15" t="s">
        <v>1263</v>
      </c>
      <c r="W176" s="15" t="s">
        <v>866</v>
      </c>
      <c r="X176" s="15" t="s">
        <v>307</v>
      </c>
      <c r="Y176" s="46" t="s">
        <v>464</v>
      </c>
      <c r="Z176" s="15"/>
      <c r="AA176" s="15"/>
      <c r="AB176" s="15"/>
      <c r="AC176" s="15"/>
      <c r="AD176" s="15"/>
      <c r="AE176" s="15"/>
      <c r="AF176" s="15"/>
      <c r="AG176" s="15"/>
      <c r="AH176" s="15" t="str">
        <f t="shared" si="96"/>
        <v>284453869</v>
      </c>
      <c r="AI176" s="21" t="str">
        <f t="shared" si="95"/>
        <v>alp_vw_dv360_imc_dsy_lanch_nd_nc_nvs_nivus-launch-consideracao-orca__configuracao_cpm_drct_all_300x600_lancamento-nivus-orca-rmkt-site-visitation-brand-interest_na_lancamento-consideracao-nivus-orca_nvl-nvs-imc-dsy-0820-10176</v>
      </c>
      <c r="AJ176" s="40" t="str">
        <f t="shared" si="95"/>
        <v>alp_vw_dv360_imc_dsy_lanch_nd_nc_nvs_nivus-launch-consideracao-orca__configuracao_cpm_drct_all_300x600_lancamento-nivus-orca-rmkt-site-visitation-brand-interest_na_lancamento-consideracao-nivus-orca_nvl-nvs-imc-dsy-0820-10176</v>
      </c>
      <c r="AK176" s="21" t="str">
        <f t="shared" si="71"/>
        <v>vw_nivus_300x600_lancamento-consideracao-nivus-orca_adserver</v>
      </c>
      <c r="AL176" s="21" t="str">
        <f t="shared" si="81"/>
        <v>https://www.vw.com.br/pt/configurador.html/__app/%2Fnivus/0.app?adlid=nvl-nvs-imc-dsy-0820-10176&amp;adplt=alp_vw_dv360_imc_dsy_lanch_nd_nc_nvs_nivus-launch-consideracao-orca__configuracao_cpm_drct_all_300x600_lancamento-nivus-orca-rmkt-site-visitation-brand-interest_na_lancamento-consideracao-nivus-orca_nvl-nvs-imc-dsy-0820-10176</v>
      </c>
      <c r="AM176" s="21" t="str">
        <f t="shared" si="72"/>
        <v>TAG</v>
      </c>
      <c r="AN176" s="15" t="str">
        <f t="shared" si="82"/>
        <v>DV360</v>
      </c>
      <c r="AO176" s="15" t="str">
        <f t="shared" si="83"/>
        <v>Paid-Display</v>
      </c>
      <c r="AP176" s="21" t="str">
        <f>Campanha!$B$3</f>
        <v>BR_IMC_DSY_LANCH_ND_NC_2020Q3AUG_NVS_Nivus-Launch-Consideracao-Orca</v>
      </c>
      <c r="AQ176" s="21" t="str">
        <f t="shared" si="73"/>
        <v>alp_vw_dv360_imc_dsy_lanch_nd_nc_nvs_nivus-launch-consideracao-orca__configuracao_cpm_drct_all_300x600_lancamento-nivus-orca-rmkt-site-visitation-brand-interest_na_lancamento-consideracao-nivus-orca_nvl-nvs-imc-dsy-0820-10176</v>
      </c>
      <c r="AR176" s="15" t="s">
        <v>745</v>
      </c>
      <c r="AS176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site-visitation-brand-interest_na_lancamento-consideracao-nivus-orca_nvl-nvs-imc-dsy-0820-10176&amp;utm_campaign=BR_IMC_DSY_LANCH_ND_NC_2020Q3AUG_NVS_Nivus-Launch-Consideracao-Orca&amp;utm_term=%epid!_%ecid!_%eaid!</v>
      </c>
      <c r="AT176" s="15" t="str">
        <f t="shared" si="84"/>
        <v>other</v>
      </c>
      <c r="AU176" s="15" t="str">
        <f t="shared" si="75"/>
        <v>BR</v>
      </c>
      <c r="AV176" s="15" t="str">
        <f t="shared" si="85"/>
        <v>dv360</v>
      </c>
      <c r="AW176" s="15" t="str">
        <f t="shared" si="86"/>
        <v>dv360</v>
      </c>
      <c r="AX176" s="15" t="str">
        <f t="shared" si="76"/>
        <v>nivus-launch-consideracao-orca</v>
      </c>
      <c r="AY176" s="15" t="str">
        <f t="shared" si="87"/>
        <v>alp_vw_dv360_imc_dsy_lanch_nd_nc_nvs_nivus-launch-consideracao-orca__configuracao_cpm_drct_all_300x600_lancamento-nivus-orca-rmkt-site-visitation-brand-interest_na_lancamento-consideracao-nivus-orca_nvl-nvs-imc-dsy-0820-10176</v>
      </c>
      <c r="AZ176" s="15" t="str">
        <f t="shared" si="88"/>
        <v>300x600</v>
      </c>
      <c r="BA176" s="15" t="str">
        <f t="shared" si="89"/>
        <v>lancamento-consideracao-nivus-orca</v>
      </c>
      <c r="BB176" s="28" t="s">
        <v>798</v>
      </c>
      <c r="BC176" s="28" t="s">
        <v>798</v>
      </c>
      <c r="BD176" s="38" t="str">
        <f t="shared" si="90"/>
        <v>nvl-nvs-imc-dsy-0820-10176</v>
      </c>
      <c r="BE176" s="15" t="str">
        <f t="shared" si="91"/>
        <v>BR</v>
      </c>
      <c r="BF176" s="15" t="str">
        <f t="shared" si="92"/>
        <v>paid</v>
      </c>
      <c r="BG176" s="28"/>
      <c r="BH176" s="28"/>
      <c r="BI176" s="36" t="str">
        <f t="shared" si="77"/>
        <v>https://www.vw.com.br/pt/configurador.html/__app/%2Fnivus/0.app?adlid=nvl-nvs-imc-dsy-0820-10176&amp;adplt=alp_vw_dv360_imc_dsy_lanch_nd_nc_nvs_nivus-launch-consideracao-orca__configuracao_cpm_drct_all_300x600_lancamento-nivus-orca-rmkt-site-visitation-brand-interest_na_lancamento-consideracao-nivus-orca_nvl-nvs-imc-dsy-0820-10176</v>
      </c>
      <c r="BL176" t="str">
        <f t="shared" si="78"/>
        <v>alp_vw_dv360_imc_dsy_lanch_nd_nc_nvs_nivus-launch-consideracao-orca__configuracao</v>
      </c>
      <c r="BM176" t="str">
        <f t="shared" si="79"/>
        <v>cpm_drct_all_300x600_lancamento-nivus-orca-rmkt-site-visitation-brand-interest_na</v>
      </c>
      <c r="BN176" t="str">
        <f t="shared" si="80"/>
        <v>alp_vw_dv360_imc_dsy_lanch_nd_nc_nvs_nivus-launch-consideracao-orca__configuracao_cpm_drct_all_300x600_lancamento-nivus-orca-rmkt-site-visitation-brand-interest_na_generico_nvl-nvs-imc-dsy-0820-10176</v>
      </c>
    </row>
    <row r="177" spans="2:66" ht="15.75" customHeight="1" x14ac:dyDescent="0.25">
      <c r="B177" s="15" t="s">
        <v>1291</v>
      </c>
      <c r="C177" s="15" t="s">
        <v>1477</v>
      </c>
      <c r="D177" s="15"/>
      <c r="E177" s="22">
        <v>44069</v>
      </c>
      <c r="F177" s="22">
        <v>44135</v>
      </c>
      <c r="G177" s="15" t="s">
        <v>651</v>
      </c>
      <c r="H177" s="41" t="s">
        <v>1266</v>
      </c>
      <c r="I177" s="15" t="s">
        <v>801</v>
      </c>
      <c r="J177" s="42" t="s">
        <v>883</v>
      </c>
      <c r="K177" s="42" t="s">
        <v>883</v>
      </c>
      <c r="L177" s="15" t="s">
        <v>676</v>
      </c>
      <c r="M177" s="15" t="s">
        <v>276</v>
      </c>
      <c r="N177" s="15" t="s">
        <v>295</v>
      </c>
      <c r="O177" s="15" t="s">
        <v>677</v>
      </c>
      <c r="P177" s="15" t="str">
        <f>VLOOKUP(Y177,'All Codes'!$BF$3:$BG$278,2,FALSE)</f>
        <v>MPU</v>
      </c>
      <c r="Q177" s="15" t="s">
        <v>179</v>
      </c>
      <c r="R177" s="15" t="s">
        <v>277</v>
      </c>
      <c r="S177" s="15" t="s">
        <v>874</v>
      </c>
      <c r="T177" s="46" t="s">
        <v>884</v>
      </c>
      <c r="U177" s="15" t="s">
        <v>876</v>
      </c>
      <c r="V177" s="15" t="s">
        <v>1263</v>
      </c>
      <c r="W177" s="15" t="s">
        <v>866</v>
      </c>
      <c r="X177" s="15" t="s">
        <v>307</v>
      </c>
      <c r="Y177" s="46" t="s">
        <v>479</v>
      </c>
      <c r="Z177" s="15"/>
      <c r="AA177" s="15"/>
      <c r="AB177" s="15"/>
      <c r="AC177" s="15"/>
      <c r="AD177" s="15"/>
      <c r="AE177" s="15"/>
      <c r="AF177" s="15"/>
      <c r="AG177" s="15"/>
      <c r="AH177" s="15" t="str">
        <f t="shared" si="96"/>
        <v>284453863</v>
      </c>
      <c r="AI177" s="21" t="str">
        <f t="shared" si="95"/>
        <v>alp_vw_dv360_imc_dsy_lanch_nd_nc_nvs_nivus-launch-consideracao-orca__configuracao_cpm_drct_all_320x50_lancamento-nivus-orca-rmkt-site-visitation-brand-interest_na_lancamento-consideracao-nivus-orca_nvl-nvs-imc-dsy-0820-10177</v>
      </c>
      <c r="AJ177" s="40" t="str">
        <f t="shared" si="95"/>
        <v>alp_vw_dv360_imc_dsy_lanch_nd_nc_nvs_nivus-launch-consideracao-orca__configuracao_cpm_drct_all_320x50_lancamento-nivus-orca-rmkt-site-visitation-brand-interest_na_lancamento-consideracao-nivus-orca_nvl-nvs-imc-dsy-0820-10177</v>
      </c>
      <c r="AK177" s="21" t="str">
        <f t="shared" si="71"/>
        <v>vw_nivus_320x50_lancamento-consideracao-nivus-orca_adserver</v>
      </c>
      <c r="AL177" s="21" t="str">
        <f t="shared" si="81"/>
        <v>https://www.vw.com.br/pt/configurador.html/__app/%2Fnivus/0.app?adlid=nvl-nvs-imc-dsy-0820-10177&amp;adplt=alp_vw_dv360_imc_dsy_lanch_nd_nc_nvs_nivus-launch-consideracao-orca__configuracao_cpm_drct_all_320x50_lancamento-nivus-orca-rmkt-site-visitation-brand-interest_na_lancamento-consideracao-nivus-orca_nvl-nvs-imc-dsy-0820-10177</v>
      </c>
      <c r="AM177" s="21" t="str">
        <f t="shared" si="72"/>
        <v>TAG</v>
      </c>
      <c r="AN177" s="15" t="str">
        <f t="shared" si="82"/>
        <v>DV360</v>
      </c>
      <c r="AO177" s="15" t="str">
        <f t="shared" si="83"/>
        <v>Paid-Display</v>
      </c>
      <c r="AP177" s="21" t="str">
        <f>Campanha!$B$3</f>
        <v>BR_IMC_DSY_LANCH_ND_NC_2020Q3AUG_NVS_Nivus-Launch-Consideracao-Orca</v>
      </c>
      <c r="AQ177" s="21" t="str">
        <f t="shared" si="73"/>
        <v>alp_vw_dv360_imc_dsy_lanch_nd_nc_nvs_nivus-launch-consideracao-orca__configuracao_cpm_drct_all_320x50_lancamento-nivus-orca-rmkt-site-visitation-brand-interest_na_lancamento-consideracao-nivus-orca_nvl-nvs-imc-dsy-0820-10177</v>
      </c>
      <c r="AR177" s="15" t="s">
        <v>745</v>
      </c>
      <c r="AS177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site-visitation-brand-interest_na_lancamento-consideracao-nivus-orca_nvl-nvs-imc-dsy-0820-10177&amp;utm_campaign=BR_IMC_DSY_LANCH_ND_NC_2020Q3AUG_NVS_Nivus-Launch-Consideracao-Orca&amp;utm_term=%epid!_%ecid!_%eaid!</v>
      </c>
      <c r="AT177" s="15" t="str">
        <f t="shared" si="84"/>
        <v>other</v>
      </c>
      <c r="AU177" s="15" t="str">
        <f t="shared" si="75"/>
        <v>BR</v>
      </c>
      <c r="AV177" s="15" t="str">
        <f t="shared" si="85"/>
        <v>dv360</v>
      </c>
      <c r="AW177" s="15" t="str">
        <f t="shared" si="86"/>
        <v>dv360</v>
      </c>
      <c r="AX177" s="15" t="str">
        <f t="shared" si="76"/>
        <v>nivus-launch-consideracao-orca</v>
      </c>
      <c r="AY177" s="15" t="str">
        <f t="shared" si="87"/>
        <v>alp_vw_dv360_imc_dsy_lanch_nd_nc_nvs_nivus-launch-consideracao-orca__configuracao_cpm_drct_all_320x50_lancamento-nivus-orca-rmkt-site-visitation-brand-interest_na_lancamento-consideracao-nivus-orca_nvl-nvs-imc-dsy-0820-10177</v>
      </c>
      <c r="AZ177" s="15" t="str">
        <f t="shared" si="88"/>
        <v>320x50</v>
      </c>
      <c r="BA177" s="15" t="str">
        <f t="shared" si="89"/>
        <v>lancamento-consideracao-nivus-orca</v>
      </c>
      <c r="BB177" s="28" t="s">
        <v>798</v>
      </c>
      <c r="BC177" s="28" t="s">
        <v>798</v>
      </c>
      <c r="BD177" s="38" t="str">
        <f t="shared" si="90"/>
        <v>nvl-nvs-imc-dsy-0820-10177</v>
      </c>
      <c r="BE177" s="15" t="str">
        <f t="shared" si="91"/>
        <v>BR</v>
      </c>
      <c r="BF177" s="15" t="str">
        <f t="shared" si="92"/>
        <v>paid</v>
      </c>
      <c r="BG177" s="28"/>
      <c r="BH177" s="28"/>
      <c r="BI177" s="36" t="str">
        <f t="shared" si="77"/>
        <v>https://www.vw.com.br/pt/configurador.html/__app/%2Fnivus/0.app?adlid=nvl-nvs-imc-dsy-0820-10177&amp;adplt=alp_vw_dv360_imc_dsy_lanch_nd_nc_nvs_nivus-launch-consideracao-orca__configuracao_cpm_drct_all_320x50_lancamento-nivus-orca-rmkt-site-visitation-brand-interest_na_lancamento-consideracao-nivus-orca_nvl-nvs-imc-dsy-0820-10177</v>
      </c>
      <c r="BL177" t="str">
        <f t="shared" si="78"/>
        <v>alp_vw_dv360_imc_dsy_lanch_nd_nc_nvs_nivus-launch-consideracao-orca__configuracao</v>
      </c>
      <c r="BM177" t="str">
        <f t="shared" si="79"/>
        <v>cpm_drct_all_320x50_lancamento-nivus-orca-rmkt-site-visitation-brand-interest_na</v>
      </c>
      <c r="BN177" t="str">
        <f t="shared" si="80"/>
        <v>alp_vw_dv360_imc_dsy_lanch_nd_nc_nvs_nivus-launch-consideracao-orca__configuracao_cpm_drct_all_320x50_lancamento-nivus-orca-rmkt-site-visitation-brand-interest_na_generico_nvl-nvs-imc-dsy-0820-10177</v>
      </c>
    </row>
    <row r="178" spans="2:66" ht="15.75" customHeight="1" x14ac:dyDescent="0.25">
      <c r="B178" s="15" t="s">
        <v>1291</v>
      </c>
      <c r="C178" s="15" t="s">
        <v>1477</v>
      </c>
      <c r="D178" s="15"/>
      <c r="E178" s="22">
        <v>44069</v>
      </c>
      <c r="F178" s="22">
        <v>44135</v>
      </c>
      <c r="G178" s="15" t="s">
        <v>651</v>
      </c>
      <c r="H178" s="41" t="s">
        <v>1266</v>
      </c>
      <c r="I178" s="15" t="s">
        <v>801</v>
      </c>
      <c r="J178" s="42" t="s">
        <v>883</v>
      </c>
      <c r="K178" s="42" t="s">
        <v>883</v>
      </c>
      <c r="L178" s="15" t="s">
        <v>676</v>
      </c>
      <c r="M178" s="15" t="s">
        <v>276</v>
      </c>
      <c r="N178" s="15" t="s">
        <v>295</v>
      </c>
      <c r="O178" s="15" t="s">
        <v>677</v>
      </c>
      <c r="P178" s="15" t="str">
        <f>VLOOKUP(Y178,'All Codes'!$BF$3:$BG$278,2,FALSE)</f>
        <v>Leaderboard</v>
      </c>
      <c r="Q178" s="15" t="s">
        <v>179</v>
      </c>
      <c r="R178" s="15" t="s">
        <v>277</v>
      </c>
      <c r="S178" s="15" t="s">
        <v>874</v>
      </c>
      <c r="T178" s="46" t="s">
        <v>884</v>
      </c>
      <c r="U178" s="15" t="s">
        <v>876</v>
      </c>
      <c r="V178" s="15" t="s">
        <v>1263</v>
      </c>
      <c r="W178" s="15" t="s">
        <v>866</v>
      </c>
      <c r="X178" s="15" t="s">
        <v>307</v>
      </c>
      <c r="Y178" s="46" t="s">
        <v>591</v>
      </c>
      <c r="Z178" s="15"/>
      <c r="AA178" s="15"/>
      <c r="AB178" s="15"/>
      <c r="AC178" s="15"/>
      <c r="AD178" s="15"/>
      <c r="AE178" s="15"/>
      <c r="AF178" s="15"/>
      <c r="AG178" s="15"/>
      <c r="AH178" s="15" t="str">
        <f t="shared" si="96"/>
        <v>284453857</v>
      </c>
      <c r="AI178" s="21" t="str">
        <f t="shared" si="95"/>
        <v>alp_vw_dv360_imc_dsy_lanch_nd_nc_nvs_nivus-launch-consideracao-orca__configuracao_cpm_drct_all_728x90_lancamento-nivus-orca-rmkt-site-visitation-brand-interest_na_lancamento-consideracao-nivus-orca_nvl-nvs-imc-dsy-0820-10178</v>
      </c>
      <c r="AJ178" s="40" t="str">
        <f t="shared" si="95"/>
        <v>alp_vw_dv360_imc_dsy_lanch_nd_nc_nvs_nivus-launch-consideracao-orca__configuracao_cpm_drct_all_728x90_lancamento-nivus-orca-rmkt-site-visitation-brand-interest_na_lancamento-consideracao-nivus-orca_nvl-nvs-imc-dsy-0820-10178</v>
      </c>
      <c r="AK178" s="21" t="str">
        <f t="shared" si="71"/>
        <v>vw_nivus_728x90_lancamento-consideracao-nivus-orca_adserver</v>
      </c>
      <c r="AL178" s="21" t="str">
        <f t="shared" si="81"/>
        <v>https://www.vw.com.br/pt/configurador.html/__app/%2Fnivus/0.app?adlid=nvl-nvs-imc-dsy-0820-10178&amp;adplt=alp_vw_dv360_imc_dsy_lanch_nd_nc_nvs_nivus-launch-consideracao-orca__configuracao_cpm_drct_all_728x90_lancamento-nivus-orca-rmkt-site-visitation-brand-interest_na_lancamento-consideracao-nivus-orca_nvl-nvs-imc-dsy-0820-10178</v>
      </c>
      <c r="AM178" s="21" t="str">
        <f t="shared" si="72"/>
        <v>TAG</v>
      </c>
      <c r="AN178" s="15" t="str">
        <f t="shared" si="82"/>
        <v>DV360</v>
      </c>
      <c r="AO178" s="15" t="str">
        <f t="shared" si="83"/>
        <v>Paid-Display</v>
      </c>
      <c r="AP178" s="21" t="str">
        <f>Campanha!$B$3</f>
        <v>BR_IMC_DSY_LANCH_ND_NC_2020Q3AUG_NVS_Nivus-Launch-Consideracao-Orca</v>
      </c>
      <c r="AQ178" s="21" t="str">
        <f t="shared" si="73"/>
        <v>alp_vw_dv360_imc_dsy_lanch_nd_nc_nvs_nivus-launch-consideracao-orca__configuracao_cpm_drct_all_728x90_lancamento-nivus-orca-rmkt-site-visitation-brand-interest_na_lancamento-consideracao-nivus-orca_nvl-nvs-imc-dsy-0820-10178</v>
      </c>
      <c r="AR178" s="15" t="s">
        <v>745</v>
      </c>
      <c r="AS178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site-visitation-brand-interest_na_lancamento-consideracao-nivus-orca_nvl-nvs-imc-dsy-0820-10178&amp;utm_campaign=BR_IMC_DSY_LANCH_ND_NC_2020Q3AUG_NVS_Nivus-Launch-Consideracao-Orca&amp;utm_term=%epid!_%ecid!_%eaid!</v>
      </c>
      <c r="AT178" s="15" t="str">
        <f t="shared" si="84"/>
        <v>other</v>
      </c>
      <c r="AU178" s="15" t="str">
        <f t="shared" si="75"/>
        <v>BR</v>
      </c>
      <c r="AV178" s="15" t="str">
        <f t="shared" si="85"/>
        <v>dv360</v>
      </c>
      <c r="AW178" s="15" t="str">
        <f t="shared" si="86"/>
        <v>dv360</v>
      </c>
      <c r="AX178" s="15" t="str">
        <f t="shared" si="76"/>
        <v>nivus-launch-consideracao-orca</v>
      </c>
      <c r="AY178" s="15" t="str">
        <f t="shared" si="87"/>
        <v>alp_vw_dv360_imc_dsy_lanch_nd_nc_nvs_nivus-launch-consideracao-orca__configuracao_cpm_drct_all_728x90_lancamento-nivus-orca-rmkt-site-visitation-brand-interest_na_lancamento-consideracao-nivus-orca_nvl-nvs-imc-dsy-0820-10178</v>
      </c>
      <c r="AZ178" s="15" t="str">
        <f t="shared" si="88"/>
        <v>728x90</v>
      </c>
      <c r="BA178" s="15" t="str">
        <f t="shared" si="89"/>
        <v>lancamento-consideracao-nivus-orca</v>
      </c>
      <c r="BB178" s="28" t="s">
        <v>798</v>
      </c>
      <c r="BC178" s="28" t="s">
        <v>798</v>
      </c>
      <c r="BD178" s="38" t="str">
        <f t="shared" si="90"/>
        <v>nvl-nvs-imc-dsy-0820-10178</v>
      </c>
      <c r="BE178" s="15" t="str">
        <f t="shared" si="91"/>
        <v>BR</v>
      </c>
      <c r="BF178" s="15" t="str">
        <f t="shared" si="92"/>
        <v>paid</v>
      </c>
      <c r="BG178" s="28"/>
      <c r="BH178" s="28"/>
      <c r="BI178" s="36" t="str">
        <f t="shared" si="77"/>
        <v>https://www.vw.com.br/pt/configurador.html/__app/%2Fnivus/0.app?adlid=nvl-nvs-imc-dsy-0820-10178&amp;adplt=alp_vw_dv360_imc_dsy_lanch_nd_nc_nvs_nivus-launch-consideracao-orca__configuracao_cpm_drct_all_728x90_lancamento-nivus-orca-rmkt-site-visitation-brand-interest_na_lancamento-consideracao-nivus-orca_nvl-nvs-imc-dsy-0820-10178</v>
      </c>
      <c r="BL178" t="str">
        <f t="shared" si="78"/>
        <v>alp_vw_dv360_imc_dsy_lanch_nd_nc_nvs_nivus-launch-consideracao-orca__configuracao</v>
      </c>
      <c r="BM178" t="str">
        <f t="shared" si="79"/>
        <v>cpm_drct_all_728x90_lancamento-nivus-orca-rmkt-site-visitation-brand-interest_na</v>
      </c>
      <c r="BN178" t="str">
        <f t="shared" si="80"/>
        <v>alp_vw_dv360_imc_dsy_lanch_nd_nc_nvs_nivus-launch-consideracao-orca__configuracao_cpm_drct_all_728x90_lancamento-nivus-orca-rmkt-site-visitation-brand-interest_na_generico_nvl-nvs-imc-dsy-0820-10178</v>
      </c>
    </row>
    <row r="179" spans="2:66" ht="15.75" customHeight="1" x14ac:dyDescent="0.25">
      <c r="B179" s="15" t="s">
        <v>1291</v>
      </c>
      <c r="C179" s="15" t="s">
        <v>1477</v>
      </c>
      <c r="D179" s="15"/>
      <c r="E179" s="22">
        <v>44069</v>
      </c>
      <c r="F179" s="22">
        <v>44135</v>
      </c>
      <c r="G179" s="15" t="s">
        <v>651</v>
      </c>
      <c r="H179" s="41" t="s">
        <v>1266</v>
      </c>
      <c r="I179" s="15" t="s">
        <v>801</v>
      </c>
      <c r="J179" s="42" t="s">
        <v>883</v>
      </c>
      <c r="K179" s="42" t="s">
        <v>883</v>
      </c>
      <c r="L179" s="15" t="s">
        <v>676</v>
      </c>
      <c r="M179" s="15" t="s">
        <v>276</v>
      </c>
      <c r="N179" s="15" t="s">
        <v>295</v>
      </c>
      <c r="O179" s="15" t="s">
        <v>677</v>
      </c>
      <c r="P179" s="15" t="str">
        <f>VLOOKUP(Y179,'All Codes'!$BF$3:$BG$278,2,FALSE)</f>
        <v>Leaderboard</v>
      </c>
      <c r="Q179" s="15" t="s">
        <v>179</v>
      </c>
      <c r="R179" s="15" t="s">
        <v>277</v>
      </c>
      <c r="S179" s="15" t="s">
        <v>874</v>
      </c>
      <c r="T179" s="46" t="s">
        <v>884</v>
      </c>
      <c r="U179" s="15" t="s">
        <v>876</v>
      </c>
      <c r="V179" s="15" t="s">
        <v>1263</v>
      </c>
      <c r="W179" s="15" t="s">
        <v>866</v>
      </c>
      <c r="X179" s="15" t="s">
        <v>307</v>
      </c>
      <c r="Y179" s="46" t="s">
        <v>629</v>
      </c>
      <c r="Z179" s="15"/>
      <c r="AA179" s="15"/>
      <c r="AB179" s="15"/>
      <c r="AC179" s="15"/>
      <c r="AD179" s="15"/>
      <c r="AE179" s="15"/>
      <c r="AF179" s="15"/>
      <c r="AG179" s="15"/>
      <c r="AH179" s="15" t="str">
        <f t="shared" si="96"/>
        <v>284453851</v>
      </c>
      <c r="AI179" s="21" t="str">
        <f t="shared" si="95"/>
        <v>alp_vw_dv360_imc_dsy_lanch_nd_nc_nvs_nivus-launch-consideracao-orca__configuracao_cpm_drct_all_970x250_lancamento-nivus-orca-rmkt-site-visitation-brand-interest_na_lancamento-consideracao-nivus-orca_nvl-nvs-imc-dsy-0820-10179</v>
      </c>
      <c r="AJ179" s="40" t="str">
        <f t="shared" si="95"/>
        <v>alp_vw_dv360_imc_dsy_lanch_nd_nc_nvs_nivus-launch-consideracao-orca__configuracao_cpm_drct_all_970x250_lancamento-nivus-orca-rmkt-site-visitation-brand-interest_na_lancamento-consideracao-nivus-orca_nvl-nvs-imc-dsy-0820-10179</v>
      </c>
      <c r="AK179" s="21" t="str">
        <f t="shared" si="71"/>
        <v>vw_nivus_970x250_lancamento-consideracao-nivus-orca_adserver</v>
      </c>
      <c r="AL179" s="21" t="str">
        <f t="shared" si="81"/>
        <v>https://www.vw.com.br/pt/configurador.html/__app/%2Fnivus/0.app?adlid=nvl-nvs-imc-dsy-0820-10179&amp;adplt=alp_vw_dv360_imc_dsy_lanch_nd_nc_nvs_nivus-launch-consideracao-orca__configuracao_cpm_drct_all_970x250_lancamento-nivus-orca-rmkt-site-visitation-brand-interest_na_lancamento-consideracao-nivus-orca_nvl-nvs-imc-dsy-0820-10179</v>
      </c>
      <c r="AM179" s="21" t="str">
        <f t="shared" si="72"/>
        <v>TAG</v>
      </c>
      <c r="AN179" s="15" t="str">
        <f t="shared" si="82"/>
        <v>DV360</v>
      </c>
      <c r="AO179" s="15" t="str">
        <f t="shared" si="83"/>
        <v>Paid-Display</v>
      </c>
      <c r="AP179" s="21" t="str">
        <f>Campanha!$B$3</f>
        <v>BR_IMC_DSY_LANCH_ND_NC_2020Q3AUG_NVS_Nivus-Launch-Consideracao-Orca</v>
      </c>
      <c r="AQ179" s="21" t="str">
        <f t="shared" si="73"/>
        <v>alp_vw_dv360_imc_dsy_lanch_nd_nc_nvs_nivus-launch-consideracao-orca__configuracao_cpm_drct_all_970x250_lancamento-nivus-orca-rmkt-site-visitation-brand-interest_na_lancamento-consideracao-nivus-orca_nvl-nvs-imc-dsy-0820-10179</v>
      </c>
      <c r="AR179" s="15" t="s">
        <v>745</v>
      </c>
      <c r="AS179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site-visitation-brand-interest_na_lancamento-consideracao-nivus-orca_nvl-nvs-imc-dsy-0820-10179&amp;utm_campaign=BR_IMC_DSY_LANCH_ND_NC_2020Q3AUG_NVS_Nivus-Launch-Consideracao-Orca&amp;utm_term=%epid!_%ecid!_%eaid!</v>
      </c>
      <c r="AT179" s="15" t="str">
        <f t="shared" si="84"/>
        <v>other</v>
      </c>
      <c r="AU179" s="15" t="str">
        <f t="shared" si="75"/>
        <v>BR</v>
      </c>
      <c r="AV179" s="15" t="str">
        <f t="shared" si="85"/>
        <v>dv360</v>
      </c>
      <c r="AW179" s="15" t="str">
        <f t="shared" si="86"/>
        <v>dv360</v>
      </c>
      <c r="AX179" s="15" t="str">
        <f t="shared" si="76"/>
        <v>nivus-launch-consideracao-orca</v>
      </c>
      <c r="AY179" s="15" t="str">
        <f t="shared" si="87"/>
        <v>alp_vw_dv360_imc_dsy_lanch_nd_nc_nvs_nivus-launch-consideracao-orca__configuracao_cpm_drct_all_970x250_lancamento-nivus-orca-rmkt-site-visitation-brand-interest_na_lancamento-consideracao-nivus-orca_nvl-nvs-imc-dsy-0820-10179</v>
      </c>
      <c r="AZ179" s="15" t="str">
        <f t="shared" si="88"/>
        <v>970x250</v>
      </c>
      <c r="BA179" s="15" t="str">
        <f t="shared" si="89"/>
        <v>lancamento-consideracao-nivus-orca</v>
      </c>
      <c r="BB179" s="28" t="s">
        <v>798</v>
      </c>
      <c r="BC179" s="28" t="s">
        <v>798</v>
      </c>
      <c r="BD179" s="38" t="str">
        <f t="shared" si="90"/>
        <v>nvl-nvs-imc-dsy-0820-10179</v>
      </c>
      <c r="BE179" s="15" t="str">
        <f t="shared" si="91"/>
        <v>BR</v>
      </c>
      <c r="BF179" s="15" t="str">
        <f t="shared" si="92"/>
        <v>paid</v>
      </c>
      <c r="BG179" s="28"/>
      <c r="BH179" s="28"/>
      <c r="BI179" s="36" t="str">
        <f t="shared" si="77"/>
        <v>https://www.vw.com.br/pt/configurador.html/__app/%2Fnivus/0.app?adlid=nvl-nvs-imc-dsy-0820-10179&amp;adplt=alp_vw_dv360_imc_dsy_lanch_nd_nc_nvs_nivus-launch-consideracao-orca__configuracao_cpm_drct_all_970x250_lancamento-nivus-orca-rmkt-site-visitation-brand-interest_na_lancamento-consideracao-nivus-orca_nvl-nvs-imc-dsy-0820-10179</v>
      </c>
      <c r="BL179" t="str">
        <f t="shared" si="78"/>
        <v>alp_vw_dv360_imc_dsy_lanch_nd_nc_nvs_nivus-launch-consideracao-orca__configuracao</v>
      </c>
      <c r="BM179" t="str">
        <f t="shared" si="79"/>
        <v>cpm_drct_all_970x250_lancamento-nivus-orca-rmkt-site-visitation-brand-interest_na</v>
      </c>
      <c r="BN179" t="str">
        <f t="shared" si="80"/>
        <v>alp_vw_dv360_imc_dsy_lanch_nd_nc_nvs_nivus-launch-consideracao-orca__configuracao_cpm_drct_all_970x250_lancamento-nivus-orca-rmkt-site-visitation-brand-interest_na_generico_nvl-nvs-imc-dsy-0820-10179</v>
      </c>
    </row>
    <row r="180" spans="2:66" ht="15.75" customHeight="1" x14ac:dyDescent="0.25">
      <c r="B180" s="15" t="s">
        <v>1291</v>
      </c>
      <c r="C180" s="15" t="s">
        <v>1477</v>
      </c>
      <c r="D180" s="15"/>
      <c r="E180" s="22">
        <v>44069</v>
      </c>
      <c r="F180" s="22">
        <v>44135</v>
      </c>
      <c r="G180" s="15" t="s">
        <v>651</v>
      </c>
      <c r="H180" s="41" t="s">
        <v>1266</v>
      </c>
      <c r="I180" s="15" t="s">
        <v>801</v>
      </c>
      <c r="J180" s="42" t="s">
        <v>883</v>
      </c>
      <c r="K180" s="42" t="s">
        <v>883</v>
      </c>
      <c r="L180" s="15" t="s">
        <v>676</v>
      </c>
      <c r="M180" s="15" t="s">
        <v>276</v>
      </c>
      <c r="N180" s="15" t="s">
        <v>295</v>
      </c>
      <c r="O180" s="15" t="s">
        <v>677</v>
      </c>
      <c r="P180" s="15" t="str">
        <f>VLOOKUP(Y180,'All Codes'!$BF$3:$BG$278,2,FALSE)</f>
        <v>MPU</v>
      </c>
      <c r="Q180" s="15" t="s">
        <v>179</v>
      </c>
      <c r="R180" s="15" t="s">
        <v>277</v>
      </c>
      <c r="S180" s="15" t="s">
        <v>874</v>
      </c>
      <c r="T180" s="46" t="s">
        <v>884</v>
      </c>
      <c r="U180" s="15" t="s">
        <v>876</v>
      </c>
      <c r="V180" s="15" t="s">
        <v>1264</v>
      </c>
      <c r="W180" s="15" t="s">
        <v>866</v>
      </c>
      <c r="X180" s="15" t="s">
        <v>307</v>
      </c>
      <c r="Y180" s="46" t="s">
        <v>461</v>
      </c>
      <c r="Z180" s="15"/>
      <c r="AA180" s="15"/>
      <c r="AB180" s="15"/>
      <c r="AC180" s="15"/>
      <c r="AD180" s="15"/>
      <c r="AE180" s="15"/>
      <c r="AF180" s="15"/>
      <c r="AG180" s="15"/>
      <c r="AH180" s="15" t="str">
        <f t="shared" si="96"/>
        <v>284453845</v>
      </c>
      <c r="AI180" s="21" t="str">
        <f t="shared" si="95"/>
        <v>alp_vw_dv360_imc_dsy_lanch_nd_nc_nvs_nivus-launch-consideracao-orca__configuracao_cpm_drct_all_300x50_lancamento-nivus-orca-rmkt-site-visitation-brand-aficionado_na_lancamento-consideracao-nivus-orca_nvl-nvs-imc-dsy-0820-10180</v>
      </c>
      <c r="AJ180" s="40" t="str">
        <f t="shared" si="95"/>
        <v>alp_vw_dv360_imc_dsy_lanch_nd_nc_nvs_nivus-launch-consideracao-orca__configuracao_cpm_drct_all_300x50_lancamento-nivus-orca-rmkt-site-visitation-brand-aficionado_na_lancamento-consideracao-nivus-orca_nvl-nvs-imc-dsy-0820-10180</v>
      </c>
      <c r="AK180" s="21" t="str">
        <f t="shared" si="71"/>
        <v>vw_nivus_300x50_lancamento-consideracao-nivus-orca_adserver</v>
      </c>
      <c r="AL180" s="21" t="str">
        <f t="shared" si="81"/>
        <v>https://www.vw.com.br/pt/configurador.html/__app/%2Fnivus/0.app?adlid=nvl-nvs-imc-dsy-0820-10180&amp;adplt=alp_vw_dv360_imc_dsy_lanch_nd_nc_nvs_nivus-launch-consideracao-orca__configuracao_cpm_drct_all_300x50_lancamento-nivus-orca-rmkt-site-visitation-brand-aficionado_na_lancamento-consideracao-nivus-orca_nvl-nvs-imc-dsy-0820-10180</v>
      </c>
      <c r="AM180" s="21" t="str">
        <f t="shared" si="72"/>
        <v>TAG</v>
      </c>
      <c r="AN180" s="15" t="str">
        <f t="shared" si="82"/>
        <v>DV360</v>
      </c>
      <c r="AO180" s="15" t="str">
        <f t="shared" si="83"/>
        <v>Paid-Display</v>
      </c>
      <c r="AP180" s="21" t="str">
        <f>Campanha!$B$3</f>
        <v>BR_IMC_DSY_LANCH_ND_NC_2020Q3AUG_NVS_Nivus-Launch-Consideracao-Orca</v>
      </c>
      <c r="AQ180" s="21" t="str">
        <f t="shared" si="73"/>
        <v>alp_vw_dv360_imc_dsy_lanch_nd_nc_nvs_nivus-launch-consideracao-orca__configuracao_cpm_drct_all_300x50_lancamento-nivus-orca-rmkt-site-visitation-brand-aficionado_na_lancamento-consideracao-nivus-orca_nvl-nvs-imc-dsy-0820-10180</v>
      </c>
      <c r="AR180" s="15" t="s">
        <v>745</v>
      </c>
      <c r="AS180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site-visitation-brand-aficionado_na_lancamento-consideracao-nivus-orca_nvl-nvs-imc-dsy-0820-10180&amp;utm_campaign=BR_IMC_DSY_LANCH_ND_NC_2020Q3AUG_NVS_Nivus-Launch-Consideracao-Orca&amp;utm_term=%epid!_%ecid!_%eaid!</v>
      </c>
      <c r="AT180" s="15" t="str">
        <f t="shared" si="84"/>
        <v>other</v>
      </c>
      <c r="AU180" s="15" t="str">
        <f t="shared" si="75"/>
        <v>BR</v>
      </c>
      <c r="AV180" s="15" t="str">
        <f t="shared" si="85"/>
        <v>dv360</v>
      </c>
      <c r="AW180" s="15" t="str">
        <f t="shared" si="86"/>
        <v>dv360</v>
      </c>
      <c r="AX180" s="15" t="str">
        <f t="shared" si="76"/>
        <v>nivus-launch-consideracao-orca</v>
      </c>
      <c r="AY180" s="15" t="str">
        <f t="shared" si="87"/>
        <v>alp_vw_dv360_imc_dsy_lanch_nd_nc_nvs_nivus-launch-consideracao-orca__configuracao_cpm_drct_all_300x50_lancamento-nivus-orca-rmkt-site-visitation-brand-aficionado_na_lancamento-consideracao-nivus-orca_nvl-nvs-imc-dsy-0820-10180</v>
      </c>
      <c r="AZ180" s="15" t="str">
        <f t="shared" si="88"/>
        <v>300x50</v>
      </c>
      <c r="BA180" s="15" t="str">
        <f t="shared" si="89"/>
        <v>lancamento-consideracao-nivus-orca</v>
      </c>
      <c r="BB180" s="28" t="s">
        <v>798</v>
      </c>
      <c r="BC180" s="28" t="s">
        <v>798</v>
      </c>
      <c r="BD180" s="38" t="str">
        <f t="shared" si="90"/>
        <v>nvl-nvs-imc-dsy-0820-10180</v>
      </c>
      <c r="BE180" s="15" t="str">
        <f t="shared" si="91"/>
        <v>BR</v>
      </c>
      <c r="BF180" s="15" t="str">
        <f t="shared" si="92"/>
        <v>paid</v>
      </c>
      <c r="BG180" s="28"/>
      <c r="BH180" s="28"/>
      <c r="BI180" s="36" t="str">
        <f t="shared" si="77"/>
        <v>https://www.vw.com.br/pt/configurador.html/__app/%2Fnivus/0.app?adlid=nvl-nvs-imc-dsy-0820-10180&amp;adplt=alp_vw_dv360_imc_dsy_lanch_nd_nc_nvs_nivus-launch-consideracao-orca__configuracao_cpm_drct_all_300x50_lancamento-nivus-orca-rmkt-site-visitation-brand-aficionado_na_lancamento-consideracao-nivus-orca_nvl-nvs-imc-dsy-0820-10180</v>
      </c>
      <c r="BL180" t="str">
        <f t="shared" si="78"/>
        <v>alp_vw_dv360_imc_dsy_lanch_nd_nc_nvs_nivus-launch-consideracao-orca__configuracao</v>
      </c>
      <c r="BM180" t="str">
        <f t="shared" si="79"/>
        <v>cpm_drct_all_300x50_lancamento-nivus-orca-rmkt-site-visitation-brand-aficionado_na</v>
      </c>
      <c r="BN180" t="str">
        <f t="shared" si="80"/>
        <v>alp_vw_dv360_imc_dsy_lanch_nd_nc_nvs_nivus-launch-consideracao-orca__configuracao_cpm_drct_all_300x50_lancamento-nivus-orca-rmkt-site-visitation-brand-aficionado_na_generico_nvl-nvs-imc-dsy-0820-10180</v>
      </c>
    </row>
    <row r="181" spans="2:66" ht="15.75" customHeight="1" x14ac:dyDescent="0.25">
      <c r="B181" s="15" t="s">
        <v>1291</v>
      </c>
      <c r="C181" s="15" t="s">
        <v>1477</v>
      </c>
      <c r="D181" s="15"/>
      <c r="E181" s="22">
        <v>44069</v>
      </c>
      <c r="F181" s="22">
        <v>44135</v>
      </c>
      <c r="G181" s="15" t="s">
        <v>651</v>
      </c>
      <c r="H181" s="41" t="s">
        <v>1266</v>
      </c>
      <c r="I181" s="15" t="s">
        <v>801</v>
      </c>
      <c r="J181" s="42" t="s">
        <v>883</v>
      </c>
      <c r="K181" s="42" t="s">
        <v>883</v>
      </c>
      <c r="L181" s="15" t="s">
        <v>676</v>
      </c>
      <c r="M181" s="15" t="s">
        <v>276</v>
      </c>
      <c r="N181" s="15" t="s">
        <v>295</v>
      </c>
      <c r="O181" s="15" t="s">
        <v>677</v>
      </c>
      <c r="P181" s="15" t="str">
        <f>VLOOKUP(Y181,'All Codes'!$BF$3:$BG$278,2,FALSE)</f>
        <v>Skyscraper</v>
      </c>
      <c r="Q181" s="15" t="s">
        <v>179</v>
      </c>
      <c r="R181" s="15" t="s">
        <v>277</v>
      </c>
      <c r="S181" s="15" t="s">
        <v>874</v>
      </c>
      <c r="T181" s="46" t="s">
        <v>884</v>
      </c>
      <c r="U181" s="15" t="s">
        <v>876</v>
      </c>
      <c r="V181" s="15" t="s">
        <v>1264</v>
      </c>
      <c r="W181" s="15" t="s">
        <v>866</v>
      </c>
      <c r="X181" s="15" t="s">
        <v>307</v>
      </c>
      <c r="Y181" s="46" t="s">
        <v>434</v>
      </c>
      <c r="Z181" s="15"/>
      <c r="AA181" s="15"/>
      <c r="AB181" s="15"/>
      <c r="AC181" s="15"/>
      <c r="AD181" s="15"/>
      <c r="AE181" s="15"/>
      <c r="AF181" s="15"/>
      <c r="AG181" s="15"/>
      <c r="AH181" s="15" t="str">
        <f t="shared" si="96"/>
        <v>284453839</v>
      </c>
      <c r="AI181" s="21" t="str">
        <f t="shared" si="95"/>
        <v>alp_vw_dv360_imc_dsy_lanch_nd_nc_nvs_nivus-launch-consideracao-orca__configuracao_cpm_drct_all_160x600_lancamento-nivus-orca-rmkt-site-visitation-brand-aficionado_na_lancamento-consideracao-nivus-orca_nvl-nvs-imc-dsy-0820-10181</v>
      </c>
      <c r="AJ181" s="40" t="str">
        <f t="shared" si="95"/>
        <v>alp_vw_dv360_imc_dsy_lanch_nd_nc_nvs_nivus-launch-consideracao-orca__configuracao_cpm_drct_all_160x600_lancamento-nivus-orca-rmkt-site-visitation-brand-aficionado_na_lancamento-consideracao-nivus-orca_nvl-nvs-imc-dsy-0820-10181</v>
      </c>
      <c r="AK181" s="21" t="str">
        <f t="shared" si="71"/>
        <v>vw_nivus_160x600_lancamento-consideracao-nivus-orca_adserver</v>
      </c>
      <c r="AL181" s="21" t="str">
        <f t="shared" si="81"/>
        <v>https://www.vw.com.br/pt/configurador.html/__app/%2Fnivus/0.app?adlid=nvl-nvs-imc-dsy-0820-10181&amp;adplt=alp_vw_dv360_imc_dsy_lanch_nd_nc_nvs_nivus-launch-consideracao-orca__configuracao_cpm_drct_all_160x600_lancamento-nivus-orca-rmkt-site-visitation-brand-aficionado_na_lancamento-consideracao-nivus-orca_nvl-nvs-imc-dsy-0820-10181</v>
      </c>
      <c r="AM181" s="21" t="str">
        <f t="shared" si="72"/>
        <v>TAG</v>
      </c>
      <c r="AN181" s="15" t="str">
        <f t="shared" si="82"/>
        <v>DV360</v>
      </c>
      <c r="AO181" s="15" t="str">
        <f t="shared" si="83"/>
        <v>Paid-Display</v>
      </c>
      <c r="AP181" s="21" t="str">
        <f>Campanha!$B$3</f>
        <v>BR_IMC_DSY_LANCH_ND_NC_2020Q3AUG_NVS_Nivus-Launch-Consideracao-Orca</v>
      </c>
      <c r="AQ181" s="21" t="str">
        <f t="shared" si="73"/>
        <v>alp_vw_dv360_imc_dsy_lanch_nd_nc_nvs_nivus-launch-consideracao-orca__configuracao_cpm_drct_all_160x600_lancamento-nivus-orca-rmkt-site-visitation-brand-aficionado_na_lancamento-consideracao-nivus-orca_nvl-nvs-imc-dsy-0820-10181</v>
      </c>
      <c r="AR181" s="15" t="s">
        <v>745</v>
      </c>
      <c r="AS181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site-visitation-brand-aficionado_na_lancamento-consideracao-nivus-orca_nvl-nvs-imc-dsy-0820-10181&amp;utm_campaign=BR_IMC_DSY_LANCH_ND_NC_2020Q3AUG_NVS_Nivus-Launch-Consideracao-Orca&amp;utm_term=%epid!_%ecid!_%eaid!</v>
      </c>
      <c r="AT181" s="15" t="str">
        <f t="shared" si="84"/>
        <v>other</v>
      </c>
      <c r="AU181" s="15" t="str">
        <f t="shared" si="75"/>
        <v>BR</v>
      </c>
      <c r="AV181" s="15" t="str">
        <f t="shared" si="85"/>
        <v>dv360</v>
      </c>
      <c r="AW181" s="15" t="str">
        <f t="shared" si="86"/>
        <v>dv360</v>
      </c>
      <c r="AX181" s="15" t="str">
        <f t="shared" si="76"/>
        <v>nivus-launch-consideracao-orca</v>
      </c>
      <c r="AY181" s="15" t="str">
        <f t="shared" si="87"/>
        <v>alp_vw_dv360_imc_dsy_lanch_nd_nc_nvs_nivus-launch-consideracao-orca__configuracao_cpm_drct_all_160x600_lancamento-nivus-orca-rmkt-site-visitation-brand-aficionado_na_lancamento-consideracao-nivus-orca_nvl-nvs-imc-dsy-0820-10181</v>
      </c>
      <c r="AZ181" s="15" t="str">
        <f t="shared" si="88"/>
        <v>160x600</v>
      </c>
      <c r="BA181" s="15" t="str">
        <f t="shared" si="89"/>
        <v>lancamento-consideracao-nivus-orca</v>
      </c>
      <c r="BB181" s="28" t="s">
        <v>798</v>
      </c>
      <c r="BC181" s="28" t="s">
        <v>798</v>
      </c>
      <c r="BD181" s="38" t="str">
        <f t="shared" si="90"/>
        <v>nvl-nvs-imc-dsy-0820-10181</v>
      </c>
      <c r="BE181" s="15" t="str">
        <f t="shared" si="91"/>
        <v>BR</v>
      </c>
      <c r="BF181" s="15" t="str">
        <f t="shared" si="92"/>
        <v>paid</v>
      </c>
      <c r="BG181" s="28"/>
      <c r="BH181" s="28"/>
      <c r="BI181" s="36" t="str">
        <f t="shared" si="77"/>
        <v>https://www.vw.com.br/pt/configurador.html/__app/%2Fnivus/0.app?adlid=nvl-nvs-imc-dsy-0820-10181&amp;adplt=alp_vw_dv360_imc_dsy_lanch_nd_nc_nvs_nivus-launch-consideracao-orca__configuracao_cpm_drct_all_160x600_lancamento-nivus-orca-rmkt-site-visitation-brand-aficionado_na_lancamento-consideracao-nivus-orca_nvl-nvs-imc-dsy-0820-10181</v>
      </c>
      <c r="BL181" t="str">
        <f t="shared" si="78"/>
        <v>alp_vw_dv360_imc_dsy_lanch_nd_nc_nvs_nivus-launch-consideracao-orca__configuracao</v>
      </c>
      <c r="BM181" t="str">
        <f t="shared" si="79"/>
        <v>cpm_drct_all_160x600_lancamento-nivus-orca-rmkt-site-visitation-brand-aficionado_na</v>
      </c>
      <c r="BN181" t="str">
        <f t="shared" si="80"/>
        <v>alp_vw_dv360_imc_dsy_lanch_nd_nc_nvs_nivus-launch-consideracao-orca__configuracao_cpm_drct_all_160x600_lancamento-nivus-orca-rmkt-site-visitation-brand-aficionado_na_generico_nvl-nvs-imc-dsy-0820-10181</v>
      </c>
    </row>
    <row r="182" spans="2:66" ht="15.75" customHeight="1" x14ac:dyDescent="0.25">
      <c r="B182" s="15" t="s">
        <v>1291</v>
      </c>
      <c r="C182" s="15" t="s">
        <v>1477</v>
      </c>
      <c r="D182" s="15"/>
      <c r="E182" s="22">
        <v>44069</v>
      </c>
      <c r="F182" s="22">
        <v>44135</v>
      </c>
      <c r="G182" s="15" t="s">
        <v>651</v>
      </c>
      <c r="H182" s="41" t="s">
        <v>1266</v>
      </c>
      <c r="I182" s="15" t="s">
        <v>801</v>
      </c>
      <c r="J182" s="42" t="s">
        <v>883</v>
      </c>
      <c r="K182" s="42" t="s">
        <v>883</v>
      </c>
      <c r="L182" s="15" t="s">
        <v>676</v>
      </c>
      <c r="M182" s="15" t="s">
        <v>276</v>
      </c>
      <c r="N182" s="15" t="s">
        <v>295</v>
      </c>
      <c r="O182" s="15" t="s">
        <v>677</v>
      </c>
      <c r="P182" s="15" t="str">
        <f>VLOOKUP(Y182,'All Codes'!$BF$3:$BG$278,2,FALSE)</f>
        <v>MPU</v>
      </c>
      <c r="Q182" s="15" t="s">
        <v>179</v>
      </c>
      <c r="R182" s="15" t="s">
        <v>277</v>
      </c>
      <c r="S182" s="15" t="s">
        <v>874</v>
      </c>
      <c r="T182" s="46" t="s">
        <v>884</v>
      </c>
      <c r="U182" s="15" t="s">
        <v>876</v>
      </c>
      <c r="V182" s="15" t="s">
        <v>1264</v>
      </c>
      <c r="W182" s="15" t="s">
        <v>866</v>
      </c>
      <c r="X182" s="15" t="s">
        <v>307</v>
      </c>
      <c r="Y182" s="46" t="s">
        <v>455</v>
      </c>
      <c r="Z182" s="15"/>
      <c r="AA182" s="15"/>
      <c r="AB182" s="15"/>
      <c r="AC182" s="15"/>
      <c r="AD182" s="15"/>
      <c r="AE182" s="15"/>
      <c r="AF182" s="15"/>
      <c r="AG182" s="15"/>
      <c r="AH182" s="15" t="str">
        <f t="shared" si="96"/>
        <v>284453833</v>
      </c>
      <c r="AI182" s="21" t="str">
        <f t="shared" si="95"/>
        <v>alp_vw_dv360_imc_dsy_lanch_nd_nc_nvs_nivus-launch-consideracao-orca__configuracao_cpm_drct_all_300x250_lancamento-nivus-orca-rmkt-site-visitation-brand-aficionado_na_lancamento-consideracao-nivus-orca_nvl-nvs-imc-dsy-0820-10182</v>
      </c>
      <c r="AJ182" s="40" t="str">
        <f t="shared" si="95"/>
        <v>alp_vw_dv360_imc_dsy_lanch_nd_nc_nvs_nivus-launch-consideracao-orca__configuracao_cpm_drct_all_300x250_lancamento-nivus-orca-rmkt-site-visitation-brand-aficionado_na_lancamento-consideracao-nivus-orca_nvl-nvs-imc-dsy-0820-10182</v>
      </c>
      <c r="AK182" s="21" t="str">
        <f t="shared" si="71"/>
        <v>vw_nivus_300x250_lancamento-consideracao-nivus-orca_adserver</v>
      </c>
      <c r="AL182" s="21" t="str">
        <f t="shared" si="81"/>
        <v>https://www.vw.com.br/pt/configurador.html/__app/%2Fnivus/0.app?adlid=nvl-nvs-imc-dsy-0820-10182&amp;adplt=alp_vw_dv360_imc_dsy_lanch_nd_nc_nvs_nivus-launch-consideracao-orca__configuracao_cpm_drct_all_300x250_lancamento-nivus-orca-rmkt-site-visitation-brand-aficionado_na_lancamento-consideracao-nivus-orca_nvl-nvs-imc-dsy-0820-10182</v>
      </c>
      <c r="AM182" s="21" t="str">
        <f t="shared" si="72"/>
        <v>TAG</v>
      </c>
      <c r="AN182" s="15" t="str">
        <f t="shared" si="82"/>
        <v>DV360</v>
      </c>
      <c r="AO182" s="15" t="str">
        <f t="shared" si="83"/>
        <v>Paid-Display</v>
      </c>
      <c r="AP182" s="21" t="str">
        <f>Campanha!$B$3</f>
        <v>BR_IMC_DSY_LANCH_ND_NC_2020Q3AUG_NVS_Nivus-Launch-Consideracao-Orca</v>
      </c>
      <c r="AQ182" s="21" t="str">
        <f t="shared" si="73"/>
        <v>alp_vw_dv360_imc_dsy_lanch_nd_nc_nvs_nivus-launch-consideracao-orca__configuracao_cpm_drct_all_300x250_lancamento-nivus-orca-rmkt-site-visitation-brand-aficionado_na_lancamento-consideracao-nivus-orca_nvl-nvs-imc-dsy-0820-10182</v>
      </c>
      <c r="AR182" s="15" t="s">
        <v>745</v>
      </c>
      <c r="AS182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site-visitation-brand-aficionado_na_lancamento-consideracao-nivus-orca_nvl-nvs-imc-dsy-0820-10182&amp;utm_campaign=BR_IMC_DSY_LANCH_ND_NC_2020Q3AUG_NVS_Nivus-Launch-Consideracao-Orca&amp;utm_term=%epid!_%ecid!_%eaid!</v>
      </c>
      <c r="AT182" s="15" t="str">
        <f t="shared" si="84"/>
        <v>other</v>
      </c>
      <c r="AU182" s="15" t="str">
        <f t="shared" si="75"/>
        <v>BR</v>
      </c>
      <c r="AV182" s="15" t="str">
        <f t="shared" si="85"/>
        <v>dv360</v>
      </c>
      <c r="AW182" s="15" t="str">
        <f t="shared" si="86"/>
        <v>dv360</v>
      </c>
      <c r="AX182" s="15" t="str">
        <f t="shared" si="76"/>
        <v>nivus-launch-consideracao-orca</v>
      </c>
      <c r="AY182" s="15" t="str">
        <f t="shared" si="87"/>
        <v>alp_vw_dv360_imc_dsy_lanch_nd_nc_nvs_nivus-launch-consideracao-orca__configuracao_cpm_drct_all_300x250_lancamento-nivus-orca-rmkt-site-visitation-brand-aficionado_na_lancamento-consideracao-nivus-orca_nvl-nvs-imc-dsy-0820-10182</v>
      </c>
      <c r="AZ182" s="15" t="str">
        <f t="shared" si="88"/>
        <v>300x250</v>
      </c>
      <c r="BA182" s="15" t="str">
        <f t="shared" si="89"/>
        <v>lancamento-consideracao-nivus-orca</v>
      </c>
      <c r="BB182" s="28" t="s">
        <v>798</v>
      </c>
      <c r="BC182" s="28" t="s">
        <v>798</v>
      </c>
      <c r="BD182" s="38" t="str">
        <f t="shared" si="90"/>
        <v>nvl-nvs-imc-dsy-0820-10182</v>
      </c>
      <c r="BE182" s="15" t="str">
        <f t="shared" si="91"/>
        <v>BR</v>
      </c>
      <c r="BF182" s="15" t="str">
        <f t="shared" si="92"/>
        <v>paid</v>
      </c>
      <c r="BG182" s="28"/>
      <c r="BH182" s="28"/>
      <c r="BI182" s="36" t="str">
        <f t="shared" si="77"/>
        <v>https://www.vw.com.br/pt/configurador.html/__app/%2Fnivus/0.app?adlid=nvl-nvs-imc-dsy-0820-10182&amp;adplt=alp_vw_dv360_imc_dsy_lanch_nd_nc_nvs_nivus-launch-consideracao-orca__configuracao_cpm_drct_all_300x250_lancamento-nivus-orca-rmkt-site-visitation-brand-aficionado_na_lancamento-consideracao-nivus-orca_nvl-nvs-imc-dsy-0820-10182</v>
      </c>
      <c r="BL182" t="str">
        <f t="shared" si="78"/>
        <v>alp_vw_dv360_imc_dsy_lanch_nd_nc_nvs_nivus-launch-consideracao-orca__configuracao</v>
      </c>
      <c r="BM182" t="str">
        <f t="shared" si="79"/>
        <v>cpm_drct_all_300x250_lancamento-nivus-orca-rmkt-site-visitation-brand-aficionado_na</v>
      </c>
      <c r="BN182" t="str">
        <f t="shared" si="80"/>
        <v>alp_vw_dv360_imc_dsy_lanch_nd_nc_nvs_nivus-launch-consideracao-orca__configuracao_cpm_drct_all_300x250_lancamento-nivus-orca-rmkt-site-visitation-brand-aficionado_na_generico_nvl-nvs-imc-dsy-0820-10182</v>
      </c>
    </row>
    <row r="183" spans="2:66" ht="15.75" customHeight="1" x14ac:dyDescent="0.25">
      <c r="B183" s="15" t="s">
        <v>1291</v>
      </c>
      <c r="C183" s="15" t="s">
        <v>1477</v>
      </c>
      <c r="D183" s="15"/>
      <c r="E183" s="22">
        <v>44069</v>
      </c>
      <c r="F183" s="22">
        <v>44135</v>
      </c>
      <c r="G183" s="15" t="s">
        <v>651</v>
      </c>
      <c r="H183" s="41" t="s">
        <v>1266</v>
      </c>
      <c r="I183" s="15" t="s">
        <v>801</v>
      </c>
      <c r="J183" s="42" t="s">
        <v>883</v>
      </c>
      <c r="K183" s="42" t="s">
        <v>883</v>
      </c>
      <c r="L183" s="15" t="s">
        <v>676</v>
      </c>
      <c r="M183" s="15" t="s">
        <v>276</v>
      </c>
      <c r="N183" s="15" t="s">
        <v>295</v>
      </c>
      <c r="O183" s="15" t="s">
        <v>677</v>
      </c>
      <c r="P183" s="15" t="str">
        <f>VLOOKUP(Y183,'All Codes'!$BF$3:$BG$278,2,FALSE)</f>
        <v>Skyscraper</v>
      </c>
      <c r="Q183" s="15" t="s">
        <v>179</v>
      </c>
      <c r="R183" s="15" t="s">
        <v>277</v>
      </c>
      <c r="S183" s="15" t="s">
        <v>874</v>
      </c>
      <c r="T183" s="46" t="s">
        <v>884</v>
      </c>
      <c r="U183" s="15" t="s">
        <v>876</v>
      </c>
      <c r="V183" s="15" t="s">
        <v>1264</v>
      </c>
      <c r="W183" s="15" t="s">
        <v>866</v>
      </c>
      <c r="X183" s="15" t="s">
        <v>307</v>
      </c>
      <c r="Y183" s="46" t="s">
        <v>464</v>
      </c>
      <c r="Z183" s="15"/>
      <c r="AA183" s="15"/>
      <c r="AB183" s="15"/>
      <c r="AC183" s="15"/>
      <c r="AD183" s="15"/>
      <c r="AE183" s="15"/>
      <c r="AF183" s="15"/>
      <c r="AG183" s="15"/>
      <c r="AH183" s="15" t="str">
        <f t="shared" si="96"/>
        <v>284453827</v>
      </c>
      <c r="AI183" s="21" t="str">
        <f t="shared" si="95"/>
        <v>alp_vw_dv360_imc_dsy_lanch_nd_nc_nvs_nivus-launch-consideracao-orca__configuracao_cpm_drct_all_300x600_lancamento-nivus-orca-rmkt-site-visitation-brand-aficionado_na_lancamento-consideracao-nivus-orca_nvl-nvs-imc-dsy-0820-10183</v>
      </c>
      <c r="AJ183" s="40" t="str">
        <f t="shared" si="95"/>
        <v>alp_vw_dv360_imc_dsy_lanch_nd_nc_nvs_nivus-launch-consideracao-orca__configuracao_cpm_drct_all_300x600_lancamento-nivus-orca-rmkt-site-visitation-brand-aficionado_na_lancamento-consideracao-nivus-orca_nvl-nvs-imc-dsy-0820-10183</v>
      </c>
      <c r="AK183" s="21" t="str">
        <f t="shared" si="71"/>
        <v>vw_nivus_300x600_lancamento-consideracao-nivus-orca_adserver</v>
      </c>
      <c r="AL183" s="21" t="str">
        <f t="shared" si="81"/>
        <v>https://www.vw.com.br/pt/configurador.html/__app/%2Fnivus/0.app?adlid=nvl-nvs-imc-dsy-0820-10183&amp;adplt=alp_vw_dv360_imc_dsy_lanch_nd_nc_nvs_nivus-launch-consideracao-orca__configuracao_cpm_drct_all_300x600_lancamento-nivus-orca-rmkt-site-visitation-brand-aficionado_na_lancamento-consideracao-nivus-orca_nvl-nvs-imc-dsy-0820-10183</v>
      </c>
      <c r="AM183" s="21" t="str">
        <f t="shared" si="72"/>
        <v>TAG</v>
      </c>
      <c r="AN183" s="15" t="str">
        <f t="shared" si="82"/>
        <v>DV360</v>
      </c>
      <c r="AO183" s="15" t="str">
        <f t="shared" si="83"/>
        <v>Paid-Display</v>
      </c>
      <c r="AP183" s="21" t="str">
        <f>Campanha!$B$3</f>
        <v>BR_IMC_DSY_LANCH_ND_NC_2020Q3AUG_NVS_Nivus-Launch-Consideracao-Orca</v>
      </c>
      <c r="AQ183" s="21" t="str">
        <f t="shared" si="73"/>
        <v>alp_vw_dv360_imc_dsy_lanch_nd_nc_nvs_nivus-launch-consideracao-orca__configuracao_cpm_drct_all_300x600_lancamento-nivus-orca-rmkt-site-visitation-brand-aficionado_na_lancamento-consideracao-nivus-orca_nvl-nvs-imc-dsy-0820-10183</v>
      </c>
      <c r="AR183" s="15" t="s">
        <v>745</v>
      </c>
      <c r="AS183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site-visitation-brand-aficionado_na_lancamento-consideracao-nivus-orca_nvl-nvs-imc-dsy-0820-10183&amp;utm_campaign=BR_IMC_DSY_LANCH_ND_NC_2020Q3AUG_NVS_Nivus-Launch-Consideracao-Orca&amp;utm_term=%epid!_%ecid!_%eaid!</v>
      </c>
      <c r="AT183" s="15" t="str">
        <f t="shared" si="84"/>
        <v>other</v>
      </c>
      <c r="AU183" s="15" t="str">
        <f t="shared" si="75"/>
        <v>BR</v>
      </c>
      <c r="AV183" s="15" t="str">
        <f t="shared" si="85"/>
        <v>dv360</v>
      </c>
      <c r="AW183" s="15" t="str">
        <f t="shared" si="86"/>
        <v>dv360</v>
      </c>
      <c r="AX183" s="15" t="str">
        <f t="shared" si="76"/>
        <v>nivus-launch-consideracao-orca</v>
      </c>
      <c r="AY183" s="15" t="str">
        <f t="shared" si="87"/>
        <v>alp_vw_dv360_imc_dsy_lanch_nd_nc_nvs_nivus-launch-consideracao-orca__configuracao_cpm_drct_all_300x600_lancamento-nivus-orca-rmkt-site-visitation-brand-aficionado_na_lancamento-consideracao-nivus-orca_nvl-nvs-imc-dsy-0820-10183</v>
      </c>
      <c r="AZ183" s="15" t="str">
        <f t="shared" si="88"/>
        <v>300x600</v>
      </c>
      <c r="BA183" s="15" t="str">
        <f t="shared" si="89"/>
        <v>lancamento-consideracao-nivus-orca</v>
      </c>
      <c r="BB183" s="28" t="s">
        <v>798</v>
      </c>
      <c r="BC183" s="28" t="s">
        <v>798</v>
      </c>
      <c r="BD183" s="38" t="str">
        <f t="shared" si="90"/>
        <v>nvl-nvs-imc-dsy-0820-10183</v>
      </c>
      <c r="BE183" s="15" t="str">
        <f t="shared" si="91"/>
        <v>BR</v>
      </c>
      <c r="BF183" s="15" t="str">
        <f t="shared" si="92"/>
        <v>paid</v>
      </c>
      <c r="BG183" s="28"/>
      <c r="BH183" s="28"/>
      <c r="BI183" s="36" t="str">
        <f t="shared" si="77"/>
        <v>https://www.vw.com.br/pt/configurador.html/__app/%2Fnivus/0.app?adlid=nvl-nvs-imc-dsy-0820-10183&amp;adplt=alp_vw_dv360_imc_dsy_lanch_nd_nc_nvs_nivus-launch-consideracao-orca__configuracao_cpm_drct_all_300x600_lancamento-nivus-orca-rmkt-site-visitation-brand-aficionado_na_lancamento-consideracao-nivus-orca_nvl-nvs-imc-dsy-0820-10183</v>
      </c>
      <c r="BL183" t="str">
        <f t="shared" si="78"/>
        <v>alp_vw_dv360_imc_dsy_lanch_nd_nc_nvs_nivus-launch-consideracao-orca__configuracao</v>
      </c>
      <c r="BM183" t="str">
        <f t="shared" si="79"/>
        <v>cpm_drct_all_300x600_lancamento-nivus-orca-rmkt-site-visitation-brand-aficionado_na</v>
      </c>
      <c r="BN183" t="str">
        <f t="shared" si="80"/>
        <v>alp_vw_dv360_imc_dsy_lanch_nd_nc_nvs_nivus-launch-consideracao-orca__configuracao_cpm_drct_all_300x600_lancamento-nivus-orca-rmkt-site-visitation-brand-aficionado_na_generico_nvl-nvs-imc-dsy-0820-10183</v>
      </c>
    </row>
    <row r="184" spans="2:66" ht="15.75" customHeight="1" x14ac:dyDescent="0.25">
      <c r="B184" s="15" t="s">
        <v>1291</v>
      </c>
      <c r="C184" s="15" t="s">
        <v>1477</v>
      </c>
      <c r="D184" s="15"/>
      <c r="E184" s="22">
        <v>44069</v>
      </c>
      <c r="F184" s="22">
        <v>44135</v>
      </c>
      <c r="G184" s="15" t="s">
        <v>651</v>
      </c>
      <c r="H184" s="41" t="s">
        <v>1266</v>
      </c>
      <c r="I184" s="15" t="s">
        <v>801</v>
      </c>
      <c r="J184" s="42" t="s">
        <v>883</v>
      </c>
      <c r="K184" s="42" t="s">
        <v>883</v>
      </c>
      <c r="L184" s="15" t="s">
        <v>676</v>
      </c>
      <c r="M184" s="15" t="s">
        <v>276</v>
      </c>
      <c r="N184" s="15" t="s">
        <v>295</v>
      </c>
      <c r="O184" s="15" t="s">
        <v>677</v>
      </c>
      <c r="P184" s="15" t="str">
        <f>VLOOKUP(Y184,'All Codes'!$BF$3:$BG$278,2,FALSE)</f>
        <v>MPU</v>
      </c>
      <c r="Q184" s="15" t="s">
        <v>179</v>
      </c>
      <c r="R184" s="15" t="s">
        <v>277</v>
      </c>
      <c r="S184" s="15" t="s">
        <v>874</v>
      </c>
      <c r="T184" s="46" t="s">
        <v>884</v>
      </c>
      <c r="U184" s="15" t="s">
        <v>876</v>
      </c>
      <c r="V184" s="15" t="s">
        <v>1264</v>
      </c>
      <c r="W184" s="15" t="s">
        <v>866</v>
      </c>
      <c r="X184" s="15" t="s">
        <v>307</v>
      </c>
      <c r="Y184" s="46" t="s">
        <v>479</v>
      </c>
      <c r="Z184" s="15"/>
      <c r="AA184" s="15"/>
      <c r="AB184" s="15"/>
      <c r="AC184" s="15"/>
      <c r="AD184" s="15"/>
      <c r="AE184" s="15"/>
      <c r="AF184" s="15"/>
      <c r="AG184" s="15"/>
      <c r="AH184" s="15" t="str">
        <f t="shared" ref="AH184:AH247" si="97">VLOOKUP(AI184,id_placement,2,FALSE)</f>
        <v>284453821</v>
      </c>
      <c r="AI184" s="21" t="str">
        <f t="shared" si="95"/>
        <v>alp_vw_dv360_imc_dsy_lanch_nd_nc_nvs_nivus-launch-consideracao-orca__configuracao_cpm_drct_all_320x50_lancamento-nivus-orca-rmkt-site-visitation-brand-aficionado_na_lancamento-consideracao-nivus-orca_nvl-nvs-imc-dsy-0820-10184</v>
      </c>
      <c r="AJ184" s="40" t="str">
        <f t="shared" si="95"/>
        <v>alp_vw_dv360_imc_dsy_lanch_nd_nc_nvs_nivus-launch-consideracao-orca__configuracao_cpm_drct_all_320x50_lancamento-nivus-orca-rmkt-site-visitation-brand-aficionado_na_lancamento-consideracao-nivus-orca_nvl-nvs-imc-dsy-0820-10184</v>
      </c>
      <c r="AK184" s="21" t="str">
        <f t="shared" si="71"/>
        <v>vw_nivus_320x50_lancamento-consideracao-nivus-orca_adserver</v>
      </c>
      <c r="AL184" s="21" t="str">
        <f t="shared" si="81"/>
        <v>https://www.vw.com.br/pt/configurador.html/__app/%2Fnivus/0.app?adlid=nvl-nvs-imc-dsy-0820-10184&amp;adplt=alp_vw_dv360_imc_dsy_lanch_nd_nc_nvs_nivus-launch-consideracao-orca__configuracao_cpm_drct_all_320x50_lancamento-nivus-orca-rmkt-site-visitation-brand-aficionado_na_lancamento-consideracao-nivus-orca_nvl-nvs-imc-dsy-0820-10184</v>
      </c>
      <c r="AM184" s="21" t="str">
        <f t="shared" si="72"/>
        <v>TAG</v>
      </c>
      <c r="AN184" s="15" t="str">
        <f t="shared" si="82"/>
        <v>DV360</v>
      </c>
      <c r="AO184" s="15" t="str">
        <f t="shared" si="83"/>
        <v>Paid-Display</v>
      </c>
      <c r="AP184" s="21" t="str">
        <f>Campanha!$B$3</f>
        <v>BR_IMC_DSY_LANCH_ND_NC_2020Q3AUG_NVS_Nivus-Launch-Consideracao-Orca</v>
      </c>
      <c r="AQ184" s="21" t="str">
        <f t="shared" si="73"/>
        <v>alp_vw_dv360_imc_dsy_lanch_nd_nc_nvs_nivus-launch-consideracao-orca__configuracao_cpm_drct_all_320x50_lancamento-nivus-orca-rmkt-site-visitation-brand-aficionado_na_lancamento-consideracao-nivus-orca_nvl-nvs-imc-dsy-0820-10184</v>
      </c>
      <c r="AR184" s="15" t="s">
        <v>745</v>
      </c>
      <c r="AS184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site-visitation-brand-aficionado_na_lancamento-consideracao-nivus-orca_nvl-nvs-imc-dsy-0820-10184&amp;utm_campaign=BR_IMC_DSY_LANCH_ND_NC_2020Q3AUG_NVS_Nivus-Launch-Consideracao-Orca&amp;utm_term=%epid!_%ecid!_%eaid!</v>
      </c>
      <c r="AT184" s="15" t="str">
        <f t="shared" si="84"/>
        <v>other</v>
      </c>
      <c r="AU184" s="15" t="str">
        <f t="shared" si="75"/>
        <v>BR</v>
      </c>
      <c r="AV184" s="15" t="str">
        <f t="shared" si="85"/>
        <v>dv360</v>
      </c>
      <c r="AW184" s="15" t="str">
        <f t="shared" si="86"/>
        <v>dv360</v>
      </c>
      <c r="AX184" s="15" t="str">
        <f t="shared" si="76"/>
        <v>nivus-launch-consideracao-orca</v>
      </c>
      <c r="AY184" s="15" t="str">
        <f t="shared" si="87"/>
        <v>alp_vw_dv360_imc_dsy_lanch_nd_nc_nvs_nivus-launch-consideracao-orca__configuracao_cpm_drct_all_320x50_lancamento-nivus-orca-rmkt-site-visitation-brand-aficionado_na_lancamento-consideracao-nivus-orca_nvl-nvs-imc-dsy-0820-10184</v>
      </c>
      <c r="AZ184" s="15" t="str">
        <f t="shared" si="88"/>
        <v>320x50</v>
      </c>
      <c r="BA184" s="15" t="str">
        <f t="shared" si="89"/>
        <v>lancamento-consideracao-nivus-orca</v>
      </c>
      <c r="BB184" s="28" t="s">
        <v>798</v>
      </c>
      <c r="BC184" s="28" t="s">
        <v>798</v>
      </c>
      <c r="BD184" s="38" t="str">
        <f t="shared" si="90"/>
        <v>nvl-nvs-imc-dsy-0820-10184</v>
      </c>
      <c r="BE184" s="15" t="str">
        <f t="shared" si="91"/>
        <v>BR</v>
      </c>
      <c r="BF184" s="15" t="str">
        <f t="shared" si="92"/>
        <v>paid</v>
      </c>
      <c r="BG184" s="28"/>
      <c r="BH184" s="28"/>
      <c r="BI184" s="36" t="str">
        <f t="shared" si="77"/>
        <v>https://www.vw.com.br/pt/configurador.html/__app/%2Fnivus/0.app?adlid=nvl-nvs-imc-dsy-0820-10184&amp;adplt=alp_vw_dv360_imc_dsy_lanch_nd_nc_nvs_nivus-launch-consideracao-orca__configuracao_cpm_drct_all_320x50_lancamento-nivus-orca-rmkt-site-visitation-brand-aficionado_na_lancamento-consideracao-nivus-orca_nvl-nvs-imc-dsy-0820-10184</v>
      </c>
      <c r="BL184" t="str">
        <f t="shared" si="78"/>
        <v>alp_vw_dv360_imc_dsy_lanch_nd_nc_nvs_nivus-launch-consideracao-orca__configuracao</v>
      </c>
      <c r="BM184" t="str">
        <f t="shared" si="79"/>
        <v>cpm_drct_all_320x50_lancamento-nivus-orca-rmkt-site-visitation-brand-aficionado_na</v>
      </c>
      <c r="BN184" t="str">
        <f t="shared" si="80"/>
        <v>alp_vw_dv360_imc_dsy_lanch_nd_nc_nvs_nivus-launch-consideracao-orca__configuracao_cpm_drct_all_320x50_lancamento-nivus-orca-rmkt-site-visitation-brand-aficionado_na_generico_nvl-nvs-imc-dsy-0820-10184</v>
      </c>
    </row>
    <row r="185" spans="2:66" ht="15.75" customHeight="1" x14ac:dyDescent="0.25">
      <c r="B185" s="15" t="s">
        <v>1291</v>
      </c>
      <c r="C185" s="15" t="s">
        <v>1477</v>
      </c>
      <c r="D185" s="15"/>
      <c r="E185" s="22">
        <v>44069</v>
      </c>
      <c r="F185" s="22">
        <v>44135</v>
      </c>
      <c r="G185" s="15" t="s">
        <v>651</v>
      </c>
      <c r="H185" s="41" t="s">
        <v>1266</v>
      </c>
      <c r="I185" s="15" t="s">
        <v>801</v>
      </c>
      <c r="J185" s="42" t="s">
        <v>883</v>
      </c>
      <c r="K185" s="42" t="s">
        <v>883</v>
      </c>
      <c r="L185" s="15" t="s">
        <v>676</v>
      </c>
      <c r="M185" s="15" t="s">
        <v>276</v>
      </c>
      <c r="N185" s="15" t="s">
        <v>295</v>
      </c>
      <c r="O185" s="15" t="s">
        <v>677</v>
      </c>
      <c r="P185" s="15" t="str">
        <f>VLOOKUP(Y185,'All Codes'!$BF$3:$BG$278,2,FALSE)</f>
        <v>Leaderboard</v>
      </c>
      <c r="Q185" s="15" t="s">
        <v>179</v>
      </c>
      <c r="R185" s="15" t="s">
        <v>277</v>
      </c>
      <c r="S185" s="15" t="s">
        <v>874</v>
      </c>
      <c r="T185" s="46" t="s">
        <v>884</v>
      </c>
      <c r="U185" s="15" t="s">
        <v>876</v>
      </c>
      <c r="V185" s="15" t="s">
        <v>1264</v>
      </c>
      <c r="W185" s="15" t="s">
        <v>866</v>
      </c>
      <c r="X185" s="15" t="s">
        <v>307</v>
      </c>
      <c r="Y185" s="46" t="s">
        <v>591</v>
      </c>
      <c r="Z185" s="15"/>
      <c r="AA185" s="15"/>
      <c r="AB185" s="15"/>
      <c r="AC185" s="15"/>
      <c r="AD185" s="15"/>
      <c r="AE185" s="15"/>
      <c r="AF185" s="15"/>
      <c r="AG185" s="15"/>
      <c r="AH185" s="15" t="str">
        <f t="shared" si="97"/>
        <v>284453815</v>
      </c>
      <c r="AI185" s="21" t="str">
        <f t="shared" si="95"/>
        <v>alp_vw_dv360_imc_dsy_lanch_nd_nc_nvs_nivus-launch-consideracao-orca__configuracao_cpm_drct_all_728x90_lancamento-nivus-orca-rmkt-site-visitation-brand-aficionado_na_lancamento-consideracao-nivus-orca_nvl-nvs-imc-dsy-0820-10185</v>
      </c>
      <c r="AJ185" s="40" t="str">
        <f t="shared" si="95"/>
        <v>alp_vw_dv360_imc_dsy_lanch_nd_nc_nvs_nivus-launch-consideracao-orca__configuracao_cpm_drct_all_728x90_lancamento-nivus-orca-rmkt-site-visitation-brand-aficionado_na_lancamento-consideracao-nivus-orca_nvl-nvs-imc-dsy-0820-10185</v>
      </c>
      <c r="AK185" s="21" t="str">
        <f t="shared" si="71"/>
        <v>vw_nivus_728x90_lancamento-consideracao-nivus-orca_adserver</v>
      </c>
      <c r="AL185" s="21" t="str">
        <f t="shared" si="81"/>
        <v>https://www.vw.com.br/pt/configurador.html/__app/%2Fnivus/0.app?adlid=nvl-nvs-imc-dsy-0820-10185&amp;adplt=alp_vw_dv360_imc_dsy_lanch_nd_nc_nvs_nivus-launch-consideracao-orca__configuracao_cpm_drct_all_728x90_lancamento-nivus-orca-rmkt-site-visitation-brand-aficionado_na_lancamento-consideracao-nivus-orca_nvl-nvs-imc-dsy-0820-10185</v>
      </c>
      <c r="AM185" s="21" t="str">
        <f t="shared" si="72"/>
        <v>TAG</v>
      </c>
      <c r="AN185" s="15" t="str">
        <f t="shared" si="82"/>
        <v>DV360</v>
      </c>
      <c r="AO185" s="15" t="str">
        <f t="shared" si="83"/>
        <v>Paid-Display</v>
      </c>
      <c r="AP185" s="21" t="str">
        <f>Campanha!$B$3</f>
        <v>BR_IMC_DSY_LANCH_ND_NC_2020Q3AUG_NVS_Nivus-Launch-Consideracao-Orca</v>
      </c>
      <c r="AQ185" s="21" t="str">
        <f t="shared" si="73"/>
        <v>alp_vw_dv360_imc_dsy_lanch_nd_nc_nvs_nivus-launch-consideracao-orca__configuracao_cpm_drct_all_728x90_lancamento-nivus-orca-rmkt-site-visitation-brand-aficionado_na_lancamento-consideracao-nivus-orca_nvl-nvs-imc-dsy-0820-10185</v>
      </c>
      <c r="AR185" s="15" t="s">
        <v>745</v>
      </c>
      <c r="AS185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site-visitation-brand-aficionado_na_lancamento-consideracao-nivus-orca_nvl-nvs-imc-dsy-0820-10185&amp;utm_campaign=BR_IMC_DSY_LANCH_ND_NC_2020Q3AUG_NVS_Nivus-Launch-Consideracao-Orca&amp;utm_term=%epid!_%ecid!_%eaid!</v>
      </c>
      <c r="AT185" s="15" t="str">
        <f t="shared" si="84"/>
        <v>other</v>
      </c>
      <c r="AU185" s="15" t="str">
        <f t="shared" si="75"/>
        <v>BR</v>
      </c>
      <c r="AV185" s="15" t="str">
        <f t="shared" si="85"/>
        <v>dv360</v>
      </c>
      <c r="AW185" s="15" t="str">
        <f t="shared" si="86"/>
        <v>dv360</v>
      </c>
      <c r="AX185" s="15" t="str">
        <f t="shared" si="76"/>
        <v>nivus-launch-consideracao-orca</v>
      </c>
      <c r="AY185" s="15" t="str">
        <f t="shared" si="87"/>
        <v>alp_vw_dv360_imc_dsy_lanch_nd_nc_nvs_nivus-launch-consideracao-orca__configuracao_cpm_drct_all_728x90_lancamento-nivus-orca-rmkt-site-visitation-brand-aficionado_na_lancamento-consideracao-nivus-orca_nvl-nvs-imc-dsy-0820-10185</v>
      </c>
      <c r="AZ185" s="15" t="str">
        <f t="shared" si="88"/>
        <v>728x90</v>
      </c>
      <c r="BA185" s="15" t="str">
        <f t="shared" si="89"/>
        <v>lancamento-consideracao-nivus-orca</v>
      </c>
      <c r="BB185" s="28" t="s">
        <v>798</v>
      </c>
      <c r="BC185" s="28" t="s">
        <v>798</v>
      </c>
      <c r="BD185" s="38" t="str">
        <f t="shared" si="90"/>
        <v>nvl-nvs-imc-dsy-0820-10185</v>
      </c>
      <c r="BE185" s="15" t="str">
        <f t="shared" si="91"/>
        <v>BR</v>
      </c>
      <c r="BF185" s="15" t="str">
        <f t="shared" si="92"/>
        <v>paid</v>
      </c>
      <c r="BG185" s="28"/>
      <c r="BH185" s="28"/>
      <c r="BI185" s="36" t="str">
        <f t="shared" si="77"/>
        <v>https://www.vw.com.br/pt/configurador.html/__app/%2Fnivus/0.app?adlid=nvl-nvs-imc-dsy-0820-10185&amp;adplt=alp_vw_dv360_imc_dsy_lanch_nd_nc_nvs_nivus-launch-consideracao-orca__configuracao_cpm_drct_all_728x90_lancamento-nivus-orca-rmkt-site-visitation-brand-aficionado_na_lancamento-consideracao-nivus-orca_nvl-nvs-imc-dsy-0820-10185</v>
      </c>
      <c r="BL185" t="str">
        <f t="shared" si="78"/>
        <v>alp_vw_dv360_imc_dsy_lanch_nd_nc_nvs_nivus-launch-consideracao-orca__configuracao</v>
      </c>
      <c r="BM185" t="str">
        <f t="shared" si="79"/>
        <v>cpm_drct_all_728x90_lancamento-nivus-orca-rmkt-site-visitation-brand-aficionado_na</v>
      </c>
      <c r="BN185" t="str">
        <f t="shared" si="80"/>
        <v>alp_vw_dv360_imc_dsy_lanch_nd_nc_nvs_nivus-launch-consideracao-orca__configuracao_cpm_drct_all_728x90_lancamento-nivus-orca-rmkt-site-visitation-brand-aficionado_na_generico_nvl-nvs-imc-dsy-0820-10185</v>
      </c>
    </row>
    <row r="186" spans="2:66" ht="15.75" customHeight="1" x14ac:dyDescent="0.25">
      <c r="B186" s="15" t="s">
        <v>1291</v>
      </c>
      <c r="C186" s="15" t="s">
        <v>1477</v>
      </c>
      <c r="D186" s="15"/>
      <c r="E186" s="22">
        <v>44069</v>
      </c>
      <c r="F186" s="22">
        <v>44135</v>
      </c>
      <c r="G186" s="15" t="s">
        <v>651</v>
      </c>
      <c r="H186" s="41" t="s">
        <v>1266</v>
      </c>
      <c r="I186" s="15" t="s">
        <v>801</v>
      </c>
      <c r="J186" s="42" t="s">
        <v>883</v>
      </c>
      <c r="K186" s="42" t="s">
        <v>883</v>
      </c>
      <c r="L186" s="15" t="s">
        <v>676</v>
      </c>
      <c r="M186" s="15" t="s">
        <v>276</v>
      </c>
      <c r="N186" s="15" t="s">
        <v>295</v>
      </c>
      <c r="O186" s="15" t="s">
        <v>677</v>
      </c>
      <c r="P186" s="15" t="str">
        <f>VLOOKUP(Y186,'All Codes'!$BF$3:$BG$278,2,FALSE)</f>
        <v>Leaderboard</v>
      </c>
      <c r="Q186" s="15" t="s">
        <v>179</v>
      </c>
      <c r="R186" s="15" t="s">
        <v>277</v>
      </c>
      <c r="S186" s="15" t="s">
        <v>874</v>
      </c>
      <c r="T186" s="46" t="s">
        <v>884</v>
      </c>
      <c r="U186" s="15" t="s">
        <v>876</v>
      </c>
      <c r="V186" s="15" t="s">
        <v>1264</v>
      </c>
      <c r="W186" s="15" t="s">
        <v>866</v>
      </c>
      <c r="X186" s="15" t="s">
        <v>307</v>
      </c>
      <c r="Y186" s="46" t="s">
        <v>629</v>
      </c>
      <c r="Z186" s="15"/>
      <c r="AA186" s="15"/>
      <c r="AB186" s="15"/>
      <c r="AC186" s="15"/>
      <c r="AD186" s="15"/>
      <c r="AE186" s="15"/>
      <c r="AF186" s="15"/>
      <c r="AG186" s="15"/>
      <c r="AH186" s="15" t="str">
        <f t="shared" si="97"/>
        <v>284453809</v>
      </c>
      <c r="AI186" s="21" t="str">
        <f t="shared" si="95"/>
        <v>alp_vw_dv360_imc_dsy_lanch_nd_nc_nvs_nivus-launch-consideracao-orca__configuracao_cpm_drct_all_970x250_lancamento-nivus-orca-rmkt-site-visitation-brand-aficionado_na_lancamento-consideracao-nivus-orca_nvl-nvs-imc-dsy-0820-10186</v>
      </c>
      <c r="AJ186" s="40" t="str">
        <f t="shared" si="95"/>
        <v>alp_vw_dv360_imc_dsy_lanch_nd_nc_nvs_nivus-launch-consideracao-orca__configuracao_cpm_drct_all_970x250_lancamento-nivus-orca-rmkt-site-visitation-brand-aficionado_na_lancamento-consideracao-nivus-orca_nvl-nvs-imc-dsy-0820-10186</v>
      </c>
      <c r="AK186" s="21" t="str">
        <f t="shared" si="71"/>
        <v>vw_nivus_970x250_lancamento-consideracao-nivus-orca_adserver</v>
      </c>
      <c r="AL186" s="21" t="str">
        <f t="shared" si="81"/>
        <v>https://www.vw.com.br/pt/configurador.html/__app/%2Fnivus/0.app?adlid=nvl-nvs-imc-dsy-0820-10186&amp;adplt=alp_vw_dv360_imc_dsy_lanch_nd_nc_nvs_nivus-launch-consideracao-orca__configuracao_cpm_drct_all_970x250_lancamento-nivus-orca-rmkt-site-visitation-brand-aficionado_na_lancamento-consideracao-nivus-orca_nvl-nvs-imc-dsy-0820-10186</v>
      </c>
      <c r="AM186" s="21" t="str">
        <f t="shared" si="72"/>
        <v>TAG</v>
      </c>
      <c r="AN186" s="15" t="str">
        <f t="shared" si="82"/>
        <v>DV360</v>
      </c>
      <c r="AO186" s="15" t="str">
        <f t="shared" si="83"/>
        <v>Paid-Display</v>
      </c>
      <c r="AP186" s="21" t="str">
        <f>Campanha!$B$3</f>
        <v>BR_IMC_DSY_LANCH_ND_NC_2020Q3AUG_NVS_Nivus-Launch-Consideracao-Orca</v>
      </c>
      <c r="AQ186" s="21" t="str">
        <f t="shared" si="73"/>
        <v>alp_vw_dv360_imc_dsy_lanch_nd_nc_nvs_nivus-launch-consideracao-orca__configuracao_cpm_drct_all_970x250_lancamento-nivus-orca-rmkt-site-visitation-brand-aficionado_na_lancamento-consideracao-nivus-orca_nvl-nvs-imc-dsy-0820-10186</v>
      </c>
      <c r="AR186" s="15" t="s">
        <v>745</v>
      </c>
      <c r="AS186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site-visitation-brand-aficionado_na_lancamento-consideracao-nivus-orca_nvl-nvs-imc-dsy-0820-10186&amp;utm_campaign=BR_IMC_DSY_LANCH_ND_NC_2020Q3AUG_NVS_Nivus-Launch-Consideracao-Orca&amp;utm_term=%epid!_%ecid!_%eaid!</v>
      </c>
      <c r="AT186" s="15" t="str">
        <f t="shared" si="84"/>
        <v>other</v>
      </c>
      <c r="AU186" s="15" t="str">
        <f t="shared" si="75"/>
        <v>BR</v>
      </c>
      <c r="AV186" s="15" t="str">
        <f t="shared" si="85"/>
        <v>dv360</v>
      </c>
      <c r="AW186" s="15" t="str">
        <f t="shared" si="86"/>
        <v>dv360</v>
      </c>
      <c r="AX186" s="15" t="str">
        <f t="shared" si="76"/>
        <v>nivus-launch-consideracao-orca</v>
      </c>
      <c r="AY186" s="15" t="str">
        <f t="shared" si="87"/>
        <v>alp_vw_dv360_imc_dsy_lanch_nd_nc_nvs_nivus-launch-consideracao-orca__configuracao_cpm_drct_all_970x250_lancamento-nivus-orca-rmkt-site-visitation-brand-aficionado_na_lancamento-consideracao-nivus-orca_nvl-nvs-imc-dsy-0820-10186</v>
      </c>
      <c r="AZ186" s="15" t="str">
        <f t="shared" si="88"/>
        <v>970x250</v>
      </c>
      <c r="BA186" s="15" t="str">
        <f t="shared" si="89"/>
        <v>lancamento-consideracao-nivus-orca</v>
      </c>
      <c r="BB186" s="28" t="s">
        <v>798</v>
      </c>
      <c r="BC186" s="28" t="s">
        <v>798</v>
      </c>
      <c r="BD186" s="38" t="str">
        <f t="shared" si="90"/>
        <v>nvl-nvs-imc-dsy-0820-10186</v>
      </c>
      <c r="BE186" s="15" t="str">
        <f t="shared" si="91"/>
        <v>BR</v>
      </c>
      <c r="BF186" s="15" t="str">
        <f t="shared" si="92"/>
        <v>paid</v>
      </c>
      <c r="BG186" s="28"/>
      <c r="BH186" s="28"/>
      <c r="BI186" s="36" t="str">
        <f t="shared" si="77"/>
        <v>https://www.vw.com.br/pt/configurador.html/__app/%2Fnivus/0.app?adlid=nvl-nvs-imc-dsy-0820-10186&amp;adplt=alp_vw_dv360_imc_dsy_lanch_nd_nc_nvs_nivus-launch-consideracao-orca__configuracao_cpm_drct_all_970x250_lancamento-nivus-orca-rmkt-site-visitation-brand-aficionado_na_lancamento-consideracao-nivus-orca_nvl-nvs-imc-dsy-0820-10186</v>
      </c>
      <c r="BL186" t="str">
        <f t="shared" si="78"/>
        <v>alp_vw_dv360_imc_dsy_lanch_nd_nc_nvs_nivus-launch-consideracao-orca__configuracao</v>
      </c>
      <c r="BM186" t="str">
        <f t="shared" si="79"/>
        <v>cpm_drct_all_970x250_lancamento-nivus-orca-rmkt-site-visitation-brand-aficionado_na</v>
      </c>
      <c r="BN186" t="str">
        <f t="shared" si="80"/>
        <v>alp_vw_dv360_imc_dsy_lanch_nd_nc_nvs_nivus-launch-consideracao-orca__configuracao_cpm_drct_all_970x250_lancamento-nivus-orca-rmkt-site-visitation-brand-aficionado_na_generico_nvl-nvs-imc-dsy-0820-10186</v>
      </c>
    </row>
    <row r="187" spans="2:66" ht="15.75" customHeight="1" x14ac:dyDescent="0.25">
      <c r="B187" s="15" t="s">
        <v>1291</v>
      </c>
      <c r="C187" s="15" t="s">
        <v>1477</v>
      </c>
      <c r="D187" s="15"/>
      <c r="E187" s="22">
        <v>44069</v>
      </c>
      <c r="F187" s="22">
        <v>44135</v>
      </c>
      <c r="G187" s="15" t="s">
        <v>651</v>
      </c>
      <c r="H187" s="41" t="s">
        <v>1266</v>
      </c>
      <c r="I187" s="15" t="s">
        <v>801</v>
      </c>
      <c r="J187" s="42" t="s">
        <v>883</v>
      </c>
      <c r="K187" s="42" t="s">
        <v>883</v>
      </c>
      <c r="L187" s="15" t="s">
        <v>676</v>
      </c>
      <c r="M187" s="15" t="s">
        <v>276</v>
      </c>
      <c r="N187" s="15" t="s">
        <v>295</v>
      </c>
      <c r="O187" s="15" t="s">
        <v>677</v>
      </c>
      <c r="P187" s="15" t="str">
        <f>VLOOKUP(Y187,'All Codes'!$BF$3:$BG$278,2,FALSE)</f>
        <v>MPU</v>
      </c>
      <c r="Q187" s="15" t="s">
        <v>179</v>
      </c>
      <c r="R187" s="15" t="s">
        <v>277</v>
      </c>
      <c r="S187" s="15" t="s">
        <v>874</v>
      </c>
      <c r="T187" s="46" t="s">
        <v>884</v>
      </c>
      <c r="U187" s="15" t="s">
        <v>876</v>
      </c>
      <c r="V187" s="15" t="s">
        <v>1265</v>
      </c>
      <c r="W187" s="15" t="s">
        <v>866</v>
      </c>
      <c r="X187" s="15" t="s">
        <v>307</v>
      </c>
      <c r="Y187" s="46" t="s">
        <v>461</v>
      </c>
      <c r="Z187" s="15"/>
      <c r="AA187" s="15"/>
      <c r="AB187" s="15"/>
      <c r="AC187" s="15"/>
      <c r="AD187" s="15"/>
      <c r="AE187" s="15"/>
      <c r="AF187" s="15"/>
      <c r="AG187" s="15"/>
      <c r="AH187" s="15" t="str">
        <f t="shared" si="97"/>
        <v>284453806</v>
      </c>
      <c r="AI187" s="21" t="str">
        <f t="shared" si="95"/>
        <v>alp_vw_dv360_imc_dsy_lanch_nd_nc_nvs_nivus-launch-consideracao-orca__configuracao_cpm_drct_all_300x50_lancamento-nivus-orca-rmkt-site-visitation-brand-intent_na_lancamento-consideracao-nivus-orca_nvl-nvs-imc-dsy-0820-10187</v>
      </c>
      <c r="AJ187" s="40" t="str">
        <f t="shared" si="95"/>
        <v>alp_vw_dv360_imc_dsy_lanch_nd_nc_nvs_nivus-launch-consideracao-orca__configuracao_cpm_drct_all_300x50_lancamento-nivus-orca-rmkt-site-visitation-brand-intent_na_lancamento-consideracao-nivus-orca_nvl-nvs-imc-dsy-0820-10187</v>
      </c>
      <c r="AK187" s="21" t="str">
        <f t="shared" si="71"/>
        <v>vw_nivus_300x50_lancamento-consideracao-nivus-orca_adserver</v>
      </c>
      <c r="AL187" s="21" t="str">
        <f t="shared" si="81"/>
        <v>https://www.vw.com.br/pt/configurador.html/__app/%2Fnivus/0.app?adlid=nvl-nvs-imc-dsy-0820-10187&amp;adplt=alp_vw_dv360_imc_dsy_lanch_nd_nc_nvs_nivus-launch-consideracao-orca__configuracao_cpm_drct_all_300x50_lancamento-nivus-orca-rmkt-site-visitation-brand-intent_na_lancamento-consideracao-nivus-orca_nvl-nvs-imc-dsy-0820-10187</v>
      </c>
      <c r="AM187" s="21" t="str">
        <f t="shared" si="72"/>
        <v>TAG</v>
      </c>
      <c r="AN187" s="15" t="str">
        <f t="shared" si="82"/>
        <v>DV360</v>
      </c>
      <c r="AO187" s="15" t="str">
        <f t="shared" si="83"/>
        <v>Paid-Display</v>
      </c>
      <c r="AP187" s="21" t="str">
        <f>Campanha!$B$3</f>
        <v>BR_IMC_DSY_LANCH_ND_NC_2020Q3AUG_NVS_Nivus-Launch-Consideracao-Orca</v>
      </c>
      <c r="AQ187" s="21" t="str">
        <f t="shared" si="73"/>
        <v>alp_vw_dv360_imc_dsy_lanch_nd_nc_nvs_nivus-launch-consideracao-orca__configuracao_cpm_drct_all_300x50_lancamento-nivus-orca-rmkt-site-visitation-brand-intent_na_lancamento-consideracao-nivus-orca_nvl-nvs-imc-dsy-0820-10187</v>
      </c>
      <c r="AR187" s="15" t="s">
        <v>745</v>
      </c>
      <c r="AS187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site-visitation-brand-intent_na_lancamento-consideracao-nivus-orca_nvl-nvs-imc-dsy-0820-10187&amp;utm_campaign=BR_IMC_DSY_LANCH_ND_NC_2020Q3AUG_NVS_Nivus-Launch-Consideracao-Orca&amp;utm_term=%epid!_%ecid!_%eaid!</v>
      </c>
      <c r="AT187" s="15" t="str">
        <f t="shared" si="84"/>
        <v>other</v>
      </c>
      <c r="AU187" s="15" t="str">
        <f t="shared" si="75"/>
        <v>BR</v>
      </c>
      <c r="AV187" s="15" t="str">
        <f t="shared" si="85"/>
        <v>dv360</v>
      </c>
      <c r="AW187" s="15" t="str">
        <f t="shared" si="86"/>
        <v>dv360</v>
      </c>
      <c r="AX187" s="15" t="str">
        <f t="shared" si="76"/>
        <v>nivus-launch-consideracao-orca</v>
      </c>
      <c r="AY187" s="15" t="str">
        <f t="shared" si="87"/>
        <v>alp_vw_dv360_imc_dsy_lanch_nd_nc_nvs_nivus-launch-consideracao-orca__configuracao_cpm_drct_all_300x50_lancamento-nivus-orca-rmkt-site-visitation-brand-intent_na_lancamento-consideracao-nivus-orca_nvl-nvs-imc-dsy-0820-10187</v>
      </c>
      <c r="AZ187" s="15" t="str">
        <f t="shared" si="88"/>
        <v>300x50</v>
      </c>
      <c r="BA187" s="15" t="str">
        <f t="shared" si="89"/>
        <v>lancamento-consideracao-nivus-orca</v>
      </c>
      <c r="BB187" s="28" t="s">
        <v>798</v>
      </c>
      <c r="BC187" s="28" t="s">
        <v>798</v>
      </c>
      <c r="BD187" s="38" t="str">
        <f t="shared" si="90"/>
        <v>nvl-nvs-imc-dsy-0820-10187</v>
      </c>
      <c r="BE187" s="15" t="str">
        <f t="shared" si="91"/>
        <v>BR</v>
      </c>
      <c r="BF187" s="15" t="str">
        <f t="shared" si="92"/>
        <v>paid</v>
      </c>
      <c r="BG187" s="28"/>
      <c r="BH187" s="28"/>
      <c r="BI187" s="36" t="str">
        <f t="shared" si="77"/>
        <v>https://www.vw.com.br/pt/configurador.html/__app/%2Fnivus/0.app?adlid=nvl-nvs-imc-dsy-0820-10187&amp;adplt=alp_vw_dv360_imc_dsy_lanch_nd_nc_nvs_nivus-launch-consideracao-orca__configuracao_cpm_drct_all_300x50_lancamento-nivus-orca-rmkt-site-visitation-brand-intent_na_lancamento-consideracao-nivus-orca_nvl-nvs-imc-dsy-0820-10187</v>
      </c>
      <c r="BL187" t="str">
        <f t="shared" si="78"/>
        <v>alp_vw_dv360_imc_dsy_lanch_nd_nc_nvs_nivus-launch-consideracao-orca__configuracao</v>
      </c>
      <c r="BM187" t="str">
        <f t="shared" si="79"/>
        <v>cpm_drct_all_300x50_lancamento-nivus-orca-rmkt-site-visitation-brand-intent_na</v>
      </c>
      <c r="BN187" t="str">
        <f t="shared" si="80"/>
        <v>alp_vw_dv360_imc_dsy_lanch_nd_nc_nvs_nivus-launch-consideracao-orca__configuracao_cpm_drct_all_300x50_lancamento-nivus-orca-rmkt-site-visitation-brand-intent_na_generico_nvl-nvs-imc-dsy-0820-10187</v>
      </c>
    </row>
    <row r="188" spans="2:66" ht="15.75" customHeight="1" x14ac:dyDescent="0.25">
      <c r="B188" s="15" t="s">
        <v>1291</v>
      </c>
      <c r="C188" s="15" t="s">
        <v>1477</v>
      </c>
      <c r="D188" s="15"/>
      <c r="E188" s="22">
        <v>44069</v>
      </c>
      <c r="F188" s="22">
        <v>44135</v>
      </c>
      <c r="G188" s="15" t="s">
        <v>651</v>
      </c>
      <c r="H188" s="41" t="s">
        <v>1266</v>
      </c>
      <c r="I188" s="15" t="s">
        <v>801</v>
      </c>
      <c r="J188" s="42" t="s">
        <v>883</v>
      </c>
      <c r="K188" s="42" t="s">
        <v>883</v>
      </c>
      <c r="L188" s="15" t="s">
        <v>676</v>
      </c>
      <c r="M188" s="15" t="s">
        <v>276</v>
      </c>
      <c r="N188" s="15" t="s">
        <v>295</v>
      </c>
      <c r="O188" s="15" t="s">
        <v>677</v>
      </c>
      <c r="P188" s="15" t="str">
        <f>VLOOKUP(Y188,'All Codes'!$BF$3:$BG$278,2,FALSE)</f>
        <v>Skyscraper</v>
      </c>
      <c r="Q188" s="15" t="s">
        <v>179</v>
      </c>
      <c r="R188" s="15" t="s">
        <v>277</v>
      </c>
      <c r="S188" s="15" t="s">
        <v>874</v>
      </c>
      <c r="T188" s="46" t="s">
        <v>884</v>
      </c>
      <c r="U188" s="15" t="s">
        <v>876</v>
      </c>
      <c r="V188" s="15" t="s">
        <v>1265</v>
      </c>
      <c r="W188" s="15" t="s">
        <v>866</v>
      </c>
      <c r="X188" s="15" t="s">
        <v>307</v>
      </c>
      <c r="Y188" s="46" t="s">
        <v>434</v>
      </c>
      <c r="Z188" s="15"/>
      <c r="AA188" s="15"/>
      <c r="AB188" s="15"/>
      <c r="AC188" s="15"/>
      <c r="AD188" s="15"/>
      <c r="AE188" s="15"/>
      <c r="AF188" s="15"/>
      <c r="AG188" s="15"/>
      <c r="AH188" s="15" t="str">
        <f t="shared" si="97"/>
        <v>284453803</v>
      </c>
      <c r="AI188" s="21" t="str">
        <f t="shared" si="95"/>
        <v>alp_vw_dv360_imc_dsy_lanch_nd_nc_nvs_nivus-launch-consideracao-orca__configuracao_cpm_drct_all_160x600_lancamento-nivus-orca-rmkt-site-visitation-brand-intent_na_lancamento-consideracao-nivus-orca_nvl-nvs-imc-dsy-0820-10188</v>
      </c>
      <c r="AJ188" s="40" t="str">
        <f t="shared" si="95"/>
        <v>alp_vw_dv360_imc_dsy_lanch_nd_nc_nvs_nivus-launch-consideracao-orca__configuracao_cpm_drct_all_160x600_lancamento-nivus-orca-rmkt-site-visitation-brand-intent_na_lancamento-consideracao-nivus-orca_nvl-nvs-imc-dsy-0820-10188</v>
      </c>
      <c r="AK188" s="21" t="str">
        <f t="shared" si="71"/>
        <v>vw_nivus_160x600_lancamento-consideracao-nivus-orca_adserver</v>
      </c>
      <c r="AL188" s="21" t="str">
        <f t="shared" si="81"/>
        <v>https://www.vw.com.br/pt/configurador.html/__app/%2Fnivus/0.app?adlid=nvl-nvs-imc-dsy-0820-10188&amp;adplt=alp_vw_dv360_imc_dsy_lanch_nd_nc_nvs_nivus-launch-consideracao-orca__configuracao_cpm_drct_all_160x600_lancamento-nivus-orca-rmkt-site-visitation-brand-intent_na_lancamento-consideracao-nivus-orca_nvl-nvs-imc-dsy-0820-10188</v>
      </c>
      <c r="AM188" s="21" t="str">
        <f t="shared" si="72"/>
        <v>TAG</v>
      </c>
      <c r="AN188" s="15" t="str">
        <f t="shared" si="82"/>
        <v>DV360</v>
      </c>
      <c r="AO188" s="15" t="str">
        <f t="shared" si="83"/>
        <v>Paid-Display</v>
      </c>
      <c r="AP188" s="21" t="str">
        <f>Campanha!$B$3</f>
        <v>BR_IMC_DSY_LANCH_ND_NC_2020Q3AUG_NVS_Nivus-Launch-Consideracao-Orca</v>
      </c>
      <c r="AQ188" s="21" t="str">
        <f t="shared" si="73"/>
        <v>alp_vw_dv360_imc_dsy_lanch_nd_nc_nvs_nivus-launch-consideracao-orca__configuracao_cpm_drct_all_160x600_lancamento-nivus-orca-rmkt-site-visitation-brand-intent_na_lancamento-consideracao-nivus-orca_nvl-nvs-imc-dsy-0820-10188</v>
      </c>
      <c r="AR188" s="15" t="s">
        <v>745</v>
      </c>
      <c r="AS188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site-visitation-brand-intent_na_lancamento-consideracao-nivus-orca_nvl-nvs-imc-dsy-0820-10188&amp;utm_campaign=BR_IMC_DSY_LANCH_ND_NC_2020Q3AUG_NVS_Nivus-Launch-Consideracao-Orca&amp;utm_term=%epid!_%ecid!_%eaid!</v>
      </c>
      <c r="AT188" s="15" t="str">
        <f t="shared" si="84"/>
        <v>other</v>
      </c>
      <c r="AU188" s="15" t="str">
        <f t="shared" si="75"/>
        <v>BR</v>
      </c>
      <c r="AV188" s="15" t="str">
        <f t="shared" si="85"/>
        <v>dv360</v>
      </c>
      <c r="AW188" s="15" t="str">
        <f t="shared" si="86"/>
        <v>dv360</v>
      </c>
      <c r="AX188" s="15" t="str">
        <f t="shared" si="76"/>
        <v>nivus-launch-consideracao-orca</v>
      </c>
      <c r="AY188" s="15" t="str">
        <f t="shared" si="87"/>
        <v>alp_vw_dv360_imc_dsy_lanch_nd_nc_nvs_nivus-launch-consideracao-orca__configuracao_cpm_drct_all_160x600_lancamento-nivus-orca-rmkt-site-visitation-brand-intent_na_lancamento-consideracao-nivus-orca_nvl-nvs-imc-dsy-0820-10188</v>
      </c>
      <c r="AZ188" s="15" t="str">
        <f t="shared" si="88"/>
        <v>160x600</v>
      </c>
      <c r="BA188" s="15" t="str">
        <f t="shared" si="89"/>
        <v>lancamento-consideracao-nivus-orca</v>
      </c>
      <c r="BB188" s="28" t="s">
        <v>798</v>
      </c>
      <c r="BC188" s="28" t="s">
        <v>798</v>
      </c>
      <c r="BD188" s="38" t="str">
        <f t="shared" si="90"/>
        <v>nvl-nvs-imc-dsy-0820-10188</v>
      </c>
      <c r="BE188" s="15" t="str">
        <f t="shared" si="91"/>
        <v>BR</v>
      </c>
      <c r="BF188" s="15" t="str">
        <f t="shared" si="92"/>
        <v>paid</v>
      </c>
      <c r="BG188" s="28"/>
      <c r="BH188" s="28"/>
      <c r="BI188" s="36" t="str">
        <f t="shared" si="77"/>
        <v>https://www.vw.com.br/pt/configurador.html/__app/%2Fnivus/0.app?adlid=nvl-nvs-imc-dsy-0820-10188&amp;adplt=alp_vw_dv360_imc_dsy_lanch_nd_nc_nvs_nivus-launch-consideracao-orca__configuracao_cpm_drct_all_160x600_lancamento-nivus-orca-rmkt-site-visitation-brand-intent_na_lancamento-consideracao-nivus-orca_nvl-nvs-imc-dsy-0820-10188</v>
      </c>
      <c r="BL188" t="str">
        <f t="shared" si="78"/>
        <v>alp_vw_dv360_imc_dsy_lanch_nd_nc_nvs_nivus-launch-consideracao-orca__configuracao</v>
      </c>
      <c r="BM188" t="str">
        <f t="shared" si="79"/>
        <v>cpm_drct_all_160x600_lancamento-nivus-orca-rmkt-site-visitation-brand-intent_na</v>
      </c>
      <c r="BN188" t="str">
        <f t="shared" si="80"/>
        <v>alp_vw_dv360_imc_dsy_lanch_nd_nc_nvs_nivus-launch-consideracao-orca__configuracao_cpm_drct_all_160x600_lancamento-nivus-orca-rmkt-site-visitation-brand-intent_na_generico_nvl-nvs-imc-dsy-0820-10188</v>
      </c>
    </row>
    <row r="189" spans="2:66" ht="15.75" customHeight="1" x14ac:dyDescent="0.25">
      <c r="B189" s="15" t="s">
        <v>1291</v>
      </c>
      <c r="C189" s="15" t="s">
        <v>1477</v>
      </c>
      <c r="D189" s="15"/>
      <c r="E189" s="22">
        <v>44069</v>
      </c>
      <c r="F189" s="22">
        <v>44135</v>
      </c>
      <c r="G189" s="15" t="s">
        <v>651</v>
      </c>
      <c r="H189" s="41" t="s">
        <v>1266</v>
      </c>
      <c r="I189" s="15" t="s">
        <v>801</v>
      </c>
      <c r="J189" s="42" t="s">
        <v>883</v>
      </c>
      <c r="K189" s="42" t="s">
        <v>883</v>
      </c>
      <c r="L189" s="15" t="s">
        <v>676</v>
      </c>
      <c r="M189" s="15" t="s">
        <v>276</v>
      </c>
      <c r="N189" s="15" t="s">
        <v>295</v>
      </c>
      <c r="O189" s="15" t="s">
        <v>677</v>
      </c>
      <c r="P189" s="15" t="str">
        <f>VLOOKUP(Y189,'All Codes'!$BF$3:$BG$278,2,FALSE)</f>
        <v>MPU</v>
      </c>
      <c r="Q189" s="15" t="s">
        <v>179</v>
      </c>
      <c r="R189" s="15" t="s">
        <v>277</v>
      </c>
      <c r="S189" s="15" t="s">
        <v>874</v>
      </c>
      <c r="T189" s="46" t="s">
        <v>884</v>
      </c>
      <c r="U189" s="15" t="s">
        <v>876</v>
      </c>
      <c r="V189" s="15" t="s">
        <v>1265</v>
      </c>
      <c r="W189" s="15" t="s">
        <v>866</v>
      </c>
      <c r="X189" s="15" t="s">
        <v>307</v>
      </c>
      <c r="Y189" s="46" t="s">
        <v>455</v>
      </c>
      <c r="Z189" s="15"/>
      <c r="AA189" s="15"/>
      <c r="AB189" s="15"/>
      <c r="AC189" s="15"/>
      <c r="AD189" s="15"/>
      <c r="AE189" s="15"/>
      <c r="AF189" s="15"/>
      <c r="AG189" s="15"/>
      <c r="AH189" s="15" t="str">
        <f t="shared" si="97"/>
        <v>284453800</v>
      </c>
      <c r="AI189" s="21" t="str">
        <f t="shared" si="95"/>
        <v>alp_vw_dv360_imc_dsy_lanch_nd_nc_nvs_nivus-launch-consideracao-orca__configuracao_cpm_drct_all_300x250_lancamento-nivus-orca-rmkt-site-visitation-brand-intent_na_lancamento-consideracao-nivus-orca_nvl-nvs-imc-dsy-0820-10189</v>
      </c>
      <c r="AJ189" s="40" t="str">
        <f t="shared" si="95"/>
        <v>alp_vw_dv360_imc_dsy_lanch_nd_nc_nvs_nivus-launch-consideracao-orca__configuracao_cpm_drct_all_300x250_lancamento-nivus-orca-rmkt-site-visitation-brand-intent_na_lancamento-consideracao-nivus-orca_nvl-nvs-imc-dsy-0820-10189</v>
      </c>
      <c r="AK189" s="21" t="str">
        <f t="shared" si="71"/>
        <v>vw_nivus_300x250_lancamento-consideracao-nivus-orca_adserver</v>
      </c>
      <c r="AL189" s="21" t="str">
        <f t="shared" si="81"/>
        <v>https://www.vw.com.br/pt/configurador.html/__app/%2Fnivus/0.app?adlid=nvl-nvs-imc-dsy-0820-10189&amp;adplt=alp_vw_dv360_imc_dsy_lanch_nd_nc_nvs_nivus-launch-consideracao-orca__configuracao_cpm_drct_all_300x250_lancamento-nivus-orca-rmkt-site-visitation-brand-intent_na_lancamento-consideracao-nivus-orca_nvl-nvs-imc-dsy-0820-10189</v>
      </c>
      <c r="AM189" s="21" t="str">
        <f t="shared" si="72"/>
        <v>TAG</v>
      </c>
      <c r="AN189" s="15" t="str">
        <f t="shared" si="82"/>
        <v>DV360</v>
      </c>
      <c r="AO189" s="15" t="str">
        <f t="shared" si="83"/>
        <v>Paid-Display</v>
      </c>
      <c r="AP189" s="21" t="str">
        <f>Campanha!$B$3</f>
        <v>BR_IMC_DSY_LANCH_ND_NC_2020Q3AUG_NVS_Nivus-Launch-Consideracao-Orca</v>
      </c>
      <c r="AQ189" s="21" t="str">
        <f t="shared" si="73"/>
        <v>alp_vw_dv360_imc_dsy_lanch_nd_nc_nvs_nivus-launch-consideracao-orca__configuracao_cpm_drct_all_300x250_lancamento-nivus-orca-rmkt-site-visitation-brand-intent_na_lancamento-consideracao-nivus-orca_nvl-nvs-imc-dsy-0820-10189</v>
      </c>
      <c r="AR189" s="15" t="s">
        <v>745</v>
      </c>
      <c r="AS189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site-visitation-brand-intent_na_lancamento-consideracao-nivus-orca_nvl-nvs-imc-dsy-0820-10189&amp;utm_campaign=BR_IMC_DSY_LANCH_ND_NC_2020Q3AUG_NVS_Nivus-Launch-Consideracao-Orca&amp;utm_term=%epid!_%ecid!_%eaid!</v>
      </c>
      <c r="AT189" s="15" t="str">
        <f t="shared" si="84"/>
        <v>other</v>
      </c>
      <c r="AU189" s="15" t="str">
        <f t="shared" si="75"/>
        <v>BR</v>
      </c>
      <c r="AV189" s="15" t="str">
        <f t="shared" si="85"/>
        <v>dv360</v>
      </c>
      <c r="AW189" s="15" t="str">
        <f t="shared" si="86"/>
        <v>dv360</v>
      </c>
      <c r="AX189" s="15" t="str">
        <f t="shared" si="76"/>
        <v>nivus-launch-consideracao-orca</v>
      </c>
      <c r="AY189" s="15" t="str">
        <f t="shared" si="87"/>
        <v>alp_vw_dv360_imc_dsy_lanch_nd_nc_nvs_nivus-launch-consideracao-orca__configuracao_cpm_drct_all_300x250_lancamento-nivus-orca-rmkt-site-visitation-brand-intent_na_lancamento-consideracao-nivus-orca_nvl-nvs-imc-dsy-0820-10189</v>
      </c>
      <c r="AZ189" s="15" t="str">
        <f t="shared" si="88"/>
        <v>300x250</v>
      </c>
      <c r="BA189" s="15" t="str">
        <f t="shared" si="89"/>
        <v>lancamento-consideracao-nivus-orca</v>
      </c>
      <c r="BB189" s="28" t="s">
        <v>798</v>
      </c>
      <c r="BC189" s="28" t="s">
        <v>798</v>
      </c>
      <c r="BD189" s="38" t="str">
        <f t="shared" si="90"/>
        <v>nvl-nvs-imc-dsy-0820-10189</v>
      </c>
      <c r="BE189" s="15" t="str">
        <f t="shared" si="91"/>
        <v>BR</v>
      </c>
      <c r="BF189" s="15" t="str">
        <f t="shared" si="92"/>
        <v>paid</v>
      </c>
      <c r="BG189" s="28"/>
      <c r="BH189" s="28"/>
      <c r="BI189" s="36" t="str">
        <f t="shared" si="77"/>
        <v>https://www.vw.com.br/pt/configurador.html/__app/%2Fnivus/0.app?adlid=nvl-nvs-imc-dsy-0820-10189&amp;adplt=alp_vw_dv360_imc_dsy_lanch_nd_nc_nvs_nivus-launch-consideracao-orca__configuracao_cpm_drct_all_300x250_lancamento-nivus-orca-rmkt-site-visitation-brand-intent_na_lancamento-consideracao-nivus-orca_nvl-nvs-imc-dsy-0820-10189</v>
      </c>
      <c r="BL189" t="str">
        <f t="shared" si="78"/>
        <v>alp_vw_dv360_imc_dsy_lanch_nd_nc_nvs_nivus-launch-consideracao-orca__configuracao</v>
      </c>
      <c r="BM189" t="str">
        <f t="shared" si="79"/>
        <v>cpm_drct_all_300x250_lancamento-nivus-orca-rmkt-site-visitation-brand-intent_na</v>
      </c>
      <c r="BN189" t="str">
        <f t="shared" si="80"/>
        <v>alp_vw_dv360_imc_dsy_lanch_nd_nc_nvs_nivus-launch-consideracao-orca__configuracao_cpm_drct_all_300x250_lancamento-nivus-orca-rmkt-site-visitation-brand-intent_na_generico_nvl-nvs-imc-dsy-0820-10189</v>
      </c>
    </row>
    <row r="190" spans="2:66" ht="15.75" customHeight="1" x14ac:dyDescent="0.25">
      <c r="B190" s="15" t="s">
        <v>1291</v>
      </c>
      <c r="C190" s="15" t="s">
        <v>1477</v>
      </c>
      <c r="D190" s="15"/>
      <c r="E190" s="22">
        <v>44069</v>
      </c>
      <c r="F190" s="22">
        <v>44135</v>
      </c>
      <c r="G190" s="15" t="s">
        <v>651</v>
      </c>
      <c r="H190" s="41" t="s">
        <v>1266</v>
      </c>
      <c r="I190" s="15" t="s">
        <v>801</v>
      </c>
      <c r="J190" s="42" t="s">
        <v>883</v>
      </c>
      <c r="K190" s="42" t="s">
        <v>883</v>
      </c>
      <c r="L190" s="15" t="s">
        <v>676</v>
      </c>
      <c r="M190" s="15" t="s">
        <v>276</v>
      </c>
      <c r="N190" s="15" t="s">
        <v>295</v>
      </c>
      <c r="O190" s="15" t="s">
        <v>677</v>
      </c>
      <c r="P190" s="15" t="str">
        <f>VLOOKUP(Y190,'All Codes'!$BF$3:$BG$278,2,FALSE)</f>
        <v>Skyscraper</v>
      </c>
      <c r="Q190" s="15" t="s">
        <v>179</v>
      </c>
      <c r="R190" s="15" t="s">
        <v>277</v>
      </c>
      <c r="S190" s="15" t="s">
        <v>874</v>
      </c>
      <c r="T190" s="46" t="s">
        <v>884</v>
      </c>
      <c r="U190" s="15" t="s">
        <v>876</v>
      </c>
      <c r="V190" s="15" t="s">
        <v>1265</v>
      </c>
      <c r="W190" s="15" t="s">
        <v>866</v>
      </c>
      <c r="X190" s="15" t="s">
        <v>307</v>
      </c>
      <c r="Y190" s="46" t="s">
        <v>464</v>
      </c>
      <c r="Z190" s="15"/>
      <c r="AA190" s="15"/>
      <c r="AB190" s="15"/>
      <c r="AC190" s="15"/>
      <c r="AD190" s="15"/>
      <c r="AE190" s="15"/>
      <c r="AF190" s="15"/>
      <c r="AG190" s="15"/>
      <c r="AH190" s="15" t="str">
        <f t="shared" si="97"/>
        <v>284453797</v>
      </c>
      <c r="AI190" s="21" t="str">
        <f t="shared" si="95"/>
        <v>alp_vw_dv360_imc_dsy_lanch_nd_nc_nvs_nivus-launch-consideracao-orca__configuracao_cpm_drct_all_300x600_lancamento-nivus-orca-rmkt-site-visitation-brand-intent_na_lancamento-consideracao-nivus-orca_nvl-nvs-imc-dsy-0820-10190</v>
      </c>
      <c r="AJ190" s="40" t="str">
        <f t="shared" si="95"/>
        <v>alp_vw_dv360_imc_dsy_lanch_nd_nc_nvs_nivus-launch-consideracao-orca__configuracao_cpm_drct_all_300x600_lancamento-nivus-orca-rmkt-site-visitation-brand-intent_na_lancamento-consideracao-nivus-orca_nvl-nvs-imc-dsy-0820-10190</v>
      </c>
      <c r="AK190" s="21" t="str">
        <f t="shared" si="71"/>
        <v>vw_nivus_300x600_lancamento-consideracao-nivus-orca_adserver</v>
      </c>
      <c r="AL190" s="21" t="str">
        <f t="shared" si="81"/>
        <v>https://www.vw.com.br/pt/configurador.html/__app/%2Fnivus/0.app?adlid=nvl-nvs-imc-dsy-0820-10190&amp;adplt=alp_vw_dv360_imc_dsy_lanch_nd_nc_nvs_nivus-launch-consideracao-orca__configuracao_cpm_drct_all_300x600_lancamento-nivus-orca-rmkt-site-visitation-brand-intent_na_lancamento-consideracao-nivus-orca_nvl-nvs-imc-dsy-0820-10190</v>
      </c>
      <c r="AM190" s="21" t="str">
        <f t="shared" si="72"/>
        <v>TAG</v>
      </c>
      <c r="AN190" s="15" t="str">
        <f t="shared" si="82"/>
        <v>DV360</v>
      </c>
      <c r="AO190" s="15" t="str">
        <f t="shared" si="83"/>
        <v>Paid-Display</v>
      </c>
      <c r="AP190" s="21" t="str">
        <f>Campanha!$B$3</f>
        <v>BR_IMC_DSY_LANCH_ND_NC_2020Q3AUG_NVS_Nivus-Launch-Consideracao-Orca</v>
      </c>
      <c r="AQ190" s="21" t="str">
        <f t="shared" si="73"/>
        <v>alp_vw_dv360_imc_dsy_lanch_nd_nc_nvs_nivus-launch-consideracao-orca__configuracao_cpm_drct_all_300x600_lancamento-nivus-orca-rmkt-site-visitation-brand-intent_na_lancamento-consideracao-nivus-orca_nvl-nvs-imc-dsy-0820-10190</v>
      </c>
      <c r="AR190" s="15" t="s">
        <v>745</v>
      </c>
      <c r="AS190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600_lancamento-nivus-orca-rmkt-site-visitation-brand-intent_na_lancamento-consideracao-nivus-orca_nvl-nvs-imc-dsy-0820-10190&amp;utm_campaign=BR_IMC_DSY_LANCH_ND_NC_2020Q3AUG_NVS_Nivus-Launch-Consideracao-Orca&amp;utm_term=%epid!_%ecid!_%eaid!</v>
      </c>
      <c r="AT190" s="15" t="str">
        <f t="shared" si="84"/>
        <v>other</v>
      </c>
      <c r="AU190" s="15" t="str">
        <f t="shared" si="75"/>
        <v>BR</v>
      </c>
      <c r="AV190" s="15" t="str">
        <f t="shared" si="85"/>
        <v>dv360</v>
      </c>
      <c r="AW190" s="15" t="str">
        <f t="shared" si="86"/>
        <v>dv360</v>
      </c>
      <c r="AX190" s="15" t="str">
        <f t="shared" si="76"/>
        <v>nivus-launch-consideracao-orca</v>
      </c>
      <c r="AY190" s="15" t="str">
        <f t="shared" si="87"/>
        <v>alp_vw_dv360_imc_dsy_lanch_nd_nc_nvs_nivus-launch-consideracao-orca__configuracao_cpm_drct_all_300x600_lancamento-nivus-orca-rmkt-site-visitation-brand-intent_na_lancamento-consideracao-nivus-orca_nvl-nvs-imc-dsy-0820-10190</v>
      </c>
      <c r="AZ190" s="15" t="str">
        <f t="shared" si="88"/>
        <v>300x600</v>
      </c>
      <c r="BA190" s="15" t="str">
        <f t="shared" si="89"/>
        <v>lancamento-consideracao-nivus-orca</v>
      </c>
      <c r="BB190" s="28" t="s">
        <v>798</v>
      </c>
      <c r="BC190" s="28" t="s">
        <v>798</v>
      </c>
      <c r="BD190" s="38" t="str">
        <f t="shared" si="90"/>
        <v>nvl-nvs-imc-dsy-0820-10190</v>
      </c>
      <c r="BE190" s="15" t="str">
        <f t="shared" si="91"/>
        <v>BR</v>
      </c>
      <c r="BF190" s="15" t="str">
        <f t="shared" si="92"/>
        <v>paid</v>
      </c>
      <c r="BG190" s="28"/>
      <c r="BH190" s="28"/>
      <c r="BI190" s="36" t="str">
        <f t="shared" si="77"/>
        <v>https://www.vw.com.br/pt/configurador.html/__app/%2Fnivus/0.app?adlid=nvl-nvs-imc-dsy-0820-10190&amp;adplt=alp_vw_dv360_imc_dsy_lanch_nd_nc_nvs_nivus-launch-consideracao-orca__configuracao_cpm_drct_all_300x600_lancamento-nivus-orca-rmkt-site-visitation-brand-intent_na_lancamento-consideracao-nivus-orca_nvl-nvs-imc-dsy-0820-10190</v>
      </c>
      <c r="BL190" t="str">
        <f t="shared" si="78"/>
        <v>alp_vw_dv360_imc_dsy_lanch_nd_nc_nvs_nivus-launch-consideracao-orca__configuracao</v>
      </c>
      <c r="BM190" t="str">
        <f t="shared" si="79"/>
        <v>cpm_drct_all_300x600_lancamento-nivus-orca-rmkt-site-visitation-brand-intent_na</v>
      </c>
      <c r="BN190" t="str">
        <f t="shared" si="80"/>
        <v>alp_vw_dv360_imc_dsy_lanch_nd_nc_nvs_nivus-launch-consideracao-orca__configuracao_cpm_drct_all_300x600_lancamento-nivus-orca-rmkt-site-visitation-brand-intent_na_generico_nvl-nvs-imc-dsy-0820-10190</v>
      </c>
    </row>
    <row r="191" spans="2:66" ht="15.75" customHeight="1" x14ac:dyDescent="0.25">
      <c r="B191" s="15" t="s">
        <v>1291</v>
      </c>
      <c r="C191" s="15" t="s">
        <v>1477</v>
      </c>
      <c r="D191" s="15"/>
      <c r="E191" s="22">
        <v>44069</v>
      </c>
      <c r="F191" s="22">
        <v>44135</v>
      </c>
      <c r="G191" s="15" t="s">
        <v>651</v>
      </c>
      <c r="H191" s="41" t="s">
        <v>1266</v>
      </c>
      <c r="I191" s="15" t="s">
        <v>801</v>
      </c>
      <c r="J191" s="42" t="s">
        <v>883</v>
      </c>
      <c r="K191" s="42" t="s">
        <v>883</v>
      </c>
      <c r="L191" s="15" t="s">
        <v>676</v>
      </c>
      <c r="M191" s="15" t="s">
        <v>276</v>
      </c>
      <c r="N191" s="15" t="s">
        <v>295</v>
      </c>
      <c r="O191" s="15" t="s">
        <v>677</v>
      </c>
      <c r="P191" s="15" t="str">
        <f>VLOOKUP(Y191,'All Codes'!$BF$3:$BG$278,2,FALSE)</f>
        <v>MPU</v>
      </c>
      <c r="Q191" s="15" t="s">
        <v>179</v>
      </c>
      <c r="R191" s="15" t="s">
        <v>277</v>
      </c>
      <c r="S191" s="15" t="s">
        <v>874</v>
      </c>
      <c r="T191" s="46" t="s">
        <v>884</v>
      </c>
      <c r="U191" s="15" t="s">
        <v>876</v>
      </c>
      <c r="V191" s="15" t="s">
        <v>1265</v>
      </c>
      <c r="W191" s="15" t="s">
        <v>866</v>
      </c>
      <c r="X191" s="15" t="s">
        <v>307</v>
      </c>
      <c r="Y191" s="46" t="s">
        <v>479</v>
      </c>
      <c r="Z191" s="15"/>
      <c r="AA191" s="15"/>
      <c r="AB191" s="15"/>
      <c r="AC191" s="15"/>
      <c r="AD191" s="15"/>
      <c r="AE191" s="15"/>
      <c r="AF191" s="15"/>
      <c r="AG191" s="15"/>
      <c r="AH191" s="15" t="str">
        <f t="shared" si="97"/>
        <v>284453794</v>
      </c>
      <c r="AI191" s="21" t="str">
        <f t="shared" si="95"/>
        <v>alp_vw_dv360_imc_dsy_lanch_nd_nc_nvs_nivus-launch-consideracao-orca__configuracao_cpm_drct_all_320x50_lancamento-nivus-orca-rmkt-site-visitation-brand-intent_na_lancamento-consideracao-nivus-orca_nvl-nvs-imc-dsy-0820-10191</v>
      </c>
      <c r="AJ191" s="40" t="str">
        <f t="shared" si="95"/>
        <v>alp_vw_dv360_imc_dsy_lanch_nd_nc_nvs_nivus-launch-consideracao-orca__configuracao_cpm_drct_all_320x50_lancamento-nivus-orca-rmkt-site-visitation-brand-intent_na_lancamento-consideracao-nivus-orca_nvl-nvs-imc-dsy-0820-10191</v>
      </c>
      <c r="AK191" s="21" t="str">
        <f t="shared" si="71"/>
        <v>vw_nivus_320x50_lancamento-consideracao-nivus-orca_adserver</v>
      </c>
      <c r="AL191" s="21" t="str">
        <f t="shared" si="81"/>
        <v>https://www.vw.com.br/pt/configurador.html/__app/%2Fnivus/0.app?adlid=nvl-nvs-imc-dsy-0820-10191&amp;adplt=alp_vw_dv360_imc_dsy_lanch_nd_nc_nvs_nivus-launch-consideracao-orca__configuracao_cpm_drct_all_320x50_lancamento-nivus-orca-rmkt-site-visitation-brand-intent_na_lancamento-consideracao-nivus-orca_nvl-nvs-imc-dsy-0820-10191</v>
      </c>
      <c r="AM191" s="21" t="str">
        <f t="shared" si="72"/>
        <v>TAG</v>
      </c>
      <c r="AN191" s="15" t="str">
        <f t="shared" si="82"/>
        <v>DV360</v>
      </c>
      <c r="AO191" s="15" t="str">
        <f t="shared" si="83"/>
        <v>Paid-Display</v>
      </c>
      <c r="AP191" s="21" t="str">
        <f>Campanha!$B$3</f>
        <v>BR_IMC_DSY_LANCH_ND_NC_2020Q3AUG_NVS_Nivus-Launch-Consideracao-Orca</v>
      </c>
      <c r="AQ191" s="21" t="str">
        <f t="shared" si="73"/>
        <v>alp_vw_dv360_imc_dsy_lanch_nd_nc_nvs_nivus-launch-consideracao-orca__configuracao_cpm_drct_all_320x50_lancamento-nivus-orca-rmkt-site-visitation-brand-intent_na_lancamento-consideracao-nivus-orca_nvl-nvs-imc-dsy-0820-10191</v>
      </c>
      <c r="AR191" s="15" t="s">
        <v>745</v>
      </c>
      <c r="AS191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320x50_lancamento-nivus-orca-rmkt-site-visitation-brand-intent_na_lancamento-consideracao-nivus-orca_nvl-nvs-imc-dsy-0820-10191&amp;utm_campaign=BR_IMC_DSY_LANCH_ND_NC_2020Q3AUG_NVS_Nivus-Launch-Consideracao-Orca&amp;utm_term=%epid!_%ecid!_%eaid!</v>
      </c>
      <c r="AT191" s="15" t="str">
        <f t="shared" si="84"/>
        <v>other</v>
      </c>
      <c r="AU191" s="15" t="str">
        <f t="shared" si="75"/>
        <v>BR</v>
      </c>
      <c r="AV191" s="15" t="str">
        <f t="shared" si="85"/>
        <v>dv360</v>
      </c>
      <c r="AW191" s="15" t="str">
        <f t="shared" si="86"/>
        <v>dv360</v>
      </c>
      <c r="AX191" s="15" t="str">
        <f t="shared" si="76"/>
        <v>nivus-launch-consideracao-orca</v>
      </c>
      <c r="AY191" s="15" t="str">
        <f t="shared" si="87"/>
        <v>alp_vw_dv360_imc_dsy_lanch_nd_nc_nvs_nivus-launch-consideracao-orca__configuracao_cpm_drct_all_320x50_lancamento-nivus-orca-rmkt-site-visitation-brand-intent_na_lancamento-consideracao-nivus-orca_nvl-nvs-imc-dsy-0820-10191</v>
      </c>
      <c r="AZ191" s="15" t="str">
        <f t="shared" si="88"/>
        <v>320x50</v>
      </c>
      <c r="BA191" s="15" t="str">
        <f t="shared" si="89"/>
        <v>lancamento-consideracao-nivus-orca</v>
      </c>
      <c r="BB191" s="28" t="s">
        <v>798</v>
      </c>
      <c r="BC191" s="28" t="s">
        <v>798</v>
      </c>
      <c r="BD191" s="38" t="str">
        <f t="shared" si="90"/>
        <v>nvl-nvs-imc-dsy-0820-10191</v>
      </c>
      <c r="BE191" s="15" t="str">
        <f t="shared" si="91"/>
        <v>BR</v>
      </c>
      <c r="BF191" s="15" t="str">
        <f t="shared" si="92"/>
        <v>paid</v>
      </c>
      <c r="BG191" s="28"/>
      <c r="BH191" s="28"/>
      <c r="BI191" s="36" t="str">
        <f t="shared" si="77"/>
        <v>https://www.vw.com.br/pt/configurador.html/__app/%2Fnivus/0.app?adlid=nvl-nvs-imc-dsy-0820-10191&amp;adplt=alp_vw_dv360_imc_dsy_lanch_nd_nc_nvs_nivus-launch-consideracao-orca__configuracao_cpm_drct_all_320x50_lancamento-nivus-orca-rmkt-site-visitation-brand-intent_na_lancamento-consideracao-nivus-orca_nvl-nvs-imc-dsy-0820-10191</v>
      </c>
      <c r="BL191" t="str">
        <f t="shared" si="78"/>
        <v>alp_vw_dv360_imc_dsy_lanch_nd_nc_nvs_nivus-launch-consideracao-orca__configuracao</v>
      </c>
      <c r="BM191" t="str">
        <f t="shared" si="79"/>
        <v>cpm_drct_all_320x50_lancamento-nivus-orca-rmkt-site-visitation-brand-intent_na</v>
      </c>
      <c r="BN191" t="str">
        <f t="shared" si="80"/>
        <v>alp_vw_dv360_imc_dsy_lanch_nd_nc_nvs_nivus-launch-consideracao-orca__configuracao_cpm_drct_all_320x50_lancamento-nivus-orca-rmkt-site-visitation-brand-intent_na_generico_nvl-nvs-imc-dsy-0820-10191</v>
      </c>
    </row>
    <row r="192" spans="2:66" ht="15.75" customHeight="1" x14ac:dyDescent="0.25">
      <c r="B192" s="15" t="s">
        <v>1291</v>
      </c>
      <c r="C192" s="15" t="s">
        <v>1477</v>
      </c>
      <c r="D192" s="15"/>
      <c r="E192" s="22">
        <v>44069</v>
      </c>
      <c r="F192" s="22">
        <v>44135</v>
      </c>
      <c r="G192" s="15" t="s">
        <v>651</v>
      </c>
      <c r="H192" s="41" t="s">
        <v>1266</v>
      </c>
      <c r="I192" s="15" t="s">
        <v>801</v>
      </c>
      <c r="J192" s="42" t="s">
        <v>883</v>
      </c>
      <c r="K192" s="42" t="s">
        <v>883</v>
      </c>
      <c r="L192" s="15" t="s">
        <v>676</v>
      </c>
      <c r="M192" s="15" t="s">
        <v>276</v>
      </c>
      <c r="N192" s="15" t="s">
        <v>295</v>
      </c>
      <c r="O192" s="15" t="s">
        <v>677</v>
      </c>
      <c r="P192" s="15" t="str">
        <f>VLOOKUP(Y192,'All Codes'!$BF$3:$BG$278,2,FALSE)</f>
        <v>Leaderboard</v>
      </c>
      <c r="Q192" s="15" t="s">
        <v>179</v>
      </c>
      <c r="R192" s="15" t="s">
        <v>277</v>
      </c>
      <c r="S192" s="15" t="s">
        <v>874</v>
      </c>
      <c r="T192" s="46" t="s">
        <v>884</v>
      </c>
      <c r="U192" s="15" t="s">
        <v>876</v>
      </c>
      <c r="V192" s="15" t="s">
        <v>1265</v>
      </c>
      <c r="W192" s="15" t="s">
        <v>866</v>
      </c>
      <c r="X192" s="15" t="s">
        <v>307</v>
      </c>
      <c r="Y192" s="46" t="s">
        <v>591</v>
      </c>
      <c r="Z192" s="15"/>
      <c r="AA192" s="15"/>
      <c r="AB192" s="15"/>
      <c r="AC192" s="15"/>
      <c r="AD192" s="15"/>
      <c r="AE192" s="15"/>
      <c r="AF192" s="15"/>
      <c r="AG192" s="15"/>
      <c r="AH192" s="15" t="str">
        <f t="shared" si="97"/>
        <v>284453791</v>
      </c>
      <c r="AI192" s="21" t="str">
        <f t="shared" si="95"/>
        <v>alp_vw_dv360_imc_dsy_lanch_nd_nc_nvs_nivus-launch-consideracao-orca__configuracao_cpm_drct_all_728x90_lancamento-nivus-orca-rmkt-site-visitation-brand-intent_na_lancamento-consideracao-nivus-orca_nvl-nvs-imc-dsy-0820-10192</v>
      </c>
      <c r="AJ192" s="40" t="str">
        <f t="shared" si="95"/>
        <v>alp_vw_dv360_imc_dsy_lanch_nd_nc_nvs_nivus-launch-consideracao-orca__configuracao_cpm_drct_all_728x90_lancamento-nivus-orca-rmkt-site-visitation-brand-intent_na_lancamento-consideracao-nivus-orca_nvl-nvs-imc-dsy-0820-10192</v>
      </c>
      <c r="AK192" s="21" t="str">
        <f t="shared" si="71"/>
        <v>vw_nivus_728x90_lancamento-consideracao-nivus-orca_adserver</v>
      </c>
      <c r="AL192" s="21" t="str">
        <f t="shared" si="81"/>
        <v>https://www.vw.com.br/pt/configurador.html/__app/%2Fnivus/0.app?adlid=nvl-nvs-imc-dsy-0820-10192&amp;adplt=alp_vw_dv360_imc_dsy_lanch_nd_nc_nvs_nivus-launch-consideracao-orca__configuracao_cpm_drct_all_728x90_lancamento-nivus-orca-rmkt-site-visitation-brand-intent_na_lancamento-consideracao-nivus-orca_nvl-nvs-imc-dsy-0820-10192</v>
      </c>
      <c r="AM192" s="21" t="str">
        <f t="shared" si="72"/>
        <v>TAG</v>
      </c>
      <c r="AN192" s="15" t="str">
        <f t="shared" si="82"/>
        <v>DV360</v>
      </c>
      <c r="AO192" s="15" t="str">
        <f t="shared" si="83"/>
        <v>Paid-Display</v>
      </c>
      <c r="AP192" s="21" t="str">
        <f>Campanha!$B$3</f>
        <v>BR_IMC_DSY_LANCH_ND_NC_2020Q3AUG_NVS_Nivus-Launch-Consideracao-Orca</v>
      </c>
      <c r="AQ192" s="21" t="str">
        <f t="shared" si="73"/>
        <v>alp_vw_dv360_imc_dsy_lanch_nd_nc_nvs_nivus-launch-consideracao-orca__configuracao_cpm_drct_all_728x90_lancamento-nivus-orca-rmkt-site-visitation-brand-intent_na_lancamento-consideracao-nivus-orca_nvl-nvs-imc-dsy-0820-10192</v>
      </c>
      <c r="AR192" s="15" t="s">
        <v>745</v>
      </c>
      <c r="AS192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728x90_lancamento-nivus-orca-rmkt-site-visitation-brand-intent_na_lancamento-consideracao-nivus-orca_nvl-nvs-imc-dsy-0820-10192&amp;utm_campaign=BR_IMC_DSY_LANCH_ND_NC_2020Q3AUG_NVS_Nivus-Launch-Consideracao-Orca&amp;utm_term=%epid!_%ecid!_%eaid!</v>
      </c>
      <c r="AT192" s="15" t="str">
        <f t="shared" si="84"/>
        <v>other</v>
      </c>
      <c r="AU192" s="15" t="str">
        <f t="shared" si="75"/>
        <v>BR</v>
      </c>
      <c r="AV192" s="15" t="str">
        <f t="shared" si="85"/>
        <v>dv360</v>
      </c>
      <c r="AW192" s="15" t="str">
        <f t="shared" si="86"/>
        <v>dv360</v>
      </c>
      <c r="AX192" s="15" t="str">
        <f t="shared" si="76"/>
        <v>nivus-launch-consideracao-orca</v>
      </c>
      <c r="AY192" s="15" t="str">
        <f t="shared" si="87"/>
        <v>alp_vw_dv360_imc_dsy_lanch_nd_nc_nvs_nivus-launch-consideracao-orca__configuracao_cpm_drct_all_728x90_lancamento-nivus-orca-rmkt-site-visitation-brand-intent_na_lancamento-consideracao-nivus-orca_nvl-nvs-imc-dsy-0820-10192</v>
      </c>
      <c r="AZ192" s="15" t="str">
        <f t="shared" si="88"/>
        <v>728x90</v>
      </c>
      <c r="BA192" s="15" t="str">
        <f t="shared" si="89"/>
        <v>lancamento-consideracao-nivus-orca</v>
      </c>
      <c r="BB192" s="28" t="s">
        <v>798</v>
      </c>
      <c r="BC192" s="28" t="s">
        <v>798</v>
      </c>
      <c r="BD192" s="38" t="str">
        <f t="shared" si="90"/>
        <v>nvl-nvs-imc-dsy-0820-10192</v>
      </c>
      <c r="BE192" s="15" t="str">
        <f t="shared" si="91"/>
        <v>BR</v>
      </c>
      <c r="BF192" s="15" t="str">
        <f t="shared" si="92"/>
        <v>paid</v>
      </c>
      <c r="BG192" s="28"/>
      <c r="BH192" s="28"/>
      <c r="BI192" s="36" t="str">
        <f t="shared" si="77"/>
        <v>https://www.vw.com.br/pt/configurador.html/__app/%2Fnivus/0.app?adlid=nvl-nvs-imc-dsy-0820-10192&amp;adplt=alp_vw_dv360_imc_dsy_lanch_nd_nc_nvs_nivus-launch-consideracao-orca__configuracao_cpm_drct_all_728x90_lancamento-nivus-orca-rmkt-site-visitation-brand-intent_na_lancamento-consideracao-nivus-orca_nvl-nvs-imc-dsy-0820-10192</v>
      </c>
      <c r="BL192" t="str">
        <f t="shared" si="78"/>
        <v>alp_vw_dv360_imc_dsy_lanch_nd_nc_nvs_nivus-launch-consideracao-orca__configuracao</v>
      </c>
      <c r="BM192" t="str">
        <f t="shared" si="79"/>
        <v>cpm_drct_all_728x90_lancamento-nivus-orca-rmkt-site-visitation-brand-intent_na</v>
      </c>
      <c r="BN192" t="str">
        <f t="shared" si="80"/>
        <v>alp_vw_dv360_imc_dsy_lanch_nd_nc_nvs_nivus-launch-consideracao-orca__configuracao_cpm_drct_all_728x90_lancamento-nivus-orca-rmkt-site-visitation-brand-intent_na_generico_nvl-nvs-imc-dsy-0820-10192</v>
      </c>
    </row>
    <row r="193" spans="2:66" ht="15.75" customHeight="1" x14ac:dyDescent="0.25">
      <c r="B193" s="15" t="s">
        <v>1291</v>
      </c>
      <c r="C193" s="15" t="s">
        <v>1477</v>
      </c>
      <c r="D193" s="15"/>
      <c r="E193" s="22">
        <v>44069</v>
      </c>
      <c r="F193" s="22">
        <v>44135</v>
      </c>
      <c r="G193" s="15" t="s">
        <v>651</v>
      </c>
      <c r="H193" s="41" t="s">
        <v>1266</v>
      </c>
      <c r="I193" s="15" t="s">
        <v>801</v>
      </c>
      <c r="J193" s="42" t="s">
        <v>883</v>
      </c>
      <c r="K193" s="42" t="s">
        <v>883</v>
      </c>
      <c r="L193" s="15" t="s">
        <v>676</v>
      </c>
      <c r="M193" s="15" t="s">
        <v>276</v>
      </c>
      <c r="N193" s="15" t="s">
        <v>295</v>
      </c>
      <c r="O193" s="15" t="s">
        <v>677</v>
      </c>
      <c r="P193" s="15" t="str">
        <f>VLOOKUP(Y193,'All Codes'!$BF$3:$BG$278,2,FALSE)</f>
        <v>Leaderboard</v>
      </c>
      <c r="Q193" s="15" t="s">
        <v>179</v>
      </c>
      <c r="R193" s="15" t="s">
        <v>277</v>
      </c>
      <c r="S193" s="15" t="s">
        <v>874</v>
      </c>
      <c r="T193" s="46" t="s">
        <v>884</v>
      </c>
      <c r="U193" s="15" t="s">
        <v>876</v>
      </c>
      <c r="V193" s="15" t="s">
        <v>1265</v>
      </c>
      <c r="W193" s="15" t="s">
        <v>866</v>
      </c>
      <c r="X193" s="15" t="s">
        <v>307</v>
      </c>
      <c r="Y193" s="46" t="s">
        <v>629</v>
      </c>
      <c r="Z193" s="15"/>
      <c r="AA193" s="15"/>
      <c r="AB193" s="15"/>
      <c r="AC193" s="15"/>
      <c r="AD193" s="15"/>
      <c r="AE193" s="15"/>
      <c r="AF193" s="15"/>
      <c r="AG193" s="15"/>
      <c r="AH193" s="15" t="str">
        <f t="shared" si="97"/>
        <v>284453788</v>
      </c>
      <c r="AI193" s="21" t="str">
        <f t="shared" si="95"/>
        <v>alp_vw_dv360_imc_dsy_lanch_nd_nc_nvs_nivus-launch-consideracao-orca__configuracao_cpm_drct_all_970x250_lancamento-nivus-orca-rmkt-site-visitation-brand-intent_na_lancamento-consideracao-nivus-orca_nvl-nvs-imc-dsy-0820-10193</v>
      </c>
      <c r="AJ193" s="40" t="str">
        <f t="shared" si="95"/>
        <v>alp_vw_dv360_imc_dsy_lanch_nd_nc_nvs_nivus-launch-consideracao-orca__configuracao_cpm_drct_all_970x250_lancamento-nivus-orca-rmkt-site-visitation-brand-intent_na_lancamento-consideracao-nivus-orca_nvl-nvs-imc-dsy-0820-10193</v>
      </c>
      <c r="AK193" s="21" t="str">
        <f t="shared" si="71"/>
        <v>vw_nivus_970x250_lancamento-consideracao-nivus-orca_adserver</v>
      </c>
      <c r="AL193" s="21" t="str">
        <f t="shared" si="81"/>
        <v>https://www.vw.com.br/pt/configurador.html/__app/%2Fnivus/0.app?adlid=nvl-nvs-imc-dsy-0820-10193&amp;adplt=alp_vw_dv360_imc_dsy_lanch_nd_nc_nvs_nivus-launch-consideracao-orca__configuracao_cpm_drct_all_970x250_lancamento-nivus-orca-rmkt-site-visitation-brand-intent_na_lancamento-consideracao-nivus-orca_nvl-nvs-imc-dsy-0820-10193</v>
      </c>
      <c r="AM193" s="21" t="str">
        <f t="shared" si="72"/>
        <v>TAG</v>
      </c>
      <c r="AN193" s="15" t="str">
        <f t="shared" si="82"/>
        <v>DV360</v>
      </c>
      <c r="AO193" s="15" t="str">
        <f t="shared" si="83"/>
        <v>Paid-Display</v>
      </c>
      <c r="AP193" s="21" t="str">
        <f>Campanha!$B$3</f>
        <v>BR_IMC_DSY_LANCH_ND_NC_2020Q3AUG_NVS_Nivus-Launch-Consideracao-Orca</v>
      </c>
      <c r="AQ193" s="21" t="str">
        <f t="shared" si="73"/>
        <v>alp_vw_dv360_imc_dsy_lanch_nd_nc_nvs_nivus-launch-consideracao-orca__configuracao_cpm_drct_all_970x250_lancamento-nivus-orca-rmkt-site-visitation-brand-intent_na_lancamento-consideracao-nivus-orca_nvl-nvs-imc-dsy-0820-10193</v>
      </c>
      <c r="AR193" s="15" t="s">
        <v>745</v>
      </c>
      <c r="AS193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970x250_lancamento-nivus-orca-rmkt-site-visitation-brand-intent_na_lancamento-consideracao-nivus-orca_nvl-nvs-imc-dsy-0820-10193&amp;utm_campaign=BR_IMC_DSY_LANCH_ND_NC_2020Q3AUG_NVS_Nivus-Launch-Consideracao-Orca&amp;utm_term=%epid!_%ecid!_%eaid!</v>
      </c>
      <c r="AT193" s="15" t="str">
        <f t="shared" si="84"/>
        <v>other</v>
      </c>
      <c r="AU193" s="15" t="str">
        <f t="shared" si="75"/>
        <v>BR</v>
      </c>
      <c r="AV193" s="15" t="str">
        <f t="shared" si="85"/>
        <v>dv360</v>
      </c>
      <c r="AW193" s="15" t="str">
        <f t="shared" si="86"/>
        <v>dv360</v>
      </c>
      <c r="AX193" s="15" t="str">
        <f t="shared" si="76"/>
        <v>nivus-launch-consideracao-orca</v>
      </c>
      <c r="AY193" s="15" t="str">
        <f t="shared" si="87"/>
        <v>alp_vw_dv360_imc_dsy_lanch_nd_nc_nvs_nivus-launch-consideracao-orca__configuracao_cpm_drct_all_970x250_lancamento-nivus-orca-rmkt-site-visitation-brand-intent_na_lancamento-consideracao-nivus-orca_nvl-nvs-imc-dsy-0820-10193</v>
      </c>
      <c r="AZ193" s="15" t="str">
        <f t="shared" si="88"/>
        <v>970x250</v>
      </c>
      <c r="BA193" s="15" t="str">
        <f t="shared" si="89"/>
        <v>lancamento-consideracao-nivus-orca</v>
      </c>
      <c r="BB193" s="28" t="s">
        <v>798</v>
      </c>
      <c r="BC193" s="28" t="s">
        <v>798</v>
      </c>
      <c r="BD193" s="38" t="str">
        <f t="shared" si="90"/>
        <v>nvl-nvs-imc-dsy-0820-10193</v>
      </c>
      <c r="BE193" s="15" t="str">
        <f t="shared" si="91"/>
        <v>BR</v>
      </c>
      <c r="BF193" s="15" t="str">
        <f t="shared" si="92"/>
        <v>paid</v>
      </c>
      <c r="BG193" s="28"/>
      <c r="BH193" s="28"/>
      <c r="BI193" s="36" t="str">
        <f t="shared" si="77"/>
        <v>https://www.vw.com.br/pt/configurador.html/__app/%2Fnivus/0.app?adlid=nvl-nvs-imc-dsy-0820-10193&amp;adplt=alp_vw_dv360_imc_dsy_lanch_nd_nc_nvs_nivus-launch-consideracao-orca__configuracao_cpm_drct_all_970x250_lancamento-nivus-orca-rmkt-site-visitation-brand-intent_na_lancamento-consideracao-nivus-orca_nvl-nvs-imc-dsy-0820-10193</v>
      </c>
      <c r="BL193" t="str">
        <f t="shared" si="78"/>
        <v>alp_vw_dv360_imc_dsy_lanch_nd_nc_nvs_nivus-launch-consideracao-orca__configuracao</v>
      </c>
      <c r="BM193" t="str">
        <f t="shared" si="79"/>
        <v>cpm_drct_all_970x250_lancamento-nivus-orca-rmkt-site-visitation-brand-intent_na</v>
      </c>
      <c r="BN193" t="str">
        <f t="shared" si="80"/>
        <v>alp_vw_dv360_imc_dsy_lanch_nd_nc_nvs_nivus-launch-consideracao-orca__configuracao_cpm_drct_all_970x250_lancamento-nivus-orca-rmkt-site-visitation-brand-intent_na_generico_nvl-nvs-imc-dsy-0820-10193</v>
      </c>
    </row>
    <row r="194" spans="2:66" ht="15.75" customHeight="1" x14ac:dyDescent="0.25">
      <c r="B194" s="15" t="s">
        <v>1291</v>
      </c>
      <c r="C194" s="15" t="s">
        <v>1477</v>
      </c>
      <c r="D194" s="15"/>
      <c r="E194" s="22">
        <v>44069</v>
      </c>
      <c r="F194" s="22">
        <v>44135</v>
      </c>
      <c r="G194" s="15" t="s">
        <v>651</v>
      </c>
      <c r="H194" s="41" t="s">
        <v>1266</v>
      </c>
      <c r="I194" s="15" t="s">
        <v>801</v>
      </c>
      <c r="J194" s="42" t="s">
        <v>883</v>
      </c>
      <c r="K194" s="42" t="s">
        <v>883</v>
      </c>
      <c r="L194" s="15" t="s">
        <v>676</v>
      </c>
      <c r="M194" s="15" t="s">
        <v>276</v>
      </c>
      <c r="N194" s="15" t="s">
        <v>295</v>
      </c>
      <c r="O194" s="15" t="s">
        <v>677</v>
      </c>
      <c r="P194" s="15" t="str">
        <f>VLOOKUP(Y194,'All Codes'!$BF$3:$BG$278,2,FALSE)</f>
        <v>MPU</v>
      </c>
      <c r="Q194" s="15" t="s">
        <v>179</v>
      </c>
      <c r="R194" s="15" t="s">
        <v>277</v>
      </c>
      <c r="S194" s="15" t="s">
        <v>874</v>
      </c>
      <c r="T194" s="46" t="s">
        <v>884</v>
      </c>
      <c r="U194" s="15" t="s">
        <v>876</v>
      </c>
      <c r="V194" s="15" t="s">
        <v>1269</v>
      </c>
      <c r="W194" s="15" t="s">
        <v>866</v>
      </c>
      <c r="X194" s="15" t="s">
        <v>307</v>
      </c>
      <c r="Y194" s="46" t="s">
        <v>461</v>
      </c>
      <c r="Z194" s="15"/>
      <c r="AA194" s="15"/>
      <c r="AB194" s="15"/>
      <c r="AC194" s="15"/>
      <c r="AD194" s="15"/>
      <c r="AE194" s="15"/>
      <c r="AF194" s="15"/>
      <c r="AG194" s="15"/>
      <c r="AH194" s="15" t="str">
        <f t="shared" si="97"/>
        <v>284453785</v>
      </c>
      <c r="AI194" s="21" t="str">
        <f t="shared" si="95"/>
        <v>alp_vw_dv360_imc_dsy_lanch_nd_nc_nvs_nivus-launch-consideracao-orca__configuracao_cpm_drct_all_300x50_lancamento-nivus-orca-rmkt-showroom-visitation-nivus-suv-model-intent_na_lancamento-consideracao-nivus-orca_nvl-nvs-imc-dsy-0820-10194</v>
      </c>
      <c r="AJ194" s="40" t="str">
        <f t="shared" si="95"/>
        <v>alp_vw_dv360_imc_dsy_lanch_nd_nc_nvs_nivus-launch-consideracao-orca__configuracao_cpm_drct_all_300x50_lancamento-nivus-orca-rmkt-showroom-visitation-nivus-suv-model-intent_na_lancamento-consideracao-nivus-orca_nvl-nvs-imc-dsy-0820-10194</v>
      </c>
      <c r="AK194" s="21" t="str">
        <f t="shared" si="71"/>
        <v>vw_nivus_300x50_lancamento-consideracao-nivus-orca_adserver</v>
      </c>
      <c r="AL194" s="21" t="str">
        <f t="shared" si="81"/>
        <v>https://www.vw.com.br/pt/configurador.html/__app/%2Fnivus/0.app?adlid=nvl-nvs-imc-dsy-0820-10194&amp;adplt=alp_vw_dv360_imc_dsy_lanch_nd_nc_nvs_nivus-launch-consideracao-orca__configuracao_cpm_drct_all_300x50_lancamento-nivus-orca-rmkt-showroom-visitation-nivus-suv-model-intent_na_lancamento-consideracao-nivus-orca_nvl-nvs-imc-dsy-0820-10194</v>
      </c>
      <c r="AM194" s="21" t="str">
        <f t="shared" si="72"/>
        <v>TAG</v>
      </c>
      <c r="AN194" s="15" t="str">
        <f t="shared" si="82"/>
        <v>DV360</v>
      </c>
      <c r="AO194" s="15" t="str">
        <f t="shared" si="83"/>
        <v>Paid-Display</v>
      </c>
      <c r="AP194" s="21" t="str">
        <f>Campanha!$B$3</f>
        <v>BR_IMC_DSY_LANCH_ND_NC_2020Q3AUG_NVS_Nivus-Launch-Consideracao-Orca</v>
      </c>
      <c r="AQ194" s="21" t="str">
        <f t="shared" si="73"/>
        <v>alp_vw_dv360_imc_dsy_lanch_nd_nc_nvs_nivus-launch-consideracao-orca__configuracao_cpm_drct_all_300x50_lancamento-nivus-orca-rmkt-showroom-visitation-nivus-suv-model-intent_na_lancamento-consideracao-nivus-orca_nvl-nvs-imc-dsy-0820-10194</v>
      </c>
      <c r="AR194" s="15" t="s">
        <v>745</v>
      </c>
      <c r="AS194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50_lancamento-nivus-orca-rmkt-showroom-visitation-nivus-suv-model-intent_na_lancamento-consideracao-nivus-orca_nvl-nvs-imc-dsy-0820-10194&amp;utm_campaign=BR_IMC_DSY_LANCH_ND_NC_2020Q3AUG_NVS_Nivus-Launch-Consideracao-Orca&amp;utm_term=%epid!_%ecid!_%eaid!</v>
      </c>
      <c r="AT194" s="15" t="str">
        <f t="shared" si="84"/>
        <v>other</v>
      </c>
      <c r="AU194" s="15" t="str">
        <f t="shared" si="75"/>
        <v>BR</v>
      </c>
      <c r="AV194" s="15" t="str">
        <f t="shared" si="85"/>
        <v>dv360</v>
      </c>
      <c r="AW194" s="15" t="str">
        <f t="shared" si="86"/>
        <v>dv360</v>
      </c>
      <c r="AX194" s="15" t="str">
        <f t="shared" si="76"/>
        <v>nivus-launch-consideracao-orca</v>
      </c>
      <c r="AY194" s="15" t="str">
        <f t="shared" si="87"/>
        <v>alp_vw_dv360_imc_dsy_lanch_nd_nc_nvs_nivus-launch-consideracao-orca__configuracao_cpm_drct_all_300x50_lancamento-nivus-orca-rmkt-showroom-visitation-nivus-suv-model-intent_na_lancamento-consideracao-nivus-orca_nvl-nvs-imc-dsy-0820-10194</v>
      </c>
      <c r="AZ194" s="15" t="str">
        <f t="shared" si="88"/>
        <v>300x50</v>
      </c>
      <c r="BA194" s="15" t="str">
        <f t="shared" si="89"/>
        <v>lancamento-consideracao-nivus-orca</v>
      </c>
      <c r="BB194" s="28" t="s">
        <v>798</v>
      </c>
      <c r="BC194" s="28" t="s">
        <v>798</v>
      </c>
      <c r="BD194" s="38" t="str">
        <f t="shared" si="90"/>
        <v>nvl-nvs-imc-dsy-0820-10194</v>
      </c>
      <c r="BE194" s="15" t="str">
        <f t="shared" si="91"/>
        <v>BR</v>
      </c>
      <c r="BF194" s="15" t="str">
        <f t="shared" si="92"/>
        <v>paid</v>
      </c>
      <c r="BG194" s="28"/>
      <c r="BH194" s="28"/>
      <c r="BI194" s="36" t="str">
        <f t="shared" si="77"/>
        <v>https://www.vw.com.br/pt/configurador.html/__app/%2Fnivus/0.app?adlid=nvl-nvs-imc-dsy-0820-10194&amp;adplt=alp_vw_dv360_imc_dsy_lanch_nd_nc_nvs_nivus-launch-consideracao-orca__configuracao_cpm_drct_all_300x50_lancamento-nivus-orca-rmkt-showroom-visitation-nivus-suv-model-intent_na_lancamento-consideracao-nivus-orca_nvl-nvs-imc-dsy-0820-10194</v>
      </c>
      <c r="BL194" t="str">
        <f t="shared" si="78"/>
        <v>alp_vw_dv360_imc_dsy_lanch_nd_nc_nvs_nivus-launch-consideracao-orca__configuracao</v>
      </c>
      <c r="BM194" t="str">
        <f t="shared" si="79"/>
        <v>cpm_drct_all_300x50_lancamento-nivus-orca-rmkt-showroom-visitation-nivus-suv-model-intent_na</v>
      </c>
      <c r="BN194" t="str">
        <f t="shared" si="80"/>
        <v>alp_vw_dv360_imc_dsy_lanch_nd_nc_nvs_nivus-launch-consideracao-orca__configuracao_cpm_drct_all_300x50_lancamento-nivus-orca-rmkt-showroom-visitation-nivus-suv-model-intent_na_generico_nvl-nvs-imc-dsy-0820-10194</v>
      </c>
    </row>
    <row r="195" spans="2:66" ht="15.75" customHeight="1" x14ac:dyDescent="0.25">
      <c r="B195" s="15" t="s">
        <v>1291</v>
      </c>
      <c r="C195" s="15" t="s">
        <v>1477</v>
      </c>
      <c r="D195" s="15"/>
      <c r="E195" s="22">
        <v>44069</v>
      </c>
      <c r="F195" s="22">
        <v>44135</v>
      </c>
      <c r="G195" s="15" t="s">
        <v>651</v>
      </c>
      <c r="H195" s="41" t="s">
        <v>1266</v>
      </c>
      <c r="I195" s="15" t="s">
        <v>801</v>
      </c>
      <c r="J195" s="42" t="s">
        <v>883</v>
      </c>
      <c r="K195" s="42" t="s">
        <v>883</v>
      </c>
      <c r="L195" s="15" t="s">
        <v>676</v>
      </c>
      <c r="M195" s="15" t="s">
        <v>276</v>
      </c>
      <c r="N195" s="15" t="s">
        <v>295</v>
      </c>
      <c r="O195" s="15" t="s">
        <v>677</v>
      </c>
      <c r="P195" s="15" t="str">
        <f>VLOOKUP(Y195,'All Codes'!$BF$3:$BG$278,2,FALSE)</f>
        <v>Skyscraper</v>
      </c>
      <c r="Q195" s="15" t="s">
        <v>179</v>
      </c>
      <c r="R195" s="15" t="s">
        <v>277</v>
      </c>
      <c r="S195" s="15" t="s">
        <v>874</v>
      </c>
      <c r="T195" s="46" t="s">
        <v>884</v>
      </c>
      <c r="U195" s="15" t="s">
        <v>876</v>
      </c>
      <c r="V195" s="15" t="s">
        <v>1269</v>
      </c>
      <c r="W195" s="15" t="s">
        <v>866</v>
      </c>
      <c r="X195" s="15" t="s">
        <v>307</v>
      </c>
      <c r="Y195" s="46" t="s">
        <v>434</v>
      </c>
      <c r="Z195" s="15"/>
      <c r="AA195" s="15"/>
      <c r="AB195" s="15"/>
      <c r="AC195" s="15"/>
      <c r="AD195" s="15"/>
      <c r="AE195" s="15"/>
      <c r="AF195" s="15"/>
      <c r="AG195" s="15"/>
      <c r="AH195" s="15" t="str">
        <f t="shared" si="97"/>
        <v>284453782</v>
      </c>
      <c r="AI195" s="21" t="str">
        <f t="shared" si="95"/>
        <v>alp_vw_dv360_imc_dsy_lanch_nd_nc_nvs_nivus-launch-consideracao-orca__configuracao_cpm_drct_all_160x600_lancamento-nivus-orca-rmkt-showroom-visitation-nivus-suv-model-intent_na_lancamento-consideracao-nivus-orca_nvl-nvs-imc-dsy-0820-10195</v>
      </c>
      <c r="AJ195" s="40" t="str">
        <f t="shared" si="95"/>
        <v>alp_vw_dv360_imc_dsy_lanch_nd_nc_nvs_nivus-launch-consideracao-orca__configuracao_cpm_drct_all_160x600_lancamento-nivus-orca-rmkt-showroom-visitation-nivus-suv-model-intent_na_lancamento-consideracao-nivus-orca_nvl-nvs-imc-dsy-0820-10195</v>
      </c>
      <c r="AK195" s="21" t="str">
        <f t="shared" si="71"/>
        <v>vw_nivus_160x600_lancamento-consideracao-nivus-orca_adserver</v>
      </c>
      <c r="AL195" s="21" t="str">
        <f t="shared" si="81"/>
        <v>https://www.vw.com.br/pt/configurador.html/__app/%2Fnivus/0.app?adlid=nvl-nvs-imc-dsy-0820-10195&amp;adplt=alp_vw_dv360_imc_dsy_lanch_nd_nc_nvs_nivus-launch-consideracao-orca__configuracao_cpm_drct_all_160x600_lancamento-nivus-orca-rmkt-showroom-visitation-nivus-suv-model-intent_na_lancamento-consideracao-nivus-orca_nvl-nvs-imc-dsy-0820-10195</v>
      </c>
      <c r="AM195" s="21" t="str">
        <f t="shared" si="72"/>
        <v>TAG</v>
      </c>
      <c r="AN195" s="15" t="str">
        <f t="shared" si="82"/>
        <v>DV360</v>
      </c>
      <c r="AO195" s="15" t="str">
        <f t="shared" si="83"/>
        <v>Paid-Display</v>
      </c>
      <c r="AP195" s="21" t="str">
        <f>Campanha!$B$3</f>
        <v>BR_IMC_DSY_LANCH_ND_NC_2020Q3AUG_NVS_Nivus-Launch-Consideracao-Orca</v>
      </c>
      <c r="AQ195" s="21" t="str">
        <f t="shared" si="73"/>
        <v>alp_vw_dv360_imc_dsy_lanch_nd_nc_nvs_nivus-launch-consideracao-orca__configuracao_cpm_drct_all_160x600_lancamento-nivus-orca-rmkt-showroom-visitation-nivus-suv-model-intent_na_lancamento-consideracao-nivus-orca_nvl-nvs-imc-dsy-0820-10195</v>
      </c>
      <c r="AR195" s="15" t="s">
        <v>745</v>
      </c>
      <c r="AS195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160x600_lancamento-nivus-orca-rmkt-showroom-visitation-nivus-suv-model-intent_na_lancamento-consideracao-nivus-orca_nvl-nvs-imc-dsy-0820-10195&amp;utm_campaign=BR_IMC_DSY_LANCH_ND_NC_2020Q3AUG_NVS_Nivus-Launch-Consideracao-Orca&amp;utm_term=%epid!_%ecid!_%eaid!</v>
      </c>
      <c r="AT195" s="15" t="str">
        <f t="shared" si="84"/>
        <v>other</v>
      </c>
      <c r="AU195" s="15" t="str">
        <f t="shared" si="75"/>
        <v>BR</v>
      </c>
      <c r="AV195" s="15" t="str">
        <f t="shared" si="85"/>
        <v>dv360</v>
      </c>
      <c r="AW195" s="15" t="str">
        <f t="shared" si="86"/>
        <v>dv360</v>
      </c>
      <c r="AX195" s="15" t="str">
        <f t="shared" si="76"/>
        <v>nivus-launch-consideracao-orca</v>
      </c>
      <c r="AY195" s="15" t="str">
        <f t="shared" si="87"/>
        <v>alp_vw_dv360_imc_dsy_lanch_nd_nc_nvs_nivus-launch-consideracao-orca__configuracao_cpm_drct_all_160x600_lancamento-nivus-orca-rmkt-showroom-visitation-nivus-suv-model-intent_na_lancamento-consideracao-nivus-orca_nvl-nvs-imc-dsy-0820-10195</v>
      </c>
      <c r="AZ195" s="15" t="str">
        <f t="shared" si="88"/>
        <v>160x600</v>
      </c>
      <c r="BA195" s="15" t="str">
        <f t="shared" si="89"/>
        <v>lancamento-consideracao-nivus-orca</v>
      </c>
      <c r="BB195" s="28" t="s">
        <v>798</v>
      </c>
      <c r="BC195" s="28" t="s">
        <v>798</v>
      </c>
      <c r="BD195" s="38" t="str">
        <f t="shared" si="90"/>
        <v>nvl-nvs-imc-dsy-0820-10195</v>
      </c>
      <c r="BE195" s="15" t="str">
        <f t="shared" si="91"/>
        <v>BR</v>
      </c>
      <c r="BF195" s="15" t="str">
        <f t="shared" si="92"/>
        <v>paid</v>
      </c>
      <c r="BG195" s="28"/>
      <c r="BH195" s="28"/>
      <c r="BI195" s="36" t="str">
        <f t="shared" si="77"/>
        <v>https://www.vw.com.br/pt/configurador.html/__app/%2Fnivus/0.app?adlid=nvl-nvs-imc-dsy-0820-10195&amp;adplt=alp_vw_dv360_imc_dsy_lanch_nd_nc_nvs_nivus-launch-consideracao-orca__configuracao_cpm_drct_all_160x600_lancamento-nivus-orca-rmkt-showroom-visitation-nivus-suv-model-intent_na_lancamento-consideracao-nivus-orca_nvl-nvs-imc-dsy-0820-10195</v>
      </c>
      <c r="BL195" t="str">
        <f t="shared" si="78"/>
        <v>alp_vw_dv360_imc_dsy_lanch_nd_nc_nvs_nivus-launch-consideracao-orca__configuracao</v>
      </c>
      <c r="BM195" t="str">
        <f t="shared" si="79"/>
        <v>cpm_drct_all_160x600_lancamento-nivus-orca-rmkt-showroom-visitation-nivus-suv-model-intent_na</v>
      </c>
      <c r="BN195" t="str">
        <f t="shared" si="80"/>
        <v>alp_vw_dv360_imc_dsy_lanch_nd_nc_nvs_nivus-launch-consideracao-orca__configuracao_cpm_drct_all_160x600_lancamento-nivus-orca-rmkt-showroom-visitation-nivus-suv-model-intent_na_generico_nvl-nvs-imc-dsy-0820-10195</v>
      </c>
    </row>
    <row r="196" spans="2:66" ht="15.75" customHeight="1" x14ac:dyDescent="0.25">
      <c r="B196" s="15" t="s">
        <v>1291</v>
      </c>
      <c r="C196" s="15" t="s">
        <v>1477</v>
      </c>
      <c r="D196" s="15"/>
      <c r="E196" s="22">
        <v>44069</v>
      </c>
      <c r="F196" s="22">
        <v>44135</v>
      </c>
      <c r="G196" s="15" t="s">
        <v>651</v>
      </c>
      <c r="H196" s="41" t="s">
        <v>1266</v>
      </c>
      <c r="I196" s="15" t="s">
        <v>801</v>
      </c>
      <c r="J196" s="42" t="s">
        <v>883</v>
      </c>
      <c r="K196" s="42" t="s">
        <v>883</v>
      </c>
      <c r="L196" s="15" t="s">
        <v>676</v>
      </c>
      <c r="M196" s="15" t="s">
        <v>276</v>
      </c>
      <c r="N196" s="15" t="s">
        <v>295</v>
      </c>
      <c r="O196" s="15" t="s">
        <v>677</v>
      </c>
      <c r="P196" s="15" t="str">
        <f>VLOOKUP(Y196,'All Codes'!$BF$3:$BG$278,2,FALSE)</f>
        <v>MPU</v>
      </c>
      <c r="Q196" s="15" t="s">
        <v>179</v>
      </c>
      <c r="R196" s="15" t="s">
        <v>277</v>
      </c>
      <c r="S196" s="15" t="s">
        <v>874</v>
      </c>
      <c r="T196" s="46" t="s">
        <v>884</v>
      </c>
      <c r="U196" s="15" t="s">
        <v>876</v>
      </c>
      <c r="V196" s="15" t="s">
        <v>1269</v>
      </c>
      <c r="W196" s="15" t="s">
        <v>866</v>
      </c>
      <c r="X196" s="15" t="s">
        <v>307</v>
      </c>
      <c r="Y196" s="46" t="s">
        <v>455</v>
      </c>
      <c r="Z196" s="15"/>
      <c r="AA196" s="15"/>
      <c r="AB196" s="15"/>
      <c r="AC196" s="15"/>
      <c r="AD196" s="15"/>
      <c r="AE196" s="15"/>
      <c r="AF196" s="15"/>
      <c r="AG196" s="15"/>
      <c r="AH196" s="15" t="str">
        <f t="shared" si="97"/>
        <v>284453779</v>
      </c>
      <c r="AI196" s="21" t="str">
        <f t="shared" si="95"/>
        <v>alp_vw_dv360_imc_dsy_lanch_nd_nc_nvs_nivus-launch-consideracao-orca__configuracao_cpm_drct_all_300x250_lancamento-nivus-orca-rmkt-showroom-visitation-nivus-suv-model-intent_na_lancamento-consideracao-nivus-orca_nvl-nvs-imc-dsy-0820-10196</v>
      </c>
      <c r="AJ196" s="40" t="str">
        <f t="shared" si="95"/>
        <v>alp_vw_dv360_imc_dsy_lanch_nd_nc_nvs_nivus-launch-consideracao-orca__configuracao_cpm_drct_all_300x250_lancamento-nivus-orca-rmkt-showroom-visitation-nivus-suv-model-intent_na_lancamento-consideracao-nivus-orca_nvl-nvs-imc-dsy-0820-10196</v>
      </c>
      <c r="AK196" s="21" t="str">
        <f t="shared" si="71"/>
        <v>vw_nivus_300x250_lancamento-consideracao-nivus-orca_adserver</v>
      </c>
      <c r="AL196" s="21" t="str">
        <f t="shared" si="81"/>
        <v>https://www.vw.com.br/pt/configurador.html/__app/%2Fnivus/0.app?adlid=nvl-nvs-imc-dsy-0820-10196&amp;adplt=alp_vw_dv360_imc_dsy_lanch_nd_nc_nvs_nivus-launch-consideracao-orca__configuracao_cpm_drct_all_300x250_lancamento-nivus-orca-rmkt-showroom-visitation-nivus-suv-model-intent_na_lancamento-consideracao-nivus-orca_nvl-nvs-imc-dsy-0820-10196</v>
      </c>
      <c r="AM196" s="21" t="str">
        <f t="shared" si="72"/>
        <v>TAG</v>
      </c>
      <c r="AN196" s="15" t="str">
        <f t="shared" si="82"/>
        <v>DV360</v>
      </c>
      <c r="AO196" s="15" t="str">
        <f t="shared" si="83"/>
        <v>Paid-Display</v>
      </c>
      <c r="AP196" s="21" t="str">
        <f>Campanha!$B$3</f>
        <v>BR_IMC_DSY_LANCH_ND_NC_2020Q3AUG_NVS_Nivus-Launch-Consideracao-Orca</v>
      </c>
      <c r="AQ196" s="21" t="str">
        <f t="shared" si="73"/>
        <v>alp_vw_dv360_imc_dsy_lanch_nd_nc_nvs_nivus-launch-consideracao-orca__configuracao_cpm_drct_all_300x250_lancamento-nivus-orca-rmkt-showroom-visitation-nivus-suv-model-intent_na_lancamento-consideracao-nivus-orca_nvl-nvs-imc-dsy-0820-10196</v>
      </c>
      <c r="AR196" s="15" t="s">
        <v>745</v>
      </c>
      <c r="AS196" s="21" t="str">
        <f t="shared" si="74"/>
        <v>https://www.vw.com.br/pt/configurador.html/__app/%2Fnivus/0.app?utm_source=DV360&amp;utm_medium=Paid-Display&amp;utm_content=alp_vw_dv360_imc_dsy_lanch_nd_nc_nvs_nivus-launch-consideracao-orca__configuracao_cpm_drct_all_300x250_lancamento-nivus-orca-rmkt-showroom-visitation-nivus-suv-model-intent_na_lancamento-consideracao-nivus-orca_nvl-nvs-imc-dsy-0820-10196&amp;utm_campaign=BR_IMC_DSY_LANCH_ND_NC_2020Q3AUG_NVS_Nivus-Launch-Consideracao-Orca&amp;utm_term=%epid!_%ecid!_%eaid!</v>
      </c>
      <c r="AT196" s="15" t="str">
        <f t="shared" si="84"/>
        <v>other</v>
      </c>
      <c r="AU196" s="15" t="str">
        <f t="shared" si="75"/>
        <v>BR</v>
      </c>
      <c r="AV196" s="15" t="str">
        <f t="shared" si="85"/>
        <v>dv360</v>
      </c>
      <c r="AW196" s="15" t="str">
        <f t="shared" si="86"/>
        <v>dv360</v>
      </c>
      <c r="AX196" s="15" t="str">
        <f t="shared" si="76"/>
        <v>nivus-launch-consideracao-orca</v>
      </c>
      <c r="AY196" s="15" t="str">
        <f t="shared" si="87"/>
        <v>alp_vw_dv360_imc_dsy_lanch_nd_nc_nvs_nivus-launch-consideracao-orca__configuracao_cpm_drct_all_300x250_lancamento-nivus-orca-rmkt-showroom-visitation-nivus-suv-model-intent_na_lancamento-consideracao-nivus-orca_nvl-nvs-imc-dsy-0820-10196</v>
      </c>
      <c r="AZ196" s="15" t="str">
        <f t="shared" si="88"/>
        <v>300x250</v>
      </c>
      <c r="BA196" s="15" t="str">
        <f t="shared" si="89"/>
        <v>lancamento-consideracao-nivus-orca</v>
      </c>
      <c r="BB196" s="28" t="s">
        <v>798</v>
      </c>
      <c r="BC196" s="28" t="s">
        <v>798</v>
      </c>
      <c r="BD196" s="38" t="str">
        <f t="shared" si="90"/>
        <v>nvl-nvs-imc-dsy-0820-10196</v>
      </c>
      <c r="BE196" s="15" t="str">
        <f t="shared" si="91"/>
        <v>BR</v>
      </c>
      <c r="BF196" s="15" t="str">
        <f t="shared" si="92"/>
        <v>paid</v>
      </c>
      <c r="BG196" s="28"/>
      <c r="BH196" s="28"/>
      <c r="BI196" s="36" t="str">
        <f t="shared" si="77"/>
        <v>https://www.vw.com.br/pt/configurador.html/__app/%2Fnivus/0.app?adlid=nvl-nvs-imc-dsy-0820-10196&amp;adplt=alp_vw_dv360_imc_dsy_lanch_nd_nc_nvs_nivus-launch-consideracao-orca__configuracao_cpm_drct_all_300x250_lancamento-nivus-orca-rmkt-showroom-visitation-nivus-suv-model-intent_na_lancamento-consideracao-nivus-orca_nvl-nvs-imc-dsy-0820-10196</v>
      </c>
      <c r="BL196" t="str">
        <f t="shared" si="78"/>
        <v>alp_vw_dv360_imc_dsy_lanch_nd_nc_nvs_nivus-launch-consideracao-orca__configuracao</v>
      </c>
      <c r="BM196" t="str">
        <f t="shared" si="79"/>
        <v>cpm_drct_all_300x250_lancamento-nivus-orca-rmkt-showroom-visitation-nivus-suv-model-intent_na</v>
      </c>
      <c r="BN196" t="str">
        <f t="shared" si="80"/>
        <v>alp_vw_dv360_imc_dsy_lanch_nd_nc_nvs_nivus-launch-consideracao-orca__configuracao_cpm_drct_all_300x250_lancamento-nivus-orca-rmkt-showroom-visitation-nivus-suv-model-intent_na_generico_nvl-nvs-imc-dsy-0820-10196</v>
      </c>
    </row>
    <row r="197" spans="2:66" ht="15.75" customHeight="1" x14ac:dyDescent="0.25">
      <c r="B197" s="15" t="s">
        <v>1291</v>
      </c>
      <c r="C197" s="15" t="s">
        <v>1477</v>
      </c>
      <c r="D197" s="15"/>
      <c r="E197" s="22">
        <v>44069</v>
      </c>
      <c r="F197" s="22">
        <v>44135</v>
      </c>
      <c r="G197" s="15" t="s">
        <v>651</v>
      </c>
      <c r="H197" s="41" t="s">
        <v>1266</v>
      </c>
      <c r="I197" s="15" t="s">
        <v>801</v>
      </c>
      <c r="J197" s="42" t="s">
        <v>883</v>
      </c>
      <c r="K197" s="42" t="s">
        <v>883</v>
      </c>
      <c r="L197" s="15" t="s">
        <v>676</v>
      </c>
      <c r="M197" s="15" t="s">
        <v>276</v>
      </c>
      <c r="N197" s="15" t="s">
        <v>295</v>
      </c>
      <c r="O197" s="15" t="s">
        <v>677</v>
      </c>
      <c r="P197" s="15" t="str">
        <f>VLOOKUP(Y197,'All Codes'!$BF$3:$BG$278,2,FALSE)</f>
        <v>Skyscraper</v>
      </c>
      <c r="Q197" s="15" t="s">
        <v>179</v>
      </c>
      <c r="R197" s="15" t="s">
        <v>277</v>
      </c>
      <c r="S197" s="15" t="s">
        <v>874</v>
      </c>
      <c r="T197" s="46" t="s">
        <v>884</v>
      </c>
      <c r="U197" s="15" t="s">
        <v>876</v>
      </c>
      <c r="V197" s="15" t="s">
        <v>1269</v>
      </c>
      <c r="W197" s="15" t="s">
        <v>866</v>
      </c>
      <c r="X197" s="15" t="s">
        <v>307</v>
      </c>
      <c r="Y197" s="46" t="s">
        <v>464</v>
      </c>
      <c r="Z197" s="15"/>
      <c r="AA197" s="15"/>
      <c r="AB197" s="15"/>
      <c r="AC197" s="15"/>
      <c r="AD197" s="15"/>
      <c r="AE197" s="15"/>
      <c r="AF197" s="15"/>
      <c r="AG197" s="15"/>
      <c r="AH197" s="15" t="str">
        <f t="shared" si="97"/>
        <v>284453776</v>
      </c>
      <c r="AI197" s="21" t="str">
        <f t="shared" si="95"/>
        <v>alp_vw_dv360_imc_dsy_lanch_nd_nc_nvs_nivus-launch-consideracao-orca__configuracao_cpm_drct_all_300x600_lancamento-nivus-orca-rmkt-showroom-visitation-nivus-suv-model-intent_na_lancamento-consideracao-nivus-orca_nvl-nvs-imc-dsy-0820-10197</v>
      </c>
      <c r="AJ197" s="40" t="str">
        <f t="shared" si="95"/>
        <v>alp_vw_dv360_imc_dsy_lanch_nd_nc_nvs_nivus-launch-consideracao-orca__configuracao_cpm_drct_all_300x600_lancamento-nivus-orca-rmkt-showroom-visitation-nivus-suv-model-intent_na_lancamento-consideracao-nivus-orca_nvl-nvs-imc-dsy-0820-10197</v>
      </c>
      <c r="AK197" s="21" t="str">
        <f t="shared" ref="AK197:AK260" si="98">LOWER(faxineiro(CONCATENATE("VW","_",cel_modelvariant,"_",col_size,"_",col_localfreetype,"_",IF(col_servidopor="portal",col_supplier,"adserver"))))</f>
        <v>vw_nivus_300x600_lancamento-consideracao-nivus-orca_adserver</v>
      </c>
      <c r="AL197" s="21" t="str">
        <f t="shared" si="81"/>
        <v>https://www.vw.com.br/pt/configurador.html/__app/%2Fnivus/0.app?adlid=nvl-nvs-imc-dsy-0820-10197&amp;adplt=alp_vw_dv360_imc_dsy_lanch_nd_nc_nvs_nivus-launch-consideracao-orca__configuracao_cpm_drct_all_300x600_lancamento-nivus-orca-rmkt-showroom-visitation-nivus-suv-model-intent_na_lancamento-consideracao-nivus-orca_nvl-nvs-imc-dsy-0820-10197</v>
      </c>
      <c r="AM197" s="21" t="str">
        <f t="shared" ref="AM197:AM260" si="99">IFERROR(IF(col_servidopor="portal",VLOOKUP(col_placement,tab_contadores,2,FALSE),"TAG"),"Contador")</f>
        <v>TAG</v>
      </c>
      <c r="AN197" s="15" t="str">
        <f t="shared" si="82"/>
        <v>DV360</v>
      </c>
      <c r="AO197" s="15" t="str">
        <f t="shared" si="83"/>
        <v>Paid-Display</v>
      </c>
      <c r="AP197" s="21" t="str">
        <f>Campanha!$B$3</f>
        <v>BR_IMC_DSY_LANCH_ND_NC_2020Q3AUG_NVS_Nivus-Launch-Consideracao-Orca</v>
      </c>
      <c r="AQ197" s="21" t="str">
        <f t="shared" ref="AQ197:AQ260" si="100">col_adname</f>
        <v>alp_vw_dv360_imc_dsy_lanch_nd_nc_nvs_nivus-launch-consideracao-orca__configuracao_cpm_drct_all_300x600_lancamento-nivus-orca-rmkt-showroom-visitation-nivus-suv-model-intent_na_lancamento-consideracao-nivus-orca_nvl-nvs-imc-dsy-0820-10197</v>
      </c>
      <c r="AR197" s="15" t="s">
        <v>745</v>
      </c>
      <c r="AS197" s="21" t="str">
        <f t="shared" ref="AS197:AS260" si="101">faxineiro(CONCATENATE(col_url,IF(ISNUMBER(FIND("?",col_url)),"&amp;","?"),"utm_source=",col_utmsource,"&amp;utm_medium=",col_utmmedium,"&amp;utm_content=",col_utmcontent,"&amp;utm_campaign=",col_utmcampaign,"&amp;utm_term=",col_keyword))</f>
        <v>https://www.vw.com.br/pt/configurador.html/__app/%2Fnivus/0.app?utm_source=DV360&amp;utm_medium=Paid-Display&amp;utm_content=alp_vw_dv360_imc_dsy_lanch_nd_nc_nvs_nivus-launch-consideracao-orca__configuracao_cpm_drct_all_300x600_lancamento-nivus-orca-rmkt-showroom-visitation-nivus-suv-model-intent_na_lancamento-consideracao-nivus-orca_nvl-nvs-imc-dsy-0820-10197&amp;utm_campaign=BR_IMC_DSY_LANCH_ND_NC_2020Q3AUG_NVS_Nivus-Launch-Consideracao-Orca&amp;utm_term=%epid!_%ecid!_%eaid!</v>
      </c>
      <c r="AT197" s="15" t="str">
        <f t="shared" si="84"/>
        <v>other</v>
      </c>
      <c r="AU197" s="15" t="str">
        <f t="shared" ref="AU197:AU260" si="102">VLOOKUP(cel_country,tab_country,2,FALSE)</f>
        <v>BR</v>
      </c>
      <c r="AV197" s="15" t="str">
        <f t="shared" si="85"/>
        <v>dv360</v>
      </c>
      <c r="AW197" s="15" t="str">
        <f t="shared" si="86"/>
        <v>dv360</v>
      </c>
      <c r="AX197" s="15" t="str">
        <f t="shared" ref="AX197:AX260" si="103">LOWER(cel_campaing)</f>
        <v>nivus-launch-consideracao-orca</v>
      </c>
      <c r="AY197" s="15" t="str">
        <f t="shared" si="87"/>
        <v>alp_vw_dv360_imc_dsy_lanch_nd_nc_nvs_nivus-launch-consideracao-orca__configuracao_cpm_drct_all_300x600_lancamento-nivus-orca-rmkt-showroom-visitation-nivus-suv-model-intent_na_lancamento-consideracao-nivus-orca_nvl-nvs-imc-dsy-0820-10197</v>
      </c>
      <c r="AZ197" s="15" t="str">
        <f t="shared" si="88"/>
        <v>300x600</v>
      </c>
      <c r="BA197" s="15" t="str">
        <f t="shared" si="89"/>
        <v>lancamento-consideracao-nivus-orca</v>
      </c>
      <c r="BB197" s="28" t="s">
        <v>798</v>
      </c>
      <c r="BC197" s="28" t="s">
        <v>798</v>
      </c>
      <c r="BD197" s="38" t="str">
        <f t="shared" si="90"/>
        <v>nvl-nvs-imc-dsy-0820-10197</v>
      </c>
      <c r="BE197" s="15" t="str">
        <f t="shared" si="91"/>
        <v>BR</v>
      </c>
      <c r="BF197" s="15" t="str">
        <f t="shared" si="92"/>
        <v>paid</v>
      </c>
      <c r="BG197" s="28"/>
      <c r="BH197" s="28"/>
      <c r="BI197" s="36" t="str">
        <f t="shared" ref="BI197:BI260" si="104">faxineiro(CONCATENATE(col_url,IF(ISNUMBER(FIND("?",col_url)),"&amp;","?"),CONCATENATE("adlid=",col_adlid,"&amp;adplt=",adplt)))</f>
        <v>https://www.vw.com.br/pt/configurador.html/__app/%2Fnivus/0.app?adlid=nvl-nvs-imc-dsy-0820-10197&amp;adplt=alp_vw_dv360_imc_dsy_lanch_nd_nc_nvs_nivus-launch-consideracao-orca__configuracao_cpm_drct_all_300x600_lancamento-nivus-orca-rmkt-showroom-visitation-nivus-suv-model-intent_na_lancamento-consideracao-nivus-orca_nvl-nvs-imc-dsy-0820-10197</v>
      </c>
      <c r="BL197" t="str">
        <f t="shared" ref="BL197:BL260" si="105">LOWER(CONCATENATE("alp","_","vw","_",col_supplier,"_",cel_structurename,"_",col_objetivo))</f>
        <v>alp_vw_dv360_imc_dsy_lanch_nd_nc_nvs_nivus-launch-consideracao-orca__configuracao</v>
      </c>
      <c r="BM197" t="str">
        <f t="shared" ref="BM197:BM260" si="106">LOWER(CONCATENATE(col_buyingmetric,"_",VLOOKUP(col_buyingtype,tab_buyingtype,2,FALSE),"_",col_device,"_",col_size,"_",col_segmentacao,"_",col_segmentacaodeanun))</f>
        <v>cpm_drct_all_300x600_lancamento-nivus-orca-rmkt-showroom-visitation-nivus-suv-model-intent_na</v>
      </c>
      <c r="BN197" t="str">
        <f t="shared" ref="BN197:BN260" si="107">faxineiro(LOWER(CONCATENATE(col_campanhaanunciante,"_",col_grupoanunciante,"_",col_linhacriativa2,"_",col_adlid)))</f>
        <v>alp_vw_dv360_imc_dsy_lanch_nd_nc_nvs_nivus-launch-consideracao-orca__configuracao_cpm_drct_all_300x600_lancamento-nivus-orca-rmkt-showroom-visitation-nivus-suv-model-intent_na_generico_nvl-nvs-imc-dsy-0820-10197</v>
      </c>
    </row>
    <row r="198" spans="2:66" ht="15.75" customHeight="1" x14ac:dyDescent="0.25">
      <c r="B198" s="15" t="s">
        <v>1291</v>
      </c>
      <c r="C198" s="15" t="s">
        <v>1477</v>
      </c>
      <c r="D198" s="15"/>
      <c r="E198" s="22">
        <v>44069</v>
      </c>
      <c r="F198" s="22">
        <v>44135</v>
      </c>
      <c r="G198" s="15" t="s">
        <v>651</v>
      </c>
      <c r="H198" s="41" t="s">
        <v>1266</v>
      </c>
      <c r="I198" s="15" t="s">
        <v>801</v>
      </c>
      <c r="J198" s="42" t="s">
        <v>883</v>
      </c>
      <c r="K198" s="42" t="s">
        <v>883</v>
      </c>
      <c r="L198" s="15" t="s">
        <v>676</v>
      </c>
      <c r="M198" s="15" t="s">
        <v>276</v>
      </c>
      <c r="N198" s="15" t="s">
        <v>295</v>
      </c>
      <c r="O198" s="15" t="s">
        <v>677</v>
      </c>
      <c r="P198" s="15" t="str">
        <f>VLOOKUP(Y198,'All Codes'!$BF$3:$BG$278,2,FALSE)</f>
        <v>MPU</v>
      </c>
      <c r="Q198" s="15" t="s">
        <v>179</v>
      </c>
      <c r="R198" s="15" t="s">
        <v>277</v>
      </c>
      <c r="S198" s="15" t="s">
        <v>874</v>
      </c>
      <c r="T198" s="46" t="s">
        <v>884</v>
      </c>
      <c r="U198" s="15" t="s">
        <v>876</v>
      </c>
      <c r="V198" s="15" t="s">
        <v>1269</v>
      </c>
      <c r="W198" s="15" t="s">
        <v>866</v>
      </c>
      <c r="X198" s="15" t="s">
        <v>307</v>
      </c>
      <c r="Y198" s="46" t="s">
        <v>479</v>
      </c>
      <c r="Z198" s="15"/>
      <c r="AA198" s="15"/>
      <c r="AB198" s="15"/>
      <c r="AC198" s="15"/>
      <c r="AD198" s="15"/>
      <c r="AE198" s="15"/>
      <c r="AF198" s="15"/>
      <c r="AG198" s="15"/>
      <c r="AH198" s="15" t="str">
        <f t="shared" si="97"/>
        <v>284453773</v>
      </c>
      <c r="AI198" s="21" t="str">
        <f t="shared" si="95"/>
        <v>alp_vw_dv360_imc_dsy_lanch_nd_nc_nvs_nivus-launch-consideracao-orca__configuracao_cpm_drct_all_320x50_lancamento-nivus-orca-rmkt-showroom-visitation-nivus-suv-model-intent_na_lancamento-consideracao-nivus-orca_nvl-nvs-imc-dsy-0820-10198</v>
      </c>
      <c r="AJ198" s="40" t="str">
        <f t="shared" si="95"/>
        <v>alp_vw_dv360_imc_dsy_lanch_nd_nc_nvs_nivus-launch-consideracao-orca__configuracao_cpm_drct_all_320x50_lancamento-nivus-orca-rmkt-showroom-visitation-nivus-suv-model-intent_na_lancamento-consideracao-nivus-orca_nvl-nvs-imc-dsy-0820-10198</v>
      </c>
      <c r="AK198" s="21" t="str">
        <f t="shared" si="98"/>
        <v>vw_nivus_320x50_lancamento-consideracao-nivus-orca_adserver</v>
      </c>
      <c r="AL198" s="21" t="str">
        <f t="shared" ref="AL198:AL261" si="108">IF(col_parametrizacao="GA",AS198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198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www.vw.com.br/pt/configurador.html/__app/%2Fnivus/0.app?adlid=nvl-nvs-imc-dsy-0820-10198&amp;adplt=alp_vw_dv360_imc_dsy_lanch_nd_nc_nvs_nivus-launch-consideracao-orca__configuracao_cpm_drct_all_320x50_lancamento-nivus-orca-rmkt-showroom-visitation-nivus-suv-model-intent_na_lancamento-consideracao-nivus-orca_nvl-nvs-imc-dsy-0820-10198</v>
      </c>
      <c r="AM198" s="21" t="str">
        <f t="shared" si="99"/>
        <v>TAG</v>
      </c>
      <c r="AN198" s="15" t="str">
        <f t="shared" ref="AN198:AN261" si="109">J198</f>
        <v>DV360</v>
      </c>
      <c r="AO198" s="15" t="str">
        <f t="shared" ref="AO198:AO261" si="110">L198</f>
        <v>Paid-Display</v>
      </c>
      <c r="AP198" s="21" t="str">
        <f>Campanha!$B$3</f>
        <v>BR_IMC_DSY_LANCH_ND_NC_2020Q3AUG_NVS_Nivus-Launch-Consideracao-Orca</v>
      </c>
      <c r="AQ198" s="21" t="str">
        <f t="shared" si="100"/>
        <v>alp_vw_dv360_imc_dsy_lanch_nd_nc_nvs_nivus-launch-consideracao-orca__configuracao_cpm_drct_all_320x50_lancamento-nivus-orca-rmkt-showroom-visitation-nivus-suv-model-intent_na_lancamento-consideracao-nivus-orca_nvl-nvs-imc-dsy-0820-10198</v>
      </c>
      <c r="AR198" s="15" t="s">
        <v>745</v>
      </c>
      <c r="AS198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showroom-visitation-nivus-suv-model-intent_na_lancamento-consideracao-nivus-orca_nvl-nvs-imc-dsy-0820-10198&amp;utm_campaign=BR_IMC_DSY_LANCH_ND_NC_2020Q3AUG_NVS_Nivus-Launch-Consideracao-Orca&amp;utm_term=%epid!_%ecid!_%eaid!</v>
      </c>
      <c r="AT198" s="15" t="str">
        <f t="shared" ref="AT198:AT261" si="111">LOWER(Q198)</f>
        <v>other</v>
      </c>
      <c r="AU198" s="15" t="str">
        <f t="shared" si="102"/>
        <v>BR</v>
      </c>
      <c r="AV198" s="15" t="str">
        <f t="shared" ref="AV198:AV261" si="112">LOWER(K198)</f>
        <v>dv360</v>
      </c>
      <c r="AW198" s="15" t="str">
        <f t="shared" ref="AW198:AW261" si="113">LOWER(J198)</f>
        <v>dv360</v>
      </c>
      <c r="AX198" s="15" t="str">
        <f t="shared" si="103"/>
        <v>nivus-launch-consideracao-orca</v>
      </c>
      <c r="AY198" s="15" t="str">
        <f t="shared" ref="AY198:AY261" si="114">LOWER(AI198)</f>
        <v>alp_vw_dv360_imc_dsy_lanch_nd_nc_nvs_nivus-launch-consideracao-orca__configuracao_cpm_drct_all_320x50_lancamento-nivus-orca-rmkt-showroom-visitation-nivus-suv-model-intent_na_lancamento-consideracao-nivus-orca_nvl-nvs-imc-dsy-0820-10198</v>
      </c>
      <c r="AZ198" s="15" t="str">
        <f t="shared" ref="AZ198:AZ261" si="115">LOWER(Y198)</f>
        <v>320x50</v>
      </c>
      <c r="BA198" s="15" t="str">
        <f t="shared" ref="BA198:BA261" si="116">LOWER(T198)</f>
        <v>lancamento-consideracao-nivus-orca</v>
      </c>
      <c r="BB198" s="28" t="s">
        <v>798</v>
      </c>
      <c r="BC198" s="28" t="s">
        <v>798</v>
      </c>
      <c r="BD198" s="38" t="str">
        <f t="shared" ref="BD198:BD261" si="117">LOWER(CONCATENATE(cel_idcampaign,"-",SUM(10000+ROW(A198))))</f>
        <v>nvl-nvs-imc-dsy-0820-10198</v>
      </c>
      <c r="BE198" s="15" t="str">
        <f t="shared" ref="BE198:BE261" si="118">AU198</f>
        <v>BR</v>
      </c>
      <c r="BF198" s="15" t="str">
        <f t="shared" ref="BF198:BF261" si="119">LOWER(X198)</f>
        <v>paid</v>
      </c>
      <c r="BG198" s="28"/>
      <c r="BH198" s="28"/>
      <c r="BI198" s="36" t="str">
        <f t="shared" si="104"/>
        <v>https://www.vw.com.br/pt/configurador.html/__app/%2Fnivus/0.app?adlid=nvl-nvs-imc-dsy-0820-10198&amp;adplt=alp_vw_dv360_imc_dsy_lanch_nd_nc_nvs_nivus-launch-consideracao-orca__configuracao_cpm_drct_all_320x50_lancamento-nivus-orca-rmkt-showroom-visitation-nivus-suv-model-intent_na_lancamento-consideracao-nivus-orca_nvl-nvs-imc-dsy-0820-10198</v>
      </c>
      <c r="BL198" t="str">
        <f t="shared" si="105"/>
        <v>alp_vw_dv360_imc_dsy_lanch_nd_nc_nvs_nivus-launch-consideracao-orca__configuracao</v>
      </c>
      <c r="BM198" t="str">
        <f t="shared" si="106"/>
        <v>cpm_drct_all_320x50_lancamento-nivus-orca-rmkt-showroom-visitation-nivus-suv-model-intent_na</v>
      </c>
      <c r="BN198" t="str">
        <f t="shared" si="107"/>
        <v>alp_vw_dv360_imc_dsy_lanch_nd_nc_nvs_nivus-launch-consideracao-orca__configuracao_cpm_drct_all_320x50_lancamento-nivus-orca-rmkt-showroom-visitation-nivus-suv-model-intent_na_generico_nvl-nvs-imc-dsy-0820-10198</v>
      </c>
    </row>
    <row r="199" spans="2:66" ht="15.75" customHeight="1" x14ac:dyDescent="0.25">
      <c r="B199" s="15" t="s">
        <v>1291</v>
      </c>
      <c r="C199" s="15" t="s">
        <v>1477</v>
      </c>
      <c r="D199" s="15"/>
      <c r="E199" s="22">
        <v>44069</v>
      </c>
      <c r="F199" s="22">
        <v>44135</v>
      </c>
      <c r="G199" s="15" t="s">
        <v>651</v>
      </c>
      <c r="H199" s="41" t="s">
        <v>1266</v>
      </c>
      <c r="I199" s="15" t="s">
        <v>801</v>
      </c>
      <c r="J199" s="42" t="s">
        <v>883</v>
      </c>
      <c r="K199" s="42" t="s">
        <v>883</v>
      </c>
      <c r="L199" s="15" t="s">
        <v>676</v>
      </c>
      <c r="M199" s="15" t="s">
        <v>276</v>
      </c>
      <c r="N199" s="15" t="s">
        <v>295</v>
      </c>
      <c r="O199" s="15" t="s">
        <v>677</v>
      </c>
      <c r="P199" s="15" t="str">
        <f>VLOOKUP(Y199,'All Codes'!$BF$3:$BG$278,2,FALSE)</f>
        <v>Leaderboard</v>
      </c>
      <c r="Q199" s="15" t="s">
        <v>179</v>
      </c>
      <c r="R199" s="15" t="s">
        <v>277</v>
      </c>
      <c r="S199" s="15" t="s">
        <v>874</v>
      </c>
      <c r="T199" s="46" t="s">
        <v>884</v>
      </c>
      <c r="U199" s="15" t="s">
        <v>876</v>
      </c>
      <c r="V199" s="15" t="s">
        <v>1269</v>
      </c>
      <c r="W199" s="15" t="s">
        <v>866</v>
      </c>
      <c r="X199" s="15" t="s">
        <v>307</v>
      </c>
      <c r="Y199" s="46" t="s">
        <v>591</v>
      </c>
      <c r="Z199" s="15"/>
      <c r="AA199" s="15"/>
      <c r="AB199" s="15"/>
      <c r="AC199" s="15"/>
      <c r="AD199" s="15"/>
      <c r="AE199" s="15"/>
      <c r="AF199" s="15"/>
      <c r="AG199" s="15"/>
      <c r="AH199" s="15" t="str">
        <f t="shared" si="97"/>
        <v>284453770</v>
      </c>
      <c r="AI199" s="21" t="str">
        <f t="shared" si="95"/>
        <v>alp_vw_dv360_imc_dsy_lanch_nd_nc_nvs_nivus-launch-consideracao-orca__configuracao_cpm_drct_all_728x90_lancamento-nivus-orca-rmkt-showroom-visitation-nivus-suv-model-intent_na_lancamento-consideracao-nivus-orca_nvl-nvs-imc-dsy-0820-10199</v>
      </c>
      <c r="AJ199" s="40" t="str">
        <f t="shared" si="95"/>
        <v>alp_vw_dv360_imc_dsy_lanch_nd_nc_nvs_nivus-launch-consideracao-orca__configuracao_cpm_drct_all_728x90_lancamento-nivus-orca-rmkt-showroom-visitation-nivus-suv-model-intent_na_lancamento-consideracao-nivus-orca_nvl-nvs-imc-dsy-0820-10199</v>
      </c>
      <c r="AK199" s="21" t="str">
        <f t="shared" si="98"/>
        <v>vw_nivus_728x90_lancamento-consideracao-nivus-orca_adserver</v>
      </c>
      <c r="AL199" s="21" t="str">
        <f t="shared" si="108"/>
        <v>https://www.vw.com.br/pt/configurador.html/__app/%2Fnivus/0.app?adlid=nvl-nvs-imc-dsy-0820-10199&amp;adplt=alp_vw_dv360_imc_dsy_lanch_nd_nc_nvs_nivus-launch-consideracao-orca__configuracao_cpm_drct_all_728x90_lancamento-nivus-orca-rmkt-showroom-visitation-nivus-suv-model-intent_na_lancamento-consideracao-nivus-orca_nvl-nvs-imc-dsy-0820-10199</v>
      </c>
      <c r="AM199" s="21" t="str">
        <f t="shared" si="99"/>
        <v>TAG</v>
      </c>
      <c r="AN199" s="15" t="str">
        <f t="shared" si="109"/>
        <v>DV360</v>
      </c>
      <c r="AO199" s="15" t="str">
        <f t="shared" si="110"/>
        <v>Paid-Display</v>
      </c>
      <c r="AP199" s="21" t="str">
        <f>Campanha!$B$3</f>
        <v>BR_IMC_DSY_LANCH_ND_NC_2020Q3AUG_NVS_Nivus-Launch-Consideracao-Orca</v>
      </c>
      <c r="AQ199" s="21" t="str">
        <f t="shared" si="100"/>
        <v>alp_vw_dv360_imc_dsy_lanch_nd_nc_nvs_nivus-launch-consideracao-orca__configuracao_cpm_drct_all_728x90_lancamento-nivus-orca-rmkt-showroom-visitation-nivus-suv-model-intent_na_lancamento-consideracao-nivus-orca_nvl-nvs-imc-dsy-0820-10199</v>
      </c>
      <c r="AR199" s="15" t="s">
        <v>745</v>
      </c>
      <c r="AS199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showroom-visitation-nivus-suv-model-intent_na_lancamento-consideracao-nivus-orca_nvl-nvs-imc-dsy-0820-10199&amp;utm_campaign=BR_IMC_DSY_LANCH_ND_NC_2020Q3AUG_NVS_Nivus-Launch-Consideracao-Orca&amp;utm_term=%epid!_%ecid!_%eaid!</v>
      </c>
      <c r="AT199" s="15" t="str">
        <f t="shared" si="111"/>
        <v>other</v>
      </c>
      <c r="AU199" s="15" t="str">
        <f t="shared" si="102"/>
        <v>BR</v>
      </c>
      <c r="AV199" s="15" t="str">
        <f t="shared" si="112"/>
        <v>dv360</v>
      </c>
      <c r="AW199" s="15" t="str">
        <f t="shared" si="113"/>
        <v>dv360</v>
      </c>
      <c r="AX199" s="15" t="str">
        <f t="shared" si="103"/>
        <v>nivus-launch-consideracao-orca</v>
      </c>
      <c r="AY199" s="15" t="str">
        <f t="shared" si="114"/>
        <v>alp_vw_dv360_imc_dsy_lanch_nd_nc_nvs_nivus-launch-consideracao-orca__configuracao_cpm_drct_all_728x90_lancamento-nivus-orca-rmkt-showroom-visitation-nivus-suv-model-intent_na_lancamento-consideracao-nivus-orca_nvl-nvs-imc-dsy-0820-10199</v>
      </c>
      <c r="AZ199" s="15" t="str">
        <f t="shared" si="115"/>
        <v>728x90</v>
      </c>
      <c r="BA199" s="15" t="str">
        <f t="shared" si="116"/>
        <v>lancamento-consideracao-nivus-orca</v>
      </c>
      <c r="BB199" s="28" t="s">
        <v>798</v>
      </c>
      <c r="BC199" s="28" t="s">
        <v>798</v>
      </c>
      <c r="BD199" s="38" t="str">
        <f t="shared" si="117"/>
        <v>nvl-nvs-imc-dsy-0820-10199</v>
      </c>
      <c r="BE199" s="15" t="str">
        <f t="shared" si="118"/>
        <v>BR</v>
      </c>
      <c r="BF199" s="15" t="str">
        <f t="shared" si="119"/>
        <v>paid</v>
      </c>
      <c r="BG199" s="28"/>
      <c r="BH199" s="28"/>
      <c r="BI199" s="36" t="str">
        <f t="shared" si="104"/>
        <v>https://www.vw.com.br/pt/configurador.html/__app/%2Fnivus/0.app?adlid=nvl-nvs-imc-dsy-0820-10199&amp;adplt=alp_vw_dv360_imc_dsy_lanch_nd_nc_nvs_nivus-launch-consideracao-orca__configuracao_cpm_drct_all_728x90_lancamento-nivus-orca-rmkt-showroom-visitation-nivus-suv-model-intent_na_lancamento-consideracao-nivus-orca_nvl-nvs-imc-dsy-0820-10199</v>
      </c>
      <c r="BL199" t="str">
        <f t="shared" si="105"/>
        <v>alp_vw_dv360_imc_dsy_lanch_nd_nc_nvs_nivus-launch-consideracao-orca__configuracao</v>
      </c>
      <c r="BM199" t="str">
        <f t="shared" si="106"/>
        <v>cpm_drct_all_728x90_lancamento-nivus-orca-rmkt-showroom-visitation-nivus-suv-model-intent_na</v>
      </c>
      <c r="BN199" t="str">
        <f t="shared" si="107"/>
        <v>alp_vw_dv360_imc_dsy_lanch_nd_nc_nvs_nivus-launch-consideracao-orca__configuracao_cpm_drct_all_728x90_lancamento-nivus-orca-rmkt-showroom-visitation-nivus-suv-model-intent_na_generico_nvl-nvs-imc-dsy-0820-10199</v>
      </c>
    </row>
    <row r="200" spans="2:66" ht="15.75" customHeight="1" x14ac:dyDescent="0.25">
      <c r="B200" s="15" t="s">
        <v>1291</v>
      </c>
      <c r="C200" s="15" t="s">
        <v>1477</v>
      </c>
      <c r="D200" s="15"/>
      <c r="E200" s="22">
        <v>44069</v>
      </c>
      <c r="F200" s="22">
        <v>44135</v>
      </c>
      <c r="G200" s="15" t="s">
        <v>651</v>
      </c>
      <c r="H200" s="41" t="s">
        <v>1266</v>
      </c>
      <c r="I200" s="15" t="s">
        <v>801</v>
      </c>
      <c r="J200" s="42" t="s">
        <v>883</v>
      </c>
      <c r="K200" s="42" t="s">
        <v>883</v>
      </c>
      <c r="L200" s="15" t="s">
        <v>676</v>
      </c>
      <c r="M200" s="15" t="s">
        <v>276</v>
      </c>
      <c r="N200" s="15" t="s">
        <v>295</v>
      </c>
      <c r="O200" s="15" t="s">
        <v>677</v>
      </c>
      <c r="P200" s="15" t="str">
        <f>VLOOKUP(Y200,'All Codes'!$BF$3:$BG$278,2,FALSE)</f>
        <v>Leaderboard</v>
      </c>
      <c r="Q200" s="15" t="s">
        <v>179</v>
      </c>
      <c r="R200" s="15" t="s">
        <v>277</v>
      </c>
      <c r="S200" s="15" t="s">
        <v>874</v>
      </c>
      <c r="T200" s="46" t="s">
        <v>884</v>
      </c>
      <c r="U200" s="15" t="s">
        <v>876</v>
      </c>
      <c r="V200" s="15" t="s">
        <v>1269</v>
      </c>
      <c r="W200" s="15" t="s">
        <v>866</v>
      </c>
      <c r="X200" s="15" t="s">
        <v>307</v>
      </c>
      <c r="Y200" s="46" t="s">
        <v>629</v>
      </c>
      <c r="Z200" s="15"/>
      <c r="AA200" s="15"/>
      <c r="AB200" s="15"/>
      <c r="AC200" s="15"/>
      <c r="AD200" s="15"/>
      <c r="AE200" s="15"/>
      <c r="AF200" s="15"/>
      <c r="AG200" s="15"/>
      <c r="AH200" s="15" t="str">
        <f t="shared" si="97"/>
        <v>284453767</v>
      </c>
      <c r="AI200" s="21" t="str">
        <f t="shared" si="95"/>
        <v>alp_vw_dv360_imc_dsy_lanch_nd_nc_nvs_nivus-launch-consideracao-orca__configuracao_cpm_drct_all_970x250_lancamento-nivus-orca-rmkt-showroom-visitation-nivus-suv-model-intent_na_lancamento-consideracao-nivus-orca_nvl-nvs-imc-dsy-0820-10200</v>
      </c>
      <c r="AJ200" s="40" t="str">
        <f t="shared" si="95"/>
        <v>alp_vw_dv360_imc_dsy_lanch_nd_nc_nvs_nivus-launch-consideracao-orca__configuracao_cpm_drct_all_970x250_lancamento-nivus-orca-rmkt-showroom-visitation-nivus-suv-model-intent_na_lancamento-consideracao-nivus-orca_nvl-nvs-imc-dsy-0820-10200</v>
      </c>
      <c r="AK200" s="21" t="str">
        <f t="shared" si="98"/>
        <v>vw_nivus_970x250_lancamento-consideracao-nivus-orca_adserver</v>
      </c>
      <c r="AL200" s="21" t="str">
        <f t="shared" si="108"/>
        <v>https://www.vw.com.br/pt/configurador.html/__app/%2Fnivus/0.app?adlid=nvl-nvs-imc-dsy-0820-10200&amp;adplt=alp_vw_dv360_imc_dsy_lanch_nd_nc_nvs_nivus-launch-consideracao-orca__configuracao_cpm_drct_all_970x250_lancamento-nivus-orca-rmkt-showroom-visitation-nivus-suv-model-intent_na_lancamento-consideracao-nivus-orca_nvl-nvs-imc-dsy-0820-10200</v>
      </c>
      <c r="AM200" s="21" t="str">
        <f t="shared" si="99"/>
        <v>TAG</v>
      </c>
      <c r="AN200" s="15" t="str">
        <f t="shared" si="109"/>
        <v>DV360</v>
      </c>
      <c r="AO200" s="15" t="str">
        <f t="shared" si="110"/>
        <v>Paid-Display</v>
      </c>
      <c r="AP200" s="21" t="str">
        <f>Campanha!$B$3</f>
        <v>BR_IMC_DSY_LANCH_ND_NC_2020Q3AUG_NVS_Nivus-Launch-Consideracao-Orca</v>
      </c>
      <c r="AQ200" s="21" t="str">
        <f t="shared" si="100"/>
        <v>alp_vw_dv360_imc_dsy_lanch_nd_nc_nvs_nivus-launch-consideracao-orca__configuracao_cpm_drct_all_970x250_lancamento-nivus-orca-rmkt-showroom-visitation-nivus-suv-model-intent_na_lancamento-consideracao-nivus-orca_nvl-nvs-imc-dsy-0820-10200</v>
      </c>
      <c r="AR200" s="15" t="s">
        <v>745</v>
      </c>
      <c r="AS200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showroom-visitation-nivus-suv-model-intent_na_lancamento-consideracao-nivus-orca_nvl-nvs-imc-dsy-0820-10200&amp;utm_campaign=BR_IMC_DSY_LANCH_ND_NC_2020Q3AUG_NVS_Nivus-Launch-Consideracao-Orca&amp;utm_term=%epid!_%ecid!_%eaid!</v>
      </c>
      <c r="AT200" s="15" t="str">
        <f t="shared" si="111"/>
        <v>other</v>
      </c>
      <c r="AU200" s="15" t="str">
        <f t="shared" si="102"/>
        <v>BR</v>
      </c>
      <c r="AV200" s="15" t="str">
        <f t="shared" si="112"/>
        <v>dv360</v>
      </c>
      <c r="AW200" s="15" t="str">
        <f t="shared" si="113"/>
        <v>dv360</v>
      </c>
      <c r="AX200" s="15" t="str">
        <f t="shared" si="103"/>
        <v>nivus-launch-consideracao-orca</v>
      </c>
      <c r="AY200" s="15" t="str">
        <f t="shared" si="114"/>
        <v>alp_vw_dv360_imc_dsy_lanch_nd_nc_nvs_nivus-launch-consideracao-orca__configuracao_cpm_drct_all_970x250_lancamento-nivus-orca-rmkt-showroom-visitation-nivus-suv-model-intent_na_lancamento-consideracao-nivus-orca_nvl-nvs-imc-dsy-0820-10200</v>
      </c>
      <c r="AZ200" s="15" t="str">
        <f t="shared" si="115"/>
        <v>970x250</v>
      </c>
      <c r="BA200" s="15" t="str">
        <f t="shared" si="116"/>
        <v>lancamento-consideracao-nivus-orca</v>
      </c>
      <c r="BB200" s="28" t="s">
        <v>798</v>
      </c>
      <c r="BC200" s="28" t="s">
        <v>798</v>
      </c>
      <c r="BD200" s="38" t="str">
        <f t="shared" si="117"/>
        <v>nvl-nvs-imc-dsy-0820-10200</v>
      </c>
      <c r="BE200" s="15" t="str">
        <f t="shared" si="118"/>
        <v>BR</v>
      </c>
      <c r="BF200" s="15" t="str">
        <f t="shared" si="119"/>
        <v>paid</v>
      </c>
      <c r="BG200" s="28"/>
      <c r="BH200" s="28"/>
      <c r="BI200" s="36" t="str">
        <f t="shared" si="104"/>
        <v>https://www.vw.com.br/pt/configurador.html/__app/%2Fnivus/0.app?adlid=nvl-nvs-imc-dsy-0820-10200&amp;adplt=alp_vw_dv360_imc_dsy_lanch_nd_nc_nvs_nivus-launch-consideracao-orca__configuracao_cpm_drct_all_970x250_lancamento-nivus-orca-rmkt-showroom-visitation-nivus-suv-model-intent_na_lancamento-consideracao-nivus-orca_nvl-nvs-imc-dsy-0820-10200</v>
      </c>
      <c r="BL200" t="str">
        <f t="shared" si="105"/>
        <v>alp_vw_dv360_imc_dsy_lanch_nd_nc_nvs_nivus-launch-consideracao-orca__configuracao</v>
      </c>
      <c r="BM200" t="str">
        <f t="shared" si="106"/>
        <v>cpm_drct_all_970x250_lancamento-nivus-orca-rmkt-showroom-visitation-nivus-suv-model-intent_na</v>
      </c>
      <c r="BN200" t="str">
        <f t="shared" si="107"/>
        <v>alp_vw_dv360_imc_dsy_lanch_nd_nc_nvs_nivus-launch-consideracao-orca__configuracao_cpm_drct_all_970x250_lancamento-nivus-orca-rmkt-showroom-visitation-nivus-suv-model-intent_na_generico_nvl-nvs-imc-dsy-0820-10200</v>
      </c>
    </row>
    <row r="201" spans="2:66" ht="15.75" customHeight="1" x14ac:dyDescent="0.25">
      <c r="B201" s="15" t="s">
        <v>1291</v>
      </c>
      <c r="C201" s="15" t="s">
        <v>1477</v>
      </c>
      <c r="D201" s="15"/>
      <c r="E201" s="22">
        <v>44069</v>
      </c>
      <c r="F201" s="22">
        <v>44135</v>
      </c>
      <c r="G201" s="15" t="s">
        <v>651</v>
      </c>
      <c r="H201" s="41" t="s">
        <v>1266</v>
      </c>
      <c r="I201" s="15" t="s">
        <v>801</v>
      </c>
      <c r="J201" s="42" t="s">
        <v>883</v>
      </c>
      <c r="K201" s="42" t="s">
        <v>883</v>
      </c>
      <c r="L201" s="15" t="s">
        <v>676</v>
      </c>
      <c r="M201" s="15" t="s">
        <v>276</v>
      </c>
      <c r="N201" s="15" t="s">
        <v>295</v>
      </c>
      <c r="O201" s="15" t="s">
        <v>677</v>
      </c>
      <c r="P201" s="15" t="str">
        <f>VLOOKUP(Y201,'All Codes'!$BF$3:$BG$278,2,FALSE)</f>
        <v>MPU</v>
      </c>
      <c r="Q201" s="15" t="s">
        <v>179</v>
      </c>
      <c r="R201" s="15" t="s">
        <v>277</v>
      </c>
      <c r="S201" s="15" t="s">
        <v>874</v>
      </c>
      <c r="T201" s="46" t="s">
        <v>884</v>
      </c>
      <c r="U201" s="15" t="s">
        <v>876</v>
      </c>
      <c r="V201" s="15" t="s">
        <v>1270</v>
      </c>
      <c r="W201" s="15" t="s">
        <v>866</v>
      </c>
      <c r="X201" s="15" t="s">
        <v>307</v>
      </c>
      <c r="Y201" s="46" t="s">
        <v>461</v>
      </c>
      <c r="Z201" s="15"/>
      <c r="AA201" s="15"/>
      <c r="AB201" s="15"/>
      <c r="AC201" s="15"/>
      <c r="AD201" s="15"/>
      <c r="AE201" s="15"/>
      <c r="AF201" s="15"/>
      <c r="AG201" s="15"/>
      <c r="AH201" s="15" t="str">
        <f t="shared" si="97"/>
        <v>284453764</v>
      </c>
      <c r="AI201" s="21" t="str">
        <f t="shared" si="95"/>
        <v>alp_vw_dv360_imc_dsy_lanch_nd_nc_nvs_nivus-launch-consideracao-orca__configuracao_cpm_drct_all_300x50_lancamento-nivus-orca-rmkt-showroom-visitation-nivus-suv-model-interest_na_lancamento-consideracao-nivus-orca_nvl-nvs-imc-dsy-0820-10201</v>
      </c>
      <c r="AJ201" s="40" t="str">
        <f t="shared" si="95"/>
        <v>alp_vw_dv360_imc_dsy_lanch_nd_nc_nvs_nivus-launch-consideracao-orca__configuracao_cpm_drct_all_300x50_lancamento-nivus-orca-rmkt-showroom-visitation-nivus-suv-model-interest_na_lancamento-consideracao-nivus-orca_nvl-nvs-imc-dsy-0820-10201</v>
      </c>
      <c r="AK201" s="21" t="str">
        <f t="shared" si="98"/>
        <v>vw_nivus_300x50_lancamento-consideracao-nivus-orca_adserver</v>
      </c>
      <c r="AL201" s="21" t="str">
        <f t="shared" si="108"/>
        <v>https://www.vw.com.br/pt/configurador.html/__app/%2Fnivus/0.app?adlid=nvl-nvs-imc-dsy-0820-10201&amp;adplt=alp_vw_dv360_imc_dsy_lanch_nd_nc_nvs_nivus-launch-consideracao-orca__configuracao_cpm_drct_all_300x50_lancamento-nivus-orca-rmkt-showroom-visitation-nivus-suv-model-interest_na_lancamento-consideracao-nivus-orca_nvl-nvs-imc-dsy-0820-10201</v>
      </c>
      <c r="AM201" s="21" t="str">
        <f t="shared" si="99"/>
        <v>TAG</v>
      </c>
      <c r="AN201" s="15" t="str">
        <f t="shared" si="109"/>
        <v>DV360</v>
      </c>
      <c r="AO201" s="15" t="str">
        <f t="shared" si="110"/>
        <v>Paid-Display</v>
      </c>
      <c r="AP201" s="21" t="str">
        <f>Campanha!$B$3</f>
        <v>BR_IMC_DSY_LANCH_ND_NC_2020Q3AUG_NVS_Nivus-Launch-Consideracao-Orca</v>
      </c>
      <c r="AQ201" s="21" t="str">
        <f t="shared" si="100"/>
        <v>alp_vw_dv360_imc_dsy_lanch_nd_nc_nvs_nivus-launch-consideracao-orca__configuracao_cpm_drct_all_300x50_lancamento-nivus-orca-rmkt-showroom-visitation-nivus-suv-model-interest_na_lancamento-consideracao-nivus-orca_nvl-nvs-imc-dsy-0820-10201</v>
      </c>
      <c r="AR201" s="15" t="s">
        <v>745</v>
      </c>
      <c r="AS201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50_lancamento-nivus-orca-rmkt-showroom-visitation-nivus-suv-model-interest_na_lancamento-consideracao-nivus-orca_nvl-nvs-imc-dsy-0820-10201&amp;utm_campaign=BR_IMC_DSY_LANCH_ND_NC_2020Q3AUG_NVS_Nivus-Launch-Consideracao-Orca&amp;utm_term=%epid!_%ecid!_%eaid!</v>
      </c>
      <c r="AT201" s="15" t="str">
        <f t="shared" si="111"/>
        <v>other</v>
      </c>
      <c r="AU201" s="15" t="str">
        <f t="shared" si="102"/>
        <v>BR</v>
      </c>
      <c r="AV201" s="15" t="str">
        <f t="shared" si="112"/>
        <v>dv360</v>
      </c>
      <c r="AW201" s="15" t="str">
        <f t="shared" si="113"/>
        <v>dv360</v>
      </c>
      <c r="AX201" s="15" t="str">
        <f t="shared" si="103"/>
        <v>nivus-launch-consideracao-orca</v>
      </c>
      <c r="AY201" s="15" t="str">
        <f t="shared" si="114"/>
        <v>alp_vw_dv360_imc_dsy_lanch_nd_nc_nvs_nivus-launch-consideracao-orca__configuracao_cpm_drct_all_300x50_lancamento-nivus-orca-rmkt-showroom-visitation-nivus-suv-model-interest_na_lancamento-consideracao-nivus-orca_nvl-nvs-imc-dsy-0820-10201</v>
      </c>
      <c r="AZ201" s="15" t="str">
        <f t="shared" si="115"/>
        <v>300x50</v>
      </c>
      <c r="BA201" s="15" t="str">
        <f t="shared" si="116"/>
        <v>lancamento-consideracao-nivus-orca</v>
      </c>
      <c r="BB201" s="28" t="s">
        <v>798</v>
      </c>
      <c r="BC201" s="28" t="s">
        <v>798</v>
      </c>
      <c r="BD201" s="38" t="str">
        <f t="shared" si="117"/>
        <v>nvl-nvs-imc-dsy-0820-10201</v>
      </c>
      <c r="BE201" s="15" t="str">
        <f t="shared" si="118"/>
        <v>BR</v>
      </c>
      <c r="BF201" s="15" t="str">
        <f t="shared" si="119"/>
        <v>paid</v>
      </c>
      <c r="BG201" s="28"/>
      <c r="BH201" s="28"/>
      <c r="BI201" s="36" t="str">
        <f t="shared" si="104"/>
        <v>https://www.vw.com.br/pt/configurador.html/__app/%2Fnivus/0.app?adlid=nvl-nvs-imc-dsy-0820-10201&amp;adplt=alp_vw_dv360_imc_dsy_lanch_nd_nc_nvs_nivus-launch-consideracao-orca__configuracao_cpm_drct_all_300x50_lancamento-nivus-orca-rmkt-showroom-visitation-nivus-suv-model-interest_na_lancamento-consideracao-nivus-orca_nvl-nvs-imc-dsy-0820-10201</v>
      </c>
      <c r="BL201" t="str">
        <f t="shared" si="105"/>
        <v>alp_vw_dv360_imc_dsy_lanch_nd_nc_nvs_nivus-launch-consideracao-orca__configuracao</v>
      </c>
      <c r="BM201" t="str">
        <f t="shared" si="106"/>
        <v>cpm_drct_all_300x50_lancamento-nivus-orca-rmkt-showroom-visitation-nivus-suv-model-interest_na</v>
      </c>
      <c r="BN201" t="str">
        <f t="shared" si="107"/>
        <v>alp_vw_dv360_imc_dsy_lanch_nd_nc_nvs_nivus-launch-consideracao-orca__configuracao_cpm_drct_all_300x50_lancamento-nivus-orca-rmkt-showroom-visitation-nivus-suv-model-interest_na_generico_nvl-nvs-imc-dsy-0820-10201</v>
      </c>
    </row>
    <row r="202" spans="2:66" ht="15.75" customHeight="1" x14ac:dyDescent="0.25">
      <c r="B202" s="15" t="s">
        <v>1291</v>
      </c>
      <c r="C202" s="15" t="s">
        <v>1477</v>
      </c>
      <c r="D202" s="15"/>
      <c r="E202" s="22">
        <v>44069</v>
      </c>
      <c r="F202" s="22">
        <v>44135</v>
      </c>
      <c r="G202" s="15" t="s">
        <v>651</v>
      </c>
      <c r="H202" s="41" t="s">
        <v>1266</v>
      </c>
      <c r="I202" s="15" t="s">
        <v>801</v>
      </c>
      <c r="J202" s="42" t="s">
        <v>883</v>
      </c>
      <c r="K202" s="42" t="s">
        <v>883</v>
      </c>
      <c r="L202" s="15" t="s">
        <v>676</v>
      </c>
      <c r="M202" s="15" t="s">
        <v>276</v>
      </c>
      <c r="N202" s="15" t="s">
        <v>295</v>
      </c>
      <c r="O202" s="15" t="s">
        <v>677</v>
      </c>
      <c r="P202" s="15" t="str">
        <f>VLOOKUP(Y202,'All Codes'!$BF$3:$BG$278,2,FALSE)</f>
        <v>Skyscraper</v>
      </c>
      <c r="Q202" s="15" t="s">
        <v>179</v>
      </c>
      <c r="R202" s="15" t="s">
        <v>277</v>
      </c>
      <c r="S202" s="15" t="s">
        <v>874</v>
      </c>
      <c r="T202" s="46" t="s">
        <v>884</v>
      </c>
      <c r="U202" s="15" t="s">
        <v>876</v>
      </c>
      <c r="V202" s="15" t="s">
        <v>1270</v>
      </c>
      <c r="W202" s="15" t="s">
        <v>866</v>
      </c>
      <c r="X202" s="15" t="s">
        <v>307</v>
      </c>
      <c r="Y202" s="46" t="s">
        <v>434</v>
      </c>
      <c r="Z202" s="15"/>
      <c r="AA202" s="15"/>
      <c r="AB202" s="15"/>
      <c r="AC202" s="15"/>
      <c r="AD202" s="15"/>
      <c r="AE202" s="15"/>
      <c r="AF202" s="15"/>
      <c r="AG202" s="15"/>
      <c r="AH202" s="15" t="str">
        <f t="shared" si="97"/>
        <v>284453761</v>
      </c>
      <c r="AI202" s="21" t="str">
        <f t="shared" si="95"/>
        <v>alp_vw_dv360_imc_dsy_lanch_nd_nc_nvs_nivus-launch-consideracao-orca__configuracao_cpm_drct_all_160x600_lancamento-nivus-orca-rmkt-showroom-visitation-nivus-suv-model-interest_na_lancamento-consideracao-nivus-orca_nvl-nvs-imc-dsy-0820-10202</v>
      </c>
      <c r="AJ202" s="40" t="str">
        <f t="shared" si="95"/>
        <v>alp_vw_dv360_imc_dsy_lanch_nd_nc_nvs_nivus-launch-consideracao-orca__configuracao_cpm_drct_all_160x600_lancamento-nivus-orca-rmkt-showroom-visitation-nivus-suv-model-interest_na_lancamento-consideracao-nivus-orca_nvl-nvs-imc-dsy-0820-10202</v>
      </c>
      <c r="AK202" s="21" t="str">
        <f t="shared" si="98"/>
        <v>vw_nivus_160x600_lancamento-consideracao-nivus-orca_adserver</v>
      </c>
      <c r="AL202" s="21" t="str">
        <f t="shared" si="108"/>
        <v>https://www.vw.com.br/pt/configurador.html/__app/%2Fnivus/0.app?adlid=nvl-nvs-imc-dsy-0820-10202&amp;adplt=alp_vw_dv360_imc_dsy_lanch_nd_nc_nvs_nivus-launch-consideracao-orca__configuracao_cpm_drct_all_160x600_lancamento-nivus-orca-rmkt-showroom-visitation-nivus-suv-model-interest_na_lancamento-consideracao-nivus-orca_nvl-nvs-imc-dsy-0820-10202</v>
      </c>
      <c r="AM202" s="21" t="str">
        <f t="shared" si="99"/>
        <v>TAG</v>
      </c>
      <c r="AN202" s="15" t="str">
        <f t="shared" si="109"/>
        <v>DV360</v>
      </c>
      <c r="AO202" s="15" t="str">
        <f t="shared" si="110"/>
        <v>Paid-Display</v>
      </c>
      <c r="AP202" s="21" t="str">
        <f>Campanha!$B$3</f>
        <v>BR_IMC_DSY_LANCH_ND_NC_2020Q3AUG_NVS_Nivus-Launch-Consideracao-Orca</v>
      </c>
      <c r="AQ202" s="21" t="str">
        <f t="shared" si="100"/>
        <v>alp_vw_dv360_imc_dsy_lanch_nd_nc_nvs_nivus-launch-consideracao-orca__configuracao_cpm_drct_all_160x600_lancamento-nivus-orca-rmkt-showroom-visitation-nivus-suv-model-interest_na_lancamento-consideracao-nivus-orca_nvl-nvs-imc-dsy-0820-10202</v>
      </c>
      <c r="AR202" s="15" t="s">
        <v>745</v>
      </c>
      <c r="AS202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160x600_lancamento-nivus-orca-rmkt-showroom-visitation-nivus-suv-model-interest_na_lancamento-consideracao-nivus-orca_nvl-nvs-imc-dsy-0820-10202&amp;utm_campaign=BR_IMC_DSY_LANCH_ND_NC_2020Q3AUG_NVS_Nivus-Launch-Consideracao-Orca&amp;utm_term=%epid!_%ecid!_%eaid!</v>
      </c>
      <c r="AT202" s="15" t="str">
        <f t="shared" si="111"/>
        <v>other</v>
      </c>
      <c r="AU202" s="15" t="str">
        <f t="shared" si="102"/>
        <v>BR</v>
      </c>
      <c r="AV202" s="15" t="str">
        <f t="shared" si="112"/>
        <v>dv360</v>
      </c>
      <c r="AW202" s="15" t="str">
        <f t="shared" si="113"/>
        <v>dv360</v>
      </c>
      <c r="AX202" s="15" t="str">
        <f t="shared" si="103"/>
        <v>nivus-launch-consideracao-orca</v>
      </c>
      <c r="AY202" s="15" t="str">
        <f t="shared" si="114"/>
        <v>alp_vw_dv360_imc_dsy_lanch_nd_nc_nvs_nivus-launch-consideracao-orca__configuracao_cpm_drct_all_160x600_lancamento-nivus-orca-rmkt-showroom-visitation-nivus-suv-model-interest_na_lancamento-consideracao-nivus-orca_nvl-nvs-imc-dsy-0820-10202</v>
      </c>
      <c r="AZ202" s="15" t="str">
        <f t="shared" si="115"/>
        <v>160x600</v>
      </c>
      <c r="BA202" s="15" t="str">
        <f t="shared" si="116"/>
        <v>lancamento-consideracao-nivus-orca</v>
      </c>
      <c r="BB202" s="28" t="s">
        <v>798</v>
      </c>
      <c r="BC202" s="28" t="s">
        <v>798</v>
      </c>
      <c r="BD202" s="38" t="str">
        <f t="shared" si="117"/>
        <v>nvl-nvs-imc-dsy-0820-10202</v>
      </c>
      <c r="BE202" s="15" t="str">
        <f t="shared" si="118"/>
        <v>BR</v>
      </c>
      <c r="BF202" s="15" t="str">
        <f t="shared" si="119"/>
        <v>paid</v>
      </c>
      <c r="BG202" s="28"/>
      <c r="BH202" s="28"/>
      <c r="BI202" s="36" t="str">
        <f t="shared" si="104"/>
        <v>https://www.vw.com.br/pt/configurador.html/__app/%2Fnivus/0.app?adlid=nvl-nvs-imc-dsy-0820-10202&amp;adplt=alp_vw_dv360_imc_dsy_lanch_nd_nc_nvs_nivus-launch-consideracao-orca__configuracao_cpm_drct_all_160x600_lancamento-nivus-orca-rmkt-showroom-visitation-nivus-suv-model-interest_na_lancamento-consideracao-nivus-orca_nvl-nvs-imc-dsy-0820-10202</v>
      </c>
      <c r="BL202" t="str">
        <f t="shared" si="105"/>
        <v>alp_vw_dv360_imc_dsy_lanch_nd_nc_nvs_nivus-launch-consideracao-orca__configuracao</v>
      </c>
      <c r="BM202" t="str">
        <f t="shared" si="106"/>
        <v>cpm_drct_all_160x600_lancamento-nivus-orca-rmkt-showroom-visitation-nivus-suv-model-interest_na</v>
      </c>
      <c r="BN202" t="str">
        <f t="shared" si="107"/>
        <v>alp_vw_dv360_imc_dsy_lanch_nd_nc_nvs_nivus-launch-consideracao-orca__configuracao_cpm_drct_all_160x600_lancamento-nivus-orca-rmkt-showroom-visitation-nivus-suv-model-interest_na_generico_nvl-nvs-imc-dsy-0820-10202</v>
      </c>
    </row>
    <row r="203" spans="2:66" ht="15.75" customHeight="1" x14ac:dyDescent="0.25">
      <c r="B203" s="15" t="s">
        <v>1291</v>
      </c>
      <c r="C203" s="15" t="s">
        <v>1477</v>
      </c>
      <c r="D203" s="15"/>
      <c r="E203" s="22">
        <v>44069</v>
      </c>
      <c r="F203" s="22">
        <v>44135</v>
      </c>
      <c r="G203" s="15" t="s">
        <v>651</v>
      </c>
      <c r="H203" s="41" t="s">
        <v>1266</v>
      </c>
      <c r="I203" s="15" t="s">
        <v>801</v>
      </c>
      <c r="J203" s="42" t="s">
        <v>883</v>
      </c>
      <c r="K203" s="42" t="s">
        <v>883</v>
      </c>
      <c r="L203" s="15" t="s">
        <v>676</v>
      </c>
      <c r="M203" s="15" t="s">
        <v>276</v>
      </c>
      <c r="N203" s="15" t="s">
        <v>295</v>
      </c>
      <c r="O203" s="15" t="s">
        <v>677</v>
      </c>
      <c r="P203" s="15" t="str">
        <f>VLOOKUP(Y203,'All Codes'!$BF$3:$BG$278,2,FALSE)</f>
        <v>MPU</v>
      </c>
      <c r="Q203" s="15" t="s">
        <v>179</v>
      </c>
      <c r="R203" s="15" t="s">
        <v>277</v>
      </c>
      <c r="S203" s="15" t="s">
        <v>874</v>
      </c>
      <c r="T203" s="46" t="s">
        <v>884</v>
      </c>
      <c r="U203" s="15" t="s">
        <v>876</v>
      </c>
      <c r="V203" s="15" t="s">
        <v>1270</v>
      </c>
      <c r="W203" s="15" t="s">
        <v>866</v>
      </c>
      <c r="X203" s="15" t="s">
        <v>307</v>
      </c>
      <c r="Y203" s="46" t="s">
        <v>455</v>
      </c>
      <c r="Z203" s="15"/>
      <c r="AA203" s="15"/>
      <c r="AB203" s="15"/>
      <c r="AC203" s="15"/>
      <c r="AD203" s="15"/>
      <c r="AE203" s="15"/>
      <c r="AF203" s="15"/>
      <c r="AG203" s="15"/>
      <c r="AH203" s="15" t="str">
        <f t="shared" si="97"/>
        <v>284453758</v>
      </c>
      <c r="AI203" s="21" t="str">
        <f t="shared" si="95"/>
        <v>alp_vw_dv360_imc_dsy_lanch_nd_nc_nvs_nivus-launch-consideracao-orca__configuracao_cpm_drct_all_300x250_lancamento-nivus-orca-rmkt-showroom-visitation-nivus-suv-model-interest_na_lancamento-consideracao-nivus-orca_nvl-nvs-imc-dsy-0820-10203</v>
      </c>
      <c r="AJ203" s="40" t="str">
        <f t="shared" si="95"/>
        <v>alp_vw_dv360_imc_dsy_lanch_nd_nc_nvs_nivus-launch-consideracao-orca__configuracao_cpm_drct_all_300x250_lancamento-nivus-orca-rmkt-showroom-visitation-nivus-suv-model-interest_na_lancamento-consideracao-nivus-orca_nvl-nvs-imc-dsy-0820-10203</v>
      </c>
      <c r="AK203" s="21" t="str">
        <f t="shared" si="98"/>
        <v>vw_nivus_300x250_lancamento-consideracao-nivus-orca_adserver</v>
      </c>
      <c r="AL203" s="21" t="str">
        <f t="shared" si="108"/>
        <v>https://www.vw.com.br/pt/configurador.html/__app/%2Fnivus/0.app?adlid=nvl-nvs-imc-dsy-0820-10203&amp;adplt=alp_vw_dv360_imc_dsy_lanch_nd_nc_nvs_nivus-launch-consideracao-orca__configuracao_cpm_drct_all_300x250_lancamento-nivus-orca-rmkt-showroom-visitation-nivus-suv-model-interest_na_lancamento-consideracao-nivus-orca_nvl-nvs-imc-dsy-0820-10203</v>
      </c>
      <c r="AM203" s="21" t="str">
        <f t="shared" si="99"/>
        <v>TAG</v>
      </c>
      <c r="AN203" s="15" t="str">
        <f t="shared" si="109"/>
        <v>DV360</v>
      </c>
      <c r="AO203" s="15" t="str">
        <f t="shared" si="110"/>
        <v>Paid-Display</v>
      </c>
      <c r="AP203" s="21" t="str">
        <f>Campanha!$B$3</f>
        <v>BR_IMC_DSY_LANCH_ND_NC_2020Q3AUG_NVS_Nivus-Launch-Consideracao-Orca</v>
      </c>
      <c r="AQ203" s="21" t="str">
        <f t="shared" si="100"/>
        <v>alp_vw_dv360_imc_dsy_lanch_nd_nc_nvs_nivus-launch-consideracao-orca__configuracao_cpm_drct_all_300x250_lancamento-nivus-orca-rmkt-showroom-visitation-nivus-suv-model-interest_na_lancamento-consideracao-nivus-orca_nvl-nvs-imc-dsy-0820-10203</v>
      </c>
      <c r="AR203" s="15" t="s">
        <v>745</v>
      </c>
      <c r="AS203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250_lancamento-nivus-orca-rmkt-showroom-visitation-nivus-suv-model-interest_na_lancamento-consideracao-nivus-orca_nvl-nvs-imc-dsy-0820-10203&amp;utm_campaign=BR_IMC_DSY_LANCH_ND_NC_2020Q3AUG_NVS_Nivus-Launch-Consideracao-Orca&amp;utm_term=%epid!_%ecid!_%eaid!</v>
      </c>
      <c r="AT203" s="15" t="str">
        <f t="shared" si="111"/>
        <v>other</v>
      </c>
      <c r="AU203" s="15" t="str">
        <f t="shared" si="102"/>
        <v>BR</v>
      </c>
      <c r="AV203" s="15" t="str">
        <f t="shared" si="112"/>
        <v>dv360</v>
      </c>
      <c r="AW203" s="15" t="str">
        <f t="shared" si="113"/>
        <v>dv360</v>
      </c>
      <c r="AX203" s="15" t="str">
        <f t="shared" si="103"/>
        <v>nivus-launch-consideracao-orca</v>
      </c>
      <c r="AY203" s="15" t="str">
        <f t="shared" si="114"/>
        <v>alp_vw_dv360_imc_dsy_lanch_nd_nc_nvs_nivus-launch-consideracao-orca__configuracao_cpm_drct_all_300x250_lancamento-nivus-orca-rmkt-showroom-visitation-nivus-suv-model-interest_na_lancamento-consideracao-nivus-orca_nvl-nvs-imc-dsy-0820-10203</v>
      </c>
      <c r="AZ203" s="15" t="str">
        <f t="shared" si="115"/>
        <v>300x250</v>
      </c>
      <c r="BA203" s="15" t="str">
        <f t="shared" si="116"/>
        <v>lancamento-consideracao-nivus-orca</v>
      </c>
      <c r="BB203" s="28" t="s">
        <v>798</v>
      </c>
      <c r="BC203" s="28" t="s">
        <v>798</v>
      </c>
      <c r="BD203" s="38" t="str">
        <f t="shared" si="117"/>
        <v>nvl-nvs-imc-dsy-0820-10203</v>
      </c>
      <c r="BE203" s="15" t="str">
        <f t="shared" si="118"/>
        <v>BR</v>
      </c>
      <c r="BF203" s="15" t="str">
        <f t="shared" si="119"/>
        <v>paid</v>
      </c>
      <c r="BG203" s="28"/>
      <c r="BH203" s="28"/>
      <c r="BI203" s="36" t="str">
        <f t="shared" si="104"/>
        <v>https://www.vw.com.br/pt/configurador.html/__app/%2Fnivus/0.app?adlid=nvl-nvs-imc-dsy-0820-10203&amp;adplt=alp_vw_dv360_imc_dsy_lanch_nd_nc_nvs_nivus-launch-consideracao-orca__configuracao_cpm_drct_all_300x250_lancamento-nivus-orca-rmkt-showroom-visitation-nivus-suv-model-interest_na_lancamento-consideracao-nivus-orca_nvl-nvs-imc-dsy-0820-10203</v>
      </c>
      <c r="BL203" t="str">
        <f t="shared" si="105"/>
        <v>alp_vw_dv360_imc_dsy_lanch_nd_nc_nvs_nivus-launch-consideracao-orca__configuracao</v>
      </c>
      <c r="BM203" t="str">
        <f t="shared" si="106"/>
        <v>cpm_drct_all_300x250_lancamento-nivus-orca-rmkt-showroom-visitation-nivus-suv-model-interest_na</v>
      </c>
      <c r="BN203" t="str">
        <f t="shared" si="107"/>
        <v>alp_vw_dv360_imc_dsy_lanch_nd_nc_nvs_nivus-launch-consideracao-orca__configuracao_cpm_drct_all_300x250_lancamento-nivus-orca-rmkt-showroom-visitation-nivus-suv-model-interest_na_generico_nvl-nvs-imc-dsy-0820-10203</v>
      </c>
    </row>
    <row r="204" spans="2:66" ht="15.75" customHeight="1" x14ac:dyDescent="0.25">
      <c r="B204" s="15" t="s">
        <v>1291</v>
      </c>
      <c r="C204" s="15" t="s">
        <v>1477</v>
      </c>
      <c r="D204" s="15"/>
      <c r="E204" s="22">
        <v>44069</v>
      </c>
      <c r="F204" s="22">
        <v>44135</v>
      </c>
      <c r="G204" s="15" t="s">
        <v>651</v>
      </c>
      <c r="H204" s="41" t="s">
        <v>1266</v>
      </c>
      <c r="I204" s="15" t="s">
        <v>801</v>
      </c>
      <c r="J204" s="42" t="s">
        <v>883</v>
      </c>
      <c r="K204" s="42" t="s">
        <v>883</v>
      </c>
      <c r="L204" s="15" t="s">
        <v>676</v>
      </c>
      <c r="M204" s="15" t="s">
        <v>276</v>
      </c>
      <c r="N204" s="15" t="s">
        <v>295</v>
      </c>
      <c r="O204" s="15" t="s">
        <v>677</v>
      </c>
      <c r="P204" s="15" t="str">
        <f>VLOOKUP(Y204,'All Codes'!$BF$3:$BG$278,2,FALSE)</f>
        <v>Skyscraper</v>
      </c>
      <c r="Q204" s="15" t="s">
        <v>179</v>
      </c>
      <c r="R204" s="15" t="s">
        <v>277</v>
      </c>
      <c r="S204" s="15" t="s">
        <v>874</v>
      </c>
      <c r="T204" s="46" t="s">
        <v>884</v>
      </c>
      <c r="U204" s="15" t="s">
        <v>876</v>
      </c>
      <c r="V204" s="15" t="s">
        <v>1270</v>
      </c>
      <c r="W204" s="15" t="s">
        <v>866</v>
      </c>
      <c r="X204" s="15" t="s">
        <v>307</v>
      </c>
      <c r="Y204" s="46" t="s">
        <v>464</v>
      </c>
      <c r="Z204" s="15"/>
      <c r="AA204" s="15"/>
      <c r="AB204" s="15"/>
      <c r="AC204" s="15"/>
      <c r="AD204" s="15"/>
      <c r="AE204" s="15"/>
      <c r="AF204" s="15"/>
      <c r="AG204" s="15"/>
      <c r="AH204" s="15" t="str">
        <f t="shared" si="97"/>
        <v>284453755</v>
      </c>
      <c r="AI204" s="21" t="str">
        <f t="shared" si="95"/>
        <v>alp_vw_dv360_imc_dsy_lanch_nd_nc_nvs_nivus-launch-consideracao-orca__configuracao_cpm_drct_all_300x600_lancamento-nivus-orca-rmkt-showroom-visitation-nivus-suv-model-interest_na_lancamento-consideracao-nivus-orca_nvl-nvs-imc-dsy-0820-10204</v>
      </c>
      <c r="AJ204" s="40" t="str">
        <f t="shared" si="95"/>
        <v>alp_vw_dv360_imc_dsy_lanch_nd_nc_nvs_nivus-launch-consideracao-orca__configuracao_cpm_drct_all_300x600_lancamento-nivus-orca-rmkt-showroom-visitation-nivus-suv-model-interest_na_lancamento-consideracao-nivus-orca_nvl-nvs-imc-dsy-0820-10204</v>
      </c>
      <c r="AK204" s="21" t="str">
        <f t="shared" si="98"/>
        <v>vw_nivus_300x600_lancamento-consideracao-nivus-orca_adserver</v>
      </c>
      <c r="AL204" s="21" t="str">
        <f t="shared" si="108"/>
        <v>https://www.vw.com.br/pt/configurador.html/__app/%2Fnivus/0.app?adlid=nvl-nvs-imc-dsy-0820-10204&amp;adplt=alp_vw_dv360_imc_dsy_lanch_nd_nc_nvs_nivus-launch-consideracao-orca__configuracao_cpm_drct_all_300x600_lancamento-nivus-orca-rmkt-showroom-visitation-nivus-suv-model-interest_na_lancamento-consideracao-nivus-orca_nvl-nvs-imc-dsy-0820-10204</v>
      </c>
      <c r="AM204" s="21" t="str">
        <f t="shared" si="99"/>
        <v>TAG</v>
      </c>
      <c r="AN204" s="15" t="str">
        <f t="shared" si="109"/>
        <v>DV360</v>
      </c>
      <c r="AO204" s="15" t="str">
        <f t="shared" si="110"/>
        <v>Paid-Display</v>
      </c>
      <c r="AP204" s="21" t="str">
        <f>Campanha!$B$3</f>
        <v>BR_IMC_DSY_LANCH_ND_NC_2020Q3AUG_NVS_Nivus-Launch-Consideracao-Orca</v>
      </c>
      <c r="AQ204" s="21" t="str">
        <f t="shared" si="100"/>
        <v>alp_vw_dv360_imc_dsy_lanch_nd_nc_nvs_nivus-launch-consideracao-orca__configuracao_cpm_drct_all_300x600_lancamento-nivus-orca-rmkt-showroom-visitation-nivus-suv-model-interest_na_lancamento-consideracao-nivus-orca_nvl-nvs-imc-dsy-0820-10204</v>
      </c>
      <c r="AR204" s="15" t="s">
        <v>745</v>
      </c>
      <c r="AS204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600_lancamento-nivus-orca-rmkt-showroom-visitation-nivus-suv-model-interest_na_lancamento-consideracao-nivus-orca_nvl-nvs-imc-dsy-0820-10204&amp;utm_campaign=BR_IMC_DSY_LANCH_ND_NC_2020Q3AUG_NVS_Nivus-Launch-Consideracao-Orca&amp;utm_term=%epid!_%ecid!_%eaid!</v>
      </c>
      <c r="AT204" s="15" t="str">
        <f t="shared" si="111"/>
        <v>other</v>
      </c>
      <c r="AU204" s="15" t="str">
        <f t="shared" si="102"/>
        <v>BR</v>
      </c>
      <c r="AV204" s="15" t="str">
        <f t="shared" si="112"/>
        <v>dv360</v>
      </c>
      <c r="AW204" s="15" t="str">
        <f t="shared" si="113"/>
        <v>dv360</v>
      </c>
      <c r="AX204" s="15" t="str">
        <f t="shared" si="103"/>
        <v>nivus-launch-consideracao-orca</v>
      </c>
      <c r="AY204" s="15" t="str">
        <f t="shared" si="114"/>
        <v>alp_vw_dv360_imc_dsy_lanch_nd_nc_nvs_nivus-launch-consideracao-orca__configuracao_cpm_drct_all_300x600_lancamento-nivus-orca-rmkt-showroom-visitation-nivus-suv-model-interest_na_lancamento-consideracao-nivus-orca_nvl-nvs-imc-dsy-0820-10204</v>
      </c>
      <c r="AZ204" s="15" t="str">
        <f t="shared" si="115"/>
        <v>300x600</v>
      </c>
      <c r="BA204" s="15" t="str">
        <f t="shared" si="116"/>
        <v>lancamento-consideracao-nivus-orca</v>
      </c>
      <c r="BB204" s="28" t="s">
        <v>798</v>
      </c>
      <c r="BC204" s="28" t="s">
        <v>798</v>
      </c>
      <c r="BD204" s="38" t="str">
        <f t="shared" si="117"/>
        <v>nvl-nvs-imc-dsy-0820-10204</v>
      </c>
      <c r="BE204" s="15" t="str">
        <f t="shared" si="118"/>
        <v>BR</v>
      </c>
      <c r="BF204" s="15" t="str">
        <f t="shared" si="119"/>
        <v>paid</v>
      </c>
      <c r="BG204" s="28"/>
      <c r="BH204" s="28"/>
      <c r="BI204" s="36" t="str">
        <f t="shared" si="104"/>
        <v>https://www.vw.com.br/pt/configurador.html/__app/%2Fnivus/0.app?adlid=nvl-nvs-imc-dsy-0820-10204&amp;adplt=alp_vw_dv360_imc_dsy_lanch_nd_nc_nvs_nivus-launch-consideracao-orca__configuracao_cpm_drct_all_300x600_lancamento-nivus-orca-rmkt-showroom-visitation-nivus-suv-model-interest_na_lancamento-consideracao-nivus-orca_nvl-nvs-imc-dsy-0820-10204</v>
      </c>
      <c r="BL204" t="str">
        <f t="shared" si="105"/>
        <v>alp_vw_dv360_imc_dsy_lanch_nd_nc_nvs_nivus-launch-consideracao-orca__configuracao</v>
      </c>
      <c r="BM204" t="str">
        <f t="shared" si="106"/>
        <v>cpm_drct_all_300x600_lancamento-nivus-orca-rmkt-showroom-visitation-nivus-suv-model-interest_na</v>
      </c>
      <c r="BN204" t="str">
        <f t="shared" si="107"/>
        <v>alp_vw_dv360_imc_dsy_lanch_nd_nc_nvs_nivus-launch-consideracao-orca__configuracao_cpm_drct_all_300x600_lancamento-nivus-orca-rmkt-showroom-visitation-nivus-suv-model-interest_na_generico_nvl-nvs-imc-dsy-0820-10204</v>
      </c>
    </row>
    <row r="205" spans="2:66" ht="15.75" customHeight="1" x14ac:dyDescent="0.25">
      <c r="B205" s="15" t="s">
        <v>1291</v>
      </c>
      <c r="C205" s="15" t="s">
        <v>1477</v>
      </c>
      <c r="D205" s="15"/>
      <c r="E205" s="22">
        <v>44069</v>
      </c>
      <c r="F205" s="22">
        <v>44135</v>
      </c>
      <c r="G205" s="15" t="s">
        <v>651</v>
      </c>
      <c r="H205" s="41" t="s">
        <v>1266</v>
      </c>
      <c r="I205" s="15" t="s">
        <v>801</v>
      </c>
      <c r="J205" s="42" t="s">
        <v>883</v>
      </c>
      <c r="K205" s="42" t="s">
        <v>883</v>
      </c>
      <c r="L205" s="15" t="s">
        <v>676</v>
      </c>
      <c r="M205" s="15" t="s">
        <v>276</v>
      </c>
      <c r="N205" s="15" t="s">
        <v>295</v>
      </c>
      <c r="O205" s="15" t="s">
        <v>677</v>
      </c>
      <c r="P205" s="15" t="str">
        <f>VLOOKUP(Y205,'All Codes'!$BF$3:$BG$278,2,FALSE)</f>
        <v>MPU</v>
      </c>
      <c r="Q205" s="15" t="s">
        <v>179</v>
      </c>
      <c r="R205" s="15" t="s">
        <v>277</v>
      </c>
      <c r="S205" s="15" t="s">
        <v>874</v>
      </c>
      <c r="T205" s="46" t="s">
        <v>884</v>
      </c>
      <c r="U205" s="15" t="s">
        <v>876</v>
      </c>
      <c r="V205" s="15" t="s">
        <v>1270</v>
      </c>
      <c r="W205" s="15" t="s">
        <v>866</v>
      </c>
      <c r="X205" s="15" t="s">
        <v>307</v>
      </c>
      <c r="Y205" s="46" t="s">
        <v>479</v>
      </c>
      <c r="Z205" s="15"/>
      <c r="AA205" s="15"/>
      <c r="AB205" s="15"/>
      <c r="AC205" s="15"/>
      <c r="AD205" s="15"/>
      <c r="AE205" s="15"/>
      <c r="AF205" s="15"/>
      <c r="AG205" s="15"/>
      <c r="AH205" s="15" t="str">
        <f t="shared" si="97"/>
        <v>284453752</v>
      </c>
      <c r="AI205" s="21" t="str">
        <f t="shared" si="95"/>
        <v>alp_vw_dv360_imc_dsy_lanch_nd_nc_nvs_nivus-launch-consideracao-orca__configuracao_cpm_drct_all_320x50_lancamento-nivus-orca-rmkt-showroom-visitation-nivus-suv-model-interest_na_lancamento-consideracao-nivus-orca_nvl-nvs-imc-dsy-0820-10205</v>
      </c>
      <c r="AJ205" s="40" t="str">
        <f t="shared" si="95"/>
        <v>alp_vw_dv360_imc_dsy_lanch_nd_nc_nvs_nivus-launch-consideracao-orca__configuracao_cpm_drct_all_320x50_lancamento-nivus-orca-rmkt-showroom-visitation-nivus-suv-model-interest_na_lancamento-consideracao-nivus-orca_nvl-nvs-imc-dsy-0820-10205</v>
      </c>
      <c r="AK205" s="21" t="str">
        <f t="shared" si="98"/>
        <v>vw_nivus_320x50_lancamento-consideracao-nivus-orca_adserver</v>
      </c>
      <c r="AL205" s="21" t="str">
        <f t="shared" si="108"/>
        <v>https://www.vw.com.br/pt/configurador.html/__app/%2Fnivus/0.app?adlid=nvl-nvs-imc-dsy-0820-10205&amp;adplt=alp_vw_dv360_imc_dsy_lanch_nd_nc_nvs_nivus-launch-consideracao-orca__configuracao_cpm_drct_all_320x50_lancamento-nivus-orca-rmkt-showroom-visitation-nivus-suv-model-interest_na_lancamento-consideracao-nivus-orca_nvl-nvs-imc-dsy-0820-10205</v>
      </c>
      <c r="AM205" s="21" t="str">
        <f t="shared" si="99"/>
        <v>TAG</v>
      </c>
      <c r="AN205" s="15" t="str">
        <f t="shared" si="109"/>
        <v>DV360</v>
      </c>
      <c r="AO205" s="15" t="str">
        <f t="shared" si="110"/>
        <v>Paid-Display</v>
      </c>
      <c r="AP205" s="21" t="str">
        <f>Campanha!$B$3</f>
        <v>BR_IMC_DSY_LANCH_ND_NC_2020Q3AUG_NVS_Nivus-Launch-Consideracao-Orca</v>
      </c>
      <c r="AQ205" s="21" t="str">
        <f t="shared" si="100"/>
        <v>alp_vw_dv360_imc_dsy_lanch_nd_nc_nvs_nivus-launch-consideracao-orca__configuracao_cpm_drct_all_320x50_lancamento-nivus-orca-rmkt-showroom-visitation-nivus-suv-model-interest_na_lancamento-consideracao-nivus-orca_nvl-nvs-imc-dsy-0820-10205</v>
      </c>
      <c r="AR205" s="15" t="s">
        <v>745</v>
      </c>
      <c r="AS205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showroom-visitation-nivus-suv-model-interest_na_lancamento-consideracao-nivus-orca_nvl-nvs-imc-dsy-0820-10205&amp;utm_campaign=BR_IMC_DSY_LANCH_ND_NC_2020Q3AUG_NVS_Nivus-Launch-Consideracao-Orca&amp;utm_term=%epid!_%ecid!_%eaid!</v>
      </c>
      <c r="AT205" s="15" t="str">
        <f t="shared" si="111"/>
        <v>other</v>
      </c>
      <c r="AU205" s="15" t="str">
        <f t="shared" si="102"/>
        <v>BR</v>
      </c>
      <c r="AV205" s="15" t="str">
        <f t="shared" si="112"/>
        <v>dv360</v>
      </c>
      <c r="AW205" s="15" t="str">
        <f t="shared" si="113"/>
        <v>dv360</v>
      </c>
      <c r="AX205" s="15" t="str">
        <f t="shared" si="103"/>
        <v>nivus-launch-consideracao-orca</v>
      </c>
      <c r="AY205" s="15" t="str">
        <f t="shared" si="114"/>
        <v>alp_vw_dv360_imc_dsy_lanch_nd_nc_nvs_nivus-launch-consideracao-orca__configuracao_cpm_drct_all_320x50_lancamento-nivus-orca-rmkt-showroom-visitation-nivus-suv-model-interest_na_lancamento-consideracao-nivus-orca_nvl-nvs-imc-dsy-0820-10205</v>
      </c>
      <c r="AZ205" s="15" t="str">
        <f t="shared" si="115"/>
        <v>320x50</v>
      </c>
      <c r="BA205" s="15" t="str">
        <f t="shared" si="116"/>
        <v>lancamento-consideracao-nivus-orca</v>
      </c>
      <c r="BB205" s="28" t="s">
        <v>798</v>
      </c>
      <c r="BC205" s="28" t="s">
        <v>798</v>
      </c>
      <c r="BD205" s="38" t="str">
        <f t="shared" si="117"/>
        <v>nvl-nvs-imc-dsy-0820-10205</v>
      </c>
      <c r="BE205" s="15" t="str">
        <f t="shared" si="118"/>
        <v>BR</v>
      </c>
      <c r="BF205" s="15" t="str">
        <f t="shared" si="119"/>
        <v>paid</v>
      </c>
      <c r="BG205" s="28"/>
      <c r="BH205" s="28"/>
      <c r="BI205" s="36" t="str">
        <f t="shared" si="104"/>
        <v>https://www.vw.com.br/pt/configurador.html/__app/%2Fnivus/0.app?adlid=nvl-nvs-imc-dsy-0820-10205&amp;adplt=alp_vw_dv360_imc_dsy_lanch_nd_nc_nvs_nivus-launch-consideracao-orca__configuracao_cpm_drct_all_320x50_lancamento-nivus-orca-rmkt-showroom-visitation-nivus-suv-model-interest_na_lancamento-consideracao-nivus-orca_nvl-nvs-imc-dsy-0820-10205</v>
      </c>
      <c r="BL205" t="str">
        <f t="shared" si="105"/>
        <v>alp_vw_dv360_imc_dsy_lanch_nd_nc_nvs_nivus-launch-consideracao-orca__configuracao</v>
      </c>
      <c r="BM205" t="str">
        <f t="shared" si="106"/>
        <v>cpm_drct_all_320x50_lancamento-nivus-orca-rmkt-showroom-visitation-nivus-suv-model-interest_na</v>
      </c>
      <c r="BN205" t="str">
        <f t="shared" si="107"/>
        <v>alp_vw_dv360_imc_dsy_lanch_nd_nc_nvs_nivus-launch-consideracao-orca__configuracao_cpm_drct_all_320x50_lancamento-nivus-orca-rmkt-showroom-visitation-nivus-suv-model-interest_na_generico_nvl-nvs-imc-dsy-0820-10205</v>
      </c>
    </row>
    <row r="206" spans="2:66" ht="15.75" customHeight="1" x14ac:dyDescent="0.25">
      <c r="B206" s="15" t="s">
        <v>1291</v>
      </c>
      <c r="C206" s="15" t="s">
        <v>1477</v>
      </c>
      <c r="D206" s="15"/>
      <c r="E206" s="22">
        <v>44069</v>
      </c>
      <c r="F206" s="22">
        <v>44135</v>
      </c>
      <c r="G206" s="15" t="s">
        <v>651</v>
      </c>
      <c r="H206" s="41" t="s">
        <v>1266</v>
      </c>
      <c r="I206" s="15" t="s">
        <v>801</v>
      </c>
      <c r="J206" s="42" t="s">
        <v>883</v>
      </c>
      <c r="K206" s="42" t="s">
        <v>883</v>
      </c>
      <c r="L206" s="15" t="s">
        <v>676</v>
      </c>
      <c r="M206" s="15" t="s">
        <v>276</v>
      </c>
      <c r="N206" s="15" t="s">
        <v>295</v>
      </c>
      <c r="O206" s="15" t="s">
        <v>677</v>
      </c>
      <c r="P206" s="15" t="str">
        <f>VLOOKUP(Y206,'All Codes'!$BF$3:$BG$278,2,FALSE)</f>
        <v>Leaderboard</v>
      </c>
      <c r="Q206" s="15" t="s">
        <v>179</v>
      </c>
      <c r="R206" s="15" t="s">
        <v>277</v>
      </c>
      <c r="S206" s="15" t="s">
        <v>874</v>
      </c>
      <c r="T206" s="46" t="s">
        <v>884</v>
      </c>
      <c r="U206" s="15" t="s">
        <v>876</v>
      </c>
      <c r="V206" s="15" t="s">
        <v>1270</v>
      </c>
      <c r="W206" s="15" t="s">
        <v>866</v>
      </c>
      <c r="X206" s="15" t="s">
        <v>307</v>
      </c>
      <c r="Y206" s="46" t="s">
        <v>591</v>
      </c>
      <c r="Z206" s="15"/>
      <c r="AA206" s="15"/>
      <c r="AB206" s="15"/>
      <c r="AC206" s="15"/>
      <c r="AD206" s="15"/>
      <c r="AE206" s="15"/>
      <c r="AF206" s="15"/>
      <c r="AG206" s="15"/>
      <c r="AH206" s="15" t="str">
        <f t="shared" si="97"/>
        <v>284453749</v>
      </c>
      <c r="AI206" s="21" t="str">
        <f t="shared" si="95"/>
        <v>alp_vw_dv360_imc_dsy_lanch_nd_nc_nvs_nivus-launch-consideracao-orca__configuracao_cpm_drct_all_728x90_lancamento-nivus-orca-rmkt-showroom-visitation-nivus-suv-model-interest_na_lancamento-consideracao-nivus-orca_nvl-nvs-imc-dsy-0820-10206</v>
      </c>
      <c r="AJ206" s="40" t="str">
        <f t="shared" si="95"/>
        <v>alp_vw_dv360_imc_dsy_lanch_nd_nc_nvs_nivus-launch-consideracao-orca__configuracao_cpm_drct_all_728x90_lancamento-nivus-orca-rmkt-showroom-visitation-nivus-suv-model-interest_na_lancamento-consideracao-nivus-orca_nvl-nvs-imc-dsy-0820-10206</v>
      </c>
      <c r="AK206" s="21" t="str">
        <f t="shared" si="98"/>
        <v>vw_nivus_728x90_lancamento-consideracao-nivus-orca_adserver</v>
      </c>
      <c r="AL206" s="21" t="str">
        <f t="shared" si="108"/>
        <v>https://www.vw.com.br/pt/configurador.html/__app/%2Fnivus/0.app?adlid=nvl-nvs-imc-dsy-0820-10206&amp;adplt=alp_vw_dv360_imc_dsy_lanch_nd_nc_nvs_nivus-launch-consideracao-orca__configuracao_cpm_drct_all_728x90_lancamento-nivus-orca-rmkt-showroom-visitation-nivus-suv-model-interest_na_lancamento-consideracao-nivus-orca_nvl-nvs-imc-dsy-0820-10206</v>
      </c>
      <c r="AM206" s="21" t="str">
        <f t="shared" si="99"/>
        <v>TAG</v>
      </c>
      <c r="AN206" s="15" t="str">
        <f t="shared" si="109"/>
        <v>DV360</v>
      </c>
      <c r="AO206" s="15" t="str">
        <f t="shared" si="110"/>
        <v>Paid-Display</v>
      </c>
      <c r="AP206" s="21" t="str">
        <f>Campanha!$B$3</f>
        <v>BR_IMC_DSY_LANCH_ND_NC_2020Q3AUG_NVS_Nivus-Launch-Consideracao-Orca</v>
      </c>
      <c r="AQ206" s="21" t="str">
        <f t="shared" si="100"/>
        <v>alp_vw_dv360_imc_dsy_lanch_nd_nc_nvs_nivus-launch-consideracao-orca__configuracao_cpm_drct_all_728x90_lancamento-nivus-orca-rmkt-showroom-visitation-nivus-suv-model-interest_na_lancamento-consideracao-nivus-orca_nvl-nvs-imc-dsy-0820-10206</v>
      </c>
      <c r="AR206" s="15" t="s">
        <v>745</v>
      </c>
      <c r="AS206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showroom-visitation-nivus-suv-model-interest_na_lancamento-consideracao-nivus-orca_nvl-nvs-imc-dsy-0820-10206&amp;utm_campaign=BR_IMC_DSY_LANCH_ND_NC_2020Q3AUG_NVS_Nivus-Launch-Consideracao-Orca&amp;utm_term=%epid!_%ecid!_%eaid!</v>
      </c>
      <c r="AT206" s="15" t="str">
        <f t="shared" si="111"/>
        <v>other</v>
      </c>
      <c r="AU206" s="15" t="str">
        <f t="shared" si="102"/>
        <v>BR</v>
      </c>
      <c r="AV206" s="15" t="str">
        <f t="shared" si="112"/>
        <v>dv360</v>
      </c>
      <c r="AW206" s="15" t="str">
        <f t="shared" si="113"/>
        <v>dv360</v>
      </c>
      <c r="AX206" s="15" t="str">
        <f t="shared" si="103"/>
        <v>nivus-launch-consideracao-orca</v>
      </c>
      <c r="AY206" s="15" t="str">
        <f t="shared" si="114"/>
        <v>alp_vw_dv360_imc_dsy_lanch_nd_nc_nvs_nivus-launch-consideracao-orca__configuracao_cpm_drct_all_728x90_lancamento-nivus-orca-rmkt-showroom-visitation-nivus-suv-model-interest_na_lancamento-consideracao-nivus-orca_nvl-nvs-imc-dsy-0820-10206</v>
      </c>
      <c r="AZ206" s="15" t="str">
        <f t="shared" si="115"/>
        <v>728x90</v>
      </c>
      <c r="BA206" s="15" t="str">
        <f t="shared" si="116"/>
        <v>lancamento-consideracao-nivus-orca</v>
      </c>
      <c r="BB206" s="28" t="s">
        <v>798</v>
      </c>
      <c r="BC206" s="28" t="s">
        <v>798</v>
      </c>
      <c r="BD206" s="38" t="str">
        <f t="shared" si="117"/>
        <v>nvl-nvs-imc-dsy-0820-10206</v>
      </c>
      <c r="BE206" s="15" t="str">
        <f t="shared" si="118"/>
        <v>BR</v>
      </c>
      <c r="BF206" s="15" t="str">
        <f t="shared" si="119"/>
        <v>paid</v>
      </c>
      <c r="BG206" s="28"/>
      <c r="BH206" s="28"/>
      <c r="BI206" s="36" t="str">
        <f t="shared" si="104"/>
        <v>https://www.vw.com.br/pt/configurador.html/__app/%2Fnivus/0.app?adlid=nvl-nvs-imc-dsy-0820-10206&amp;adplt=alp_vw_dv360_imc_dsy_lanch_nd_nc_nvs_nivus-launch-consideracao-orca__configuracao_cpm_drct_all_728x90_lancamento-nivus-orca-rmkt-showroom-visitation-nivus-suv-model-interest_na_lancamento-consideracao-nivus-orca_nvl-nvs-imc-dsy-0820-10206</v>
      </c>
      <c r="BL206" t="str">
        <f t="shared" si="105"/>
        <v>alp_vw_dv360_imc_dsy_lanch_nd_nc_nvs_nivus-launch-consideracao-orca__configuracao</v>
      </c>
      <c r="BM206" t="str">
        <f t="shared" si="106"/>
        <v>cpm_drct_all_728x90_lancamento-nivus-orca-rmkt-showroom-visitation-nivus-suv-model-interest_na</v>
      </c>
      <c r="BN206" t="str">
        <f t="shared" si="107"/>
        <v>alp_vw_dv360_imc_dsy_lanch_nd_nc_nvs_nivus-launch-consideracao-orca__configuracao_cpm_drct_all_728x90_lancamento-nivus-orca-rmkt-showroom-visitation-nivus-suv-model-interest_na_generico_nvl-nvs-imc-dsy-0820-10206</v>
      </c>
    </row>
    <row r="207" spans="2:66" ht="15.75" customHeight="1" x14ac:dyDescent="0.25">
      <c r="B207" s="15" t="s">
        <v>1291</v>
      </c>
      <c r="C207" s="15" t="s">
        <v>1477</v>
      </c>
      <c r="D207" s="15"/>
      <c r="E207" s="22">
        <v>44069</v>
      </c>
      <c r="F207" s="22">
        <v>44135</v>
      </c>
      <c r="G207" s="15" t="s">
        <v>651</v>
      </c>
      <c r="H207" s="41" t="s">
        <v>1266</v>
      </c>
      <c r="I207" s="15" t="s">
        <v>801</v>
      </c>
      <c r="J207" s="42" t="s">
        <v>883</v>
      </c>
      <c r="K207" s="42" t="s">
        <v>883</v>
      </c>
      <c r="L207" s="15" t="s">
        <v>676</v>
      </c>
      <c r="M207" s="15" t="s">
        <v>276</v>
      </c>
      <c r="N207" s="15" t="s">
        <v>295</v>
      </c>
      <c r="O207" s="15" t="s">
        <v>677</v>
      </c>
      <c r="P207" s="15" t="str">
        <f>VLOOKUP(Y207,'All Codes'!$BF$3:$BG$278,2,FALSE)</f>
        <v>Leaderboard</v>
      </c>
      <c r="Q207" s="15" t="s">
        <v>179</v>
      </c>
      <c r="R207" s="15" t="s">
        <v>277</v>
      </c>
      <c r="S207" s="15" t="s">
        <v>874</v>
      </c>
      <c r="T207" s="46" t="s">
        <v>884</v>
      </c>
      <c r="U207" s="15" t="s">
        <v>876</v>
      </c>
      <c r="V207" s="15" t="s">
        <v>1270</v>
      </c>
      <c r="W207" s="15" t="s">
        <v>866</v>
      </c>
      <c r="X207" s="15" t="s">
        <v>307</v>
      </c>
      <c r="Y207" s="46" t="s">
        <v>629</v>
      </c>
      <c r="Z207" s="15"/>
      <c r="AA207" s="15"/>
      <c r="AB207" s="15"/>
      <c r="AC207" s="15"/>
      <c r="AD207" s="15"/>
      <c r="AE207" s="15"/>
      <c r="AF207" s="15"/>
      <c r="AG207" s="15"/>
      <c r="AH207" s="15" t="str">
        <f t="shared" si="97"/>
        <v>284453746</v>
      </c>
      <c r="AI207" s="21" t="str">
        <f t="shared" si="95"/>
        <v>alp_vw_dv360_imc_dsy_lanch_nd_nc_nvs_nivus-launch-consideracao-orca__configuracao_cpm_drct_all_970x250_lancamento-nivus-orca-rmkt-showroom-visitation-nivus-suv-model-interest_na_lancamento-consideracao-nivus-orca_nvl-nvs-imc-dsy-0820-10207</v>
      </c>
      <c r="AJ207" s="40" t="str">
        <f t="shared" si="95"/>
        <v>alp_vw_dv360_imc_dsy_lanch_nd_nc_nvs_nivus-launch-consideracao-orca__configuracao_cpm_drct_all_970x250_lancamento-nivus-orca-rmkt-showroom-visitation-nivus-suv-model-interest_na_lancamento-consideracao-nivus-orca_nvl-nvs-imc-dsy-0820-10207</v>
      </c>
      <c r="AK207" s="21" t="str">
        <f t="shared" si="98"/>
        <v>vw_nivus_970x250_lancamento-consideracao-nivus-orca_adserver</v>
      </c>
      <c r="AL207" s="21" t="str">
        <f t="shared" si="108"/>
        <v>https://www.vw.com.br/pt/configurador.html/__app/%2Fnivus/0.app?adlid=nvl-nvs-imc-dsy-0820-10207&amp;adplt=alp_vw_dv360_imc_dsy_lanch_nd_nc_nvs_nivus-launch-consideracao-orca__configuracao_cpm_drct_all_970x250_lancamento-nivus-orca-rmkt-showroom-visitation-nivus-suv-model-interest_na_lancamento-consideracao-nivus-orca_nvl-nvs-imc-dsy-0820-10207</v>
      </c>
      <c r="AM207" s="21" t="str">
        <f t="shared" si="99"/>
        <v>TAG</v>
      </c>
      <c r="AN207" s="15" t="str">
        <f t="shared" si="109"/>
        <v>DV360</v>
      </c>
      <c r="AO207" s="15" t="str">
        <f t="shared" si="110"/>
        <v>Paid-Display</v>
      </c>
      <c r="AP207" s="21" t="str">
        <f>Campanha!$B$3</f>
        <v>BR_IMC_DSY_LANCH_ND_NC_2020Q3AUG_NVS_Nivus-Launch-Consideracao-Orca</v>
      </c>
      <c r="AQ207" s="21" t="str">
        <f t="shared" si="100"/>
        <v>alp_vw_dv360_imc_dsy_lanch_nd_nc_nvs_nivus-launch-consideracao-orca__configuracao_cpm_drct_all_970x250_lancamento-nivus-orca-rmkt-showroom-visitation-nivus-suv-model-interest_na_lancamento-consideracao-nivus-orca_nvl-nvs-imc-dsy-0820-10207</v>
      </c>
      <c r="AR207" s="15" t="s">
        <v>745</v>
      </c>
      <c r="AS207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showroom-visitation-nivus-suv-model-interest_na_lancamento-consideracao-nivus-orca_nvl-nvs-imc-dsy-0820-10207&amp;utm_campaign=BR_IMC_DSY_LANCH_ND_NC_2020Q3AUG_NVS_Nivus-Launch-Consideracao-Orca&amp;utm_term=%epid!_%ecid!_%eaid!</v>
      </c>
      <c r="AT207" s="15" t="str">
        <f t="shared" si="111"/>
        <v>other</v>
      </c>
      <c r="AU207" s="15" t="str">
        <f t="shared" si="102"/>
        <v>BR</v>
      </c>
      <c r="AV207" s="15" t="str">
        <f t="shared" si="112"/>
        <v>dv360</v>
      </c>
      <c r="AW207" s="15" t="str">
        <f t="shared" si="113"/>
        <v>dv360</v>
      </c>
      <c r="AX207" s="15" t="str">
        <f t="shared" si="103"/>
        <v>nivus-launch-consideracao-orca</v>
      </c>
      <c r="AY207" s="15" t="str">
        <f t="shared" si="114"/>
        <v>alp_vw_dv360_imc_dsy_lanch_nd_nc_nvs_nivus-launch-consideracao-orca__configuracao_cpm_drct_all_970x250_lancamento-nivus-orca-rmkt-showroom-visitation-nivus-suv-model-interest_na_lancamento-consideracao-nivus-orca_nvl-nvs-imc-dsy-0820-10207</v>
      </c>
      <c r="AZ207" s="15" t="str">
        <f t="shared" si="115"/>
        <v>970x250</v>
      </c>
      <c r="BA207" s="15" t="str">
        <f t="shared" si="116"/>
        <v>lancamento-consideracao-nivus-orca</v>
      </c>
      <c r="BB207" s="28" t="s">
        <v>798</v>
      </c>
      <c r="BC207" s="28" t="s">
        <v>798</v>
      </c>
      <c r="BD207" s="38" t="str">
        <f t="shared" si="117"/>
        <v>nvl-nvs-imc-dsy-0820-10207</v>
      </c>
      <c r="BE207" s="15" t="str">
        <f t="shared" si="118"/>
        <v>BR</v>
      </c>
      <c r="BF207" s="15" t="str">
        <f t="shared" si="119"/>
        <v>paid</v>
      </c>
      <c r="BG207" s="28"/>
      <c r="BH207" s="28"/>
      <c r="BI207" s="36" t="str">
        <f t="shared" si="104"/>
        <v>https://www.vw.com.br/pt/configurador.html/__app/%2Fnivus/0.app?adlid=nvl-nvs-imc-dsy-0820-10207&amp;adplt=alp_vw_dv360_imc_dsy_lanch_nd_nc_nvs_nivus-launch-consideracao-orca__configuracao_cpm_drct_all_970x250_lancamento-nivus-orca-rmkt-showroom-visitation-nivus-suv-model-interest_na_lancamento-consideracao-nivus-orca_nvl-nvs-imc-dsy-0820-10207</v>
      </c>
      <c r="BL207" t="str">
        <f t="shared" si="105"/>
        <v>alp_vw_dv360_imc_dsy_lanch_nd_nc_nvs_nivus-launch-consideracao-orca__configuracao</v>
      </c>
      <c r="BM207" t="str">
        <f t="shared" si="106"/>
        <v>cpm_drct_all_970x250_lancamento-nivus-orca-rmkt-showroom-visitation-nivus-suv-model-interest_na</v>
      </c>
      <c r="BN207" t="str">
        <f t="shared" si="107"/>
        <v>alp_vw_dv360_imc_dsy_lanch_nd_nc_nvs_nivus-launch-consideracao-orca__configuracao_cpm_drct_all_970x250_lancamento-nivus-orca-rmkt-showroom-visitation-nivus-suv-model-interest_na_generico_nvl-nvs-imc-dsy-0820-10207</v>
      </c>
    </row>
    <row r="208" spans="2:66" ht="15.75" customHeight="1" x14ac:dyDescent="0.25">
      <c r="B208" s="15" t="s">
        <v>1291</v>
      </c>
      <c r="C208" s="15" t="s">
        <v>1477</v>
      </c>
      <c r="D208" s="15"/>
      <c r="E208" s="22">
        <v>44069</v>
      </c>
      <c r="F208" s="22">
        <v>44135</v>
      </c>
      <c r="G208" s="15" t="s">
        <v>651</v>
      </c>
      <c r="H208" s="41" t="s">
        <v>1266</v>
      </c>
      <c r="I208" s="15" t="s">
        <v>801</v>
      </c>
      <c r="J208" s="42" t="s">
        <v>883</v>
      </c>
      <c r="K208" s="42" t="s">
        <v>883</v>
      </c>
      <c r="L208" s="15" t="s">
        <v>676</v>
      </c>
      <c r="M208" s="15" t="s">
        <v>276</v>
      </c>
      <c r="N208" s="15" t="s">
        <v>295</v>
      </c>
      <c r="O208" s="15" t="s">
        <v>677</v>
      </c>
      <c r="P208" s="15" t="str">
        <f>VLOOKUP(Y208,'All Codes'!$BF$3:$BG$278,2,FALSE)</f>
        <v>MPU</v>
      </c>
      <c r="Q208" s="15" t="s">
        <v>179</v>
      </c>
      <c r="R208" s="15" t="s">
        <v>277</v>
      </c>
      <c r="S208" s="15" t="s">
        <v>874</v>
      </c>
      <c r="T208" s="46" t="s">
        <v>884</v>
      </c>
      <c r="U208" s="15" t="s">
        <v>876</v>
      </c>
      <c r="V208" s="15" t="s">
        <v>1271</v>
      </c>
      <c r="W208" s="15" t="s">
        <v>866</v>
      </c>
      <c r="X208" s="15" t="s">
        <v>307</v>
      </c>
      <c r="Y208" s="46" t="s">
        <v>461</v>
      </c>
      <c r="Z208" s="15"/>
      <c r="AA208" s="15"/>
      <c r="AB208" s="15"/>
      <c r="AC208" s="15"/>
      <c r="AD208" s="15"/>
      <c r="AE208" s="15"/>
      <c r="AF208" s="15"/>
      <c r="AG208" s="15"/>
      <c r="AH208" s="15" t="str">
        <f t="shared" si="97"/>
        <v>284453743</v>
      </c>
      <c r="AI208" s="21" t="str">
        <f t="shared" si="95"/>
        <v>alp_vw_dv360_imc_dsy_lanch_nd_nc_nvs_nivus-launch-consideracao-orca__configuracao_cpm_drct_all_300x50_lancamento-nivus-orca-rmkt-dealer-selection-form-nivus-suv-model-intent_na_lancamento-consideracao-nivus-orca_nvl-nvs-imc-dsy-0820-10208</v>
      </c>
      <c r="AJ208" s="40" t="str">
        <f t="shared" si="95"/>
        <v>alp_vw_dv360_imc_dsy_lanch_nd_nc_nvs_nivus-launch-consideracao-orca__configuracao_cpm_drct_all_300x50_lancamento-nivus-orca-rmkt-dealer-selection-form-nivus-suv-model-intent_na_lancamento-consideracao-nivus-orca_nvl-nvs-imc-dsy-0820-10208</v>
      </c>
      <c r="AK208" s="21" t="str">
        <f t="shared" si="98"/>
        <v>vw_nivus_300x50_lancamento-consideracao-nivus-orca_adserver</v>
      </c>
      <c r="AL208" s="21" t="str">
        <f t="shared" si="108"/>
        <v>https://www.vw.com.br/pt/configurador.html/__app/%2Fnivus/0.app?adlid=nvl-nvs-imc-dsy-0820-10208&amp;adplt=alp_vw_dv360_imc_dsy_lanch_nd_nc_nvs_nivus-launch-consideracao-orca__configuracao_cpm_drct_all_300x50_lancamento-nivus-orca-rmkt-dealer-selection-form-nivus-suv-model-intent_na_lancamento-consideracao-nivus-orca_nvl-nvs-imc-dsy-0820-10208</v>
      </c>
      <c r="AM208" s="21" t="str">
        <f t="shared" si="99"/>
        <v>TAG</v>
      </c>
      <c r="AN208" s="15" t="str">
        <f t="shared" si="109"/>
        <v>DV360</v>
      </c>
      <c r="AO208" s="15" t="str">
        <f t="shared" si="110"/>
        <v>Paid-Display</v>
      </c>
      <c r="AP208" s="21" t="str">
        <f>Campanha!$B$3</f>
        <v>BR_IMC_DSY_LANCH_ND_NC_2020Q3AUG_NVS_Nivus-Launch-Consideracao-Orca</v>
      </c>
      <c r="AQ208" s="21" t="str">
        <f t="shared" si="100"/>
        <v>alp_vw_dv360_imc_dsy_lanch_nd_nc_nvs_nivus-launch-consideracao-orca__configuracao_cpm_drct_all_300x50_lancamento-nivus-orca-rmkt-dealer-selection-form-nivus-suv-model-intent_na_lancamento-consideracao-nivus-orca_nvl-nvs-imc-dsy-0820-10208</v>
      </c>
      <c r="AR208" s="15" t="s">
        <v>745</v>
      </c>
      <c r="AS208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50_lancamento-nivus-orca-rmkt-dealer-selection-form-nivus-suv-model-intent_na_lancamento-consideracao-nivus-orca_nvl-nvs-imc-dsy-0820-10208&amp;utm_campaign=BR_IMC_DSY_LANCH_ND_NC_2020Q3AUG_NVS_Nivus-Launch-Consideracao-Orca&amp;utm_term=%epid!_%ecid!_%eaid!</v>
      </c>
      <c r="AT208" s="15" t="str">
        <f t="shared" si="111"/>
        <v>other</v>
      </c>
      <c r="AU208" s="15" t="str">
        <f t="shared" si="102"/>
        <v>BR</v>
      </c>
      <c r="AV208" s="15" t="str">
        <f t="shared" si="112"/>
        <v>dv360</v>
      </c>
      <c r="AW208" s="15" t="str">
        <f t="shared" si="113"/>
        <v>dv360</v>
      </c>
      <c r="AX208" s="15" t="str">
        <f t="shared" si="103"/>
        <v>nivus-launch-consideracao-orca</v>
      </c>
      <c r="AY208" s="15" t="str">
        <f t="shared" si="114"/>
        <v>alp_vw_dv360_imc_dsy_lanch_nd_nc_nvs_nivus-launch-consideracao-orca__configuracao_cpm_drct_all_300x50_lancamento-nivus-orca-rmkt-dealer-selection-form-nivus-suv-model-intent_na_lancamento-consideracao-nivus-orca_nvl-nvs-imc-dsy-0820-10208</v>
      </c>
      <c r="AZ208" s="15" t="str">
        <f t="shared" si="115"/>
        <v>300x50</v>
      </c>
      <c r="BA208" s="15" t="str">
        <f t="shared" si="116"/>
        <v>lancamento-consideracao-nivus-orca</v>
      </c>
      <c r="BB208" s="28" t="s">
        <v>798</v>
      </c>
      <c r="BC208" s="28" t="s">
        <v>798</v>
      </c>
      <c r="BD208" s="38" t="str">
        <f t="shared" si="117"/>
        <v>nvl-nvs-imc-dsy-0820-10208</v>
      </c>
      <c r="BE208" s="15" t="str">
        <f t="shared" si="118"/>
        <v>BR</v>
      </c>
      <c r="BF208" s="15" t="str">
        <f t="shared" si="119"/>
        <v>paid</v>
      </c>
      <c r="BG208" s="28"/>
      <c r="BH208" s="28"/>
      <c r="BI208" s="36" t="str">
        <f t="shared" si="104"/>
        <v>https://www.vw.com.br/pt/configurador.html/__app/%2Fnivus/0.app?adlid=nvl-nvs-imc-dsy-0820-10208&amp;adplt=alp_vw_dv360_imc_dsy_lanch_nd_nc_nvs_nivus-launch-consideracao-orca__configuracao_cpm_drct_all_300x50_lancamento-nivus-orca-rmkt-dealer-selection-form-nivus-suv-model-intent_na_lancamento-consideracao-nivus-orca_nvl-nvs-imc-dsy-0820-10208</v>
      </c>
      <c r="BL208" t="str">
        <f t="shared" si="105"/>
        <v>alp_vw_dv360_imc_dsy_lanch_nd_nc_nvs_nivus-launch-consideracao-orca__configuracao</v>
      </c>
      <c r="BM208" t="str">
        <f t="shared" si="106"/>
        <v>cpm_drct_all_300x50_lancamento-nivus-orca-rmkt-dealer-selection-form-nivus-suv-model-intent_na</v>
      </c>
      <c r="BN208" t="str">
        <f t="shared" si="107"/>
        <v>alp_vw_dv360_imc_dsy_lanch_nd_nc_nvs_nivus-launch-consideracao-orca__configuracao_cpm_drct_all_300x50_lancamento-nivus-orca-rmkt-dealer-selection-form-nivus-suv-model-intent_na_generico_nvl-nvs-imc-dsy-0820-10208</v>
      </c>
    </row>
    <row r="209" spans="2:66" ht="15.75" customHeight="1" x14ac:dyDescent="0.25">
      <c r="B209" s="15" t="s">
        <v>1291</v>
      </c>
      <c r="C209" s="15" t="s">
        <v>1477</v>
      </c>
      <c r="D209" s="15"/>
      <c r="E209" s="22">
        <v>44069</v>
      </c>
      <c r="F209" s="22">
        <v>44135</v>
      </c>
      <c r="G209" s="15" t="s">
        <v>651</v>
      </c>
      <c r="H209" s="41" t="s">
        <v>1266</v>
      </c>
      <c r="I209" s="15" t="s">
        <v>801</v>
      </c>
      <c r="J209" s="42" t="s">
        <v>883</v>
      </c>
      <c r="K209" s="42" t="s">
        <v>883</v>
      </c>
      <c r="L209" s="15" t="s">
        <v>676</v>
      </c>
      <c r="M209" s="15" t="s">
        <v>276</v>
      </c>
      <c r="N209" s="15" t="s">
        <v>295</v>
      </c>
      <c r="O209" s="15" t="s">
        <v>677</v>
      </c>
      <c r="P209" s="15" t="str">
        <f>VLOOKUP(Y209,'All Codes'!$BF$3:$BG$278,2,FALSE)</f>
        <v>Skyscraper</v>
      </c>
      <c r="Q209" s="15" t="s">
        <v>179</v>
      </c>
      <c r="R209" s="15" t="s">
        <v>277</v>
      </c>
      <c r="S209" s="15" t="s">
        <v>874</v>
      </c>
      <c r="T209" s="46" t="s">
        <v>884</v>
      </c>
      <c r="U209" s="15" t="s">
        <v>876</v>
      </c>
      <c r="V209" s="15" t="s">
        <v>1271</v>
      </c>
      <c r="W209" s="15" t="s">
        <v>866</v>
      </c>
      <c r="X209" s="15" t="s">
        <v>307</v>
      </c>
      <c r="Y209" s="46" t="s">
        <v>434</v>
      </c>
      <c r="Z209" s="15"/>
      <c r="AA209" s="15"/>
      <c r="AB209" s="15"/>
      <c r="AC209" s="15"/>
      <c r="AD209" s="15"/>
      <c r="AE209" s="15"/>
      <c r="AF209" s="15"/>
      <c r="AG209" s="15"/>
      <c r="AH209" s="15" t="str">
        <f t="shared" si="97"/>
        <v>284453740</v>
      </c>
      <c r="AI209" s="21" t="str">
        <f t="shared" si="95"/>
        <v>alp_vw_dv360_imc_dsy_lanch_nd_nc_nvs_nivus-launch-consideracao-orca__configuracao_cpm_drct_all_160x600_lancamento-nivus-orca-rmkt-dealer-selection-form-nivus-suv-model-intent_na_lancamento-consideracao-nivus-orca_nvl-nvs-imc-dsy-0820-10209</v>
      </c>
      <c r="AJ209" s="40" t="str">
        <f t="shared" si="95"/>
        <v>alp_vw_dv360_imc_dsy_lanch_nd_nc_nvs_nivus-launch-consideracao-orca__configuracao_cpm_drct_all_160x600_lancamento-nivus-orca-rmkt-dealer-selection-form-nivus-suv-model-intent_na_lancamento-consideracao-nivus-orca_nvl-nvs-imc-dsy-0820-10209</v>
      </c>
      <c r="AK209" s="21" t="str">
        <f t="shared" si="98"/>
        <v>vw_nivus_160x600_lancamento-consideracao-nivus-orca_adserver</v>
      </c>
      <c r="AL209" s="21" t="str">
        <f t="shared" si="108"/>
        <v>https://www.vw.com.br/pt/configurador.html/__app/%2Fnivus/0.app?adlid=nvl-nvs-imc-dsy-0820-10209&amp;adplt=alp_vw_dv360_imc_dsy_lanch_nd_nc_nvs_nivus-launch-consideracao-orca__configuracao_cpm_drct_all_160x600_lancamento-nivus-orca-rmkt-dealer-selection-form-nivus-suv-model-intent_na_lancamento-consideracao-nivus-orca_nvl-nvs-imc-dsy-0820-10209</v>
      </c>
      <c r="AM209" s="21" t="str">
        <f t="shared" si="99"/>
        <v>TAG</v>
      </c>
      <c r="AN209" s="15" t="str">
        <f t="shared" si="109"/>
        <v>DV360</v>
      </c>
      <c r="AO209" s="15" t="str">
        <f t="shared" si="110"/>
        <v>Paid-Display</v>
      </c>
      <c r="AP209" s="21" t="str">
        <f>Campanha!$B$3</f>
        <v>BR_IMC_DSY_LANCH_ND_NC_2020Q3AUG_NVS_Nivus-Launch-Consideracao-Orca</v>
      </c>
      <c r="AQ209" s="21" t="str">
        <f t="shared" si="100"/>
        <v>alp_vw_dv360_imc_dsy_lanch_nd_nc_nvs_nivus-launch-consideracao-orca__configuracao_cpm_drct_all_160x600_lancamento-nivus-orca-rmkt-dealer-selection-form-nivus-suv-model-intent_na_lancamento-consideracao-nivus-orca_nvl-nvs-imc-dsy-0820-10209</v>
      </c>
      <c r="AR209" s="15" t="s">
        <v>745</v>
      </c>
      <c r="AS209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160x600_lancamento-nivus-orca-rmkt-dealer-selection-form-nivus-suv-model-intent_na_lancamento-consideracao-nivus-orca_nvl-nvs-imc-dsy-0820-10209&amp;utm_campaign=BR_IMC_DSY_LANCH_ND_NC_2020Q3AUG_NVS_Nivus-Launch-Consideracao-Orca&amp;utm_term=%epid!_%ecid!_%eaid!</v>
      </c>
      <c r="AT209" s="15" t="str">
        <f t="shared" si="111"/>
        <v>other</v>
      </c>
      <c r="AU209" s="15" t="str">
        <f t="shared" si="102"/>
        <v>BR</v>
      </c>
      <c r="AV209" s="15" t="str">
        <f t="shared" si="112"/>
        <v>dv360</v>
      </c>
      <c r="AW209" s="15" t="str">
        <f t="shared" si="113"/>
        <v>dv360</v>
      </c>
      <c r="AX209" s="15" t="str">
        <f t="shared" si="103"/>
        <v>nivus-launch-consideracao-orca</v>
      </c>
      <c r="AY209" s="15" t="str">
        <f t="shared" si="114"/>
        <v>alp_vw_dv360_imc_dsy_lanch_nd_nc_nvs_nivus-launch-consideracao-orca__configuracao_cpm_drct_all_160x600_lancamento-nivus-orca-rmkt-dealer-selection-form-nivus-suv-model-intent_na_lancamento-consideracao-nivus-orca_nvl-nvs-imc-dsy-0820-10209</v>
      </c>
      <c r="AZ209" s="15" t="str">
        <f t="shared" si="115"/>
        <v>160x600</v>
      </c>
      <c r="BA209" s="15" t="str">
        <f t="shared" si="116"/>
        <v>lancamento-consideracao-nivus-orca</v>
      </c>
      <c r="BB209" s="28" t="s">
        <v>798</v>
      </c>
      <c r="BC209" s="28" t="s">
        <v>798</v>
      </c>
      <c r="BD209" s="38" t="str">
        <f t="shared" si="117"/>
        <v>nvl-nvs-imc-dsy-0820-10209</v>
      </c>
      <c r="BE209" s="15" t="str">
        <f t="shared" si="118"/>
        <v>BR</v>
      </c>
      <c r="BF209" s="15" t="str">
        <f t="shared" si="119"/>
        <v>paid</v>
      </c>
      <c r="BG209" s="28"/>
      <c r="BH209" s="28"/>
      <c r="BI209" s="36" t="str">
        <f t="shared" si="104"/>
        <v>https://www.vw.com.br/pt/configurador.html/__app/%2Fnivus/0.app?adlid=nvl-nvs-imc-dsy-0820-10209&amp;adplt=alp_vw_dv360_imc_dsy_lanch_nd_nc_nvs_nivus-launch-consideracao-orca__configuracao_cpm_drct_all_160x600_lancamento-nivus-orca-rmkt-dealer-selection-form-nivus-suv-model-intent_na_lancamento-consideracao-nivus-orca_nvl-nvs-imc-dsy-0820-10209</v>
      </c>
      <c r="BL209" t="str">
        <f t="shared" si="105"/>
        <v>alp_vw_dv360_imc_dsy_lanch_nd_nc_nvs_nivus-launch-consideracao-orca__configuracao</v>
      </c>
      <c r="BM209" t="str">
        <f t="shared" si="106"/>
        <v>cpm_drct_all_160x600_lancamento-nivus-orca-rmkt-dealer-selection-form-nivus-suv-model-intent_na</v>
      </c>
      <c r="BN209" t="str">
        <f t="shared" si="107"/>
        <v>alp_vw_dv360_imc_dsy_lanch_nd_nc_nvs_nivus-launch-consideracao-orca__configuracao_cpm_drct_all_160x600_lancamento-nivus-orca-rmkt-dealer-selection-form-nivus-suv-model-intent_na_generico_nvl-nvs-imc-dsy-0820-10209</v>
      </c>
    </row>
    <row r="210" spans="2:66" ht="15.75" customHeight="1" x14ac:dyDescent="0.25">
      <c r="B210" s="15" t="s">
        <v>1291</v>
      </c>
      <c r="C210" s="15" t="s">
        <v>1477</v>
      </c>
      <c r="D210" s="15"/>
      <c r="E210" s="22">
        <v>44069</v>
      </c>
      <c r="F210" s="22">
        <v>44135</v>
      </c>
      <c r="G210" s="15" t="s">
        <v>651</v>
      </c>
      <c r="H210" s="41" t="s">
        <v>1266</v>
      </c>
      <c r="I210" s="15" t="s">
        <v>801</v>
      </c>
      <c r="J210" s="42" t="s">
        <v>883</v>
      </c>
      <c r="K210" s="42" t="s">
        <v>883</v>
      </c>
      <c r="L210" s="15" t="s">
        <v>676</v>
      </c>
      <c r="M210" s="15" t="s">
        <v>276</v>
      </c>
      <c r="N210" s="15" t="s">
        <v>295</v>
      </c>
      <c r="O210" s="15" t="s">
        <v>677</v>
      </c>
      <c r="P210" s="15" t="str">
        <f>VLOOKUP(Y210,'All Codes'!$BF$3:$BG$278,2,FALSE)</f>
        <v>MPU</v>
      </c>
      <c r="Q210" s="15" t="s">
        <v>179</v>
      </c>
      <c r="R210" s="15" t="s">
        <v>277</v>
      </c>
      <c r="S210" s="15" t="s">
        <v>874</v>
      </c>
      <c r="T210" s="46" t="s">
        <v>884</v>
      </c>
      <c r="U210" s="15" t="s">
        <v>876</v>
      </c>
      <c r="V210" s="15" t="s">
        <v>1271</v>
      </c>
      <c r="W210" s="15" t="s">
        <v>866</v>
      </c>
      <c r="X210" s="15" t="s">
        <v>307</v>
      </c>
      <c r="Y210" s="46" t="s">
        <v>455</v>
      </c>
      <c r="Z210" s="15"/>
      <c r="AA210" s="15"/>
      <c r="AB210" s="15"/>
      <c r="AC210" s="15"/>
      <c r="AD210" s="15"/>
      <c r="AE210" s="15"/>
      <c r="AF210" s="15"/>
      <c r="AG210" s="15"/>
      <c r="AH210" s="15" t="str">
        <f t="shared" si="97"/>
        <v>284453737</v>
      </c>
      <c r="AI210" s="21" t="str">
        <f t="shared" si="95"/>
        <v>alp_vw_dv360_imc_dsy_lanch_nd_nc_nvs_nivus-launch-consideracao-orca__configuracao_cpm_drct_all_300x250_lancamento-nivus-orca-rmkt-dealer-selection-form-nivus-suv-model-intent_na_lancamento-consideracao-nivus-orca_nvl-nvs-imc-dsy-0820-10210</v>
      </c>
      <c r="AJ210" s="40" t="str">
        <f t="shared" si="95"/>
        <v>alp_vw_dv360_imc_dsy_lanch_nd_nc_nvs_nivus-launch-consideracao-orca__configuracao_cpm_drct_all_300x250_lancamento-nivus-orca-rmkt-dealer-selection-form-nivus-suv-model-intent_na_lancamento-consideracao-nivus-orca_nvl-nvs-imc-dsy-0820-10210</v>
      </c>
      <c r="AK210" s="21" t="str">
        <f t="shared" si="98"/>
        <v>vw_nivus_300x250_lancamento-consideracao-nivus-orca_adserver</v>
      </c>
      <c r="AL210" s="21" t="str">
        <f t="shared" si="108"/>
        <v>https://www.vw.com.br/pt/configurador.html/__app/%2Fnivus/0.app?adlid=nvl-nvs-imc-dsy-0820-10210&amp;adplt=alp_vw_dv360_imc_dsy_lanch_nd_nc_nvs_nivus-launch-consideracao-orca__configuracao_cpm_drct_all_300x250_lancamento-nivus-orca-rmkt-dealer-selection-form-nivus-suv-model-intent_na_lancamento-consideracao-nivus-orca_nvl-nvs-imc-dsy-0820-10210</v>
      </c>
      <c r="AM210" s="21" t="str">
        <f t="shared" si="99"/>
        <v>TAG</v>
      </c>
      <c r="AN210" s="15" t="str">
        <f t="shared" si="109"/>
        <v>DV360</v>
      </c>
      <c r="AO210" s="15" t="str">
        <f t="shared" si="110"/>
        <v>Paid-Display</v>
      </c>
      <c r="AP210" s="21" t="str">
        <f>Campanha!$B$3</f>
        <v>BR_IMC_DSY_LANCH_ND_NC_2020Q3AUG_NVS_Nivus-Launch-Consideracao-Orca</v>
      </c>
      <c r="AQ210" s="21" t="str">
        <f t="shared" si="100"/>
        <v>alp_vw_dv360_imc_dsy_lanch_nd_nc_nvs_nivus-launch-consideracao-orca__configuracao_cpm_drct_all_300x250_lancamento-nivus-orca-rmkt-dealer-selection-form-nivus-suv-model-intent_na_lancamento-consideracao-nivus-orca_nvl-nvs-imc-dsy-0820-10210</v>
      </c>
      <c r="AR210" s="15" t="s">
        <v>745</v>
      </c>
      <c r="AS210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250_lancamento-nivus-orca-rmkt-dealer-selection-form-nivus-suv-model-intent_na_lancamento-consideracao-nivus-orca_nvl-nvs-imc-dsy-0820-10210&amp;utm_campaign=BR_IMC_DSY_LANCH_ND_NC_2020Q3AUG_NVS_Nivus-Launch-Consideracao-Orca&amp;utm_term=%epid!_%ecid!_%eaid!</v>
      </c>
      <c r="AT210" s="15" t="str">
        <f t="shared" si="111"/>
        <v>other</v>
      </c>
      <c r="AU210" s="15" t="str">
        <f t="shared" si="102"/>
        <v>BR</v>
      </c>
      <c r="AV210" s="15" t="str">
        <f t="shared" si="112"/>
        <v>dv360</v>
      </c>
      <c r="AW210" s="15" t="str">
        <f t="shared" si="113"/>
        <v>dv360</v>
      </c>
      <c r="AX210" s="15" t="str">
        <f t="shared" si="103"/>
        <v>nivus-launch-consideracao-orca</v>
      </c>
      <c r="AY210" s="15" t="str">
        <f t="shared" si="114"/>
        <v>alp_vw_dv360_imc_dsy_lanch_nd_nc_nvs_nivus-launch-consideracao-orca__configuracao_cpm_drct_all_300x250_lancamento-nivus-orca-rmkt-dealer-selection-form-nivus-suv-model-intent_na_lancamento-consideracao-nivus-orca_nvl-nvs-imc-dsy-0820-10210</v>
      </c>
      <c r="AZ210" s="15" t="str">
        <f t="shared" si="115"/>
        <v>300x250</v>
      </c>
      <c r="BA210" s="15" t="str">
        <f t="shared" si="116"/>
        <v>lancamento-consideracao-nivus-orca</v>
      </c>
      <c r="BB210" s="28" t="s">
        <v>798</v>
      </c>
      <c r="BC210" s="28" t="s">
        <v>798</v>
      </c>
      <c r="BD210" s="38" t="str">
        <f t="shared" si="117"/>
        <v>nvl-nvs-imc-dsy-0820-10210</v>
      </c>
      <c r="BE210" s="15" t="str">
        <f t="shared" si="118"/>
        <v>BR</v>
      </c>
      <c r="BF210" s="15" t="str">
        <f t="shared" si="119"/>
        <v>paid</v>
      </c>
      <c r="BG210" s="28"/>
      <c r="BH210" s="28"/>
      <c r="BI210" s="36" t="str">
        <f t="shared" si="104"/>
        <v>https://www.vw.com.br/pt/configurador.html/__app/%2Fnivus/0.app?adlid=nvl-nvs-imc-dsy-0820-10210&amp;adplt=alp_vw_dv360_imc_dsy_lanch_nd_nc_nvs_nivus-launch-consideracao-orca__configuracao_cpm_drct_all_300x250_lancamento-nivus-orca-rmkt-dealer-selection-form-nivus-suv-model-intent_na_lancamento-consideracao-nivus-orca_nvl-nvs-imc-dsy-0820-10210</v>
      </c>
      <c r="BL210" t="str">
        <f t="shared" si="105"/>
        <v>alp_vw_dv360_imc_dsy_lanch_nd_nc_nvs_nivus-launch-consideracao-orca__configuracao</v>
      </c>
      <c r="BM210" t="str">
        <f t="shared" si="106"/>
        <v>cpm_drct_all_300x250_lancamento-nivus-orca-rmkt-dealer-selection-form-nivus-suv-model-intent_na</v>
      </c>
      <c r="BN210" t="str">
        <f t="shared" si="107"/>
        <v>alp_vw_dv360_imc_dsy_lanch_nd_nc_nvs_nivus-launch-consideracao-orca__configuracao_cpm_drct_all_300x250_lancamento-nivus-orca-rmkt-dealer-selection-form-nivus-suv-model-intent_na_generico_nvl-nvs-imc-dsy-0820-10210</v>
      </c>
    </row>
    <row r="211" spans="2:66" ht="15.75" customHeight="1" x14ac:dyDescent="0.25">
      <c r="B211" s="15" t="s">
        <v>1291</v>
      </c>
      <c r="C211" s="15" t="s">
        <v>1477</v>
      </c>
      <c r="D211" s="15"/>
      <c r="E211" s="22">
        <v>44069</v>
      </c>
      <c r="F211" s="22">
        <v>44135</v>
      </c>
      <c r="G211" s="15" t="s">
        <v>651</v>
      </c>
      <c r="H211" s="41" t="s">
        <v>1266</v>
      </c>
      <c r="I211" s="15" t="s">
        <v>801</v>
      </c>
      <c r="J211" s="42" t="s">
        <v>883</v>
      </c>
      <c r="K211" s="42" t="s">
        <v>883</v>
      </c>
      <c r="L211" s="15" t="s">
        <v>676</v>
      </c>
      <c r="M211" s="15" t="s">
        <v>276</v>
      </c>
      <c r="N211" s="15" t="s">
        <v>295</v>
      </c>
      <c r="O211" s="15" t="s">
        <v>677</v>
      </c>
      <c r="P211" s="15" t="str">
        <f>VLOOKUP(Y211,'All Codes'!$BF$3:$BG$278,2,FALSE)</f>
        <v>Skyscraper</v>
      </c>
      <c r="Q211" s="15" t="s">
        <v>179</v>
      </c>
      <c r="R211" s="15" t="s">
        <v>277</v>
      </c>
      <c r="S211" s="15" t="s">
        <v>874</v>
      </c>
      <c r="T211" s="46" t="s">
        <v>884</v>
      </c>
      <c r="U211" s="15" t="s">
        <v>876</v>
      </c>
      <c r="V211" s="15" t="s">
        <v>1271</v>
      </c>
      <c r="W211" s="15" t="s">
        <v>866</v>
      </c>
      <c r="X211" s="15" t="s">
        <v>307</v>
      </c>
      <c r="Y211" s="46" t="s">
        <v>464</v>
      </c>
      <c r="Z211" s="15"/>
      <c r="AA211" s="15"/>
      <c r="AB211" s="15"/>
      <c r="AC211" s="15"/>
      <c r="AD211" s="15"/>
      <c r="AE211" s="15"/>
      <c r="AF211" s="15"/>
      <c r="AG211" s="15"/>
      <c r="AH211" s="15" t="str">
        <f t="shared" si="97"/>
        <v>284453734</v>
      </c>
      <c r="AI211" s="21" t="str">
        <f t="shared" si="95"/>
        <v>alp_vw_dv360_imc_dsy_lanch_nd_nc_nvs_nivus-launch-consideracao-orca__configuracao_cpm_drct_all_300x600_lancamento-nivus-orca-rmkt-dealer-selection-form-nivus-suv-model-intent_na_lancamento-consideracao-nivus-orca_nvl-nvs-imc-dsy-0820-10211</v>
      </c>
      <c r="AJ211" s="40" t="str">
        <f t="shared" si="95"/>
        <v>alp_vw_dv360_imc_dsy_lanch_nd_nc_nvs_nivus-launch-consideracao-orca__configuracao_cpm_drct_all_300x600_lancamento-nivus-orca-rmkt-dealer-selection-form-nivus-suv-model-intent_na_lancamento-consideracao-nivus-orca_nvl-nvs-imc-dsy-0820-10211</v>
      </c>
      <c r="AK211" s="21" t="str">
        <f t="shared" si="98"/>
        <v>vw_nivus_300x600_lancamento-consideracao-nivus-orca_adserver</v>
      </c>
      <c r="AL211" s="21" t="str">
        <f t="shared" si="108"/>
        <v>https://www.vw.com.br/pt/configurador.html/__app/%2Fnivus/0.app?adlid=nvl-nvs-imc-dsy-0820-10211&amp;adplt=alp_vw_dv360_imc_dsy_lanch_nd_nc_nvs_nivus-launch-consideracao-orca__configuracao_cpm_drct_all_300x600_lancamento-nivus-orca-rmkt-dealer-selection-form-nivus-suv-model-intent_na_lancamento-consideracao-nivus-orca_nvl-nvs-imc-dsy-0820-10211</v>
      </c>
      <c r="AM211" s="21" t="str">
        <f t="shared" si="99"/>
        <v>TAG</v>
      </c>
      <c r="AN211" s="15" t="str">
        <f t="shared" si="109"/>
        <v>DV360</v>
      </c>
      <c r="AO211" s="15" t="str">
        <f t="shared" si="110"/>
        <v>Paid-Display</v>
      </c>
      <c r="AP211" s="21" t="str">
        <f>Campanha!$B$3</f>
        <v>BR_IMC_DSY_LANCH_ND_NC_2020Q3AUG_NVS_Nivus-Launch-Consideracao-Orca</v>
      </c>
      <c r="AQ211" s="21" t="str">
        <f t="shared" si="100"/>
        <v>alp_vw_dv360_imc_dsy_lanch_nd_nc_nvs_nivus-launch-consideracao-orca__configuracao_cpm_drct_all_300x600_lancamento-nivus-orca-rmkt-dealer-selection-form-nivus-suv-model-intent_na_lancamento-consideracao-nivus-orca_nvl-nvs-imc-dsy-0820-10211</v>
      </c>
      <c r="AR211" s="15" t="s">
        <v>745</v>
      </c>
      <c r="AS211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600_lancamento-nivus-orca-rmkt-dealer-selection-form-nivus-suv-model-intent_na_lancamento-consideracao-nivus-orca_nvl-nvs-imc-dsy-0820-10211&amp;utm_campaign=BR_IMC_DSY_LANCH_ND_NC_2020Q3AUG_NVS_Nivus-Launch-Consideracao-Orca&amp;utm_term=%epid!_%ecid!_%eaid!</v>
      </c>
      <c r="AT211" s="15" t="str">
        <f t="shared" si="111"/>
        <v>other</v>
      </c>
      <c r="AU211" s="15" t="str">
        <f t="shared" si="102"/>
        <v>BR</v>
      </c>
      <c r="AV211" s="15" t="str">
        <f t="shared" si="112"/>
        <v>dv360</v>
      </c>
      <c r="AW211" s="15" t="str">
        <f t="shared" si="113"/>
        <v>dv360</v>
      </c>
      <c r="AX211" s="15" t="str">
        <f t="shared" si="103"/>
        <v>nivus-launch-consideracao-orca</v>
      </c>
      <c r="AY211" s="15" t="str">
        <f t="shared" si="114"/>
        <v>alp_vw_dv360_imc_dsy_lanch_nd_nc_nvs_nivus-launch-consideracao-orca__configuracao_cpm_drct_all_300x600_lancamento-nivus-orca-rmkt-dealer-selection-form-nivus-suv-model-intent_na_lancamento-consideracao-nivus-orca_nvl-nvs-imc-dsy-0820-10211</v>
      </c>
      <c r="AZ211" s="15" t="str">
        <f t="shared" si="115"/>
        <v>300x600</v>
      </c>
      <c r="BA211" s="15" t="str">
        <f t="shared" si="116"/>
        <v>lancamento-consideracao-nivus-orca</v>
      </c>
      <c r="BB211" s="28" t="s">
        <v>798</v>
      </c>
      <c r="BC211" s="28" t="s">
        <v>798</v>
      </c>
      <c r="BD211" s="38" t="str">
        <f t="shared" si="117"/>
        <v>nvl-nvs-imc-dsy-0820-10211</v>
      </c>
      <c r="BE211" s="15" t="str">
        <f t="shared" si="118"/>
        <v>BR</v>
      </c>
      <c r="BF211" s="15" t="str">
        <f t="shared" si="119"/>
        <v>paid</v>
      </c>
      <c r="BG211" s="28"/>
      <c r="BH211" s="28"/>
      <c r="BI211" s="36" t="str">
        <f t="shared" si="104"/>
        <v>https://www.vw.com.br/pt/configurador.html/__app/%2Fnivus/0.app?adlid=nvl-nvs-imc-dsy-0820-10211&amp;adplt=alp_vw_dv360_imc_dsy_lanch_nd_nc_nvs_nivus-launch-consideracao-orca__configuracao_cpm_drct_all_300x600_lancamento-nivus-orca-rmkt-dealer-selection-form-nivus-suv-model-intent_na_lancamento-consideracao-nivus-orca_nvl-nvs-imc-dsy-0820-10211</v>
      </c>
      <c r="BL211" t="str">
        <f t="shared" si="105"/>
        <v>alp_vw_dv360_imc_dsy_lanch_nd_nc_nvs_nivus-launch-consideracao-orca__configuracao</v>
      </c>
      <c r="BM211" t="str">
        <f t="shared" si="106"/>
        <v>cpm_drct_all_300x600_lancamento-nivus-orca-rmkt-dealer-selection-form-nivus-suv-model-intent_na</v>
      </c>
      <c r="BN211" t="str">
        <f t="shared" si="107"/>
        <v>alp_vw_dv360_imc_dsy_lanch_nd_nc_nvs_nivus-launch-consideracao-orca__configuracao_cpm_drct_all_300x600_lancamento-nivus-orca-rmkt-dealer-selection-form-nivus-suv-model-intent_na_generico_nvl-nvs-imc-dsy-0820-10211</v>
      </c>
    </row>
    <row r="212" spans="2:66" ht="15.75" customHeight="1" x14ac:dyDescent="0.25">
      <c r="B212" s="15" t="s">
        <v>1291</v>
      </c>
      <c r="C212" s="15" t="s">
        <v>1477</v>
      </c>
      <c r="D212" s="15"/>
      <c r="E212" s="22">
        <v>44069</v>
      </c>
      <c r="F212" s="22">
        <v>44135</v>
      </c>
      <c r="G212" s="15" t="s">
        <v>651</v>
      </c>
      <c r="H212" s="41" t="s">
        <v>1266</v>
      </c>
      <c r="I212" s="15" t="s">
        <v>801</v>
      </c>
      <c r="J212" s="42" t="s">
        <v>883</v>
      </c>
      <c r="K212" s="42" t="s">
        <v>883</v>
      </c>
      <c r="L212" s="15" t="s">
        <v>676</v>
      </c>
      <c r="M212" s="15" t="s">
        <v>276</v>
      </c>
      <c r="N212" s="15" t="s">
        <v>295</v>
      </c>
      <c r="O212" s="15" t="s">
        <v>677</v>
      </c>
      <c r="P212" s="15" t="str">
        <f>VLOOKUP(Y212,'All Codes'!$BF$3:$BG$278,2,FALSE)</f>
        <v>MPU</v>
      </c>
      <c r="Q212" s="15" t="s">
        <v>179</v>
      </c>
      <c r="R212" s="15" t="s">
        <v>277</v>
      </c>
      <c r="S212" s="15" t="s">
        <v>874</v>
      </c>
      <c r="T212" s="46" t="s">
        <v>884</v>
      </c>
      <c r="U212" s="15" t="s">
        <v>876</v>
      </c>
      <c r="V212" s="15" t="s">
        <v>1271</v>
      </c>
      <c r="W212" s="15" t="s">
        <v>866</v>
      </c>
      <c r="X212" s="15" t="s">
        <v>307</v>
      </c>
      <c r="Y212" s="46" t="s">
        <v>479</v>
      </c>
      <c r="Z212" s="15"/>
      <c r="AA212" s="15"/>
      <c r="AB212" s="15"/>
      <c r="AC212" s="15"/>
      <c r="AD212" s="15"/>
      <c r="AE212" s="15"/>
      <c r="AF212" s="15"/>
      <c r="AG212" s="15"/>
      <c r="AH212" s="15" t="str">
        <f t="shared" si="97"/>
        <v>284453731</v>
      </c>
      <c r="AI212" s="21" t="str">
        <f t="shared" si="95"/>
        <v>alp_vw_dv360_imc_dsy_lanch_nd_nc_nvs_nivus-launch-consideracao-orca__configuracao_cpm_drct_all_320x50_lancamento-nivus-orca-rmkt-dealer-selection-form-nivus-suv-model-intent_na_lancamento-consideracao-nivus-orca_nvl-nvs-imc-dsy-0820-10212</v>
      </c>
      <c r="AJ212" s="40" t="str">
        <f t="shared" si="95"/>
        <v>alp_vw_dv360_imc_dsy_lanch_nd_nc_nvs_nivus-launch-consideracao-orca__configuracao_cpm_drct_all_320x50_lancamento-nivus-orca-rmkt-dealer-selection-form-nivus-suv-model-intent_na_lancamento-consideracao-nivus-orca_nvl-nvs-imc-dsy-0820-10212</v>
      </c>
      <c r="AK212" s="21" t="str">
        <f t="shared" si="98"/>
        <v>vw_nivus_320x50_lancamento-consideracao-nivus-orca_adserver</v>
      </c>
      <c r="AL212" s="21" t="str">
        <f t="shared" si="108"/>
        <v>https://www.vw.com.br/pt/configurador.html/__app/%2Fnivus/0.app?adlid=nvl-nvs-imc-dsy-0820-10212&amp;adplt=alp_vw_dv360_imc_dsy_lanch_nd_nc_nvs_nivus-launch-consideracao-orca__configuracao_cpm_drct_all_320x50_lancamento-nivus-orca-rmkt-dealer-selection-form-nivus-suv-model-intent_na_lancamento-consideracao-nivus-orca_nvl-nvs-imc-dsy-0820-10212</v>
      </c>
      <c r="AM212" s="21" t="str">
        <f t="shared" si="99"/>
        <v>TAG</v>
      </c>
      <c r="AN212" s="15" t="str">
        <f t="shared" si="109"/>
        <v>DV360</v>
      </c>
      <c r="AO212" s="15" t="str">
        <f t="shared" si="110"/>
        <v>Paid-Display</v>
      </c>
      <c r="AP212" s="21" t="str">
        <f>Campanha!$B$3</f>
        <v>BR_IMC_DSY_LANCH_ND_NC_2020Q3AUG_NVS_Nivus-Launch-Consideracao-Orca</v>
      </c>
      <c r="AQ212" s="21" t="str">
        <f t="shared" si="100"/>
        <v>alp_vw_dv360_imc_dsy_lanch_nd_nc_nvs_nivus-launch-consideracao-orca__configuracao_cpm_drct_all_320x50_lancamento-nivus-orca-rmkt-dealer-selection-form-nivus-suv-model-intent_na_lancamento-consideracao-nivus-orca_nvl-nvs-imc-dsy-0820-10212</v>
      </c>
      <c r="AR212" s="15" t="s">
        <v>745</v>
      </c>
      <c r="AS212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dealer-selection-form-nivus-suv-model-intent_na_lancamento-consideracao-nivus-orca_nvl-nvs-imc-dsy-0820-10212&amp;utm_campaign=BR_IMC_DSY_LANCH_ND_NC_2020Q3AUG_NVS_Nivus-Launch-Consideracao-Orca&amp;utm_term=%epid!_%ecid!_%eaid!</v>
      </c>
      <c r="AT212" s="15" t="str">
        <f t="shared" si="111"/>
        <v>other</v>
      </c>
      <c r="AU212" s="15" t="str">
        <f t="shared" si="102"/>
        <v>BR</v>
      </c>
      <c r="AV212" s="15" t="str">
        <f t="shared" si="112"/>
        <v>dv360</v>
      </c>
      <c r="AW212" s="15" t="str">
        <f t="shared" si="113"/>
        <v>dv360</v>
      </c>
      <c r="AX212" s="15" t="str">
        <f t="shared" si="103"/>
        <v>nivus-launch-consideracao-orca</v>
      </c>
      <c r="AY212" s="15" t="str">
        <f t="shared" si="114"/>
        <v>alp_vw_dv360_imc_dsy_lanch_nd_nc_nvs_nivus-launch-consideracao-orca__configuracao_cpm_drct_all_320x50_lancamento-nivus-orca-rmkt-dealer-selection-form-nivus-suv-model-intent_na_lancamento-consideracao-nivus-orca_nvl-nvs-imc-dsy-0820-10212</v>
      </c>
      <c r="AZ212" s="15" t="str">
        <f t="shared" si="115"/>
        <v>320x50</v>
      </c>
      <c r="BA212" s="15" t="str">
        <f t="shared" si="116"/>
        <v>lancamento-consideracao-nivus-orca</v>
      </c>
      <c r="BB212" s="28" t="s">
        <v>798</v>
      </c>
      <c r="BC212" s="28" t="s">
        <v>798</v>
      </c>
      <c r="BD212" s="38" t="str">
        <f t="shared" si="117"/>
        <v>nvl-nvs-imc-dsy-0820-10212</v>
      </c>
      <c r="BE212" s="15" t="str">
        <f t="shared" si="118"/>
        <v>BR</v>
      </c>
      <c r="BF212" s="15" t="str">
        <f t="shared" si="119"/>
        <v>paid</v>
      </c>
      <c r="BG212" s="28"/>
      <c r="BH212" s="28"/>
      <c r="BI212" s="36" t="str">
        <f t="shared" si="104"/>
        <v>https://www.vw.com.br/pt/configurador.html/__app/%2Fnivus/0.app?adlid=nvl-nvs-imc-dsy-0820-10212&amp;adplt=alp_vw_dv360_imc_dsy_lanch_nd_nc_nvs_nivus-launch-consideracao-orca__configuracao_cpm_drct_all_320x50_lancamento-nivus-orca-rmkt-dealer-selection-form-nivus-suv-model-intent_na_lancamento-consideracao-nivus-orca_nvl-nvs-imc-dsy-0820-10212</v>
      </c>
      <c r="BL212" t="str">
        <f t="shared" si="105"/>
        <v>alp_vw_dv360_imc_dsy_lanch_nd_nc_nvs_nivus-launch-consideracao-orca__configuracao</v>
      </c>
      <c r="BM212" t="str">
        <f t="shared" si="106"/>
        <v>cpm_drct_all_320x50_lancamento-nivus-orca-rmkt-dealer-selection-form-nivus-suv-model-intent_na</v>
      </c>
      <c r="BN212" t="str">
        <f t="shared" si="107"/>
        <v>alp_vw_dv360_imc_dsy_lanch_nd_nc_nvs_nivus-launch-consideracao-orca__configuracao_cpm_drct_all_320x50_lancamento-nivus-orca-rmkt-dealer-selection-form-nivus-suv-model-intent_na_generico_nvl-nvs-imc-dsy-0820-10212</v>
      </c>
    </row>
    <row r="213" spans="2:66" ht="15.75" customHeight="1" x14ac:dyDescent="0.25">
      <c r="B213" s="15" t="s">
        <v>1291</v>
      </c>
      <c r="C213" s="15" t="s">
        <v>1477</v>
      </c>
      <c r="D213" s="15"/>
      <c r="E213" s="22">
        <v>44069</v>
      </c>
      <c r="F213" s="22">
        <v>44135</v>
      </c>
      <c r="G213" s="15" t="s">
        <v>651</v>
      </c>
      <c r="H213" s="41" t="s">
        <v>1266</v>
      </c>
      <c r="I213" s="15" t="s">
        <v>801</v>
      </c>
      <c r="J213" s="42" t="s">
        <v>883</v>
      </c>
      <c r="K213" s="42" t="s">
        <v>883</v>
      </c>
      <c r="L213" s="15" t="s">
        <v>676</v>
      </c>
      <c r="M213" s="15" t="s">
        <v>276</v>
      </c>
      <c r="N213" s="15" t="s">
        <v>295</v>
      </c>
      <c r="O213" s="15" t="s">
        <v>677</v>
      </c>
      <c r="P213" s="15" t="str">
        <f>VLOOKUP(Y213,'All Codes'!$BF$3:$BG$278,2,FALSE)</f>
        <v>Leaderboard</v>
      </c>
      <c r="Q213" s="15" t="s">
        <v>179</v>
      </c>
      <c r="R213" s="15" t="s">
        <v>277</v>
      </c>
      <c r="S213" s="15" t="s">
        <v>874</v>
      </c>
      <c r="T213" s="46" t="s">
        <v>884</v>
      </c>
      <c r="U213" s="15" t="s">
        <v>876</v>
      </c>
      <c r="V213" s="15" t="s">
        <v>1271</v>
      </c>
      <c r="W213" s="15" t="s">
        <v>866</v>
      </c>
      <c r="X213" s="15" t="s">
        <v>307</v>
      </c>
      <c r="Y213" s="46" t="s">
        <v>591</v>
      </c>
      <c r="Z213" s="15"/>
      <c r="AA213" s="15"/>
      <c r="AB213" s="15"/>
      <c r="AC213" s="15"/>
      <c r="AD213" s="15"/>
      <c r="AE213" s="15"/>
      <c r="AF213" s="15"/>
      <c r="AG213" s="15"/>
      <c r="AH213" s="15" t="str">
        <f t="shared" si="97"/>
        <v>284453728</v>
      </c>
      <c r="AI213" s="21" t="str">
        <f t="shared" ref="AI213:AJ276" si="120">LOWER(CONCATENATE(col_campanhaanunciante,"_",col_grupoanunciante,"_",col_localfreetype,"_",col_adlid))</f>
        <v>alp_vw_dv360_imc_dsy_lanch_nd_nc_nvs_nivus-launch-consideracao-orca__configuracao_cpm_drct_all_728x90_lancamento-nivus-orca-rmkt-dealer-selection-form-nivus-suv-model-intent_na_lancamento-consideracao-nivus-orca_nvl-nvs-imc-dsy-0820-10213</v>
      </c>
      <c r="AJ213" s="40" t="str">
        <f t="shared" si="120"/>
        <v>alp_vw_dv360_imc_dsy_lanch_nd_nc_nvs_nivus-launch-consideracao-orca__configuracao_cpm_drct_all_728x90_lancamento-nivus-orca-rmkt-dealer-selection-form-nivus-suv-model-intent_na_lancamento-consideracao-nivus-orca_nvl-nvs-imc-dsy-0820-10213</v>
      </c>
      <c r="AK213" s="21" t="str">
        <f t="shared" si="98"/>
        <v>vw_nivus_728x90_lancamento-consideracao-nivus-orca_adserver</v>
      </c>
      <c r="AL213" s="21" t="str">
        <f t="shared" si="108"/>
        <v>https://www.vw.com.br/pt/configurador.html/__app/%2Fnivus/0.app?adlid=nvl-nvs-imc-dsy-0820-10213&amp;adplt=alp_vw_dv360_imc_dsy_lanch_nd_nc_nvs_nivus-launch-consideracao-orca__configuracao_cpm_drct_all_728x90_lancamento-nivus-orca-rmkt-dealer-selection-form-nivus-suv-model-intent_na_lancamento-consideracao-nivus-orca_nvl-nvs-imc-dsy-0820-10213</v>
      </c>
      <c r="AM213" s="21" t="str">
        <f t="shared" si="99"/>
        <v>TAG</v>
      </c>
      <c r="AN213" s="15" t="str">
        <f t="shared" si="109"/>
        <v>DV360</v>
      </c>
      <c r="AO213" s="15" t="str">
        <f t="shared" si="110"/>
        <v>Paid-Display</v>
      </c>
      <c r="AP213" s="21" t="str">
        <f>Campanha!$B$3</f>
        <v>BR_IMC_DSY_LANCH_ND_NC_2020Q3AUG_NVS_Nivus-Launch-Consideracao-Orca</v>
      </c>
      <c r="AQ213" s="21" t="str">
        <f t="shared" si="100"/>
        <v>alp_vw_dv360_imc_dsy_lanch_nd_nc_nvs_nivus-launch-consideracao-orca__configuracao_cpm_drct_all_728x90_lancamento-nivus-orca-rmkt-dealer-selection-form-nivus-suv-model-intent_na_lancamento-consideracao-nivus-orca_nvl-nvs-imc-dsy-0820-10213</v>
      </c>
      <c r="AR213" s="15" t="s">
        <v>745</v>
      </c>
      <c r="AS213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dealer-selection-form-nivus-suv-model-intent_na_lancamento-consideracao-nivus-orca_nvl-nvs-imc-dsy-0820-10213&amp;utm_campaign=BR_IMC_DSY_LANCH_ND_NC_2020Q3AUG_NVS_Nivus-Launch-Consideracao-Orca&amp;utm_term=%epid!_%ecid!_%eaid!</v>
      </c>
      <c r="AT213" s="15" t="str">
        <f t="shared" si="111"/>
        <v>other</v>
      </c>
      <c r="AU213" s="15" t="str">
        <f t="shared" si="102"/>
        <v>BR</v>
      </c>
      <c r="AV213" s="15" t="str">
        <f t="shared" si="112"/>
        <v>dv360</v>
      </c>
      <c r="AW213" s="15" t="str">
        <f t="shared" si="113"/>
        <v>dv360</v>
      </c>
      <c r="AX213" s="15" t="str">
        <f t="shared" si="103"/>
        <v>nivus-launch-consideracao-orca</v>
      </c>
      <c r="AY213" s="15" t="str">
        <f t="shared" si="114"/>
        <v>alp_vw_dv360_imc_dsy_lanch_nd_nc_nvs_nivus-launch-consideracao-orca__configuracao_cpm_drct_all_728x90_lancamento-nivus-orca-rmkt-dealer-selection-form-nivus-suv-model-intent_na_lancamento-consideracao-nivus-orca_nvl-nvs-imc-dsy-0820-10213</v>
      </c>
      <c r="AZ213" s="15" t="str">
        <f t="shared" si="115"/>
        <v>728x90</v>
      </c>
      <c r="BA213" s="15" t="str">
        <f t="shared" si="116"/>
        <v>lancamento-consideracao-nivus-orca</v>
      </c>
      <c r="BB213" s="28" t="s">
        <v>798</v>
      </c>
      <c r="BC213" s="28" t="s">
        <v>798</v>
      </c>
      <c r="BD213" s="38" t="str">
        <f t="shared" si="117"/>
        <v>nvl-nvs-imc-dsy-0820-10213</v>
      </c>
      <c r="BE213" s="15" t="str">
        <f t="shared" si="118"/>
        <v>BR</v>
      </c>
      <c r="BF213" s="15" t="str">
        <f t="shared" si="119"/>
        <v>paid</v>
      </c>
      <c r="BG213" s="28"/>
      <c r="BH213" s="28"/>
      <c r="BI213" s="36" t="str">
        <f t="shared" si="104"/>
        <v>https://www.vw.com.br/pt/configurador.html/__app/%2Fnivus/0.app?adlid=nvl-nvs-imc-dsy-0820-10213&amp;adplt=alp_vw_dv360_imc_dsy_lanch_nd_nc_nvs_nivus-launch-consideracao-orca__configuracao_cpm_drct_all_728x90_lancamento-nivus-orca-rmkt-dealer-selection-form-nivus-suv-model-intent_na_lancamento-consideracao-nivus-orca_nvl-nvs-imc-dsy-0820-10213</v>
      </c>
      <c r="BL213" t="str">
        <f t="shared" si="105"/>
        <v>alp_vw_dv360_imc_dsy_lanch_nd_nc_nvs_nivus-launch-consideracao-orca__configuracao</v>
      </c>
      <c r="BM213" t="str">
        <f t="shared" si="106"/>
        <v>cpm_drct_all_728x90_lancamento-nivus-orca-rmkt-dealer-selection-form-nivus-suv-model-intent_na</v>
      </c>
      <c r="BN213" t="str">
        <f t="shared" si="107"/>
        <v>alp_vw_dv360_imc_dsy_lanch_nd_nc_nvs_nivus-launch-consideracao-orca__configuracao_cpm_drct_all_728x90_lancamento-nivus-orca-rmkt-dealer-selection-form-nivus-suv-model-intent_na_generico_nvl-nvs-imc-dsy-0820-10213</v>
      </c>
    </row>
    <row r="214" spans="2:66" ht="15.75" customHeight="1" x14ac:dyDescent="0.25">
      <c r="B214" s="15" t="s">
        <v>1291</v>
      </c>
      <c r="C214" s="15" t="s">
        <v>1477</v>
      </c>
      <c r="D214" s="15"/>
      <c r="E214" s="22">
        <v>44069</v>
      </c>
      <c r="F214" s="22">
        <v>44135</v>
      </c>
      <c r="G214" s="15" t="s">
        <v>651</v>
      </c>
      <c r="H214" s="41" t="s">
        <v>1266</v>
      </c>
      <c r="I214" s="15" t="s">
        <v>801</v>
      </c>
      <c r="J214" s="42" t="s">
        <v>883</v>
      </c>
      <c r="K214" s="42" t="s">
        <v>883</v>
      </c>
      <c r="L214" s="15" t="s">
        <v>676</v>
      </c>
      <c r="M214" s="15" t="s">
        <v>276</v>
      </c>
      <c r="N214" s="15" t="s">
        <v>295</v>
      </c>
      <c r="O214" s="15" t="s">
        <v>677</v>
      </c>
      <c r="P214" s="15" t="str">
        <f>VLOOKUP(Y214,'All Codes'!$BF$3:$BG$278,2,FALSE)</f>
        <v>Leaderboard</v>
      </c>
      <c r="Q214" s="15" t="s">
        <v>179</v>
      </c>
      <c r="R214" s="15" t="s">
        <v>277</v>
      </c>
      <c r="S214" s="15" t="s">
        <v>874</v>
      </c>
      <c r="T214" s="46" t="s">
        <v>884</v>
      </c>
      <c r="U214" s="15" t="s">
        <v>876</v>
      </c>
      <c r="V214" s="15" t="s">
        <v>1271</v>
      </c>
      <c r="W214" s="15" t="s">
        <v>866</v>
      </c>
      <c r="X214" s="15" t="s">
        <v>307</v>
      </c>
      <c r="Y214" s="46" t="s">
        <v>629</v>
      </c>
      <c r="Z214" s="15"/>
      <c r="AA214" s="15"/>
      <c r="AB214" s="15"/>
      <c r="AC214" s="15"/>
      <c r="AD214" s="15"/>
      <c r="AE214" s="15"/>
      <c r="AF214" s="15"/>
      <c r="AG214" s="15"/>
      <c r="AH214" s="15" t="str">
        <f t="shared" si="97"/>
        <v>284453725</v>
      </c>
      <c r="AI214" s="21" t="str">
        <f t="shared" si="120"/>
        <v>alp_vw_dv360_imc_dsy_lanch_nd_nc_nvs_nivus-launch-consideracao-orca__configuracao_cpm_drct_all_970x250_lancamento-nivus-orca-rmkt-dealer-selection-form-nivus-suv-model-intent_na_lancamento-consideracao-nivus-orca_nvl-nvs-imc-dsy-0820-10214</v>
      </c>
      <c r="AJ214" s="40" t="str">
        <f t="shared" si="120"/>
        <v>alp_vw_dv360_imc_dsy_lanch_nd_nc_nvs_nivus-launch-consideracao-orca__configuracao_cpm_drct_all_970x250_lancamento-nivus-orca-rmkt-dealer-selection-form-nivus-suv-model-intent_na_lancamento-consideracao-nivus-orca_nvl-nvs-imc-dsy-0820-10214</v>
      </c>
      <c r="AK214" s="21" t="str">
        <f t="shared" si="98"/>
        <v>vw_nivus_970x250_lancamento-consideracao-nivus-orca_adserver</v>
      </c>
      <c r="AL214" s="21" t="str">
        <f t="shared" si="108"/>
        <v>https://www.vw.com.br/pt/configurador.html/__app/%2Fnivus/0.app?adlid=nvl-nvs-imc-dsy-0820-10214&amp;adplt=alp_vw_dv360_imc_dsy_lanch_nd_nc_nvs_nivus-launch-consideracao-orca__configuracao_cpm_drct_all_970x250_lancamento-nivus-orca-rmkt-dealer-selection-form-nivus-suv-model-intent_na_lancamento-consideracao-nivus-orca_nvl-nvs-imc-dsy-0820-10214</v>
      </c>
      <c r="AM214" s="21" t="str">
        <f t="shared" si="99"/>
        <v>TAG</v>
      </c>
      <c r="AN214" s="15" t="str">
        <f t="shared" si="109"/>
        <v>DV360</v>
      </c>
      <c r="AO214" s="15" t="str">
        <f t="shared" si="110"/>
        <v>Paid-Display</v>
      </c>
      <c r="AP214" s="21" t="str">
        <f>Campanha!$B$3</f>
        <v>BR_IMC_DSY_LANCH_ND_NC_2020Q3AUG_NVS_Nivus-Launch-Consideracao-Orca</v>
      </c>
      <c r="AQ214" s="21" t="str">
        <f t="shared" si="100"/>
        <v>alp_vw_dv360_imc_dsy_lanch_nd_nc_nvs_nivus-launch-consideracao-orca__configuracao_cpm_drct_all_970x250_lancamento-nivus-orca-rmkt-dealer-selection-form-nivus-suv-model-intent_na_lancamento-consideracao-nivus-orca_nvl-nvs-imc-dsy-0820-10214</v>
      </c>
      <c r="AR214" s="15" t="s">
        <v>745</v>
      </c>
      <c r="AS214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dealer-selection-form-nivus-suv-model-intent_na_lancamento-consideracao-nivus-orca_nvl-nvs-imc-dsy-0820-10214&amp;utm_campaign=BR_IMC_DSY_LANCH_ND_NC_2020Q3AUG_NVS_Nivus-Launch-Consideracao-Orca&amp;utm_term=%epid!_%ecid!_%eaid!</v>
      </c>
      <c r="AT214" s="15" t="str">
        <f t="shared" si="111"/>
        <v>other</v>
      </c>
      <c r="AU214" s="15" t="str">
        <f t="shared" si="102"/>
        <v>BR</v>
      </c>
      <c r="AV214" s="15" t="str">
        <f t="shared" si="112"/>
        <v>dv360</v>
      </c>
      <c r="AW214" s="15" t="str">
        <f t="shared" si="113"/>
        <v>dv360</v>
      </c>
      <c r="AX214" s="15" t="str">
        <f t="shared" si="103"/>
        <v>nivus-launch-consideracao-orca</v>
      </c>
      <c r="AY214" s="15" t="str">
        <f t="shared" si="114"/>
        <v>alp_vw_dv360_imc_dsy_lanch_nd_nc_nvs_nivus-launch-consideracao-orca__configuracao_cpm_drct_all_970x250_lancamento-nivus-orca-rmkt-dealer-selection-form-nivus-suv-model-intent_na_lancamento-consideracao-nivus-orca_nvl-nvs-imc-dsy-0820-10214</v>
      </c>
      <c r="AZ214" s="15" t="str">
        <f t="shared" si="115"/>
        <v>970x250</v>
      </c>
      <c r="BA214" s="15" t="str">
        <f t="shared" si="116"/>
        <v>lancamento-consideracao-nivus-orca</v>
      </c>
      <c r="BB214" s="28" t="s">
        <v>798</v>
      </c>
      <c r="BC214" s="28" t="s">
        <v>798</v>
      </c>
      <c r="BD214" s="38" t="str">
        <f t="shared" si="117"/>
        <v>nvl-nvs-imc-dsy-0820-10214</v>
      </c>
      <c r="BE214" s="15" t="str">
        <f t="shared" si="118"/>
        <v>BR</v>
      </c>
      <c r="BF214" s="15" t="str">
        <f t="shared" si="119"/>
        <v>paid</v>
      </c>
      <c r="BG214" s="28"/>
      <c r="BH214" s="28"/>
      <c r="BI214" s="36" t="str">
        <f t="shared" si="104"/>
        <v>https://www.vw.com.br/pt/configurador.html/__app/%2Fnivus/0.app?adlid=nvl-nvs-imc-dsy-0820-10214&amp;adplt=alp_vw_dv360_imc_dsy_lanch_nd_nc_nvs_nivus-launch-consideracao-orca__configuracao_cpm_drct_all_970x250_lancamento-nivus-orca-rmkt-dealer-selection-form-nivus-suv-model-intent_na_lancamento-consideracao-nivus-orca_nvl-nvs-imc-dsy-0820-10214</v>
      </c>
      <c r="BL214" t="str">
        <f t="shared" si="105"/>
        <v>alp_vw_dv360_imc_dsy_lanch_nd_nc_nvs_nivus-launch-consideracao-orca__configuracao</v>
      </c>
      <c r="BM214" t="str">
        <f t="shared" si="106"/>
        <v>cpm_drct_all_970x250_lancamento-nivus-orca-rmkt-dealer-selection-form-nivus-suv-model-intent_na</v>
      </c>
      <c r="BN214" t="str">
        <f t="shared" si="107"/>
        <v>alp_vw_dv360_imc_dsy_lanch_nd_nc_nvs_nivus-launch-consideracao-orca__configuracao_cpm_drct_all_970x250_lancamento-nivus-orca-rmkt-dealer-selection-form-nivus-suv-model-intent_na_generico_nvl-nvs-imc-dsy-0820-10214</v>
      </c>
    </row>
    <row r="215" spans="2:66" ht="15.75" customHeight="1" x14ac:dyDescent="0.25">
      <c r="B215" s="15" t="s">
        <v>1291</v>
      </c>
      <c r="C215" s="15" t="s">
        <v>1477</v>
      </c>
      <c r="D215" s="15"/>
      <c r="E215" s="22">
        <v>44069</v>
      </c>
      <c r="F215" s="22">
        <v>44135</v>
      </c>
      <c r="G215" s="15" t="s">
        <v>651</v>
      </c>
      <c r="H215" s="41" t="s">
        <v>1266</v>
      </c>
      <c r="I215" s="15" t="s">
        <v>801</v>
      </c>
      <c r="J215" s="42" t="s">
        <v>883</v>
      </c>
      <c r="K215" s="42" t="s">
        <v>883</v>
      </c>
      <c r="L215" s="15" t="s">
        <v>676</v>
      </c>
      <c r="M215" s="15" t="s">
        <v>276</v>
      </c>
      <c r="N215" s="15" t="s">
        <v>295</v>
      </c>
      <c r="O215" s="15" t="s">
        <v>677</v>
      </c>
      <c r="P215" s="15" t="str">
        <f>VLOOKUP(Y215,'All Codes'!$BF$3:$BG$278,2,FALSE)</f>
        <v>MPU</v>
      </c>
      <c r="Q215" s="15" t="s">
        <v>179</v>
      </c>
      <c r="R215" s="15" t="s">
        <v>277</v>
      </c>
      <c r="S215" s="15" t="s">
        <v>874</v>
      </c>
      <c r="T215" s="46" t="s">
        <v>884</v>
      </c>
      <c r="U215" s="15" t="s">
        <v>876</v>
      </c>
      <c r="V215" s="15" t="s">
        <v>1272</v>
      </c>
      <c r="W215" s="15" t="s">
        <v>866</v>
      </c>
      <c r="X215" s="15" t="s">
        <v>307</v>
      </c>
      <c r="Y215" s="46" t="s">
        <v>461</v>
      </c>
      <c r="Z215" s="15"/>
      <c r="AA215" s="15"/>
      <c r="AB215" s="15"/>
      <c r="AC215" s="15"/>
      <c r="AD215" s="15"/>
      <c r="AE215" s="15"/>
      <c r="AF215" s="15"/>
      <c r="AG215" s="15"/>
      <c r="AH215" s="15" t="str">
        <f t="shared" si="97"/>
        <v>284453722</v>
      </c>
      <c r="AI215" s="21" t="str">
        <f t="shared" si="120"/>
        <v>alp_vw_dv360_imc_dsy_lanch_nd_nc_nvs_nivus-launch-consideracao-orca__configuracao_cpm_drct_all_300x50_lancamento-nivus-orca-rmkt-dealer-selection-form-nivus-suv-model-interest_na_lancamento-consideracao-nivus-orca_nvl-nvs-imc-dsy-0820-10215</v>
      </c>
      <c r="AJ215" s="40" t="str">
        <f t="shared" si="120"/>
        <v>alp_vw_dv360_imc_dsy_lanch_nd_nc_nvs_nivus-launch-consideracao-orca__configuracao_cpm_drct_all_300x50_lancamento-nivus-orca-rmkt-dealer-selection-form-nivus-suv-model-interest_na_lancamento-consideracao-nivus-orca_nvl-nvs-imc-dsy-0820-10215</v>
      </c>
      <c r="AK215" s="21" t="str">
        <f t="shared" si="98"/>
        <v>vw_nivus_300x50_lancamento-consideracao-nivus-orca_adserver</v>
      </c>
      <c r="AL215" s="21" t="str">
        <f t="shared" si="108"/>
        <v>https://www.vw.com.br/pt/configurador.html/__app/%2Fnivus/0.app?adlid=nvl-nvs-imc-dsy-0820-10215&amp;adplt=alp_vw_dv360_imc_dsy_lanch_nd_nc_nvs_nivus-launch-consideracao-orca__configuracao_cpm_drct_all_300x50_lancamento-nivus-orca-rmkt-dealer-selection-form-nivus-suv-model-interest_na_lancamento-consideracao-nivus-orca_nvl-nvs-imc-dsy-0820-10215</v>
      </c>
      <c r="AM215" s="21" t="str">
        <f t="shared" si="99"/>
        <v>TAG</v>
      </c>
      <c r="AN215" s="15" t="str">
        <f t="shared" si="109"/>
        <v>DV360</v>
      </c>
      <c r="AO215" s="15" t="str">
        <f t="shared" si="110"/>
        <v>Paid-Display</v>
      </c>
      <c r="AP215" s="21" t="str">
        <f>Campanha!$B$3</f>
        <v>BR_IMC_DSY_LANCH_ND_NC_2020Q3AUG_NVS_Nivus-Launch-Consideracao-Orca</v>
      </c>
      <c r="AQ215" s="21" t="str">
        <f t="shared" si="100"/>
        <v>alp_vw_dv360_imc_dsy_lanch_nd_nc_nvs_nivus-launch-consideracao-orca__configuracao_cpm_drct_all_300x50_lancamento-nivus-orca-rmkt-dealer-selection-form-nivus-suv-model-interest_na_lancamento-consideracao-nivus-orca_nvl-nvs-imc-dsy-0820-10215</v>
      </c>
      <c r="AR215" s="15" t="s">
        <v>745</v>
      </c>
      <c r="AS215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50_lancamento-nivus-orca-rmkt-dealer-selection-form-nivus-suv-model-interest_na_lancamento-consideracao-nivus-orca_nvl-nvs-imc-dsy-0820-10215&amp;utm_campaign=BR_IMC_DSY_LANCH_ND_NC_2020Q3AUG_NVS_Nivus-Launch-Consideracao-Orca&amp;utm_term=%epid!_%ecid!_%eaid!</v>
      </c>
      <c r="AT215" s="15" t="str">
        <f t="shared" si="111"/>
        <v>other</v>
      </c>
      <c r="AU215" s="15" t="str">
        <f t="shared" si="102"/>
        <v>BR</v>
      </c>
      <c r="AV215" s="15" t="str">
        <f t="shared" si="112"/>
        <v>dv360</v>
      </c>
      <c r="AW215" s="15" t="str">
        <f t="shared" si="113"/>
        <v>dv360</v>
      </c>
      <c r="AX215" s="15" t="str">
        <f t="shared" si="103"/>
        <v>nivus-launch-consideracao-orca</v>
      </c>
      <c r="AY215" s="15" t="str">
        <f t="shared" si="114"/>
        <v>alp_vw_dv360_imc_dsy_lanch_nd_nc_nvs_nivus-launch-consideracao-orca__configuracao_cpm_drct_all_300x50_lancamento-nivus-orca-rmkt-dealer-selection-form-nivus-suv-model-interest_na_lancamento-consideracao-nivus-orca_nvl-nvs-imc-dsy-0820-10215</v>
      </c>
      <c r="AZ215" s="15" t="str">
        <f t="shared" si="115"/>
        <v>300x50</v>
      </c>
      <c r="BA215" s="15" t="str">
        <f t="shared" si="116"/>
        <v>lancamento-consideracao-nivus-orca</v>
      </c>
      <c r="BB215" s="28" t="s">
        <v>798</v>
      </c>
      <c r="BC215" s="28" t="s">
        <v>798</v>
      </c>
      <c r="BD215" s="38" t="str">
        <f t="shared" si="117"/>
        <v>nvl-nvs-imc-dsy-0820-10215</v>
      </c>
      <c r="BE215" s="15" t="str">
        <f t="shared" si="118"/>
        <v>BR</v>
      </c>
      <c r="BF215" s="15" t="str">
        <f t="shared" si="119"/>
        <v>paid</v>
      </c>
      <c r="BG215" s="28"/>
      <c r="BH215" s="28"/>
      <c r="BI215" s="36" t="str">
        <f t="shared" si="104"/>
        <v>https://www.vw.com.br/pt/configurador.html/__app/%2Fnivus/0.app?adlid=nvl-nvs-imc-dsy-0820-10215&amp;adplt=alp_vw_dv360_imc_dsy_lanch_nd_nc_nvs_nivus-launch-consideracao-orca__configuracao_cpm_drct_all_300x50_lancamento-nivus-orca-rmkt-dealer-selection-form-nivus-suv-model-interest_na_lancamento-consideracao-nivus-orca_nvl-nvs-imc-dsy-0820-10215</v>
      </c>
      <c r="BL215" t="str">
        <f t="shared" si="105"/>
        <v>alp_vw_dv360_imc_dsy_lanch_nd_nc_nvs_nivus-launch-consideracao-orca__configuracao</v>
      </c>
      <c r="BM215" t="str">
        <f t="shared" si="106"/>
        <v>cpm_drct_all_300x50_lancamento-nivus-orca-rmkt-dealer-selection-form-nivus-suv-model-interest_na</v>
      </c>
      <c r="BN215" t="str">
        <f t="shared" si="107"/>
        <v>alp_vw_dv360_imc_dsy_lanch_nd_nc_nvs_nivus-launch-consideracao-orca__configuracao_cpm_drct_all_300x50_lancamento-nivus-orca-rmkt-dealer-selection-form-nivus-suv-model-interest_na_generico_nvl-nvs-imc-dsy-0820-10215</v>
      </c>
    </row>
    <row r="216" spans="2:66" ht="15.75" customHeight="1" x14ac:dyDescent="0.25">
      <c r="B216" s="15" t="s">
        <v>1291</v>
      </c>
      <c r="C216" s="15" t="s">
        <v>1477</v>
      </c>
      <c r="D216" s="15"/>
      <c r="E216" s="22">
        <v>44069</v>
      </c>
      <c r="F216" s="22">
        <v>44135</v>
      </c>
      <c r="G216" s="15" t="s">
        <v>651</v>
      </c>
      <c r="H216" s="41" t="s">
        <v>1266</v>
      </c>
      <c r="I216" s="15" t="s">
        <v>801</v>
      </c>
      <c r="J216" s="42" t="s">
        <v>883</v>
      </c>
      <c r="K216" s="42" t="s">
        <v>883</v>
      </c>
      <c r="L216" s="15" t="s">
        <v>676</v>
      </c>
      <c r="M216" s="15" t="s">
        <v>276</v>
      </c>
      <c r="N216" s="15" t="s">
        <v>295</v>
      </c>
      <c r="O216" s="15" t="s">
        <v>677</v>
      </c>
      <c r="P216" s="15" t="str">
        <f>VLOOKUP(Y216,'All Codes'!$BF$3:$BG$278,2,FALSE)</f>
        <v>Skyscraper</v>
      </c>
      <c r="Q216" s="15" t="s">
        <v>179</v>
      </c>
      <c r="R216" s="15" t="s">
        <v>277</v>
      </c>
      <c r="S216" s="15" t="s">
        <v>874</v>
      </c>
      <c r="T216" s="46" t="s">
        <v>884</v>
      </c>
      <c r="U216" s="15" t="s">
        <v>876</v>
      </c>
      <c r="V216" s="15" t="s">
        <v>1272</v>
      </c>
      <c r="W216" s="15" t="s">
        <v>866</v>
      </c>
      <c r="X216" s="15" t="s">
        <v>307</v>
      </c>
      <c r="Y216" s="46" t="s">
        <v>434</v>
      </c>
      <c r="Z216" s="15"/>
      <c r="AA216" s="15"/>
      <c r="AB216" s="15"/>
      <c r="AC216" s="15"/>
      <c r="AD216" s="15"/>
      <c r="AE216" s="15"/>
      <c r="AF216" s="15"/>
      <c r="AG216" s="15"/>
      <c r="AH216" s="15" t="str">
        <f t="shared" si="97"/>
        <v>284453719</v>
      </c>
      <c r="AI216" s="21" t="str">
        <f t="shared" si="120"/>
        <v>alp_vw_dv360_imc_dsy_lanch_nd_nc_nvs_nivus-launch-consideracao-orca__configuracao_cpm_drct_all_160x600_lancamento-nivus-orca-rmkt-dealer-selection-form-nivus-suv-model-interest_na_lancamento-consideracao-nivus-orca_nvl-nvs-imc-dsy-0820-10216</v>
      </c>
      <c r="AJ216" s="40" t="str">
        <f t="shared" si="120"/>
        <v>alp_vw_dv360_imc_dsy_lanch_nd_nc_nvs_nivus-launch-consideracao-orca__configuracao_cpm_drct_all_160x600_lancamento-nivus-orca-rmkt-dealer-selection-form-nivus-suv-model-interest_na_lancamento-consideracao-nivus-orca_nvl-nvs-imc-dsy-0820-10216</v>
      </c>
      <c r="AK216" s="21" t="str">
        <f t="shared" si="98"/>
        <v>vw_nivus_160x600_lancamento-consideracao-nivus-orca_adserver</v>
      </c>
      <c r="AL216" s="21" t="str">
        <f t="shared" si="108"/>
        <v>https://www.vw.com.br/pt/configurador.html/__app/%2Fnivus/0.app?adlid=nvl-nvs-imc-dsy-0820-10216&amp;adplt=alp_vw_dv360_imc_dsy_lanch_nd_nc_nvs_nivus-launch-consideracao-orca__configuracao_cpm_drct_all_160x600_lancamento-nivus-orca-rmkt-dealer-selection-form-nivus-suv-model-interest_na_lancamento-consideracao-nivus-orca_nvl-nvs-imc-dsy-0820-10216</v>
      </c>
      <c r="AM216" s="21" t="str">
        <f t="shared" si="99"/>
        <v>TAG</v>
      </c>
      <c r="AN216" s="15" t="str">
        <f t="shared" si="109"/>
        <v>DV360</v>
      </c>
      <c r="AO216" s="15" t="str">
        <f t="shared" si="110"/>
        <v>Paid-Display</v>
      </c>
      <c r="AP216" s="21" t="str">
        <f>Campanha!$B$3</f>
        <v>BR_IMC_DSY_LANCH_ND_NC_2020Q3AUG_NVS_Nivus-Launch-Consideracao-Orca</v>
      </c>
      <c r="AQ216" s="21" t="str">
        <f t="shared" si="100"/>
        <v>alp_vw_dv360_imc_dsy_lanch_nd_nc_nvs_nivus-launch-consideracao-orca__configuracao_cpm_drct_all_160x600_lancamento-nivus-orca-rmkt-dealer-selection-form-nivus-suv-model-interest_na_lancamento-consideracao-nivus-orca_nvl-nvs-imc-dsy-0820-10216</v>
      </c>
      <c r="AR216" s="15" t="s">
        <v>745</v>
      </c>
      <c r="AS216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160x600_lancamento-nivus-orca-rmkt-dealer-selection-form-nivus-suv-model-interest_na_lancamento-consideracao-nivus-orca_nvl-nvs-imc-dsy-0820-10216&amp;utm_campaign=BR_IMC_DSY_LANCH_ND_NC_2020Q3AUG_NVS_Nivus-Launch-Consideracao-Orca&amp;utm_term=%epid!_%ecid!_%eaid!</v>
      </c>
      <c r="AT216" s="15" t="str">
        <f t="shared" si="111"/>
        <v>other</v>
      </c>
      <c r="AU216" s="15" t="str">
        <f t="shared" si="102"/>
        <v>BR</v>
      </c>
      <c r="AV216" s="15" t="str">
        <f t="shared" si="112"/>
        <v>dv360</v>
      </c>
      <c r="AW216" s="15" t="str">
        <f t="shared" si="113"/>
        <v>dv360</v>
      </c>
      <c r="AX216" s="15" t="str">
        <f t="shared" si="103"/>
        <v>nivus-launch-consideracao-orca</v>
      </c>
      <c r="AY216" s="15" t="str">
        <f t="shared" si="114"/>
        <v>alp_vw_dv360_imc_dsy_lanch_nd_nc_nvs_nivus-launch-consideracao-orca__configuracao_cpm_drct_all_160x600_lancamento-nivus-orca-rmkt-dealer-selection-form-nivus-suv-model-interest_na_lancamento-consideracao-nivus-orca_nvl-nvs-imc-dsy-0820-10216</v>
      </c>
      <c r="AZ216" s="15" t="str">
        <f t="shared" si="115"/>
        <v>160x600</v>
      </c>
      <c r="BA216" s="15" t="str">
        <f t="shared" si="116"/>
        <v>lancamento-consideracao-nivus-orca</v>
      </c>
      <c r="BB216" s="28" t="s">
        <v>798</v>
      </c>
      <c r="BC216" s="28" t="s">
        <v>798</v>
      </c>
      <c r="BD216" s="38" t="str">
        <f t="shared" si="117"/>
        <v>nvl-nvs-imc-dsy-0820-10216</v>
      </c>
      <c r="BE216" s="15" t="str">
        <f t="shared" si="118"/>
        <v>BR</v>
      </c>
      <c r="BF216" s="15" t="str">
        <f t="shared" si="119"/>
        <v>paid</v>
      </c>
      <c r="BG216" s="28"/>
      <c r="BH216" s="28"/>
      <c r="BI216" s="36" t="str">
        <f t="shared" si="104"/>
        <v>https://www.vw.com.br/pt/configurador.html/__app/%2Fnivus/0.app?adlid=nvl-nvs-imc-dsy-0820-10216&amp;adplt=alp_vw_dv360_imc_dsy_lanch_nd_nc_nvs_nivus-launch-consideracao-orca__configuracao_cpm_drct_all_160x600_lancamento-nivus-orca-rmkt-dealer-selection-form-nivus-suv-model-interest_na_lancamento-consideracao-nivus-orca_nvl-nvs-imc-dsy-0820-10216</v>
      </c>
      <c r="BL216" t="str">
        <f t="shared" si="105"/>
        <v>alp_vw_dv360_imc_dsy_lanch_nd_nc_nvs_nivus-launch-consideracao-orca__configuracao</v>
      </c>
      <c r="BM216" t="str">
        <f t="shared" si="106"/>
        <v>cpm_drct_all_160x600_lancamento-nivus-orca-rmkt-dealer-selection-form-nivus-suv-model-interest_na</v>
      </c>
      <c r="BN216" t="str">
        <f t="shared" si="107"/>
        <v>alp_vw_dv360_imc_dsy_lanch_nd_nc_nvs_nivus-launch-consideracao-orca__configuracao_cpm_drct_all_160x600_lancamento-nivus-orca-rmkt-dealer-selection-form-nivus-suv-model-interest_na_generico_nvl-nvs-imc-dsy-0820-10216</v>
      </c>
    </row>
    <row r="217" spans="2:66" ht="15.75" customHeight="1" x14ac:dyDescent="0.25">
      <c r="B217" s="15" t="s">
        <v>1291</v>
      </c>
      <c r="C217" s="15" t="s">
        <v>1477</v>
      </c>
      <c r="D217" s="15"/>
      <c r="E217" s="22">
        <v>44069</v>
      </c>
      <c r="F217" s="22">
        <v>44135</v>
      </c>
      <c r="G217" s="15" t="s">
        <v>651</v>
      </c>
      <c r="H217" s="41" t="s">
        <v>1266</v>
      </c>
      <c r="I217" s="15" t="s">
        <v>801</v>
      </c>
      <c r="J217" s="42" t="s">
        <v>883</v>
      </c>
      <c r="K217" s="42" t="s">
        <v>883</v>
      </c>
      <c r="L217" s="15" t="s">
        <v>676</v>
      </c>
      <c r="M217" s="15" t="s">
        <v>276</v>
      </c>
      <c r="N217" s="15" t="s">
        <v>295</v>
      </c>
      <c r="O217" s="15" t="s">
        <v>677</v>
      </c>
      <c r="P217" s="15" t="str">
        <f>VLOOKUP(Y217,'All Codes'!$BF$3:$BG$278,2,FALSE)</f>
        <v>MPU</v>
      </c>
      <c r="Q217" s="15" t="s">
        <v>179</v>
      </c>
      <c r="R217" s="15" t="s">
        <v>277</v>
      </c>
      <c r="S217" s="15" t="s">
        <v>874</v>
      </c>
      <c r="T217" s="46" t="s">
        <v>884</v>
      </c>
      <c r="U217" s="15" t="s">
        <v>876</v>
      </c>
      <c r="V217" s="15" t="s">
        <v>1272</v>
      </c>
      <c r="W217" s="15" t="s">
        <v>866</v>
      </c>
      <c r="X217" s="15" t="s">
        <v>307</v>
      </c>
      <c r="Y217" s="46" t="s">
        <v>455</v>
      </c>
      <c r="Z217" s="15"/>
      <c r="AA217" s="15"/>
      <c r="AB217" s="15"/>
      <c r="AC217" s="15"/>
      <c r="AD217" s="15"/>
      <c r="AE217" s="15"/>
      <c r="AF217" s="15"/>
      <c r="AG217" s="15"/>
      <c r="AH217" s="15" t="str">
        <f t="shared" si="97"/>
        <v>284453716</v>
      </c>
      <c r="AI217" s="21" t="str">
        <f t="shared" si="120"/>
        <v>alp_vw_dv360_imc_dsy_lanch_nd_nc_nvs_nivus-launch-consideracao-orca__configuracao_cpm_drct_all_300x250_lancamento-nivus-orca-rmkt-dealer-selection-form-nivus-suv-model-interest_na_lancamento-consideracao-nivus-orca_nvl-nvs-imc-dsy-0820-10217</v>
      </c>
      <c r="AJ217" s="40" t="str">
        <f t="shared" si="120"/>
        <v>alp_vw_dv360_imc_dsy_lanch_nd_nc_nvs_nivus-launch-consideracao-orca__configuracao_cpm_drct_all_300x250_lancamento-nivus-orca-rmkt-dealer-selection-form-nivus-suv-model-interest_na_lancamento-consideracao-nivus-orca_nvl-nvs-imc-dsy-0820-10217</v>
      </c>
      <c r="AK217" s="21" t="str">
        <f t="shared" si="98"/>
        <v>vw_nivus_300x250_lancamento-consideracao-nivus-orca_adserver</v>
      </c>
      <c r="AL217" s="21" t="str">
        <f t="shared" si="108"/>
        <v>https://www.vw.com.br/pt/configurador.html/__app/%2Fnivus/0.app?adlid=nvl-nvs-imc-dsy-0820-10217&amp;adplt=alp_vw_dv360_imc_dsy_lanch_nd_nc_nvs_nivus-launch-consideracao-orca__configuracao_cpm_drct_all_300x250_lancamento-nivus-orca-rmkt-dealer-selection-form-nivus-suv-model-interest_na_lancamento-consideracao-nivus-orca_nvl-nvs-imc-dsy-0820-10217</v>
      </c>
      <c r="AM217" s="21" t="str">
        <f t="shared" si="99"/>
        <v>TAG</v>
      </c>
      <c r="AN217" s="15" t="str">
        <f t="shared" si="109"/>
        <v>DV360</v>
      </c>
      <c r="AO217" s="15" t="str">
        <f t="shared" si="110"/>
        <v>Paid-Display</v>
      </c>
      <c r="AP217" s="21" t="str">
        <f>Campanha!$B$3</f>
        <v>BR_IMC_DSY_LANCH_ND_NC_2020Q3AUG_NVS_Nivus-Launch-Consideracao-Orca</v>
      </c>
      <c r="AQ217" s="21" t="str">
        <f t="shared" si="100"/>
        <v>alp_vw_dv360_imc_dsy_lanch_nd_nc_nvs_nivus-launch-consideracao-orca__configuracao_cpm_drct_all_300x250_lancamento-nivus-orca-rmkt-dealer-selection-form-nivus-suv-model-interest_na_lancamento-consideracao-nivus-orca_nvl-nvs-imc-dsy-0820-10217</v>
      </c>
      <c r="AR217" s="15" t="s">
        <v>745</v>
      </c>
      <c r="AS217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250_lancamento-nivus-orca-rmkt-dealer-selection-form-nivus-suv-model-interest_na_lancamento-consideracao-nivus-orca_nvl-nvs-imc-dsy-0820-10217&amp;utm_campaign=BR_IMC_DSY_LANCH_ND_NC_2020Q3AUG_NVS_Nivus-Launch-Consideracao-Orca&amp;utm_term=%epid!_%ecid!_%eaid!</v>
      </c>
      <c r="AT217" s="15" t="str">
        <f t="shared" si="111"/>
        <v>other</v>
      </c>
      <c r="AU217" s="15" t="str">
        <f t="shared" si="102"/>
        <v>BR</v>
      </c>
      <c r="AV217" s="15" t="str">
        <f t="shared" si="112"/>
        <v>dv360</v>
      </c>
      <c r="AW217" s="15" t="str">
        <f t="shared" si="113"/>
        <v>dv360</v>
      </c>
      <c r="AX217" s="15" t="str">
        <f t="shared" si="103"/>
        <v>nivus-launch-consideracao-orca</v>
      </c>
      <c r="AY217" s="15" t="str">
        <f t="shared" si="114"/>
        <v>alp_vw_dv360_imc_dsy_lanch_nd_nc_nvs_nivus-launch-consideracao-orca__configuracao_cpm_drct_all_300x250_lancamento-nivus-orca-rmkt-dealer-selection-form-nivus-suv-model-interest_na_lancamento-consideracao-nivus-orca_nvl-nvs-imc-dsy-0820-10217</v>
      </c>
      <c r="AZ217" s="15" t="str">
        <f t="shared" si="115"/>
        <v>300x250</v>
      </c>
      <c r="BA217" s="15" t="str">
        <f t="shared" si="116"/>
        <v>lancamento-consideracao-nivus-orca</v>
      </c>
      <c r="BB217" s="28" t="s">
        <v>798</v>
      </c>
      <c r="BC217" s="28" t="s">
        <v>798</v>
      </c>
      <c r="BD217" s="38" t="str">
        <f t="shared" si="117"/>
        <v>nvl-nvs-imc-dsy-0820-10217</v>
      </c>
      <c r="BE217" s="15" t="str">
        <f t="shared" si="118"/>
        <v>BR</v>
      </c>
      <c r="BF217" s="15" t="str">
        <f t="shared" si="119"/>
        <v>paid</v>
      </c>
      <c r="BG217" s="28"/>
      <c r="BH217" s="28"/>
      <c r="BI217" s="36" t="str">
        <f t="shared" si="104"/>
        <v>https://www.vw.com.br/pt/configurador.html/__app/%2Fnivus/0.app?adlid=nvl-nvs-imc-dsy-0820-10217&amp;adplt=alp_vw_dv360_imc_dsy_lanch_nd_nc_nvs_nivus-launch-consideracao-orca__configuracao_cpm_drct_all_300x250_lancamento-nivus-orca-rmkt-dealer-selection-form-nivus-suv-model-interest_na_lancamento-consideracao-nivus-orca_nvl-nvs-imc-dsy-0820-10217</v>
      </c>
      <c r="BL217" t="str">
        <f t="shared" si="105"/>
        <v>alp_vw_dv360_imc_dsy_lanch_nd_nc_nvs_nivus-launch-consideracao-orca__configuracao</v>
      </c>
      <c r="BM217" t="str">
        <f t="shared" si="106"/>
        <v>cpm_drct_all_300x250_lancamento-nivus-orca-rmkt-dealer-selection-form-nivus-suv-model-interest_na</v>
      </c>
      <c r="BN217" t="str">
        <f t="shared" si="107"/>
        <v>alp_vw_dv360_imc_dsy_lanch_nd_nc_nvs_nivus-launch-consideracao-orca__configuracao_cpm_drct_all_300x250_lancamento-nivus-orca-rmkt-dealer-selection-form-nivus-suv-model-interest_na_generico_nvl-nvs-imc-dsy-0820-10217</v>
      </c>
    </row>
    <row r="218" spans="2:66" ht="15.75" customHeight="1" x14ac:dyDescent="0.25">
      <c r="B218" s="15" t="s">
        <v>1291</v>
      </c>
      <c r="C218" s="15" t="s">
        <v>1477</v>
      </c>
      <c r="D218" s="15"/>
      <c r="E218" s="22">
        <v>44069</v>
      </c>
      <c r="F218" s="22">
        <v>44135</v>
      </c>
      <c r="G218" s="15" t="s">
        <v>651</v>
      </c>
      <c r="H218" s="41" t="s">
        <v>1266</v>
      </c>
      <c r="I218" s="15" t="s">
        <v>801</v>
      </c>
      <c r="J218" s="42" t="s">
        <v>883</v>
      </c>
      <c r="K218" s="42" t="s">
        <v>883</v>
      </c>
      <c r="L218" s="15" t="s">
        <v>676</v>
      </c>
      <c r="M218" s="15" t="s">
        <v>276</v>
      </c>
      <c r="N218" s="15" t="s">
        <v>295</v>
      </c>
      <c r="O218" s="15" t="s">
        <v>677</v>
      </c>
      <c r="P218" s="15" t="str">
        <f>VLOOKUP(Y218,'All Codes'!$BF$3:$BG$278,2,FALSE)</f>
        <v>Skyscraper</v>
      </c>
      <c r="Q218" s="15" t="s">
        <v>179</v>
      </c>
      <c r="R218" s="15" t="s">
        <v>277</v>
      </c>
      <c r="S218" s="15" t="s">
        <v>874</v>
      </c>
      <c r="T218" s="46" t="s">
        <v>884</v>
      </c>
      <c r="U218" s="15" t="s">
        <v>876</v>
      </c>
      <c r="V218" s="15" t="s">
        <v>1272</v>
      </c>
      <c r="W218" s="15" t="s">
        <v>866</v>
      </c>
      <c r="X218" s="15" t="s">
        <v>307</v>
      </c>
      <c r="Y218" s="46" t="s">
        <v>464</v>
      </c>
      <c r="Z218" s="15"/>
      <c r="AA218" s="15"/>
      <c r="AB218" s="15"/>
      <c r="AC218" s="15"/>
      <c r="AD218" s="15"/>
      <c r="AE218" s="15"/>
      <c r="AF218" s="15"/>
      <c r="AG218" s="15"/>
      <c r="AH218" s="15" t="str">
        <f t="shared" si="97"/>
        <v>284453713</v>
      </c>
      <c r="AI218" s="21" t="str">
        <f t="shared" si="120"/>
        <v>alp_vw_dv360_imc_dsy_lanch_nd_nc_nvs_nivus-launch-consideracao-orca__configuracao_cpm_drct_all_300x600_lancamento-nivus-orca-rmkt-dealer-selection-form-nivus-suv-model-interest_na_lancamento-consideracao-nivus-orca_nvl-nvs-imc-dsy-0820-10218</v>
      </c>
      <c r="AJ218" s="40" t="str">
        <f t="shared" si="120"/>
        <v>alp_vw_dv360_imc_dsy_lanch_nd_nc_nvs_nivus-launch-consideracao-orca__configuracao_cpm_drct_all_300x600_lancamento-nivus-orca-rmkt-dealer-selection-form-nivus-suv-model-interest_na_lancamento-consideracao-nivus-orca_nvl-nvs-imc-dsy-0820-10218</v>
      </c>
      <c r="AK218" s="21" t="str">
        <f t="shared" si="98"/>
        <v>vw_nivus_300x600_lancamento-consideracao-nivus-orca_adserver</v>
      </c>
      <c r="AL218" s="21" t="str">
        <f t="shared" si="108"/>
        <v>https://www.vw.com.br/pt/configurador.html/__app/%2Fnivus/0.app?adlid=nvl-nvs-imc-dsy-0820-10218&amp;adplt=alp_vw_dv360_imc_dsy_lanch_nd_nc_nvs_nivus-launch-consideracao-orca__configuracao_cpm_drct_all_300x600_lancamento-nivus-orca-rmkt-dealer-selection-form-nivus-suv-model-interest_na_lancamento-consideracao-nivus-orca_nvl-nvs-imc-dsy-0820-10218</v>
      </c>
      <c r="AM218" s="21" t="str">
        <f t="shared" si="99"/>
        <v>TAG</v>
      </c>
      <c r="AN218" s="15" t="str">
        <f t="shared" si="109"/>
        <v>DV360</v>
      </c>
      <c r="AO218" s="15" t="str">
        <f t="shared" si="110"/>
        <v>Paid-Display</v>
      </c>
      <c r="AP218" s="21" t="str">
        <f>Campanha!$B$3</f>
        <v>BR_IMC_DSY_LANCH_ND_NC_2020Q3AUG_NVS_Nivus-Launch-Consideracao-Orca</v>
      </c>
      <c r="AQ218" s="21" t="str">
        <f t="shared" si="100"/>
        <v>alp_vw_dv360_imc_dsy_lanch_nd_nc_nvs_nivus-launch-consideracao-orca__configuracao_cpm_drct_all_300x600_lancamento-nivus-orca-rmkt-dealer-selection-form-nivus-suv-model-interest_na_lancamento-consideracao-nivus-orca_nvl-nvs-imc-dsy-0820-10218</v>
      </c>
      <c r="AR218" s="15" t="s">
        <v>745</v>
      </c>
      <c r="AS218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600_lancamento-nivus-orca-rmkt-dealer-selection-form-nivus-suv-model-interest_na_lancamento-consideracao-nivus-orca_nvl-nvs-imc-dsy-0820-10218&amp;utm_campaign=BR_IMC_DSY_LANCH_ND_NC_2020Q3AUG_NVS_Nivus-Launch-Consideracao-Orca&amp;utm_term=%epid!_%ecid!_%eaid!</v>
      </c>
      <c r="AT218" s="15" t="str">
        <f t="shared" si="111"/>
        <v>other</v>
      </c>
      <c r="AU218" s="15" t="str">
        <f t="shared" si="102"/>
        <v>BR</v>
      </c>
      <c r="AV218" s="15" t="str">
        <f t="shared" si="112"/>
        <v>dv360</v>
      </c>
      <c r="AW218" s="15" t="str">
        <f t="shared" si="113"/>
        <v>dv360</v>
      </c>
      <c r="AX218" s="15" t="str">
        <f t="shared" si="103"/>
        <v>nivus-launch-consideracao-orca</v>
      </c>
      <c r="AY218" s="15" t="str">
        <f t="shared" si="114"/>
        <v>alp_vw_dv360_imc_dsy_lanch_nd_nc_nvs_nivus-launch-consideracao-orca__configuracao_cpm_drct_all_300x600_lancamento-nivus-orca-rmkt-dealer-selection-form-nivus-suv-model-interest_na_lancamento-consideracao-nivus-orca_nvl-nvs-imc-dsy-0820-10218</v>
      </c>
      <c r="AZ218" s="15" t="str">
        <f t="shared" si="115"/>
        <v>300x600</v>
      </c>
      <c r="BA218" s="15" t="str">
        <f t="shared" si="116"/>
        <v>lancamento-consideracao-nivus-orca</v>
      </c>
      <c r="BB218" s="28" t="s">
        <v>798</v>
      </c>
      <c r="BC218" s="28" t="s">
        <v>798</v>
      </c>
      <c r="BD218" s="38" t="str">
        <f t="shared" si="117"/>
        <v>nvl-nvs-imc-dsy-0820-10218</v>
      </c>
      <c r="BE218" s="15" t="str">
        <f t="shared" si="118"/>
        <v>BR</v>
      </c>
      <c r="BF218" s="15" t="str">
        <f t="shared" si="119"/>
        <v>paid</v>
      </c>
      <c r="BG218" s="28"/>
      <c r="BH218" s="28"/>
      <c r="BI218" s="36" t="str">
        <f t="shared" si="104"/>
        <v>https://www.vw.com.br/pt/configurador.html/__app/%2Fnivus/0.app?adlid=nvl-nvs-imc-dsy-0820-10218&amp;adplt=alp_vw_dv360_imc_dsy_lanch_nd_nc_nvs_nivus-launch-consideracao-orca__configuracao_cpm_drct_all_300x600_lancamento-nivus-orca-rmkt-dealer-selection-form-nivus-suv-model-interest_na_lancamento-consideracao-nivus-orca_nvl-nvs-imc-dsy-0820-10218</v>
      </c>
      <c r="BL218" t="str">
        <f t="shared" si="105"/>
        <v>alp_vw_dv360_imc_dsy_lanch_nd_nc_nvs_nivus-launch-consideracao-orca__configuracao</v>
      </c>
      <c r="BM218" t="str">
        <f t="shared" si="106"/>
        <v>cpm_drct_all_300x600_lancamento-nivus-orca-rmkt-dealer-selection-form-nivus-suv-model-interest_na</v>
      </c>
      <c r="BN218" t="str">
        <f t="shared" si="107"/>
        <v>alp_vw_dv360_imc_dsy_lanch_nd_nc_nvs_nivus-launch-consideracao-orca__configuracao_cpm_drct_all_300x600_lancamento-nivus-orca-rmkt-dealer-selection-form-nivus-suv-model-interest_na_generico_nvl-nvs-imc-dsy-0820-10218</v>
      </c>
    </row>
    <row r="219" spans="2:66" ht="15.75" customHeight="1" x14ac:dyDescent="0.25">
      <c r="B219" s="15" t="s">
        <v>1291</v>
      </c>
      <c r="C219" s="15" t="s">
        <v>1477</v>
      </c>
      <c r="D219" s="15"/>
      <c r="E219" s="22">
        <v>44069</v>
      </c>
      <c r="F219" s="22">
        <v>44135</v>
      </c>
      <c r="G219" s="15" t="s">
        <v>651</v>
      </c>
      <c r="H219" s="41" t="s">
        <v>1266</v>
      </c>
      <c r="I219" s="15" t="s">
        <v>801</v>
      </c>
      <c r="J219" s="42" t="s">
        <v>883</v>
      </c>
      <c r="K219" s="42" t="s">
        <v>883</v>
      </c>
      <c r="L219" s="15" t="s">
        <v>676</v>
      </c>
      <c r="M219" s="15" t="s">
        <v>276</v>
      </c>
      <c r="N219" s="15" t="s">
        <v>295</v>
      </c>
      <c r="O219" s="15" t="s">
        <v>677</v>
      </c>
      <c r="P219" s="15" t="str">
        <f>VLOOKUP(Y219,'All Codes'!$BF$3:$BG$278,2,FALSE)</f>
        <v>MPU</v>
      </c>
      <c r="Q219" s="15" t="s">
        <v>179</v>
      </c>
      <c r="R219" s="15" t="s">
        <v>277</v>
      </c>
      <c r="S219" s="15" t="s">
        <v>874</v>
      </c>
      <c r="T219" s="46" t="s">
        <v>884</v>
      </c>
      <c r="U219" s="15" t="s">
        <v>876</v>
      </c>
      <c r="V219" s="15" t="s">
        <v>1272</v>
      </c>
      <c r="W219" s="15" t="s">
        <v>866</v>
      </c>
      <c r="X219" s="15" t="s">
        <v>307</v>
      </c>
      <c r="Y219" s="46" t="s">
        <v>479</v>
      </c>
      <c r="Z219" s="15"/>
      <c r="AA219" s="15"/>
      <c r="AB219" s="15"/>
      <c r="AC219" s="15"/>
      <c r="AD219" s="15"/>
      <c r="AE219" s="15"/>
      <c r="AF219" s="15"/>
      <c r="AG219" s="15"/>
      <c r="AH219" s="15" t="str">
        <f t="shared" si="97"/>
        <v>284453710</v>
      </c>
      <c r="AI219" s="21" t="str">
        <f t="shared" si="120"/>
        <v>alp_vw_dv360_imc_dsy_lanch_nd_nc_nvs_nivus-launch-consideracao-orca__configuracao_cpm_drct_all_320x50_lancamento-nivus-orca-rmkt-dealer-selection-form-nivus-suv-model-interest_na_lancamento-consideracao-nivus-orca_nvl-nvs-imc-dsy-0820-10219</v>
      </c>
      <c r="AJ219" s="40" t="str">
        <f t="shared" si="120"/>
        <v>alp_vw_dv360_imc_dsy_lanch_nd_nc_nvs_nivus-launch-consideracao-orca__configuracao_cpm_drct_all_320x50_lancamento-nivus-orca-rmkt-dealer-selection-form-nivus-suv-model-interest_na_lancamento-consideracao-nivus-orca_nvl-nvs-imc-dsy-0820-10219</v>
      </c>
      <c r="AK219" s="21" t="str">
        <f t="shared" si="98"/>
        <v>vw_nivus_320x50_lancamento-consideracao-nivus-orca_adserver</v>
      </c>
      <c r="AL219" s="21" t="str">
        <f t="shared" si="108"/>
        <v>https://www.vw.com.br/pt/configurador.html/__app/%2Fnivus/0.app?adlid=nvl-nvs-imc-dsy-0820-10219&amp;adplt=alp_vw_dv360_imc_dsy_lanch_nd_nc_nvs_nivus-launch-consideracao-orca__configuracao_cpm_drct_all_320x50_lancamento-nivus-orca-rmkt-dealer-selection-form-nivus-suv-model-interest_na_lancamento-consideracao-nivus-orca_nvl-nvs-imc-dsy-0820-10219</v>
      </c>
      <c r="AM219" s="21" t="str">
        <f t="shared" si="99"/>
        <v>TAG</v>
      </c>
      <c r="AN219" s="15" t="str">
        <f t="shared" si="109"/>
        <v>DV360</v>
      </c>
      <c r="AO219" s="15" t="str">
        <f t="shared" si="110"/>
        <v>Paid-Display</v>
      </c>
      <c r="AP219" s="21" t="str">
        <f>Campanha!$B$3</f>
        <v>BR_IMC_DSY_LANCH_ND_NC_2020Q3AUG_NVS_Nivus-Launch-Consideracao-Orca</v>
      </c>
      <c r="AQ219" s="21" t="str">
        <f t="shared" si="100"/>
        <v>alp_vw_dv360_imc_dsy_lanch_nd_nc_nvs_nivus-launch-consideracao-orca__configuracao_cpm_drct_all_320x50_lancamento-nivus-orca-rmkt-dealer-selection-form-nivus-suv-model-interest_na_lancamento-consideracao-nivus-orca_nvl-nvs-imc-dsy-0820-10219</v>
      </c>
      <c r="AR219" s="15" t="s">
        <v>745</v>
      </c>
      <c r="AS219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dealer-selection-form-nivus-suv-model-interest_na_lancamento-consideracao-nivus-orca_nvl-nvs-imc-dsy-0820-10219&amp;utm_campaign=BR_IMC_DSY_LANCH_ND_NC_2020Q3AUG_NVS_Nivus-Launch-Consideracao-Orca&amp;utm_term=%epid!_%ecid!_%eaid!</v>
      </c>
      <c r="AT219" s="15" t="str">
        <f t="shared" si="111"/>
        <v>other</v>
      </c>
      <c r="AU219" s="15" t="str">
        <f t="shared" si="102"/>
        <v>BR</v>
      </c>
      <c r="AV219" s="15" t="str">
        <f t="shared" si="112"/>
        <v>dv360</v>
      </c>
      <c r="AW219" s="15" t="str">
        <f t="shared" si="113"/>
        <v>dv360</v>
      </c>
      <c r="AX219" s="15" t="str">
        <f t="shared" si="103"/>
        <v>nivus-launch-consideracao-orca</v>
      </c>
      <c r="AY219" s="15" t="str">
        <f t="shared" si="114"/>
        <v>alp_vw_dv360_imc_dsy_lanch_nd_nc_nvs_nivus-launch-consideracao-orca__configuracao_cpm_drct_all_320x50_lancamento-nivus-orca-rmkt-dealer-selection-form-nivus-suv-model-interest_na_lancamento-consideracao-nivus-orca_nvl-nvs-imc-dsy-0820-10219</v>
      </c>
      <c r="AZ219" s="15" t="str">
        <f t="shared" si="115"/>
        <v>320x50</v>
      </c>
      <c r="BA219" s="15" t="str">
        <f t="shared" si="116"/>
        <v>lancamento-consideracao-nivus-orca</v>
      </c>
      <c r="BB219" s="28" t="s">
        <v>798</v>
      </c>
      <c r="BC219" s="28" t="s">
        <v>798</v>
      </c>
      <c r="BD219" s="38" t="str">
        <f t="shared" si="117"/>
        <v>nvl-nvs-imc-dsy-0820-10219</v>
      </c>
      <c r="BE219" s="15" t="str">
        <f t="shared" si="118"/>
        <v>BR</v>
      </c>
      <c r="BF219" s="15" t="str">
        <f t="shared" si="119"/>
        <v>paid</v>
      </c>
      <c r="BG219" s="28"/>
      <c r="BH219" s="28"/>
      <c r="BI219" s="36" t="str">
        <f t="shared" si="104"/>
        <v>https://www.vw.com.br/pt/configurador.html/__app/%2Fnivus/0.app?adlid=nvl-nvs-imc-dsy-0820-10219&amp;adplt=alp_vw_dv360_imc_dsy_lanch_nd_nc_nvs_nivus-launch-consideracao-orca__configuracao_cpm_drct_all_320x50_lancamento-nivus-orca-rmkt-dealer-selection-form-nivus-suv-model-interest_na_lancamento-consideracao-nivus-orca_nvl-nvs-imc-dsy-0820-10219</v>
      </c>
      <c r="BL219" t="str">
        <f t="shared" si="105"/>
        <v>alp_vw_dv360_imc_dsy_lanch_nd_nc_nvs_nivus-launch-consideracao-orca__configuracao</v>
      </c>
      <c r="BM219" t="str">
        <f t="shared" si="106"/>
        <v>cpm_drct_all_320x50_lancamento-nivus-orca-rmkt-dealer-selection-form-nivus-suv-model-interest_na</v>
      </c>
      <c r="BN219" t="str">
        <f t="shared" si="107"/>
        <v>alp_vw_dv360_imc_dsy_lanch_nd_nc_nvs_nivus-launch-consideracao-orca__configuracao_cpm_drct_all_320x50_lancamento-nivus-orca-rmkt-dealer-selection-form-nivus-suv-model-interest_na_generico_nvl-nvs-imc-dsy-0820-10219</v>
      </c>
    </row>
    <row r="220" spans="2:66" ht="15.75" customHeight="1" x14ac:dyDescent="0.25">
      <c r="B220" s="15" t="s">
        <v>1291</v>
      </c>
      <c r="C220" s="15" t="s">
        <v>1477</v>
      </c>
      <c r="D220" s="15"/>
      <c r="E220" s="22">
        <v>44069</v>
      </c>
      <c r="F220" s="22">
        <v>44135</v>
      </c>
      <c r="G220" s="15" t="s">
        <v>651</v>
      </c>
      <c r="H220" s="41" t="s">
        <v>1266</v>
      </c>
      <c r="I220" s="15" t="s">
        <v>801</v>
      </c>
      <c r="J220" s="42" t="s">
        <v>883</v>
      </c>
      <c r="K220" s="42" t="s">
        <v>883</v>
      </c>
      <c r="L220" s="15" t="s">
        <v>676</v>
      </c>
      <c r="M220" s="15" t="s">
        <v>276</v>
      </c>
      <c r="N220" s="15" t="s">
        <v>295</v>
      </c>
      <c r="O220" s="15" t="s">
        <v>677</v>
      </c>
      <c r="P220" s="15" t="str">
        <f>VLOOKUP(Y220,'All Codes'!$BF$3:$BG$278,2,FALSE)</f>
        <v>Leaderboard</v>
      </c>
      <c r="Q220" s="15" t="s">
        <v>179</v>
      </c>
      <c r="R220" s="15" t="s">
        <v>277</v>
      </c>
      <c r="S220" s="15" t="s">
        <v>874</v>
      </c>
      <c r="T220" s="46" t="s">
        <v>884</v>
      </c>
      <c r="U220" s="15" t="s">
        <v>876</v>
      </c>
      <c r="V220" s="15" t="s">
        <v>1272</v>
      </c>
      <c r="W220" s="15" t="s">
        <v>866</v>
      </c>
      <c r="X220" s="15" t="s">
        <v>307</v>
      </c>
      <c r="Y220" s="46" t="s">
        <v>591</v>
      </c>
      <c r="Z220" s="15"/>
      <c r="AA220" s="15"/>
      <c r="AB220" s="15"/>
      <c r="AC220" s="15"/>
      <c r="AD220" s="15"/>
      <c r="AE220" s="15"/>
      <c r="AF220" s="15"/>
      <c r="AG220" s="15"/>
      <c r="AH220" s="15" t="str">
        <f t="shared" si="97"/>
        <v>284453707</v>
      </c>
      <c r="AI220" s="21" t="str">
        <f t="shared" si="120"/>
        <v>alp_vw_dv360_imc_dsy_lanch_nd_nc_nvs_nivus-launch-consideracao-orca__configuracao_cpm_drct_all_728x90_lancamento-nivus-orca-rmkt-dealer-selection-form-nivus-suv-model-interest_na_lancamento-consideracao-nivus-orca_nvl-nvs-imc-dsy-0820-10220</v>
      </c>
      <c r="AJ220" s="40" t="str">
        <f t="shared" si="120"/>
        <v>alp_vw_dv360_imc_dsy_lanch_nd_nc_nvs_nivus-launch-consideracao-orca__configuracao_cpm_drct_all_728x90_lancamento-nivus-orca-rmkt-dealer-selection-form-nivus-suv-model-interest_na_lancamento-consideracao-nivus-orca_nvl-nvs-imc-dsy-0820-10220</v>
      </c>
      <c r="AK220" s="21" t="str">
        <f t="shared" si="98"/>
        <v>vw_nivus_728x90_lancamento-consideracao-nivus-orca_adserver</v>
      </c>
      <c r="AL220" s="21" t="str">
        <f t="shared" si="108"/>
        <v>https://www.vw.com.br/pt/configurador.html/__app/%2Fnivus/0.app?adlid=nvl-nvs-imc-dsy-0820-10220&amp;adplt=alp_vw_dv360_imc_dsy_lanch_nd_nc_nvs_nivus-launch-consideracao-orca__configuracao_cpm_drct_all_728x90_lancamento-nivus-orca-rmkt-dealer-selection-form-nivus-suv-model-interest_na_lancamento-consideracao-nivus-orca_nvl-nvs-imc-dsy-0820-10220</v>
      </c>
      <c r="AM220" s="21" t="str">
        <f t="shared" si="99"/>
        <v>TAG</v>
      </c>
      <c r="AN220" s="15" t="str">
        <f t="shared" si="109"/>
        <v>DV360</v>
      </c>
      <c r="AO220" s="15" t="str">
        <f t="shared" si="110"/>
        <v>Paid-Display</v>
      </c>
      <c r="AP220" s="21" t="str">
        <f>Campanha!$B$3</f>
        <v>BR_IMC_DSY_LANCH_ND_NC_2020Q3AUG_NVS_Nivus-Launch-Consideracao-Orca</v>
      </c>
      <c r="AQ220" s="21" t="str">
        <f t="shared" si="100"/>
        <v>alp_vw_dv360_imc_dsy_lanch_nd_nc_nvs_nivus-launch-consideracao-orca__configuracao_cpm_drct_all_728x90_lancamento-nivus-orca-rmkt-dealer-selection-form-nivus-suv-model-interest_na_lancamento-consideracao-nivus-orca_nvl-nvs-imc-dsy-0820-10220</v>
      </c>
      <c r="AR220" s="15" t="s">
        <v>745</v>
      </c>
      <c r="AS220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dealer-selection-form-nivus-suv-model-interest_na_lancamento-consideracao-nivus-orca_nvl-nvs-imc-dsy-0820-10220&amp;utm_campaign=BR_IMC_DSY_LANCH_ND_NC_2020Q3AUG_NVS_Nivus-Launch-Consideracao-Orca&amp;utm_term=%epid!_%ecid!_%eaid!</v>
      </c>
      <c r="AT220" s="15" t="str">
        <f t="shared" si="111"/>
        <v>other</v>
      </c>
      <c r="AU220" s="15" t="str">
        <f t="shared" si="102"/>
        <v>BR</v>
      </c>
      <c r="AV220" s="15" t="str">
        <f t="shared" si="112"/>
        <v>dv360</v>
      </c>
      <c r="AW220" s="15" t="str">
        <f t="shared" si="113"/>
        <v>dv360</v>
      </c>
      <c r="AX220" s="15" t="str">
        <f t="shared" si="103"/>
        <v>nivus-launch-consideracao-orca</v>
      </c>
      <c r="AY220" s="15" t="str">
        <f t="shared" si="114"/>
        <v>alp_vw_dv360_imc_dsy_lanch_nd_nc_nvs_nivus-launch-consideracao-orca__configuracao_cpm_drct_all_728x90_lancamento-nivus-orca-rmkt-dealer-selection-form-nivus-suv-model-interest_na_lancamento-consideracao-nivus-orca_nvl-nvs-imc-dsy-0820-10220</v>
      </c>
      <c r="AZ220" s="15" t="str">
        <f t="shared" si="115"/>
        <v>728x90</v>
      </c>
      <c r="BA220" s="15" t="str">
        <f t="shared" si="116"/>
        <v>lancamento-consideracao-nivus-orca</v>
      </c>
      <c r="BB220" s="28" t="s">
        <v>798</v>
      </c>
      <c r="BC220" s="28" t="s">
        <v>798</v>
      </c>
      <c r="BD220" s="38" t="str">
        <f t="shared" si="117"/>
        <v>nvl-nvs-imc-dsy-0820-10220</v>
      </c>
      <c r="BE220" s="15" t="str">
        <f t="shared" si="118"/>
        <v>BR</v>
      </c>
      <c r="BF220" s="15" t="str">
        <f t="shared" si="119"/>
        <v>paid</v>
      </c>
      <c r="BG220" s="28"/>
      <c r="BH220" s="28"/>
      <c r="BI220" s="36" t="str">
        <f t="shared" si="104"/>
        <v>https://www.vw.com.br/pt/configurador.html/__app/%2Fnivus/0.app?adlid=nvl-nvs-imc-dsy-0820-10220&amp;adplt=alp_vw_dv360_imc_dsy_lanch_nd_nc_nvs_nivus-launch-consideracao-orca__configuracao_cpm_drct_all_728x90_lancamento-nivus-orca-rmkt-dealer-selection-form-nivus-suv-model-interest_na_lancamento-consideracao-nivus-orca_nvl-nvs-imc-dsy-0820-10220</v>
      </c>
      <c r="BL220" t="str">
        <f t="shared" si="105"/>
        <v>alp_vw_dv360_imc_dsy_lanch_nd_nc_nvs_nivus-launch-consideracao-orca__configuracao</v>
      </c>
      <c r="BM220" t="str">
        <f t="shared" si="106"/>
        <v>cpm_drct_all_728x90_lancamento-nivus-orca-rmkt-dealer-selection-form-nivus-suv-model-interest_na</v>
      </c>
      <c r="BN220" t="str">
        <f t="shared" si="107"/>
        <v>alp_vw_dv360_imc_dsy_lanch_nd_nc_nvs_nivus-launch-consideracao-orca__configuracao_cpm_drct_all_728x90_lancamento-nivus-orca-rmkt-dealer-selection-form-nivus-suv-model-interest_na_generico_nvl-nvs-imc-dsy-0820-10220</v>
      </c>
    </row>
    <row r="221" spans="2:66" ht="15.75" customHeight="1" x14ac:dyDescent="0.25">
      <c r="B221" s="15" t="s">
        <v>1291</v>
      </c>
      <c r="C221" s="15" t="s">
        <v>1477</v>
      </c>
      <c r="D221" s="15"/>
      <c r="E221" s="22">
        <v>44069</v>
      </c>
      <c r="F221" s="22">
        <v>44135</v>
      </c>
      <c r="G221" s="15" t="s">
        <v>651</v>
      </c>
      <c r="H221" s="41" t="s">
        <v>1266</v>
      </c>
      <c r="I221" s="15" t="s">
        <v>801</v>
      </c>
      <c r="J221" s="42" t="s">
        <v>883</v>
      </c>
      <c r="K221" s="42" t="s">
        <v>883</v>
      </c>
      <c r="L221" s="15" t="s">
        <v>676</v>
      </c>
      <c r="M221" s="15" t="s">
        <v>276</v>
      </c>
      <c r="N221" s="15" t="s">
        <v>295</v>
      </c>
      <c r="O221" s="15" t="s">
        <v>677</v>
      </c>
      <c r="P221" s="15" t="str">
        <f>VLOOKUP(Y221,'All Codes'!$BF$3:$BG$278,2,FALSE)</f>
        <v>Leaderboard</v>
      </c>
      <c r="Q221" s="15" t="s">
        <v>179</v>
      </c>
      <c r="R221" s="15" t="s">
        <v>277</v>
      </c>
      <c r="S221" s="15" t="s">
        <v>874</v>
      </c>
      <c r="T221" s="46" t="s">
        <v>884</v>
      </c>
      <c r="U221" s="15" t="s">
        <v>876</v>
      </c>
      <c r="V221" s="15" t="s">
        <v>1272</v>
      </c>
      <c r="W221" s="15" t="s">
        <v>866</v>
      </c>
      <c r="X221" s="15" t="s">
        <v>307</v>
      </c>
      <c r="Y221" s="46" t="s">
        <v>629</v>
      </c>
      <c r="Z221" s="15"/>
      <c r="AA221" s="15"/>
      <c r="AB221" s="15"/>
      <c r="AC221" s="15"/>
      <c r="AD221" s="15"/>
      <c r="AE221" s="15"/>
      <c r="AF221" s="15"/>
      <c r="AG221" s="15"/>
      <c r="AH221" s="15" t="str">
        <f t="shared" si="97"/>
        <v>284453704</v>
      </c>
      <c r="AI221" s="21" t="str">
        <f t="shared" si="120"/>
        <v>alp_vw_dv360_imc_dsy_lanch_nd_nc_nvs_nivus-launch-consideracao-orca__configuracao_cpm_drct_all_970x250_lancamento-nivus-orca-rmkt-dealer-selection-form-nivus-suv-model-interest_na_lancamento-consideracao-nivus-orca_nvl-nvs-imc-dsy-0820-10221</v>
      </c>
      <c r="AJ221" s="40" t="str">
        <f t="shared" si="120"/>
        <v>alp_vw_dv360_imc_dsy_lanch_nd_nc_nvs_nivus-launch-consideracao-orca__configuracao_cpm_drct_all_970x250_lancamento-nivus-orca-rmkt-dealer-selection-form-nivus-suv-model-interest_na_lancamento-consideracao-nivus-orca_nvl-nvs-imc-dsy-0820-10221</v>
      </c>
      <c r="AK221" s="21" t="str">
        <f t="shared" si="98"/>
        <v>vw_nivus_970x250_lancamento-consideracao-nivus-orca_adserver</v>
      </c>
      <c r="AL221" s="21" t="str">
        <f t="shared" si="108"/>
        <v>https://www.vw.com.br/pt/configurador.html/__app/%2Fnivus/0.app?adlid=nvl-nvs-imc-dsy-0820-10221&amp;adplt=alp_vw_dv360_imc_dsy_lanch_nd_nc_nvs_nivus-launch-consideracao-orca__configuracao_cpm_drct_all_970x250_lancamento-nivus-orca-rmkt-dealer-selection-form-nivus-suv-model-interest_na_lancamento-consideracao-nivus-orca_nvl-nvs-imc-dsy-0820-10221</v>
      </c>
      <c r="AM221" s="21" t="str">
        <f t="shared" si="99"/>
        <v>TAG</v>
      </c>
      <c r="AN221" s="15" t="str">
        <f t="shared" si="109"/>
        <v>DV360</v>
      </c>
      <c r="AO221" s="15" t="str">
        <f t="shared" si="110"/>
        <v>Paid-Display</v>
      </c>
      <c r="AP221" s="21" t="str">
        <f>Campanha!$B$3</f>
        <v>BR_IMC_DSY_LANCH_ND_NC_2020Q3AUG_NVS_Nivus-Launch-Consideracao-Orca</v>
      </c>
      <c r="AQ221" s="21" t="str">
        <f t="shared" si="100"/>
        <v>alp_vw_dv360_imc_dsy_lanch_nd_nc_nvs_nivus-launch-consideracao-orca__configuracao_cpm_drct_all_970x250_lancamento-nivus-orca-rmkt-dealer-selection-form-nivus-suv-model-interest_na_lancamento-consideracao-nivus-orca_nvl-nvs-imc-dsy-0820-10221</v>
      </c>
      <c r="AR221" s="15" t="s">
        <v>745</v>
      </c>
      <c r="AS221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dealer-selection-form-nivus-suv-model-interest_na_lancamento-consideracao-nivus-orca_nvl-nvs-imc-dsy-0820-10221&amp;utm_campaign=BR_IMC_DSY_LANCH_ND_NC_2020Q3AUG_NVS_Nivus-Launch-Consideracao-Orca&amp;utm_term=%epid!_%ecid!_%eaid!</v>
      </c>
      <c r="AT221" s="15" t="str">
        <f t="shared" si="111"/>
        <v>other</v>
      </c>
      <c r="AU221" s="15" t="str">
        <f t="shared" si="102"/>
        <v>BR</v>
      </c>
      <c r="AV221" s="15" t="str">
        <f t="shared" si="112"/>
        <v>dv360</v>
      </c>
      <c r="AW221" s="15" t="str">
        <f t="shared" si="113"/>
        <v>dv360</v>
      </c>
      <c r="AX221" s="15" t="str">
        <f t="shared" si="103"/>
        <v>nivus-launch-consideracao-orca</v>
      </c>
      <c r="AY221" s="15" t="str">
        <f t="shared" si="114"/>
        <v>alp_vw_dv360_imc_dsy_lanch_nd_nc_nvs_nivus-launch-consideracao-orca__configuracao_cpm_drct_all_970x250_lancamento-nivus-orca-rmkt-dealer-selection-form-nivus-suv-model-interest_na_lancamento-consideracao-nivus-orca_nvl-nvs-imc-dsy-0820-10221</v>
      </c>
      <c r="AZ221" s="15" t="str">
        <f t="shared" si="115"/>
        <v>970x250</v>
      </c>
      <c r="BA221" s="15" t="str">
        <f t="shared" si="116"/>
        <v>lancamento-consideracao-nivus-orca</v>
      </c>
      <c r="BB221" s="28" t="s">
        <v>798</v>
      </c>
      <c r="BC221" s="28" t="s">
        <v>798</v>
      </c>
      <c r="BD221" s="38" t="str">
        <f t="shared" si="117"/>
        <v>nvl-nvs-imc-dsy-0820-10221</v>
      </c>
      <c r="BE221" s="15" t="str">
        <f t="shared" si="118"/>
        <v>BR</v>
      </c>
      <c r="BF221" s="15" t="str">
        <f t="shared" si="119"/>
        <v>paid</v>
      </c>
      <c r="BG221" s="28"/>
      <c r="BH221" s="28"/>
      <c r="BI221" s="36" t="str">
        <f t="shared" si="104"/>
        <v>https://www.vw.com.br/pt/configurador.html/__app/%2Fnivus/0.app?adlid=nvl-nvs-imc-dsy-0820-10221&amp;adplt=alp_vw_dv360_imc_dsy_lanch_nd_nc_nvs_nivus-launch-consideracao-orca__configuracao_cpm_drct_all_970x250_lancamento-nivus-orca-rmkt-dealer-selection-form-nivus-suv-model-interest_na_lancamento-consideracao-nivus-orca_nvl-nvs-imc-dsy-0820-10221</v>
      </c>
      <c r="BL221" t="str">
        <f t="shared" si="105"/>
        <v>alp_vw_dv360_imc_dsy_lanch_nd_nc_nvs_nivus-launch-consideracao-orca__configuracao</v>
      </c>
      <c r="BM221" t="str">
        <f t="shared" si="106"/>
        <v>cpm_drct_all_970x250_lancamento-nivus-orca-rmkt-dealer-selection-form-nivus-suv-model-interest_na</v>
      </c>
      <c r="BN221" t="str">
        <f t="shared" si="107"/>
        <v>alp_vw_dv360_imc_dsy_lanch_nd_nc_nvs_nivus-launch-consideracao-orca__configuracao_cpm_drct_all_970x250_lancamento-nivus-orca-rmkt-dealer-selection-form-nivus-suv-model-interest_na_generico_nvl-nvs-imc-dsy-0820-10221</v>
      </c>
    </row>
    <row r="222" spans="2:66" ht="15.75" customHeight="1" x14ac:dyDescent="0.25">
      <c r="B222" s="15" t="s">
        <v>1291</v>
      </c>
      <c r="C222" s="15" t="s">
        <v>1477</v>
      </c>
      <c r="D222" s="15"/>
      <c r="E222" s="22">
        <v>44069</v>
      </c>
      <c r="F222" s="22">
        <v>44135</v>
      </c>
      <c r="G222" s="15" t="s">
        <v>651</v>
      </c>
      <c r="H222" s="41" t="s">
        <v>1266</v>
      </c>
      <c r="I222" s="15" t="s">
        <v>801</v>
      </c>
      <c r="J222" s="42" t="s">
        <v>883</v>
      </c>
      <c r="K222" s="42" t="s">
        <v>883</v>
      </c>
      <c r="L222" s="15" t="s">
        <v>676</v>
      </c>
      <c r="M222" s="15" t="s">
        <v>276</v>
      </c>
      <c r="N222" s="15" t="s">
        <v>295</v>
      </c>
      <c r="O222" s="15" t="s">
        <v>677</v>
      </c>
      <c r="P222" s="15" t="str">
        <f>VLOOKUP(Y222,'All Codes'!$BF$3:$BG$278,2,FALSE)</f>
        <v>MPU</v>
      </c>
      <c r="Q222" s="15" t="s">
        <v>179</v>
      </c>
      <c r="R222" s="15" t="s">
        <v>277</v>
      </c>
      <c r="S222" s="15" t="s">
        <v>874</v>
      </c>
      <c r="T222" s="46" t="s">
        <v>884</v>
      </c>
      <c r="U222" s="15" t="s">
        <v>876</v>
      </c>
      <c r="V222" s="15" t="s">
        <v>1273</v>
      </c>
      <c r="W222" s="15" t="s">
        <v>866</v>
      </c>
      <c r="X222" s="15" t="s">
        <v>307</v>
      </c>
      <c r="Y222" s="46" t="s">
        <v>461</v>
      </c>
      <c r="Z222" s="15"/>
      <c r="AA222" s="15"/>
      <c r="AB222" s="15"/>
      <c r="AC222" s="15"/>
      <c r="AD222" s="15"/>
      <c r="AE222" s="15"/>
      <c r="AF222" s="15"/>
      <c r="AG222" s="15"/>
      <c r="AH222" s="15" t="str">
        <f t="shared" si="97"/>
        <v>284453701</v>
      </c>
      <c r="AI222" s="21" t="str">
        <f t="shared" si="120"/>
        <v>alp_vw_dv360_imc_dsy_lanch_nd_nc_nvs_nivus-launch-consideracao-orca__configuracao_cpm_drct_all_300x50_lancamento-nivus-orca-rmkt-dealer-form-completion-lead-generation-qualifier_na_lancamento-consideracao-nivus-orca_nvl-nvs-imc-dsy-0820-10222</v>
      </c>
      <c r="AJ222" s="40" t="str">
        <f t="shared" si="120"/>
        <v>alp_vw_dv360_imc_dsy_lanch_nd_nc_nvs_nivus-launch-consideracao-orca__configuracao_cpm_drct_all_300x50_lancamento-nivus-orca-rmkt-dealer-form-completion-lead-generation-qualifier_na_lancamento-consideracao-nivus-orca_nvl-nvs-imc-dsy-0820-10222</v>
      </c>
      <c r="AK222" s="21" t="str">
        <f t="shared" si="98"/>
        <v>vw_nivus_300x50_lancamento-consideracao-nivus-orca_adserver</v>
      </c>
      <c r="AL222" s="21" t="str">
        <f t="shared" si="108"/>
        <v>https://www.vw.com.br/pt/configurador.html/__app/%2Fnivus/0.app?adlid=nvl-nvs-imc-dsy-0820-10222&amp;adplt=alp_vw_dv360_imc_dsy_lanch_nd_nc_nvs_nivus-launch-consideracao-orca__configuracao_cpm_drct_all_300x50_lancamento-nivus-orca-rmkt-dealer-form-completion-lead-generation-qualifier_na_lancamento-consideracao-nivus-orca_nvl-nvs-imc-dsy-0820-10222</v>
      </c>
      <c r="AM222" s="21" t="str">
        <f t="shared" si="99"/>
        <v>TAG</v>
      </c>
      <c r="AN222" s="15" t="str">
        <f t="shared" si="109"/>
        <v>DV360</v>
      </c>
      <c r="AO222" s="15" t="str">
        <f t="shared" si="110"/>
        <v>Paid-Display</v>
      </c>
      <c r="AP222" s="21" t="str">
        <f>Campanha!$B$3</f>
        <v>BR_IMC_DSY_LANCH_ND_NC_2020Q3AUG_NVS_Nivus-Launch-Consideracao-Orca</v>
      </c>
      <c r="AQ222" s="21" t="str">
        <f t="shared" si="100"/>
        <v>alp_vw_dv360_imc_dsy_lanch_nd_nc_nvs_nivus-launch-consideracao-orca__configuracao_cpm_drct_all_300x50_lancamento-nivus-orca-rmkt-dealer-form-completion-lead-generation-qualifier_na_lancamento-consideracao-nivus-orca_nvl-nvs-imc-dsy-0820-10222</v>
      </c>
      <c r="AR222" s="15" t="s">
        <v>745</v>
      </c>
      <c r="AS222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50_lancamento-nivus-orca-rmkt-dealer-form-completion-lead-generation-qualifier_na_lancamento-consideracao-nivus-orca_nvl-nvs-imc-dsy-0820-10222&amp;utm_campaign=BR_IMC_DSY_LANCH_ND_NC_2020Q3AUG_NVS_Nivus-Launch-Consideracao-Orca&amp;utm_term=%epid!_%ecid!_%eaid!</v>
      </c>
      <c r="AT222" s="15" t="str">
        <f t="shared" si="111"/>
        <v>other</v>
      </c>
      <c r="AU222" s="15" t="str">
        <f t="shared" si="102"/>
        <v>BR</v>
      </c>
      <c r="AV222" s="15" t="str">
        <f t="shared" si="112"/>
        <v>dv360</v>
      </c>
      <c r="AW222" s="15" t="str">
        <f t="shared" si="113"/>
        <v>dv360</v>
      </c>
      <c r="AX222" s="15" t="str">
        <f t="shared" si="103"/>
        <v>nivus-launch-consideracao-orca</v>
      </c>
      <c r="AY222" s="15" t="str">
        <f t="shared" si="114"/>
        <v>alp_vw_dv360_imc_dsy_lanch_nd_nc_nvs_nivus-launch-consideracao-orca__configuracao_cpm_drct_all_300x50_lancamento-nivus-orca-rmkt-dealer-form-completion-lead-generation-qualifier_na_lancamento-consideracao-nivus-orca_nvl-nvs-imc-dsy-0820-10222</v>
      </c>
      <c r="AZ222" s="15" t="str">
        <f t="shared" si="115"/>
        <v>300x50</v>
      </c>
      <c r="BA222" s="15" t="str">
        <f t="shared" si="116"/>
        <v>lancamento-consideracao-nivus-orca</v>
      </c>
      <c r="BB222" s="28" t="s">
        <v>798</v>
      </c>
      <c r="BC222" s="28" t="s">
        <v>798</v>
      </c>
      <c r="BD222" s="38" t="str">
        <f t="shared" si="117"/>
        <v>nvl-nvs-imc-dsy-0820-10222</v>
      </c>
      <c r="BE222" s="15" t="str">
        <f t="shared" si="118"/>
        <v>BR</v>
      </c>
      <c r="BF222" s="15" t="str">
        <f t="shared" si="119"/>
        <v>paid</v>
      </c>
      <c r="BG222" s="28"/>
      <c r="BH222" s="28"/>
      <c r="BI222" s="36" t="str">
        <f t="shared" si="104"/>
        <v>https://www.vw.com.br/pt/configurador.html/__app/%2Fnivus/0.app?adlid=nvl-nvs-imc-dsy-0820-10222&amp;adplt=alp_vw_dv360_imc_dsy_lanch_nd_nc_nvs_nivus-launch-consideracao-orca__configuracao_cpm_drct_all_300x50_lancamento-nivus-orca-rmkt-dealer-form-completion-lead-generation-qualifier_na_lancamento-consideracao-nivus-orca_nvl-nvs-imc-dsy-0820-10222</v>
      </c>
      <c r="BL222" t="str">
        <f t="shared" si="105"/>
        <v>alp_vw_dv360_imc_dsy_lanch_nd_nc_nvs_nivus-launch-consideracao-orca__configuracao</v>
      </c>
      <c r="BM222" t="str">
        <f t="shared" si="106"/>
        <v>cpm_drct_all_300x50_lancamento-nivus-orca-rmkt-dealer-form-completion-lead-generation-qualifier_na</v>
      </c>
      <c r="BN222" t="str">
        <f t="shared" si="107"/>
        <v>alp_vw_dv360_imc_dsy_lanch_nd_nc_nvs_nivus-launch-consideracao-orca__configuracao_cpm_drct_all_300x50_lancamento-nivus-orca-rmkt-dealer-form-completion-lead-generation-qualifier_na_generico_nvl-nvs-imc-dsy-0820-10222</v>
      </c>
    </row>
    <row r="223" spans="2:66" ht="15.75" customHeight="1" x14ac:dyDescent="0.25">
      <c r="B223" s="15" t="s">
        <v>1291</v>
      </c>
      <c r="C223" s="15" t="s">
        <v>1477</v>
      </c>
      <c r="D223" s="15"/>
      <c r="E223" s="22">
        <v>44069</v>
      </c>
      <c r="F223" s="22">
        <v>44135</v>
      </c>
      <c r="G223" s="15" t="s">
        <v>651</v>
      </c>
      <c r="H223" s="41" t="s">
        <v>1266</v>
      </c>
      <c r="I223" s="15" t="s">
        <v>801</v>
      </c>
      <c r="J223" s="42" t="s">
        <v>883</v>
      </c>
      <c r="K223" s="42" t="s">
        <v>883</v>
      </c>
      <c r="L223" s="15" t="s">
        <v>676</v>
      </c>
      <c r="M223" s="15" t="s">
        <v>276</v>
      </c>
      <c r="N223" s="15" t="s">
        <v>295</v>
      </c>
      <c r="O223" s="15" t="s">
        <v>677</v>
      </c>
      <c r="P223" s="15" t="str">
        <f>VLOOKUP(Y223,'All Codes'!$BF$3:$BG$278,2,FALSE)</f>
        <v>Skyscraper</v>
      </c>
      <c r="Q223" s="15" t="s">
        <v>179</v>
      </c>
      <c r="R223" s="15" t="s">
        <v>277</v>
      </c>
      <c r="S223" s="15" t="s">
        <v>874</v>
      </c>
      <c r="T223" s="46" t="s">
        <v>884</v>
      </c>
      <c r="U223" s="15" t="s">
        <v>876</v>
      </c>
      <c r="V223" s="15" t="s">
        <v>1273</v>
      </c>
      <c r="W223" s="15" t="s">
        <v>866</v>
      </c>
      <c r="X223" s="15" t="s">
        <v>307</v>
      </c>
      <c r="Y223" s="46" t="s">
        <v>434</v>
      </c>
      <c r="Z223" s="15"/>
      <c r="AA223" s="15"/>
      <c r="AB223" s="15"/>
      <c r="AC223" s="15"/>
      <c r="AD223" s="15"/>
      <c r="AE223" s="15"/>
      <c r="AF223" s="15"/>
      <c r="AG223" s="15"/>
      <c r="AH223" s="15" t="str">
        <f t="shared" si="97"/>
        <v>284460868</v>
      </c>
      <c r="AI223" s="21" t="str">
        <f t="shared" si="120"/>
        <v>alp_vw_dv360_imc_dsy_lanch_nd_nc_nvs_nivus-launch-consideracao-orca__configuracao_cpm_drct_all_160x600_lancamento-nivus-orca-rmkt-dealer-form-completion-lead-generation-qualifier_na_lancamento-consideracao-nivus-orca_nvl-nvs-imc-dsy-0820-10223</v>
      </c>
      <c r="AJ223" s="40" t="str">
        <f t="shared" si="120"/>
        <v>alp_vw_dv360_imc_dsy_lanch_nd_nc_nvs_nivus-launch-consideracao-orca__configuracao_cpm_drct_all_160x600_lancamento-nivus-orca-rmkt-dealer-form-completion-lead-generation-qualifier_na_lancamento-consideracao-nivus-orca_nvl-nvs-imc-dsy-0820-10223</v>
      </c>
      <c r="AK223" s="21" t="str">
        <f t="shared" si="98"/>
        <v>vw_nivus_160x600_lancamento-consideracao-nivus-orca_adserver</v>
      </c>
      <c r="AL223" s="21" t="str">
        <f t="shared" si="108"/>
        <v>https://www.vw.com.br/pt/configurador.html/__app/%2Fnivus/0.app?adlid=nvl-nvs-imc-dsy-0820-10223&amp;adplt=alp_vw_dv360_imc_dsy_lanch_nd_nc_nvs_nivus-launch-consideracao-orca__configuracao_cpm_drct_all_160x600_lancamento-nivus-orca-rmkt-dealer-form-completion-lead-generation-qualifier_na_lancamento-consideracao-nivus-orca_nvl-nvs-imc-dsy-0820-10223</v>
      </c>
      <c r="AM223" s="21" t="str">
        <f t="shared" si="99"/>
        <v>TAG</v>
      </c>
      <c r="AN223" s="15" t="str">
        <f t="shared" si="109"/>
        <v>DV360</v>
      </c>
      <c r="AO223" s="15" t="str">
        <f t="shared" si="110"/>
        <v>Paid-Display</v>
      </c>
      <c r="AP223" s="21" t="str">
        <f>Campanha!$B$3</f>
        <v>BR_IMC_DSY_LANCH_ND_NC_2020Q3AUG_NVS_Nivus-Launch-Consideracao-Orca</v>
      </c>
      <c r="AQ223" s="21" t="str">
        <f t="shared" si="100"/>
        <v>alp_vw_dv360_imc_dsy_lanch_nd_nc_nvs_nivus-launch-consideracao-orca__configuracao_cpm_drct_all_160x600_lancamento-nivus-orca-rmkt-dealer-form-completion-lead-generation-qualifier_na_lancamento-consideracao-nivus-orca_nvl-nvs-imc-dsy-0820-10223</v>
      </c>
      <c r="AR223" s="15" t="s">
        <v>745</v>
      </c>
      <c r="AS223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160x600_lancamento-nivus-orca-rmkt-dealer-form-completion-lead-generation-qualifier_na_lancamento-consideracao-nivus-orca_nvl-nvs-imc-dsy-0820-10223&amp;utm_campaign=BR_IMC_DSY_LANCH_ND_NC_2020Q3AUG_NVS_Nivus-Launch-Consideracao-Orca&amp;utm_term=%epid!_%ecid!_%eaid!</v>
      </c>
      <c r="AT223" s="15" t="str">
        <f t="shared" si="111"/>
        <v>other</v>
      </c>
      <c r="AU223" s="15" t="str">
        <f t="shared" si="102"/>
        <v>BR</v>
      </c>
      <c r="AV223" s="15" t="str">
        <f t="shared" si="112"/>
        <v>dv360</v>
      </c>
      <c r="AW223" s="15" t="str">
        <f t="shared" si="113"/>
        <v>dv360</v>
      </c>
      <c r="AX223" s="15" t="str">
        <f t="shared" si="103"/>
        <v>nivus-launch-consideracao-orca</v>
      </c>
      <c r="AY223" s="15" t="str">
        <f t="shared" si="114"/>
        <v>alp_vw_dv360_imc_dsy_lanch_nd_nc_nvs_nivus-launch-consideracao-orca__configuracao_cpm_drct_all_160x600_lancamento-nivus-orca-rmkt-dealer-form-completion-lead-generation-qualifier_na_lancamento-consideracao-nivus-orca_nvl-nvs-imc-dsy-0820-10223</v>
      </c>
      <c r="AZ223" s="15" t="str">
        <f t="shared" si="115"/>
        <v>160x600</v>
      </c>
      <c r="BA223" s="15" t="str">
        <f t="shared" si="116"/>
        <v>lancamento-consideracao-nivus-orca</v>
      </c>
      <c r="BB223" s="28" t="s">
        <v>798</v>
      </c>
      <c r="BC223" s="28" t="s">
        <v>798</v>
      </c>
      <c r="BD223" s="38" t="str">
        <f t="shared" si="117"/>
        <v>nvl-nvs-imc-dsy-0820-10223</v>
      </c>
      <c r="BE223" s="15" t="str">
        <f t="shared" si="118"/>
        <v>BR</v>
      </c>
      <c r="BF223" s="15" t="str">
        <f t="shared" si="119"/>
        <v>paid</v>
      </c>
      <c r="BG223" s="28"/>
      <c r="BH223" s="28"/>
      <c r="BI223" s="36" t="str">
        <f t="shared" si="104"/>
        <v>https://www.vw.com.br/pt/configurador.html/__app/%2Fnivus/0.app?adlid=nvl-nvs-imc-dsy-0820-10223&amp;adplt=alp_vw_dv360_imc_dsy_lanch_nd_nc_nvs_nivus-launch-consideracao-orca__configuracao_cpm_drct_all_160x600_lancamento-nivus-orca-rmkt-dealer-form-completion-lead-generation-qualifier_na_lancamento-consideracao-nivus-orca_nvl-nvs-imc-dsy-0820-10223</v>
      </c>
      <c r="BL223" t="str">
        <f t="shared" si="105"/>
        <v>alp_vw_dv360_imc_dsy_lanch_nd_nc_nvs_nivus-launch-consideracao-orca__configuracao</v>
      </c>
      <c r="BM223" t="str">
        <f t="shared" si="106"/>
        <v>cpm_drct_all_160x600_lancamento-nivus-orca-rmkt-dealer-form-completion-lead-generation-qualifier_na</v>
      </c>
      <c r="BN223" t="str">
        <f t="shared" si="107"/>
        <v>alp_vw_dv360_imc_dsy_lanch_nd_nc_nvs_nivus-launch-consideracao-orca__configuracao_cpm_drct_all_160x600_lancamento-nivus-orca-rmkt-dealer-form-completion-lead-generation-qualifier_na_generico_nvl-nvs-imc-dsy-0820-10223</v>
      </c>
    </row>
    <row r="224" spans="2:66" ht="15.75" customHeight="1" x14ac:dyDescent="0.25">
      <c r="B224" s="15" t="s">
        <v>1291</v>
      </c>
      <c r="C224" s="15" t="s">
        <v>1477</v>
      </c>
      <c r="D224" s="15"/>
      <c r="E224" s="22">
        <v>44069</v>
      </c>
      <c r="F224" s="22">
        <v>44135</v>
      </c>
      <c r="G224" s="15" t="s">
        <v>651</v>
      </c>
      <c r="H224" s="41" t="s">
        <v>1266</v>
      </c>
      <c r="I224" s="15" t="s">
        <v>801</v>
      </c>
      <c r="J224" s="42" t="s">
        <v>883</v>
      </c>
      <c r="K224" s="42" t="s">
        <v>883</v>
      </c>
      <c r="L224" s="15" t="s">
        <v>676</v>
      </c>
      <c r="M224" s="15" t="s">
        <v>276</v>
      </c>
      <c r="N224" s="15" t="s">
        <v>295</v>
      </c>
      <c r="O224" s="15" t="s">
        <v>677</v>
      </c>
      <c r="P224" s="15" t="str">
        <f>VLOOKUP(Y224,'All Codes'!$BF$3:$BG$278,2,FALSE)</f>
        <v>MPU</v>
      </c>
      <c r="Q224" s="15" t="s">
        <v>179</v>
      </c>
      <c r="R224" s="15" t="s">
        <v>277</v>
      </c>
      <c r="S224" s="15" t="s">
        <v>874</v>
      </c>
      <c r="T224" s="46" t="s">
        <v>884</v>
      </c>
      <c r="U224" s="15" t="s">
        <v>876</v>
      </c>
      <c r="V224" s="15" t="s">
        <v>1273</v>
      </c>
      <c r="W224" s="15" t="s">
        <v>866</v>
      </c>
      <c r="X224" s="15" t="s">
        <v>307</v>
      </c>
      <c r="Y224" s="46" t="s">
        <v>455</v>
      </c>
      <c r="Z224" s="15"/>
      <c r="AA224" s="15"/>
      <c r="AB224" s="15"/>
      <c r="AC224" s="15"/>
      <c r="AD224" s="15"/>
      <c r="AE224" s="15"/>
      <c r="AF224" s="15"/>
      <c r="AG224" s="15"/>
      <c r="AH224" s="15" t="str">
        <f t="shared" si="97"/>
        <v>284460862</v>
      </c>
      <c r="AI224" s="21" t="str">
        <f t="shared" si="120"/>
        <v>alp_vw_dv360_imc_dsy_lanch_nd_nc_nvs_nivus-launch-consideracao-orca__configuracao_cpm_drct_all_300x250_lancamento-nivus-orca-rmkt-dealer-form-completion-lead-generation-qualifier_na_lancamento-consideracao-nivus-orca_nvl-nvs-imc-dsy-0820-10224</v>
      </c>
      <c r="AJ224" s="40" t="str">
        <f t="shared" si="120"/>
        <v>alp_vw_dv360_imc_dsy_lanch_nd_nc_nvs_nivus-launch-consideracao-orca__configuracao_cpm_drct_all_300x250_lancamento-nivus-orca-rmkt-dealer-form-completion-lead-generation-qualifier_na_lancamento-consideracao-nivus-orca_nvl-nvs-imc-dsy-0820-10224</v>
      </c>
      <c r="AK224" s="21" t="str">
        <f t="shared" si="98"/>
        <v>vw_nivus_300x250_lancamento-consideracao-nivus-orca_adserver</v>
      </c>
      <c r="AL224" s="21" t="str">
        <f t="shared" si="108"/>
        <v>https://www.vw.com.br/pt/configurador.html/__app/%2Fnivus/0.app?adlid=nvl-nvs-imc-dsy-0820-10224&amp;adplt=alp_vw_dv360_imc_dsy_lanch_nd_nc_nvs_nivus-launch-consideracao-orca__configuracao_cpm_drct_all_300x250_lancamento-nivus-orca-rmkt-dealer-form-completion-lead-generation-qualifier_na_lancamento-consideracao-nivus-orca_nvl-nvs-imc-dsy-0820-10224</v>
      </c>
      <c r="AM224" s="21" t="str">
        <f t="shared" si="99"/>
        <v>TAG</v>
      </c>
      <c r="AN224" s="15" t="str">
        <f t="shared" si="109"/>
        <v>DV360</v>
      </c>
      <c r="AO224" s="15" t="str">
        <f t="shared" si="110"/>
        <v>Paid-Display</v>
      </c>
      <c r="AP224" s="21" t="str">
        <f>Campanha!$B$3</f>
        <v>BR_IMC_DSY_LANCH_ND_NC_2020Q3AUG_NVS_Nivus-Launch-Consideracao-Orca</v>
      </c>
      <c r="AQ224" s="21" t="str">
        <f t="shared" si="100"/>
        <v>alp_vw_dv360_imc_dsy_lanch_nd_nc_nvs_nivus-launch-consideracao-orca__configuracao_cpm_drct_all_300x250_lancamento-nivus-orca-rmkt-dealer-form-completion-lead-generation-qualifier_na_lancamento-consideracao-nivus-orca_nvl-nvs-imc-dsy-0820-10224</v>
      </c>
      <c r="AR224" s="15" t="s">
        <v>745</v>
      </c>
      <c r="AS224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250_lancamento-nivus-orca-rmkt-dealer-form-completion-lead-generation-qualifier_na_lancamento-consideracao-nivus-orca_nvl-nvs-imc-dsy-0820-10224&amp;utm_campaign=BR_IMC_DSY_LANCH_ND_NC_2020Q3AUG_NVS_Nivus-Launch-Consideracao-Orca&amp;utm_term=%epid!_%ecid!_%eaid!</v>
      </c>
      <c r="AT224" s="15" t="str">
        <f t="shared" si="111"/>
        <v>other</v>
      </c>
      <c r="AU224" s="15" t="str">
        <f t="shared" si="102"/>
        <v>BR</v>
      </c>
      <c r="AV224" s="15" t="str">
        <f t="shared" si="112"/>
        <v>dv360</v>
      </c>
      <c r="AW224" s="15" t="str">
        <f t="shared" si="113"/>
        <v>dv360</v>
      </c>
      <c r="AX224" s="15" t="str">
        <f t="shared" si="103"/>
        <v>nivus-launch-consideracao-orca</v>
      </c>
      <c r="AY224" s="15" t="str">
        <f t="shared" si="114"/>
        <v>alp_vw_dv360_imc_dsy_lanch_nd_nc_nvs_nivus-launch-consideracao-orca__configuracao_cpm_drct_all_300x250_lancamento-nivus-orca-rmkt-dealer-form-completion-lead-generation-qualifier_na_lancamento-consideracao-nivus-orca_nvl-nvs-imc-dsy-0820-10224</v>
      </c>
      <c r="AZ224" s="15" t="str">
        <f t="shared" si="115"/>
        <v>300x250</v>
      </c>
      <c r="BA224" s="15" t="str">
        <f t="shared" si="116"/>
        <v>lancamento-consideracao-nivus-orca</v>
      </c>
      <c r="BB224" s="28" t="s">
        <v>798</v>
      </c>
      <c r="BC224" s="28" t="s">
        <v>798</v>
      </c>
      <c r="BD224" s="38" t="str">
        <f t="shared" si="117"/>
        <v>nvl-nvs-imc-dsy-0820-10224</v>
      </c>
      <c r="BE224" s="15" t="str">
        <f t="shared" si="118"/>
        <v>BR</v>
      </c>
      <c r="BF224" s="15" t="str">
        <f t="shared" si="119"/>
        <v>paid</v>
      </c>
      <c r="BG224" s="28"/>
      <c r="BH224" s="28"/>
      <c r="BI224" s="36" t="str">
        <f t="shared" si="104"/>
        <v>https://www.vw.com.br/pt/configurador.html/__app/%2Fnivus/0.app?adlid=nvl-nvs-imc-dsy-0820-10224&amp;adplt=alp_vw_dv360_imc_dsy_lanch_nd_nc_nvs_nivus-launch-consideracao-orca__configuracao_cpm_drct_all_300x250_lancamento-nivus-orca-rmkt-dealer-form-completion-lead-generation-qualifier_na_lancamento-consideracao-nivus-orca_nvl-nvs-imc-dsy-0820-10224</v>
      </c>
      <c r="BL224" t="str">
        <f t="shared" si="105"/>
        <v>alp_vw_dv360_imc_dsy_lanch_nd_nc_nvs_nivus-launch-consideracao-orca__configuracao</v>
      </c>
      <c r="BM224" t="str">
        <f t="shared" si="106"/>
        <v>cpm_drct_all_300x250_lancamento-nivus-orca-rmkt-dealer-form-completion-lead-generation-qualifier_na</v>
      </c>
      <c r="BN224" t="str">
        <f t="shared" si="107"/>
        <v>alp_vw_dv360_imc_dsy_lanch_nd_nc_nvs_nivus-launch-consideracao-orca__configuracao_cpm_drct_all_300x250_lancamento-nivus-orca-rmkt-dealer-form-completion-lead-generation-qualifier_na_generico_nvl-nvs-imc-dsy-0820-10224</v>
      </c>
    </row>
    <row r="225" spans="2:66" ht="15.75" customHeight="1" x14ac:dyDescent="0.25">
      <c r="B225" s="15" t="s">
        <v>1291</v>
      </c>
      <c r="C225" s="15" t="s">
        <v>1477</v>
      </c>
      <c r="D225" s="15"/>
      <c r="E225" s="22">
        <v>44069</v>
      </c>
      <c r="F225" s="22">
        <v>44135</v>
      </c>
      <c r="G225" s="15" t="s">
        <v>651</v>
      </c>
      <c r="H225" s="41" t="s">
        <v>1266</v>
      </c>
      <c r="I225" s="15" t="s">
        <v>801</v>
      </c>
      <c r="J225" s="42" t="s">
        <v>883</v>
      </c>
      <c r="K225" s="42" t="s">
        <v>883</v>
      </c>
      <c r="L225" s="15" t="s">
        <v>676</v>
      </c>
      <c r="M225" s="15" t="s">
        <v>276</v>
      </c>
      <c r="N225" s="15" t="s">
        <v>295</v>
      </c>
      <c r="O225" s="15" t="s">
        <v>677</v>
      </c>
      <c r="P225" s="15" t="str">
        <f>VLOOKUP(Y225,'All Codes'!$BF$3:$BG$278,2,FALSE)</f>
        <v>Skyscraper</v>
      </c>
      <c r="Q225" s="15" t="s">
        <v>179</v>
      </c>
      <c r="R225" s="15" t="s">
        <v>277</v>
      </c>
      <c r="S225" s="15" t="s">
        <v>874</v>
      </c>
      <c r="T225" s="46" t="s">
        <v>884</v>
      </c>
      <c r="U225" s="15" t="s">
        <v>876</v>
      </c>
      <c r="V225" s="15" t="s">
        <v>1273</v>
      </c>
      <c r="W225" s="15" t="s">
        <v>866</v>
      </c>
      <c r="X225" s="15" t="s">
        <v>307</v>
      </c>
      <c r="Y225" s="46" t="s">
        <v>464</v>
      </c>
      <c r="Z225" s="15"/>
      <c r="AA225" s="15"/>
      <c r="AB225" s="15"/>
      <c r="AC225" s="15"/>
      <c r="AD225" s="15"/>
      <c r="AE225" s="15"/>
      <c r="AF225" s="15"/>
      <c r="AG225" s="15"/>
      <c r="AH225" s="15" t="str">
        <f t="shared" si="97"/>
        <v>284460856</v>
      </c>
      <c r="AI225" s="21" t="str">
        <f t="shared" si="120"/>
        <v>alp_vw_dv360_imc_dsy_lanch_nd_nc_nvs_nivus-launch-consideracao-orca__configuracao_cpm_drct_all_300x600_lancamento-nivus-orca-rmkt-dealer-form-completion-lead-generation-qualifier_na_lancamento-consideracao-nivus-orca_nvl-nvs-imc-dsy-0820-10225</v>
      </c>
      <c r="AJ225" s="40" t="str">
        <f t="shared" si="120"/>
        <v>alp_vw_dv360_imc_dsy_lanch_nd_nc_nvs_nivus-launch-consideracao-orca__configuracao_cpm_drct_all_300x600_lancamento-nivus-orca-rmkt-dealer-form-completion-lead-generation-qualifier_na_lancamento-consideracao-nivus-orca_nvl-nvs-imc-dsy-0820-10225</v>
      </c>
      <c r="AK225" s="21" t="str">
        <f t="shared" si="98"/>
        <v>vw_nivus_300x600_lancamento-consideracao-nivus-orca_adserver</v>
      </c>
      <c r="AL225" s="21" t="str">
        <f t="shared" si="108"/>
        <v>https://www.vw.com.br/pt/configurador.html/__app/%2Fnivus/0.app?adlid=nvl-nvs-imc-dsy-0820-10225&amp;adplt=alp_vw_dv360_imc_dsy_lanch_nd_nc_nvs_nivus-launch-consideracao-orca__configuracao_cpm_drct_all_300x600_lancamento-nivus-orca-rmkt-dealer-form-completion-lead-generation-qualifier_na_lancamento-consideracao-nivus-orca_nvl-nvs-imc-dsy-0820-10225</v>
      </c>
      <c r="AM225" s="21" t="str">
        <f t="shared" si="99"/>
        <v>TAG</v>
      </c>
      <c r="AN225" s="15" t="str">
        <f t="shared" si="109"/>
        <v>DV360</v>
      </c>
      <c r="AO225" s="15" t="str">
        <f t="shared" si="110"/>
        <v>Paid-Display</v>
      </c>
      <c r="AP225" s="21" t="str">
        <f>Campanha!$B$3</f>
        <v>BR_IMC_DSY_LANCH_ND_NC_2020Q3AUG_NVS_Nivus-Launch-Consideracao-Orca</v>
      </c>
      <c r="AQ225" s="21" t="str">
        <f t="shared" si="100"/>
        <v>alp_vw_dv360_imc_dsy_lanch_nd_nc_nvs_nivus-launch-consideracao-orca__configuracao_cpm_drct_all_300x600_lancamento-nivus-orca-rmkt-dealer-form-completion-lead-generation-qualifier_na_lancamento-consideracao-nivus-orca_nvl-nvs-imc-dsy-0820-10225</v>
      </c>
      <c r="AR225" s="15" t="s">
        <v>745</v>
      </c>
      <c r="AS225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600_lancamento-nivus-orca-rmkt-dealer-form-completion-lead-generation-qualifier_na_lancamento-consideracao-nivus-orca_nvl-nvs-imc-dsy-0820-10225&amp;utm_campaign=BR_IMC_DSY_LANCH_ND_NC_2020Q3AUG_NVS_Nivus-Launch-Consideracao-Orca&amp;utm_term=%epid!_%ecid!_%eaid!</v>
      </c>
      <c r="AT225" s="15" t="str">
        <f t="shared" si="111"/>
        <v>other</v>
      </c>
      <c r="AU225" s="15" t="str">
        <f t="shared" si="102"/>
        <v>BR</v>
      </c>
      <c r="AV225" s="15" t="str">
        <f t="shared" si="112"/>
        <v>dv360</v>
      </c>
      <c r="AW225" s="15" t="str">
        <f t="shared" si="113"/>
        <v>dv360</v>
      </c>
      <c r="AX225" s="15" t="str">
        <f t="shared" si="103"/>
        <v>nivus-launch-consideracao-orca</v>
      </c>
      <c r="AY225" s="15" t="str">
        <f t="shared" si="114"/>
        <v>alp_vw_dv360_imc_dsy_lanch_nd_nc_nvs_nivus-launch-consideracao-orca__configuracao_cpm_drct_all_300x600_lancamento-nivus-orca-rmkt-dealer-form-completion-lead-generation-qualifier_na_lancamento-consideracao-nivus-orca_nvl-nvs-imc-dsy-0820-10225</v>
      </c>
      <c r="AZ225" s="15" t="str">
        <f t="shared" si="115"/>
        <v>300x600</v>
      </c>
      <c r="BA225" s="15" t="str">
        <f t="shared" si="116"/>
        <v>lancamento-consideracao-nivus-orca</v>
      </c>
      <c r="BB225" s="28" t="s">
        <v>798</v>
      </c>
      <c r="BC225" s="28" t="s">
        <v>798</v>
      </c>
      <c r="BD225" s="38" t="str">
        <f t="shared" si="117"/>
        <v>nvl-nvs-imc-dsy-0820-10225</v>
      </c>
      <c r="BE225" s="15" t="str">
        <f t="shared" si="118"/>
        <v>BR</v>
      </c>
      <c r="BF225" s="15" t="str">
        <f t="shared" si="119"/>
        <v>paid</v>
      </c>
      <c r="BG225" s="28"/>
      <c r="BH225" s="28"/>
      <c r="BI225" s="36" t="str">
        <f t="shared" si="104"/>
        <v>https://www.vw.com.br/pt/configurador.html/__app/%2Fnivus/0.app?adlid=nvl-nvs-imc-dsy-0820-10225&amp;adplt=alp_vw_dv360_imc_dsy_lanch_nd_nc_nvs_nivus-launch-consideracao-orca__configuracao_cpm_drct_all_300x600_lancamento-nivus-orca-rmkt-dealer-form-completion-lead-generation-qualifier_na_lancamento-consideracao-nivus-orca_nvl-nvs-imc-dsy-0820-10225</v>
      </c>
      <c r="BL225" t="str">
        <f t="shared" si="105"/>
        <v>alp_vw_dv360_imc_dsy_lanch_nd_nc_nvs_nivus-launch-consideracao-orca__configuracao</v>
      </c>
      <c r="BM225" t="str">
        <f t="shared" si="106"/>
        <v>cpm_drct_all_300x600_lancamento-nivus-orca-rmkt-dealer-form-completion-lead-generation-qualifier_na</v>
      </c>
      <c r="BN225" t="str">
        <f t="shared" si="107"/>
        <v>alp_vw_dv360_imc_dsy_lanch_nd_nc_nvs_nivus-launch-consideracao-orca__configuracao_cpm_drct_all_300x600_lancamento-nivus-orca-rmkt-dealer-form-completion-lead-generation-qualifier_na_generico_nvl-nvs-imc-dsy-0820-10225</v>
      </c>
    </row>
    <row r="226" spans="2:66" ht="15.75" customHeight="1" x14ac:dyDescent="0.25">
      <c r="B226" s="15" t="s">
        <v>1291</v>
      </c>
      <c r="C226" s="15" t="s">
        <v>1477</v>
      </c>
      <c r="D226" s="15"/>
      <c r="E226" s="22">
        <v>44069</v>
      </c>
      <c r="F226" s="22">
        <v>44135</v>
      </c>
      <c r="G226" s="15" t="s">
        <v>651</v>
      </c>
      <c r="H226" s="41" t="s">
        <v>1266</v>
      </c>
      <c r="I226" s="15" t="s">
        <v>801</v>
      </c>
      <c r="J226" s="42" t="s">
        <v>883</v>
      </c>
      <c r="K226" s="42" t="s">
        <v>883</v>
      </c>
      <c r="L226" s="15" t="s">
        <v>676</v>
      </c>
      <c r="M226" s="15" t="s">
        <v>276</v>
      </c>
      <c r="N226" s="15" t="s">
        <v>295</v>
      </c>
      <c r="O226" s="15" t="s">
        <v>677</v>
      </c>
      <c r="P226" s="15" t="str">
        <f>VLOOKUP(Y226,'All Codes'!$BF$3:$BG$278,2,FALSE)</f>
        <v>MPU</v>
      </c>
      <c r="Q226" s="15" t="s">
        <v>179</v>
      </c>
      <c r="R226" s="15" t="s">
        <v>277</v>
      </c>
      <c r="S226" s="15" t="s">
        <v>874</v>
      </c>
      <c r="T226" s="46" t="s">
        <v>884</v>
      </c>
      <c r="U226" s="15" t="s">
        <v>876</v>
      </c>
      <c r="V226" s="15" t="s">
        <v>1273</v>
      </c>
      <c r="W226" s="15" t="s">
        <v>866</v>
      </c>
      <c r="X226" s="15" t="s">
        <v>307</v>
      </c>
      <c r="Y226" s="46" t="s">
        <v>479</v>
      </c>
      <c r="Z226" s="15"/>
      <c r="AA226" s="15"/>
      <c r="AB226" s="15"/>
      <c r="AC226" s="15"/>
      <c r="AD226" s="15"/>
      <c r="AE226" s="15"/>
      <c r="AF226" s="15"/>
      <c r="AG226" s="15"/>
      <c r="AH226" s="15" t="str">
        <f t="shared" si="97"/>
        <v>284453950</v>
      </c>
      <c r="AI226" s="21" t="str">
        <f t="shared" si="120"/>
        <v>alp_vw_dv360_imc_dsy_lanch_nd_nc_nvs_nivus-launch-consideracao-orca__configuracao_cpm_drct_all_320x50_lancamento-nivus-orca-rmkt-dealer-form-completion-lead-generation-qualifier_na_lancamento-consideracao-nivus-orca_nvl-nvs-imc-dsy-0820-10226</v>
      </c>
      <c r="AJ226" s="40" t="str">
        <f t="shared" si="120"/>
        <v>alp_vw_dv360_imc_dsy_lanch_nd_nc_nvs_nivus-launch-consideracao-orca__configuracao_cpm_drct_all_320x50_lancamento-nivus-orca-rmkt-dealer-form-completion-lead-generation-qualifier_na_lancamento-consideracao-nivus-orca_nvl-nvs-imc-dsy-0820-10226</v>
      </c>
      <c r="AK226" s="21" t="str">
        <f t="shared" si="98"/>
        <v>vw_nivus_320x50_lancamento-consideracao-nivus-orca_adserver</v>
      </c>
      <c r="AL226" s="21" t="str">
        <f t="shared" si="108"/>
        <v>https://www.vw.com.br/pt/configurador.html/__app/%2Fnivus/0.app?adlid=nvl-nvs-imc-dsy-0820-10226&amp;adplt=alp_vw_dv360_imc_dsy_lanch_nd_nc_nvs_nivus-launch-consideracao-orca__configuracao_cpm_drct_all_320x50_lancamento-nivus-orca-rmkt-dealer-form-completion-lead-generation-qualifier_na_lancamento-consideracao-nivus-orca_nvl-nvs-imc-dsy-0820-10226</v>
      </c>
      <c r="AM226" s="21" t="str">
        <f t="shared" si="99"/>
        <v>TAG</v>
      </c>
      <c r="AN226" s="15" t="str">
        <f t="shared" si="109"/>
        <v>DV360</v>
      </c>
      <c r="AO226" s="15" t="str">
        <f t="shared" si="110"/>
        <v>Paid-Display</v>
      </c>
      <c r="AP226" s="21" t="str">
        <f>Campanha!$B$3</f>
        <v>BR_IMC_DSY_LANCH_ND_NC_2020Q3AUG_NVS_Nivus-Launch-Consideracao-Orca</v>
      </c>
      <c r="AQ226" s="21" t="str">
        <f t="shared" si="100"/>
        <v>alp_vw_dv360_imc_dsy_lanch_nd_nc_nvs_nivus-launch-consideracao-orca__configuracao_cpm_drct_all_320x50_lancamento-nivus-orca-rmkt-dealer-form-completion-lead-generation-qualifier_na_lancamento-consideracao-nivus-orca_nvl-nvs-imc-dsy-0820-10226</v>
      </c>
      <c r="AR226" s="15" t="s">
        <v>745</v>
      </c>
      <c r="AS226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dealer-form-completion-lead-generation-qualifier_na_lancamento-consideracao-nivus-orca_nvl-nvs-imc-dsy-0820-10226&amp;utm_campaign=BR_IMC_DSY_LANCH_ND_NC_2020Q3AUG_NVS_Nivus-Launch-Consideracao-Orca&amp;utm_term=%epid!_%ecid!_%eaid!</v>
      </c>
      <c r="AT226" s="15" t="str">
        <f t="shared" si="111"/>
        <v>other</v>
      </c>
      <c r="AU226" s="15" t="str">
        <f t="shared" si="102"/>
        <v>BR</v>
      </c>
      <c r="AV226" s="15" t="str">
        <f t="shared" si="112"/>
        <v>dv360</v>
      </c>
      <c r="AW226" s="15" t="str">
        <f t="shared" si="113"/>
        <v>dv360</v>
      </c>
      <c r="AX226" s="15" t="str">
        <f t="shared" si="103"/>
        <v>nivus-launch-consideracao-orca</v>
      </c>
      <c r="AY226" s="15" t="str">
        <f t="shared" si="114"/>
        <v>alp_vw_dv360_imc_dsy_lanch_nd_nc_nvs_nivus-launch-consideracao-orca__configuracao_cpm_drct_all_320x50_lancamento-nivus-orca-rmkt-dealer-form-completion-lead-generation-qualifier_na_lancamento-consideracao-nivus-orca_nvl-nvs-imc-dsy-0820-10226</v>
      </c>
      <c r="AZ226" s="15" t="str">
        <f t="shared" si="115"/>
        <v>320x50</v>
      </c>
      <c r="BA226" s="15" t="str">
        <f t="shared" si="116"/>
        <v>lancamento-consideracao-nivus-orca</v>
      </c>
      <c r="BB226" s="28" t="s">
        <v>798</v>
      </c>
      <c r="BC226" s="28" t="s">
        <v>798</v>
      </c>
      <c r="BD226" s="38" t="str">
        <f t="shared" si="117"/>
        <v>nvl-nvs-imc-dsy-0820-10226</v>
      </c>
      <c r="BE226" s="15" t="str">
        <f t="shared" si="118"/>
        <v>BR</v>
      </c>
      <c r="BF226" s="15" t="str">
        <f t="shared" si="119"/>
        <v>paid</v>
      </c>
      <c r="BG226" s="28"/>
      <c r="BH226" s="28"/>
      <c r="BI226" s="36" t="str">
        <f t="shared" si="104"/>
        <v>https://www.vw.com.br/pt/configurador.html/__app/%2Fnivus/0.app?adlid=nvl-nvs-imc-dsy-0820-10226&amp;adplt=alp_vw_dv360_imc_dsy_lanch_nd_nc_nvs_nivus-launch-consideracao-orca__configuracao_cpm_drct_all_320x50_lancamento-nivus-orca-rmkt-dealer-form-completion-lead-generation-qualifier_na_lancamento-consideracao-nivus-orca_nvl-nvs-imc-dsy-0820-10226</v>
      </c>
      <c r="BL226" t="str">
        <f t="shared" si="105"/>
        <v>alp_vw_dv360_imc_dsy_lanch_nd_nc_nvs_nivus-launch-consideracao-orca__configuracao</v>
      </c>
      <c r="BM226" t="str">
        <f t="shared" si="106"/>
        <v>cpm_drct_all_320x50_lancamento-nivus-orca-rmkt-dealer-form-completion-lead-generation-qualifier_na</v>
      </c>
      <c r="BN226" t="str">
        <f t="shared" si="107"/>
        <v>alp_vw_dv360_imc_dsy_lanch_nd_nc_nvs_nivus-launch-consideracao-orca__configuracao_cpm_drct_all_320x50_lancamento-nivus-orca-rmkt-dealer-form-completion-lead-generation-qualifier_na_generico_nvl-nvs-imc-dsy-0820-10226</v>
      </c>
    </row>
    <row r="227" spans="2:66" ht="15.75" customHeight="1" x14ac:dyDescent="0.25">
      <c r="B227" s="15" t="s">
        <v>1291</v>
      </c>
      <c r="C227" s="15" t="s">
        <v>1477</v>
      </c>
      <c r="D227" s="15"/>
      <c r="E227" s="22">
        <v>44069</v>
      </c>
      <c r="F227" s="22">
        <v>44135</v>
      </c>
      <c r="G227" s="15" t="s">
        <v>651</v>
      </c>
      <c r="H227" s="41" t="s">
        <v>1266</v>
      </c>
      <c r="I227" s="15" t="s">
        <v>801</v>
      </c>
      <c r="J227" s="42" t="s">
        <v>883</v>
      </c>
      <c r="K227" s="42" t="s">
        <v>883</v>
      </c>
      <c r="L227" s="15" t="s">
        <v>676</v>
      </c>
      <c r="M227" s="15" t="s">
        <v>276</v>
      </c>
      <c r="N227" s="15" t="s">
        <v>295</v>
      </c>
      <c r="O227" s="15" t="s">
        <v>677</v>
      </c>
      <c r="P227" s="15" t="str">
        <f>VLOOKUP(Y227,'All Codes'!$BF$3:$BG$278,2,FALSE)</f>
        <v>Leaderboard</v>
      </c>
      <c r="Q227" s="15" t="s">
        <v>179</v>
      </c>
      <c r="R227" s="15" t="s">
        <v>277</v>
      </c>
      <c r="S227" s="15" t="s">
        <v>874</v>
      </c>
      <c r="T227" s="46" t="s">
        <v>884</v>
      </c>
      <c r="U227" s="15" t="s">
        <v>876</v>
      </c>
      <c r="V227" s="15" t="s">
        <v>1273</v>
      </c>
      <c r="W227" s="15" t="s">
        <v>866</v>
      </c>
      <c r="X227" s="15" t="s">
        <v>307</v>
      </c>
      <c r="Y227" s="46" t="s">
        <v>591</v>
      </c>
      <c r="Z227" s="15"/>
      <c r="AA227" s="15"/>
      <c r="AB227" s="15"/>
      <c r="AC227" s="15"/>
      <c r="AD227" s="15"/>
      <c r="AE227" s="15"/>
      <c r="AF227" s="15"/>
      <c r="AG227" s="15"/>
      <c r="AH227" s="15" t="str">
        <f t="shared" si="97"/>
        <v>284453944</v>
      </c>
      <c r="AI227" s="21" t="str">
        <f t="shared" si="120"/>
        <v>alp_vw_dv360_imc_dsy_lanch_nd_nc_nvs_nivus-launch-consideracao-orca__configuracao_cpm_drct_all_728x90_lancamento-nivus-orca-rmkt-dealer-form-completion-lead-generation-qualifier_na_lancamento-consideracao-nivus-orca_nvl-nvs-imc-dsy-0820-10227</v>
      </c>
      <c r="AJ227" s="40" t="str">
        <f t="shared" si="120"/>
        <v>alp_vw_dv360_imc_dsy_lanch_nd_nc_nvs_nivus-launch-consideracao-orca__configuracao_cpm_drct_all_728x90_lancamento-nivus-orca-rmkt-dealer-form-completion-lead-generation-qualifier_na_lancamento-consideracao-nivus-orca_nvl-nvs-imc-dsy-0820-10227</v>
      </c>
      <c r="AK227" s="21" t="str">
        <f t="shared" si="98"/>
        <v>vw_nivus_728x90_lancamento-consideracao-nivus-orca_adserver</v>
      </c>
      <c r="AL227" s="21" t="str">
        <f t="shared" si="108"/>
        <v>https://www.vw.com.br/pt/configurador.html/__app/%2Fnivus/0.app?adlid=nvl-nvs-imc-dsy-0820-10227&amp;adplt=alp_vw_dv360_imc_dsy_lanch_nd_nc_nvs_nivus-launch-consideracao-orca__configuracao_cpm_drct_all_728x90_lancamento-nivus-orca-rmkt-dealer-form-completion-lead-generation-qualifier_na_lancamento-consideracao-nivus-orca_nvl-nvs-imc-dsy-0820-10227</v>
      </c>
      <c r="AM227" s="21" t="str">
        <f t="shared" si="99"/>
        <v>TAG</v>
      </c>
      <c r="AN227" s="15" t="str">
        <f t="shared" si="109"/>
        <v>DV360</v>
      </c>
      <c r="AO227" s="15" t="str">
        <f t="shared" si="110"/>
        <v>Paid-Display</v>
      </c>
      <c r="AP227" s="21" t="str">
        <f>Campanha!$B$3</f>
        <v>BR_IMC_DSY_LANCH_ND_NC_2020Q3AUG_NVS_Nivus-Launch-Consideracao-Orca</v>
      </c>
      <c r="AQ227" s="21" t="str">
        <f t="shared" si="100"/>
        <v>alp_vw_dv360_imc_dsy_lanch_nd_nc_nvs_nivus-launch-consideracao-orca__configuracao_cpm_drct_all_728x90_lancamento-nivus-orca-rmkt-dealer-form-completion-lead-generation-qualifier_na_lancamento-consideracao-nivus-orca_nvl-nvs-imc-dsy-0820-10227</v>
      </c>
      <c r="AR227" s="15" t="s">
        <v>745</v>
      </c>
      <c r="AS227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dealer-form-completion-lead-generation-qualifier_na_lancamento-consideracao-nivus-orca_nvl-nvs-imc-dsy-0820-10227&amp;utm_campaign=BR_IMC_DSY_LANCH_ND_NC_2020Q3AUG_NVS_Nivus-Launch-Consideracao-Orca&amp;utm_term=%epid!_%ecid!_%eaid!</v>
      </c>
      <c r="AT227" s="15" t="str">
        <f t="shared" si="111"/>
        <v>other</v>
      </c>
      <c r="AU227" s="15" t="str">
        <f t="shared" si="102"/>
        <v>BR</v>
      </c>
      <c r="AV227" s="15" t="str">
        <f t="shared" si="112"/>
        <v>dv360</v>
      </c>
      <c r="AW227" s="15" t="str">
        <f t="shared" si="113"/>
        <v>dv360</v>
      </c>
      <c r="AX227" s="15" t="str">
        <f t="shared" si="103"/>
        <v>nivus-launch-consideracao-orca</v>
      </c>
      <c r="AY227" s="15" t="str">
        <f t="shared" si="114"/>
        <v>alp_vw_dv360_imc_dsy_lanch_nd_nc_nvs_nivus-launch-consideracao-orca__configuracao_cpm_drct_all_728x90_lancamento-nivus-orca-rmkt-dealer-form-completion-lead-generation-qualifier_na_lancamento-consideracao-nivus-orca_nvl-nvs-imc-dsy-0820-10227</v>
      </c>
      <c r="AZ227" s="15" t="str">
        <f t="shared" si="115"/>
        <v>728x90</v>
      </c>
      <c r="BA227" s="15" t="str">
        <f t="shared" si="116"/>
        <v>lancamento-consideracao-nivus-orca</v>
      </c>
      <c r="BB227" s="28" t="s">
        <v>798</v>
      </c>
      <c r="BC227" s="28" t="s">
        <v>798</v>
      </c>
      <c r="BD227" s="38" t="str">
        <f t="shared" si="117"/>
        <v>nvl-nvs-imc-dsy-0820-10227</v>
      </c>
      <c r="BE227" s="15" t="str">
        <f t="shared" si="118"/>
        <v>BR</v>
      </c>
      <c r="BF227" s="15" t="str">
        <f t="shared" si="119"/>
        <v>paid</v>
      </c>
      <c r="BG227" s="28"/>
      <c r="BH227" s="28"/>
      <c r="BI227" s="36" t="str">
        <f t="shared" si="104"/>
        <v>https://www.vw.com.br/pt/configurador.html/__app/%2Fnivus/0.app?adlid=nvl-nvs-imc-dsy-0820-10227&amp;adplt=alp_vw_dv360_imc_dsy_lanch_nd_nc_nvs_nivus-launch-consideracao-orca__configuracao_cpm_drct_all_728x90_lancamento-nivus-orca-rmkt-dealer-form-completion-lead-generation-qualifier_na_lancamento-consideracao-nivus-orca_nvl-nvs-imc-dsy-0820-10227</v>
      </c>
      <c r="BL227" t="str">
        <f t="shared" si="105"/>
        <v>alp_vw_dv360_imc_dsy_lanch_nd_nc_nvs_nivus-launch-consideracao-orca__configuracao</v>
      </c>
      <c r="BM227" t="str">
        <f t="shared" si="106"/>
        <v>cpm_drct_all_728x90_lancamento-nivus-orca-rmkt-dealer-form-completion-lead-generation-qualifier_na</v>
      </c>
      <c r="BN227" t="str">
        <f t="shared" si="107"/>
        <v>alp_vw_dv360_imc_dsy_lanch_nd_nc_nvs_nivus-launch-consideracao-orca__configuracao_cpm_drct_all_728x90_lancamento-nivus-orca-rmkt-dealer-form-completion-lead-generation-qualifier_na_generico_nvl-nvs-imc-dsy-0820-10227</v>
      </c>
    </row>
    <row r="228" spans="2:66" ht="15.75" customHeight="1" x14ac:dyDescent="0.25">
      <c r="B228" s="15" t="s">
        <v>1291</v>
      </c>
      <c r="C228" s="15" t="s">
        <v>1477</v>
      </c>
      <c r="D228" s="15"/>
      <c r="E228" s="22">
        <v>44069</v>
      </c>
      <c r="F228" s="22">
        <v>44135</v>
      </c>
      <c r="G228" s="15" t="s">
        <v>651</v>
      </c>
      <c r="H228" s="41" t="s">
        <v>1266</v>
      </c>
      <c r="I228" s="15" t="s">
        <v>801</v>
      </c>
      <c r="J228" s="42" t="s">
        <v>883</v>
      </c>
      <c r="K228" s="42" t="s">
        <v>883</v>
      </c>
      <c r="L228" s="15" t="s">
        <v>676</v>
      </c>
      <c r="M228" s="15" t="s">
        <v>276</v>
      </c>
      <c r="N228" s="15" t="s">
        <v>295</v>
      </c>
      <c r="O228" s="15" t="s">
        <v>677</v>
      </c>
      <c r="P228" s="15" t="str">
        <f>VLOOKUP(Y228,'All Codes'!$BF$3:$BG$278,2,FALSE)</f>
        <v>Leaderboard</v>
      </c>
      <c r="Q228" s="15" t="s">
        <v>179</v>
      </c>
      <c r="R228" s="15" t="s">
        <v>277</v>
      </c>
      <c r="S228" s="15" t="s">
        <v>874</v>
      </c>
      <c r="T228" s="46" t="s">
        <v>884</v>
      </c>
      <c r="U228" s="15" t="s">
        <v>876</v>
      </c>
      <c r="V228" s="15" t="s">
        <v>1273</v>
      </c>
      <c r="W228" s="15" t="s">
        <v>866</v>
      </c>
      <c r="X228" s="15" t="s">
        <v>307</v>
      </c>
      <c r="Y228" s="46" t="s">
        <v>629</v>
      </c>
      <c r="Z228" s="15"/>
      <c r="AA228" s="15"/>
      <c r="AB228" s="15"/>
      <c r="AC228" s="15"/>
      <c r="AD228" s="15"/>
      <c r="AE228" s="15"/>
      <c r="AF228" s="15"/>
      <c r="AG228" s="15"/>
      <c r="AH228" s="15" t="str">
        <f t="shared" si="97"/>
        <v>284453938</v>
      </c>
      <c r="AI228" s="21" t="str">
        <f t="shared" si="120"/>
        <v>alp_vw_dv360_imc_dsy_lanch_nd_nc_nvs_nivus-launch-consideracao-orca__configuracao_cpm_drct_all_970x250_lancamento-nivus-orca-rmkt-dealer-form-completion-lead-generation-qualifier_na_lancamento-consideracao-nivus-orca_nvl-nvs-imc-dsy-0820-10228</v>
      </c>
      <c r="AJ228" s="40" t="str">
        <f t="shared" si="120"/>
        <v>alp_vw_dv360_imc_dsy_lanch_nd_nc_nvs_nivus-launch-consideracao-orca__configuracao_cpm_drct_all_970x250_lancamento-nivus-orca-rmkt-dealer-form-completion-lead-generation-qualifier_na_lancamento-consideracao-nivus-orca_nvl-nvs-imc-dsy-0820-10228</v>
      </c>
      <c r="AK228" s="21" t="str">
        <f t="shared" si="98"/>
        <v>vw_nivus_970x250_lancamento-consideracao-nivus-orca_adserver</v>
      </c>
      <c r="AL228" s="21" t="str">
        <f t="shared" si="108"/>
        <v>https://www.vw.com.br/pt/configurador.html/__app/%2Fnivus/0.app?adlid=nvl-nvs-imc-dsy-0820-10228&amp;adplt=alp_vw_dv360_imc_dsy_lanch_nd_nc_nvs_nivus-launch-consideracao-orca__configuracao_cpm_drct_all_970x250_lancamento-nivus-orca-rmkt-dealer-form-completion-lead-generation-qualifier_na_lancamento-consideracao-nivus-orca_nvl-nvs-imc-dsy-0820-10228</v>
      </c>
      <c r="AM228" s="21" t="str">
        <f t="shared" si="99"/>
        <v>TAG</v>
      </c>
      <c r="AN228" s="15" t="str">
        <f t="shared" si="109"/>
        <v>DV360</v>
      </c>
      <c r="AO228" s="15" t="str">
        <f t="shared" si="110"/>
        <v>Paid-Display</v>
      </c>
      <c r="AP228" s="21" t="str">
        <f>Campanha!$B$3</f>
        <v>BR_IMC_DSY_LANCH_ND_NC_2020Q3AUG_NVS_Nivus-Launch-Consideracao-Orca</v>
      </c>
      <c r="AQ228" s="21" t="str">
        <f t="shared" si="100"/>
        <v>alp_vw_dv360_imc_dsy_lanch_nd_nc_nvs_nivus-launch-consideracao-orca__configuracao_cpm_drct_all_970x250_lancamento-nivus-orca-rmkt-dealer-form-completion-lead-generation-qualifier_na_lancamento-consideracao-nivus-orca_nvl-nvs-imc-dsy-0820-10228</v>
      </c>
      <c r="AR228" s="15" t="s">
        <v>745</v>
      </c>
      <c r="AS228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dealer-form-completion-lead-generation-qualifier_na_lancamento-consideracao-nivus-orca_nvl-nvs-imc-dsy-0820-10228&amp;utm_campaign=BR_IMC_DSY_LANCH_ND_NC_2020Q3AUG_NVS_Nivus-Launch-Consideracao-Orca&amp;utm_term=%epid!_%ecid!_%eaid!</v>
      </c>
      <c r="AT228" s="15" t="str">
        <f t="shared" si="111"/>
        <v>other</v>
      </c>
      <c r="AU228" s="15" t="str">
        <f t="shared" si="102"/>
        <v>BR</v>
      </c>
      <c r="AV228" s="15" t="str">
        <f t="shared" si="112"/>
        <v>dv360</v>
      </c>
      <c r="AW228" s="15" t="str">
        <f t="shared" si="113"/>
        <v>dv360</v>
      </c>
      <c r="AX228" s="15" t="str">
        <f t="shared" si="103"/>
        <v>nivus-launch-consideracao-orca</v>
      </c>
      <c r="AY228" s="15" t="str">
        <f t="shared" si="114"/>
        <v>alp_vw_dv360_imc_dsy_lanch_nd_nc_nvs_nivus-launch-consideracao-orca__configuracao_cpm_drct_all_970x250_lancamento-nivus-orca-rmkt-dealer-form-completion-lead-generation-qualifier_na_lancamento-consideracao-nivus-orca_nvl-nvs-imc-dsy-0820-10228</v>
      </c>
      <c r="AZ228" s="15" t="str">
        <f t="shared" si="115"/>
        <v>970x250</v>
      </c>
      <c r="BA228" s="15" t="str">
        <f t="shared" si="116"/>
        <v>lancamento-consideracao-nivus-orca</v>
      </c>
      <c r="BB228" s="28" t="s">
        <v>798</v>
      </c>
      <c r="BC228" s="28" t="s">
        <v>798</v>
      </c>
      <c r="BD228" s="38" t="str">
        <f t="shared" si="117"/>
        <v>nvl-nvs-imc-dsy-0820-10228</v>
      </c>
      <c r="BE228" s="15" t="str">
        <f t="shared" si="118"/>
        <v>BR</v>
      </c>
      <c r="BF228" s="15" t="str">
        <f t="shared" si="119"/>
        <v>paid</v>
      </c>
      <c r="BG228" s="28"/>
      <c r="BH228" s="28"/>
      <c r="BI228" s="36" t="str">
        <f t="shared" si="104"/>
        <v>https://www.vw.com.br/pt/configurador.html/__app/%2Fnivus/0.app?adlid=nvl-nvs-imc-dsy-0820-10228&amp;adplt=alp_vw_dv360_imc_dsy_lanch_nd_nc_nvs_nivus-launch-consideracao-orca__configuracao_cpm_drct_all_970x250_lancamento-nivus-orca-rmkt-dealer-form-completion-lead-generation-qualifier_na_lancamento-consideracao-nivus-orca_nvl-nvs-imc-dsy-0820-10228</v>
      </c>
      <c r="BL228" t="str">
        <f t="shared" si="105"/>
        <v>alp_vw_dv360_imc_dsy_lanch_nd_nc_nvs_nivus-launch-consideracao-orca__configuracao</v>
      </c>
      <c r="BM228" t="str">
        <f t="shared" si="106"/>
        <v>cpm_drct_all_970x250_lancamento-nivus-orca-rmkt-dealer-form-completion-lead-generation-qualifier_na</v>
      </c>
      <c r="BN228" t="str">
        <f t="shared" si="107"/>
        <v>alp_vw_dv360_imc_dsy_lanch_nd_nc_nvs_nivus-launch-consideracao-orca__configuracao_cpm_drct_all_970x250_lancamento-nivus-orca-rmkt-dealer-form-completion-lead-generation-qualifier_na_generico_nvl-nvs-imc-dsy-0820-10228</v>
      </c>
    </row>
    <row r="229" spans="2:66" ht="15.75" customHeight="1" x14ac:dyDescent="0.25">
      <c r="B229" s="15" t="s">
        <v>1291</v>
      </c>
      <c r="C229" s="15" t="s">
        <v>1477</v>
      </c>
      <c r="D229" s="15"/>
      <c r="E229" s="22">
        <v>44069</v>
      </c>
      <c r="F229" s="22">
        <v>44135</v>
      </c>
      <c r="G229" s="15" t="s">
        <v>651</v>
      </c>
      <c r="H229" s="41" t="s">
        <v>1266</v>
      </c>
      <c r="I229" s="15" t="s">
        <v>801</v>
      </c>
      <c r="J229" s="42" t="s">
        <v>883</v>
      </c>
      <c r="K229" s="42" t="s">
        <v>883</v>
      </c>
      <c r="L229" s="15" t="s">
        <v>676</v>
      </c>
      <c r="M229" s="15" t="s">
        <v>276</v>
      </c>
      <c r="N229" s="15" t="s">
        <v>295</v>
      </c>
      <c r="O229" s="15" t="s">
        <v>677</v>
      </c>
      <c r="P229" s="15" t="str">
        <f>VLOOKUP(Y229,'All Codes'!$BF$3:$BG$278,2,FALSE)</f>
        <v>MPU</v>
      </c>
      <c r="Q229" s="15" t="s">
        <v>179</v>
      </c>
      <c r="R229" s="15" t="s">
        <v>277</v>
      </c>
      <c r="S229" s="15" t="s">
        <v>874</v>
      </c>
      <c r="T229" s="46" t="s">
        <v>884</v>
      </c>
      <c r="U229" s="15" t="s">
        <v>876</v>
      </c>
      <c r="V229" s="15" t="s">
        <v>1274</v>
      </c>
      <c r="W229" s="15" t="s">
        <v>866</v>
      </c>
      <c r="X229" s="15" t="s">
        <v>307</v>
      </c>
      <c r="Y229" s="46" t="s">
        <v>461</v>
      </c>
      <c r="Z229" s="15"/>
      <c r="AA229" s="15"/>
      <c r="AB229" s="15"/>
      <c r="AC229" s="15"/>
      <c r="AD229" s="15"/>
      <c r="AE229" s="15"/>
      <c r="AF229" s="15"/>
      <c r="AG229" s="15"/>
      <c r="AH229" s="15" t="str">
        <f t="shared" si="97"/>
        <v>284453932</v>
      </c>
      <c r="AI229" s="21" t="str">
        <f t="shared" si="120"/>
        <v>alp_vw_dv360_imc_dsy_lanch_nd_nc_nvs_nivus-launch-consideracao-orca__configuracao_cpm_drct_all_300x50_lancamento-nivus-orca-rmkt-configurator-completion-nivus-model-intent_na_lancamento-consideracao-nivus-orca_nvl-nvs-imc-dsy-0820-10229</v>
      </c>
      <c r="AJ229" s="40" t="str">
        <f t="shared" si="120"/>
        <v>alp_vw_dv360_imc_dsy_lanch_nd_nc_nvs_nivus-launch-consideracao-orca__configuracao_cpm_drct_all_300x50_lancamento-nivus-orca-rmkt-configurator-completion-nivus-model-intent_na_lancamento-consideracao-nivus-orca_nvl-nvs-imc-dsy-0820-10229</v>
      </c>
      <c r="AK229" s="21" t="str">
        <f t="shared" si="98"/>
        <v>vw_nivus_300x50_lancamento-consideracao-nivus-orca_adserver</v>
      </c>
      <c r="AL229" s="21" t="str">
        <f t="shared" si="108"/>
        <v>https://www.vw.com.br/pt/configurador.html/__app/%2Fnivus/0.app?adlid=nvl-nvs-imc-dsy-0820-10229&amp;adplt=alp_vw_dv360_imc_dsy_lanch_nd_nc_nvs_nivus-launch-consideracao-orca__configuracao_cpm_drct_all_300x50_lancamento-nivus-orca-rmkt-configurator-completion-nivus-model-intent_na_lancamento-consideracao-nivus-orca_nvl-nvs-imc-dsy-0820-10229</v>
      </c>
      <c r="AM229" s="21" t="str">
        <f t="shared" si="99"/>
        <v>TAG</v>
      </c>
      <c r="AN229" s="15" t="str">
        <f t="shared" si="109"/>
        <v>DV360</v>
      </c>
      <c r="AO229" s="15" t="str">
        <f t="shared" si="110"/>
        <v>Paid-Display</v>
      </c>
      <c r="AP229" s="21" t="str">
        <f>Campanha!$B$3</f>
        <v>BR_IMC_DSY_LANCH_ND_NC_2020Q3AUG_NVS_Nivus-Launch-Consideracao-Orca</v>
      </c>
      <c r="AQ229" s="21" t="str">
        <f t="shared" si="100"/>
        <v>alp_vw_dv360_imc_dsy_lanch_nd_nc_nvs_nivus-launch-consideracao-orca__configuracao_cpm_drct_all_300x50_lancamento-nivus-orca-rmkt-configurator-completion-nivus-model-intent_na_lancamento-consideracao-nivus-orca_nvl-nvs-imc-dsy-0820-10229</v>
      </c>
      <c r="AR229" s="15" t="s">
        <v>745</v>
      </c>
      <c r="AS229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50_lancamento-nivus-orca-rmkt-configurator-completion-nivus-model-intent_na_lancamento-consideracao-nivus-orca_nvl-nvs-imc-dsy-0820-10229&amp;utm_campaign=BR_IMC_DSY_LANCH_ND_NC_2020Q3AUG_NVS_Nivus-Launch-Consideracao-Orca&amp;utm_term=%epid!_%ecid!_%eaid!</v>
      </c>
      <c r="AT229" s="15" t="str">
        <f t="shared" si="111"/>
        <v>other</v>
      </c>
      <c r="AU229" s="15" t="str">
        <f t="shared" si="102"/>
        <v>BR</v>
      </c>
      <c r="AV229" s="15" t="str">
        <f t="shared" si="112"/>
        <v>dv360</v>
      </c>
      <c r="AW229" s="15" t="str">
        <f t="shared" si="113"/>
        <v>dv360</v>
      </c>
      <c r="AX229" s="15" t="str">
        <f t="shared" si="103"/>
        <v>nivus-launch-consideracao-orca</v>
      </c>
      <c r="AY229" s="15" t="str">
        <f t="shared" si="114"/>
        <v>alp_vw_dv360_imc_dsy_lanch_nd_nc_nvs_nivus-launch-consideracao-orca__configuracao_cpm_drct_all_300x50_lancamento-nivus-orca-rmkt-configurator-completion-nivus-model-intent_na_lancamento-consideracao-nivus-orca_nvl-nvs-imc-dsy-0820-10229</v>
      </c>
      <c r="AZ229" s="15" t="str">
        <f t="shared" si="115"/>
        <v>300x50</v>
      </c>
      <c r="BA229" s="15" t="str">
        <f t="shared" si="116"/>
        <v>lancamento-consideracao-nivus-orca</v>
      </c>
      <c r="BB229" s="28" t="s">
        <v>798</v>
      </c>
      <c r="BC229" s="28" t="s">
        <v>798</v>
      </c>
      <c r="BD229" s="38" t="str">
        <f t="shared" si="117"/>
        <v>nvl-nvs-imc-dsy-0820-10229</v>
      </c>
      <c r="BE229" s="15" t="str">
        <f t="shared" si="118"/>
        <v>BR</v>
      </c>
      <c r="BF229" s="15" t="str">
        <f t="shared" si="119"/>
        <v>paid</v>
      </c>
      <c r="BG229" s="28"/>
      <c r="BH229" s="28"/>
      <c r="BI229" s="36" t="str">
        <f t="shared" si="104"/>
        <v>https://www.vw.com.br/pt/configurador.html/__app/%2Fnivus/0.app?adlid=nvl-nvs-imc-dsy-0820-10229&amp;adplt=alp_vw_dv360_imc_dsy_lanch_nd_nc_nvs_nivus-launch-consideracao-orca__configuracao_cpm_drct_all_300x50_lancamento-nivus-orca-rmkt-configurator-completion-nivus-model-intent_na_lancamento-consideracao-nivus-orca_nvl-nvs-imc-dsy-0820-10229</v>
      </c>
      <c r="BL229" t="str">
        <f t="shared" si="105"/>
        <v>alp_vw_dv360_imc_dsy_lanch_nd_nc_nvs_nivus-launch-consideracao-orca__configuracao</v>
      </c>
      <c r="BM229" t="str">
        <f t="shared" si="106"/>
        <v>cpm_drct_all_300x50_lancamento-nivus-orca-rmkt-configurator-completion-nivus-model-intent_na</v>
      </c>
      <c r="BN229" t="str">
        <f t="shared" si="107"/>
        <v>alp_vw_dv360_imc_dsy_lanch_nd_nc_nvs_nivus-launch-consideracao-orca__configuracao_cpm_drct_all_300x50_lancamento-nivus-orca-rmkt-configurator-completion-nivus-model-intent_na_generico_nvl-nvs-imc-dsy-0820-10229</v>
      </c>
    </row>
    <row r="230" spans="2:66" ht="15.75" customHeight="1" x14ac:dyDescent="0.25">
      <c r="B230" s="15" t="s">
        <v>1291</v>
      </c>
      <c r="C230" s="15" t="s">
        <v>1477</v>
      </c>
      <c r="D230" s="15"/>
      <c r="E230" s="22">
        <v>44069</v>
      </c>
      <c r="F230" s="22">
        <v>44135</v>
      </c>
      <c r="G230" s="15" t="s">
        <v>651</v>
      </c>
      <c r="H230" s="41" t="s">
        <v>1266</v>
      </c>
      <c r="I230" s="15" t="s">
        <v>801</v>
      </c>
      <c r="J230" s="42" t="s">
        <v>883</v>
      </c>
      <c r="K230" s="42" t="s">
        <v>883</v>
      </c>
      <c r="L230" s="15" t="s">
        <v>676</v>
      </c>
      <c r="M230" s="15" t="s">
        <v>276</v>
      </c>
      <c r="N230" s="15" t="s">
        <v>295</v>
      </c>
      <c r="O230" s="15" t="s">
        <v>677</v>
      </c>
      <c r="P230" s="15" t="str">
        <f>VLOOKUP(Y230,'All Codes'!$BF$3:$BG$278,2,FALSE)</f>
        <v>Skyscraper</v>
      </c>
      <c r="Q230" s="15" t="s">
        <v>179</v>
      </c>
      <c r="R230" s="15" t="s">
        <v>277</v>
      </c>
      <c r="S230" s="15" t="s">
        <v>874</v>
      </c>
      <c r="T230" s="46" t="s">
        <v>884</v>
      </c>
      <c r="U230" s="15" t="s">
        <v>876</v>
      </c>
      <c r="V230" s="15" t="s">
        <v>1274</v>
      </c>
      <c r="W230" s="15" t="s">
        <v>866</v>
      </c>
      <c r="X230" s="15" t="s">
        <v>307</v>
      </c>
      <c r="Y230" s="46" t="s">
        <v>434</v>
      </c>
      <c r="Z230" s="15"/>
      <c r="AA230" s="15"/>
      <c r="AB230" s="15"/>
      <c r="AC230" s="15"/>
      <c r="AD230" s="15"/>
      <c r="AE230" s="15"/>
      <c r="AF230" s="15"/>
      <c r="AG230" s="15"/>
      <c r="AH230" s="15" t="str">
        <f t="shared" si="97"/>
        <v>284453926</v>
      </c>
      <c r="AI230" s="21" t="str">
        <f t="shared" si="120"/>
        <v>alp_vw_dv360_imc_dsy_lanch_nd_nc_nvs_nivus-launch-consideracao-orca__configuracao_cpm_drct_all_160x600_lancamento-nivus-orca-rmkt-configurator-completion-nivus-model-intent_na_lancamento-consideracao-nivus-orca_nvl-nvs-imc-dsy-0820-10230</v>
      </c>
      <c r="AJ230" s="40" t="str">
        <f t="shared" si="120"/>
        <v>alp_vw_dv360_imc_dsy_lanch_nd_nc_nvs_nivus-launch-consideracao-orca__configuracao_cpm_drct_all_160x600_lancamento-nivus-orca-rmkt-configurator-completion-nivus-model-intent_na_lancamento-consideracao-nivus-orca_nvl-nvs-imc-dsy-0820-10230</v>
      </c>
      <c r="AK230" s="21" t="str">
        <f t="shared" si="98"/>
        <v>vw_nivus_160x600_lancamento-consideracao-nivus-orca_adserver</v>
      </c>
      <c r="AL230" s="21" t="str">
        <f t="shared" si="108"/>
        <v>https://www.vw.com.br/pt/configurador.html/__app/%2Fnivus/0.app?adlid=nvl-nvs-imc-dsy-0820-10230&amp;adplt=alp_vw_dv360_imc_dsy_lanch_nd_nc_nvs_nivus-launch-consideracao-orca__configuracao_cpm_drct_all_160x600_lancamento-nivus-orca-rmkt-configurator-completion-nivus-model-intent_na_lancamento-consideracao-nivus-orca_nvl-nvs-imc-dsy-0820-10230</v>
      </c>
      <c r="AM230" s="21" t="str">
        <f t="shared" si="99"/>
        <v>TAG</v>
      </c>
      <c r="AN230" s="15" t="str">
        <f t="shared" si="109"/>
        <v>DV360</v>
      </c>
      <c r="AO230" s="15" t="str">
        <f t="shared" si="110"/>
        <v>Paid-Display</v>
      </c>
      <c r="AP230" s="21" t="str">
        <f>Campanha!$B$3</f>
        <v>BR_IMC_DSY_LANCH_ND_NC_2020Q3AUG_NVS_Nivus-Launch-Consideracao-Orca</v>
      </c>
      <c r="AQ230" s="21" t="str">
        <f t="shared" si="100"/>
        <v>alp_vw_dv360_imc_dsy_lanch_nd_nc_nvs_nivus-launch-consideracao-orca__configuracao_cpm_drct_all_160x600_lancamento-nivus-orca-rmkt-configurator-completion-nivus-model-intent_na_lancamento-consideracao-nivus-orca_nvl-nvs-imc-dsy-0820-10230</v>
      </c>
      <c r="AR230" s="15" t="s">
        <v>745</v>
      </c>
      <c r="AS230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160x600_lancamento-nivus-orca-rmkt-configurator-completion-nivus-model-intent_na_lancamento-consideracao-nivus-orca_nvl-nvs-imc-dsy-0820-10230&amp;utm_campaign=BR_IMC_DSY_LANCH_ND_NC_2020Q3AUG_NVS_Nivus-Launch-Consideracao-Orca&amp;utm_term=%epid!_%ecid!_%eaid!</v>
      </c>
      <c r="AT230" s="15" t="str">
        <f t="shared" si="111"/>
        <v>other</v>
      </c>
      <c r="AU230" s="15" t="str">
        <f t="shared" si="102"/>
        <v>BR</v>
      </c>
      <c r="AV230" s="15" t="str">
        <f t="shared" si="112"/>
        <v>dv360</v>
      </c>
      <c r="AW230" s="15" t="str">
        <f t="shared" si="113"/>
        <v>dv360</v>
      </c>
      <c r="AX230" s="15" t="str">
        <f t="shared" si="103"/>
        <v>nivus-launch-consideracao-orca</v>
      </c>
      <c r="AY230" s="15" t="str">
        <f t="shared" si="114"/>
        <v>alp_vw_dv360_imc_dsy_lanch_nd_nc_nvs_nivus-launch-consideracao-orca__configuracao_cpm_drct_all_160x600_lancamento-nivus-orca-rmkt-configurator-completion-nivus-model-intent_na_lancamento-consideracao-nivus-orca_nvl-nvs-imc-dsy-0820-10230</v>
      </c>
      <c r="AZ230" s="15" t="str">
        <f t="shared" si="115"/>
        <v>160x600</v>
      </c>
      <c r="BA230" s="15" t="str">
        <f t="shared" si="116"/>
        <v>lancamento-consideracao-nivus-orca</v>
      </c>
      <c r="BB230" s="28" t="s">
        <v>798</v>
      </c>
      <c r="BC230" s="28" t="s">
        <v>798</v>
      </c>
      <c r="BD230" s="38" t="str">
        <f t="shared" si="117"/>
        <v>nvl-nvs-imc-dsy-0820-10230</v>
      </c>
      <c r="BE230" s="15" t="str">
        <f t="shared" si="118"/>
        <v>BR</v>
      </c>
      <c r="BF230" s="15" t="str">
        <f t="shared" si="119"/>
        <v>paid</v>
      </c>
      <c r="BG230" s="28"/>
      <c r="BH230" s="28"/>
      <c r="BI230" s="36" t="str">
        <f t="shared" si="104"/>
        <v>https://www.vw.com.br/pt/configurador.html/__app/%2Fnivus/0.app?adlid=nvl-nvs-imc-dsy-0820-10230&amp;adplt=alp_vw_dv360_imc_dsy_lanch_nd_nc_nvs_nivus-launch-consideracao-orca__configuracao_cpm_drct_all_160x600_lancamento-nivus-orca-rmkt-configurator-completion-nivus-model-intent_na_lancamento-consideracao-nivus-orca_nvl-nvs-imc-dsy-0820-10230</v>
      </c>
      <c r="BL230" t="str">
        <f t="shared" si="105"/>
        <v>alp_vw_dv360_imc_dsy_lanch_nd_nc_nvs_nivus-launch-consideracao-orca__configuracao</v>
      </c>
      <c r="BM230" t="str">
        <f t="shared" si="106"/>
        <v>cpm_drct_all_160x600_lancamento-nivus-orca-rmkt-configurator-completion-nivus-model-intent_na</v>
      </c>
      <c r="BN230" t="str">
        <f t="shared" si="107"/>
        <v>alp_vw_dv360_imc_dsy_lanch_nd_nc_nvs_nivus-launch-consideracao-orca__configuracao_cpm_drct_all_160x600_lancamento-nivus-orca-rmkt-configurator-completion-nivus-model-intent_na_generico_nvl-nvs-imc-dsy-0820-10230</v>
      </c>
    </row>
    <row r="231" spans="2:66" ht="15.75" customHeight="1" x14ac:dyDescent="0.25">
      <c r="B231" s="15" t="s">
        <v>1291</v>
      </c>
      <c r="C231" s="15" t="s">
        <v>1477</v>
      </c>
      <c r="D231" s="15"/>
      <c r="E231" s="22">
        <v>44069</v>
      </c>
      <c r="F231" s="22">
        <v>44135</v>
      </c>
      <c r="G231" s="15" t="s">
        <v>651</v>
      </c>
      <c r="H231" s="41" t="s">
        <v>1266</v>
      </c>
      <c r="I231" s="15" t="s">
        <v>801</v>
      </c>
      <c r="J231" s="42" t="s">
        <v>883</v>
      </c>
      <c r="K231" s="42" t="s">
        <v>883</v>
      </c>
      <c r="L231" s="15" t="s">
        <v>676</v>
      </c>
      <c r="M231" s="15" t="s">
        <v>276</v>
      </c>
      <c r="N231" s="15" t="s">
        <v>295</v>
      </c>
      <c r="O231" s="15" t="s">
        <v>677</v>
      </c>
      <c r="P231" s="15" t="str">
        <f>VLOOKUP(Y231,'All Codes'!$BF$3:$BG$278,2,FALSE)</f>
        <v>MPU</v>
      </c>
      <c r="Q231" s="15" t="s">
        <v>179</v>
      </c>
      <c r="R231" s="15" t="s">
        <v>277</v>
      </c>
      <c r="S231" s="15" t="s">
        <v>874</v>
      </c>
      <c r="T231" s="46" t="s">
        <v>884</v>
      </c>
      <c r="U231" s="15" t="s">
        <v>876</v>
      </c>
      <c r="V231" s="15" t="s">
        <v>1274</v>
      </c>
      <c r="W231" s="15" t="s">
        <v>866</v>
      </c>
      <c r="X231" s="15" t="s">
        <v>307</v>
      </c>
      <c r="Y231" s="46" t="s">
        <v>455</v>
      </c>
      <c r="Z231" s="15"/>
      <c r="AA231" s="15"/>
      <c r="AB231" s="15"/>
      <c r="AC231" s="15"/>
      <c r="AD231" s="15"/>
      <c r="AE231" s="15"/>
      <c r="AF231" s="15"/>
      <c r="AG231" s="15"/>
      <c r="AH231" s="15" t="str">
        <f t="shared" si="97"/>
        <v>284453920</v>
      </c>
      <c r="AI231" s="21" t="str">
        <f t="shared" si="120"/>
        <v>alp_vw_dv360_imc_dsy_lanch_nd_nc_nvs_nivus-launch-consideracao-orca__configuracao_cpm_drct_all_300x250_lancamento-nivus-orca-rmkt-configurator-completion-nivus-model-intent_na_lancamento-consideracao-nivus-orca_nvl-nvs-imc-dsy-0820-10231</v>
      </c>
      <c r="AJ231" s="40" t="str">
        <f t="shared" si="120"/>
        <v>alp_vw_dv360_imc_dsy_lanch_nd_nc_nvs_nivus-launch-consideracao-orca__configuracao_cpm_drct_all_300x250_lancamento-nivus-orca-rmkt-configurator-completion-nivus-model-intent_na_lancamento-consideracao-nivus-orca_nvl-nvs-imc-dsy-0820-10231</v>
      </c>
      <c r="AK231" s="21" t="str">
        <f t="shared" si="98"/>
        <v>vw_nivus_300x250_lancamento-consideracao-nivus-orca_adserver</v>
      </c>
      <c r="AL231" s="21" t="str">
        <f t="shared" si="108"/>
        <v>https://www.vw.com.br/pt/configurador.html/__app/%2Fnivus/0.app?adlid=nvl-nvs-imc-dsy-0820-10231&amp;adplt=alp_vw_dv360_imc_dsy_lanch_nd_nc_nvs_nivus-launch-consideracao-orca__configuracao_cpm_drct_all_300x250_lancamento-nivus-orca-rmkt-configurator-completion-nivus-model-intent_na_lancamento-consideracao-nivus-orca_nvl-nvs-imc-dsy-0820-10231</v>
      </c>
      <c r="AM231" s="21" t="str">
        <f t="shared" si="99"/>
        <v>TAG</v>
      </c>
      <c r="AN231" s="15" t="str">
        <f t="shared" si="109"/>
        <v>DV360</v>
      </c>
      <c r="AO231" s="15" t="str">
        <f t="shared" si="110"/>
        <v>Paid-Display</v>
      </c>
      <c r="AP231" s="21" t="str">
        <f>Campanha!$B$3</f>
        <v>BR_IMC_DSY_LANCH_ND_NC_2020Q3AUG_NVS_Nivus-Launch-Consideracao-Orca</v>
      </c>
      <c r="AQ231" s="21" t="str">
        <f t="shared" si="100"/>
        <v>alp_vw_dv360_imc_dsy_lanch_nd_nc_nvs_nivus-launch-consideracao-orca__configuracao_cpm_drct_all_300x250_lancamento-nivus-orca-rmkt-configurator-completion-nivus-model-intent_na_lancamento-consideracao-nivus-orca_nvl-nvs-imc-dsy-0820-10231</v>
      </c>
      <c r="AR231" s="15" t="s">
        <v>745</v>
      </c>
      <c r="AS231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250_lancamento-nivus-orca-rmkt-configurator-completion-nivus-model-intent_na_lancamento-consideracao-nivus-orca_nvl-nvs-imc-dsy-0820-10231&amp;utm_campaign=BR_IMC_DSY_LANCH_ND_NC_2020Q3AUG_NVS_Nivus-Launch-Consideracao-Orca&amp;utm_term=%epid!_%ecid!_%eaid!</v>
      </c>
      <c r="AT231" s="15" t="str">
        <f t="shared" si="111"/>
        <v>other</v>
      </c>
      <c r="AU231" s="15" t="str">
        <f t="shared" si="102"/>
        <v>BR</v>
      </c>
      <c r="AV231" s="15" t="str">
        <f t="shared" si="112"/>
        <v>dv360</v>
      </c>
      <c r="AW231" s="15" t="str">
        <f t="shared" si="113"/>
        <v>dv360</v>
      </c>
      <c r="AX231" s="15" t="str">
        <f t="shared" si="103"/>
        <v>nivus-launch-consideracao-orca</v>
      </c>
      <c r="AY231" s="15" t="str">
        <f t="shared" si="114"/>
        <v>alp_vw_dv360_imc_dsy_lanch_nd_nc_nvs_nivus-launch-consideracao-orca__configuracao_cpm_drct_all_300x250_lancamento-nivus-orca-rmkt-configurator-completion-nivus-model-intent_na_lancamento-consideracao-nivus-orca_nvl-nvs-imc-dsy-0820-10231</v>
      </c>
      <c r="AZ231" s="15" t="str">
        <f t="shared" si="115"/>
        <v>300x250</v>
      </c>
      <c r="BA231" s="15" t="str">
        <f t="shared" si="116"/>
        <v>lancamento-consideracao-nivus-orca</v>
      </c>
      <c r="BB231" s="28" t="s">
        <v>798</v>
      </c>
      <c r="BC231" s="28" t="s">
        <v>798</v>
      </c>
      <c r="BD231" s="38" t="str">
        <f t="shared" si="117"/>
        <v>nvl-nvs-imc-dsy-0820-10231</v>
      </c>
      <c r="BE231" s="15" t="str">
        <f t="shared" si="118"/>
        <v>BR</v>
      </c>
      <c r="BF231" s="15" t="str">
        <f t="shared" si="119"/>
        <v>paid</v>
      </c>
      <c r="BG231" s="28"/>
      <c r="BH231" s="28"/>
      <c r="BI231" s="36" t="str">
        <f t="shared" si="104"/>
        <v>https://www.vw.com.br/pt/configurador.html/__app/%2Fnivus/0.app?adlid=nvl-nvs-imc-dsy-0820-10231&amp;adplt=alp_vw_dv360_imc_dsy_lanch_nd_nc_nvs_nivus-launch-consideracao-orca__configuracao_cpm_drct_all_300x250_lancamento-nivus-orca-rmkt-configurator-completion-nivus-model-intent_na_lancamento-consideracao-nivus-orca_nvl-nvs-imc-dsy-0820-10231</v>
      </c>
      <c r="BL231" t="str">
        <f t="shared" si="105"/>
        <v>alp_vw_dv360_imc_dsy_lanch_nd_nc_nvs_nivus-launch-consideracao-orca__configuracao</v>
      </c>
      <c r="BM231" t="str">
        <f t="shared" si="106"/>
        <v>cpm_drct_all_300x250_lancamento-nivus-orca-rmkt-configurator-completion-nivus-model-intent_na</v>
      </c>
      <c r="BN231" t="str">
        <f t="shared" si="107"/>
        <v>alp_vw_dv360_imc_dsy_lanch_nd_nc_nvs_nivus-launch-consideracao-orca__configuracao_cpm_drct_all_300x250_lancamento-nivus-orca-rmkt-configurator-completion-nivus-model-intent_na_generico_nvl-nvs-imc-dsy-0820-10231</v>
      </c>
    </row>
    <row r="232" spans="2:66" ht="15.75" customHeight="1" x14ac:dyDescent="0.25">
      <c r="B232" s="15" t="s">
        <v>1291</v>
      </c>
      <c r="C232" s="15" t="s">
        <v>1477</v>
      </c>
      <c r="D232" s="15"/>
      <c r="E232" s="22">
        <v>44069</v>
      </c>
      <c r="F232" s="22">
        <v>44135</v>
      </c>
      <c r="G232" s="15" t="s">
        <v>651</v>
      </c>
      <c r="H232" s="41" t="s">
        <v>1266</v>
      </c>
      <c r="I232" s="15" t="s">
        <v>801</v>
      </c>
      <c r="J232" s="42" t="s">
        <v>883</v>
      </c>
      <c r="K232" s="42" t="s">
        <v>883</v>
      </c>
      <c r="L232" s="15" t="s">
        <v>676</v>
      </c>
      <c r="M232" s="15" t="s">
        <v>276</v>
      </c>
      <c r="N232" s="15" t="s">
        <v>295</v>
      </c>
      <c r="O232" s="15" t="s">
        <v>677</v>
      </c>
      <c r="P232" s="15" t="str">
        <f>VLOOKUP(Y232,'All Codes'!$BF$3:$BG$278,2,FALSE)</f>
        <v>Skyscraper</v>
      </c>
      <c r="Q232" s="15" t="s">
        <v>179</v>
      </c>
      <c r="R232" s="15" t="s">
        <v>277</v>
      </c>
      <c r="S232" s="15" t="s">
        <v>874</v>
      </c>
      <c r="T232" s="46" t="s">
        <v>884</v>
      </c>
      <c r="U232" s="15" t="s">
        <v>876</v>
      </c>
      <c r="V232" s="15" t="s">
        <v>1274</v>
      </c>
      <c r="W232" s="15" t="s">
        <v>866</v>
      </c>
      <c r="X232" s="15" t="s">
        <v>307</v>
      </c>
      <c r="Y232" s="46" t="s">
        <v>464</v>
      </c>
      <c r="Z232" s="15"/>
      <c r="AA232" s="15"/>
      <c r="AB232" s="15"/>
      <c r="AC232" s="15"/>
      <c r="AD232" s="15"/>
      <c r="AE232" s="15"/>
      <c r="AF232" s="15"/>
      <c r="AG232" s="15"/>
      <c r="AH232" s="15" t="str">
        <f t="shared" si="97"/>
        <v>284453914</v>
      </c>
      <c r="AI232" s="21" t="str">
        <f t="shared" si="120"/>
        <v>alp_vw_dv360_imc_dsy_lanch_nd_nc_nvs_nivus-launch-consideracao-orca__configuracao_cpm_drct_all_300x600_lancamento-nivus-orca-rmkt-configurator-completion-nivus-model-intent_na_lancamento-consideracao-nivus-orca_nvl-nvs-imc-dsy-0820-10232</v>
      </c>
      <c r="AJ232" s="40" t="str">
        <f t="shared" si="120"/>
        <v>alp_vw_dv360_imc_dsy_lanch_nd_nc_nvs_nivus-launch-consideracao-orca__configuracao_cpm_drct_all_300x600_lancamento-nivus-orca-rmkt-configurator-completion-nivus-model-intent_na_lancamento-consideracao-nivus-orca_nvl-nvs-imc-dsy-0820-10232</v>
      </c>
      <c r="AK232" s="21" t="str">
        <f t="shared" si="98"/>
        <v>vw_nivus_300x600_lancamento-consideracao-nivus-orca_adserver</v>
      </c>
      <c r="AL232" s="21" t="str">
        <f t="shared" si="108"/>
        <v>https://www.vw.com.br/pt/configurador.html/__app/%2Fnivus/0.app?adlid=nvl-nvs-imc-dsy-0820-10232&amp;adplt=alp_vw_dv360_imc_dsy_lanch_nd_nc_nvs_nivus-launch-consideracao-orca__configuracao_cpm_drct_all_300x600_lancamento-nivus-orca-rmkt-configurator-completion-nivus-model-intent_na_lancamento-consideracao-nivus-orca_nvl-nvs-imc-dsy-0820-10232</v>
      </c>
      <c r="AM232" s="21" t="str">
        <f t="shared" si="99"/>
        <v>TAG</v>
      </c>
      <c r="AN232" s="15" t="str">
        <f t="shared" si="109"/>
        <v>DV360</v>
      </c>
      <c r="AO232" s="15" t="str">
        <f t="shared" si="110"/>
        <v>Paid-Display</v>
      </c>
      <c r="AP232" s="21" t="str">
        <f>Campanha!$B$3</f>
        <v>BR_IMC_DSY_LANCH_ND_NC_2020Q3AUG_NVS_Nivus-Launch-Consideracao-Orca</v>
      </c>
      <c r="AQ232" s="21" t="str">
        <f t="shared" si="100"/>
        <v>alp_vw_dv360_imc_dsy_lanch_nd_nc_nvs_nivus-launch-consideracao-orca__configuracao_cpm_drct_all_300x600_lancamento-nivus-orca-rmkt-configurator-completion-nivus-model-intent_na_lancamento-consideracao-nivus-orca_nvl-nvs-imc-dsy-0820-10232</v>
      </c>
      <c r="AR232" s="15" t="s">
        <v>745</v>
      </c>
      <c r="AS232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600_lancamento-nivus-orca-rmkt-configurator-completion-nivus-model-intent_na_lancamento-consideracao-nivus-orca_nvl-nvs-imc-dsy-0820-10232&amp;utm_campaign=BR_IMC_DSY_LANCH_ND_NC_2020Q3AUG_NVS_Nivus-Launch-Consideracao-Orca&amp;utm_term=%epid!_%ecid!_%eaid!</v>
      </c>
      <c r="AT232" s="15" t="str">
        <f t="shared" si="111"/>
        <v>other</v>
      </c>
      <c r="AU232" s="15" t="str">
        <f t="shared" si="102"/>
        <v>BR</v>
      </c>
      <c r="AV232" s="15" t="str">
        <f t="shared" si="112"/>
        <v>dv360</v>
      </c>
      <c r="AW232" s="15" t="str">
        <f t="shared" si="113"/>
        <v>dv360</v>
      </c>
      <c r="AX232" s="15" t="str">
        <f t="shared" si="103"/>
        <v>nivus-launch-consideracao-orca</v>
      </c>
      <c r="AY232" s="15" t="str">
        <f t="shared" si="114"/>
        <v>alp_vw_dv360_imc_dsy_lanch_nd_nc_nvs_nivus-launch-consideracao-orca__configuracao_cpm_drct_all_300x600_lancamento-nivus-orca-rmkt-configurator-completion-nivus-model-intent_na_lancamento-consideracao-nivus-orca_nvl-nvs-imc-dsy-0820-10232</v>
      </c>
      <c r="AZ232" s="15" t="str">
        <f t="shared" si="115"/>
        <v>300x600</v>
      </c>
      <c r="BA232" s="15" t="str">
        <f t="shared" si="116"/>
        <v>lancamento-consideracao-nivus-orca</v>
      </c>
      <c r="BB232" s="28" t="s">
        <v>798</v>
      </c>
      <c r="BC232" s="28" t="s">
        <v>798</v>
      </c>
      <c r="BD232" s="38" t="str">
        <f t="shared" si="117"/>
        <v>nvl-nvs-imc-dsy-0820-10232</v>
      </c>
      <c r="BE232" s="15" t="str">
        <f t="shared" si="118"/>
        <v>BR</v>
      </c>
      <c r="BF232" s="15" t="str">
        <f t="shared" si="119"/>
        <v>paid</v>
      </c>
      <c r="BG232" s="28"/>
      <c r="BH232" s="28"/>
      <c r="BI232" s="36" t="str">
        <f t="shared" si="104"/>
        <v>https://www.vw.com.br/pt/configurador.html/__app/%2Fnivus/0.app?adlid=nvl-nvs-imc-dsy-0820-10232&amp;adplt=alp_vw_dv360_imc_dsy_lanch_nd_nc_nvs_nivus-launch-consideracao-orca__configuracao_cpm_drct_all_300x600_lancamento-nivus-orca-rmkt-configurator-completion-nivus-model-intent_na_lancamento-consideracao-nivus-orca_nvl-nvs-imc-dsy-0820-10232</v>
      </c>
      <c r="BL232" t="str">
        <f t="shared" si="105"/>
        <v>alp_vw_dv360_imc_dsy_lanch_nd_nc_nvs_nivus-launch-consideracao-orca__configuracao</v>
      </c>
      <c r="BM232" t="str">
        <f t="shared" si="106"/>
        <v>cpm_drct_all_300x600_lancamento-nivus-orca-rmkt-configurator-completion-nivus-model-intent_na</v>
      </c>
      <c r="BN232" t="str">
        <f t="shared" si="107"/>
        <v>alp_vw_dv360_imc_dsy_lanch_nd_nc_nvs_nivus-launch-consideracao-orca__configuracao_cpm_drct_all_300x600_lancamento-nivus-orca-rmkt-configurator-completion-nivus-model-intent_na_generico_nvl-nvs-imc-dsy-0820-10232</v>
      </c>
    </row>
    <row r="233" spans="2:66" ht="15.75" customHeight="1" x14ac:dyDescent="0.25">
      <c r="B233" s="15" t="s">
        <v>1291</v>
      </c>
      <c r="C233" s="15" t="s">
        <v>1477</v>
      </c>
      <c r="D233" s="15"/>
      <c r="E233" s="22">
        <v>44069</v>
      </c>
      <c r="F233" s="22">
        <v>44135</v>
      </c>
      <c r="G233" s="15" t="s">
        <v>651</v>
      </c>
      <c r="H233" s="41" t="s">
        <v>1266</v>
      </c>
      <c r="I233" s="15" t="s">
        <v>801</v>
      </c>
      <c r="J233" s="42" t="s">
        <v>883</v>
      </c>
      <c r="K233" s="42" t="s">
        <v>883</v>
      </c>
      <c r="L233" s="15" t="s">
        <v>676</v>
      </c>
      <c r="M233" s="15" t="s">
        <v>276</v>
      </c>
      <c r="N233" s="15" t="s">
        <v>295</v>
      </c>
      <c r="O233" s="15" t="s">
        <v>677</v>
      </c>
      <c r="P233" s="15" t="str">
        <f>VLOOKUP(Y233,'All Codes'!$BF$3:$BG$278,2,FALSE)</f>
        <v>MPU</v>
      </c>
      <c r="Q233" s="15" t="s">
        <v>179</v>
      </c>
      <c r="R233" s="15" t="s">
        <v>277</v>
      </c>
      <c r="S233" s="15" t="s">
        <v>874</v>
      </c>
      <c r="T233" s="46" t="s">
        <v>884</v>
      </c>
      <c r="U233" s="15" t="s">
        <v>876</v>
      </c>
      <c r="V233" s="15" t="s">
        <v>1274</v>
      </c>
      <c r="W233" s="15" t="s">
        <v>866</v>
      </c>
      <c r="X233" s="15" t="s">
        <v>307</v>
      </c>
      <c r="Y233" s="46" t="s">
        <v>479</v>
      </c>
      <c r="Z233" s="15"/>
      <c r="AA233" s="15"/>
      <c r="AB233" s="15"/>
      <c r="AC233" s="15"/>
      <c r="AD233" s="15"/>
      <c r="AE233" s="15"/>
      <c r="AF233" s="15"/>
      <c r="AG233" s="15"/>
      <c r="AH233" s="15" t="str">
        <f t="shared" si="97"/>
        <v>284453908</v>
      </c>
      <c r="AI233" s="21" t="str">
        <f t="shared" si="120"/>
        <v>alp_vw_dv360_imc_dsy_lanch_nd_nc_nvs_nivus-launch-consideracao-orca__configuracao_cpm_drct_all_320x50_lancamento-nivus-orca-rmkt-configurator-completion-nivus-model-intent_na_lancamento-consideracao-nivus-orca_nvl-nvs-imc-dsy-0820-10233</v>
      </c>
      <c r="AJ233" s="40" t="str">
        <f t="shared" si="120"/>
        <v>alp_vw_dv360_imc_dsy_lanch_nd_nc_nvs_nivus-launch-consideracao-orca__configuracao_cpm_drct_all_320x50_lancamento-nivus-orca-rmkt-configurator-completion-nivus-model-intent_na_lancamento-consideracao-nivus-orca_nvl-nvs-imc-dsy-0820-10233</v>
      </c>
      <c r="AK233" s="21" t="str">
        <f t="shared" si="98"/>
        <v>vw_nivus_320x50_lancamento-consideracao-nivus-orca_adserver</v>
      </c>
      <c r="AL233" s="21" t="str">
        <f t="shared" si="108"/>
        <v>https://www.vw.com.br/pt/configurador.html/__app/%2Fnivus/0.app?adlid=nvl-nvs-imc-dsy-0820-10233&amp;adplt=alp_vw_dv360_imc_dsy_lanch_nd_nc_nvs_nivus-launch-consideracao-orca__configuracao_cpm_drct_all_320x50_lancamento-nivus-orca-rmkt-configurator-completion-nivus-model-intent_na_lancamento-consideracao-nivus-orca_nvl-nvs-imc-dsy-0820-10233</v>
      </c>
      <c r="AM233" s="21" t="str">
        <f t="shared" si="99"/>
        <v>TAG</v>
      </c>
      <c r="AN233" s="15" t="str">
        <f t="shared" si="109"/>
        <v>DV360</v>
      </c>
      <c r="AO233" s="15" t="str">
        <f t="shared" si="110"/>
        <v>Paid-Display</v>
      </c>
      <c r="AP233" s="21" t="str">
        <f>Campanha!$B$3</f>
        <v>BR_IMC_DSY_LANCH_ND_NC_2020Q3AUG_NVS_Nivus-Launch-Consideracao-Orca</v>
      </c>
      <c r="AQ233" s="21" t="str">
        <f t="shared" si="100"/>
        <v>alp_vw_dv360_imc_dsy_lanch_nd_nc_nvs_nivus-launch-consideracao-orca__configuracao_cpm_drct_all_320x50_lancamento-nivus-orca-rmkt-configurator-completion-nivus-model-intent_na_lancamento-consideracao-nivus-orca_nvl-nvs-imc-dsy-0820-10233</v>
      </c>
      <c r="AR233" s="15" t="s">
        <v>745</v>
      </c>
      <c r="AS233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configurator-completion-nivus-model-intent_na_lancamento-consideracao-nivus-orca_nvl-nvs-imc-dsy-0820-10233&amp;utm_campaign=BR_IMC_DSY_LANCH_ND_NC_2020Q3AUG_NVS_Nivus-Launch-Consideracao-Orca&amp;utm_term=%epid!_%ecid!_%eaid!</v>
      </c>
      <c r="AT233" s="15" t="str">
        <f t="shared" si="111"/>
        <v>other</v>
      </c>
      <c r="AU233" s="15" t="str">
        <f t="shared" si="102"/>
        <v>BR</v>
      </c>
      <c r="AV233" s="15" t="str">
        <f t="shared" si="112"/>
        <v>dv360</v>
      </c>
      <c r="AW233" s="15" t="str">
        <f t="shared" si="113"/>
        <v>dv360</v>
      </c>
      <c r="AX233" s="15" t="str">
        <f t="shared" si="103"/>
        <v>nivus-launch-consideracao-orca</v>
      </c>
      <c r="AY233" s="15" t="str">
        <f t="shared" si="114"/>
        <v>alp_vw_dv360_imc_dsy_lanch_nd_nc_nvs_nivus-launch-consideracao-orca__configuracao_cpm_drct_all_320x50_lancamento-nivus-orca-rmkt-configurator-completion-nivus-model-intent_na_lancamento-consideracao-nivus-orca_nvl-nvs-imc-dsy-0820-10233</v>
      </c>
      <c r="AZ233" s="15" t="str">
        <f t="shared" si="115"/>
        <v>320x50</v>
      </c>
      <c r="BA233" s="15" t="str">
        <f t="shared" si="116"/>
        <v>lancamento-consideracao-nivus-orca</v>
      </c>
      <c r="BB233" s="28" t="s">
        <v>798</v>
      </c>
      <c r="BC233" s="28" t="s">
        <v>798</v>
      </c>
      <c r="BD233" s="38" t="str">
        <f t="shared" si="117"/>
        <v>nvl-nvs-imc-dsy-0820-10233</v>
      </c>
      <c r="BE233" s="15" t="str">
        <f t="shared" si="118"/>
        <v>BR</v>
      </c>
      <c r="BF233" s="15" t="str">
        <f t="shared" si="119"/>
        <v>paid</v>
      </c>
      <c r="BG233" s="28"/>
      <c r="BH233" s="28"/>
      <c r="BI233" s="36" t="str">
        <f t="shared" si="104"/>
        <v>https://www.vw.com.br/pt/configurador.html/__app/%2Fnivus/0.app?adlid=nvl-nvs-imc-dsy-0820-10233&amp;adplt=alp_vw_dv360_imc_dsy_lanch_nd_nc_nvs_nivus-launch-consideracao-orca__configuracao_cpm_drct_all_320x50_lancamento-nivus-orca-rmkt-configurator-completion-nivus-model-intent_na_lancamento-consideracao-nivus-orca_nvl-nvs-imc-dsy-0820-10233</v>
      </c>
      <c r="BL233" t="str">
        <f t="shared" si="105"/>
        <v>alp_vw_dv360_imc_dsy_lanch_nd_nc_nvs_nivus-launch-consideracao-orca__configuracao</v>
      </c>
      <c r="BM233" t="str">
        <f t="shared" si="106"/>
        <v>cpm_drct_all_320x50_lancamento-nivus-orca-rmkt-configurator-completion-nivus-model-intent_na</v>
      </c>
      <c r="BN233" t="str">
        <f t="shared" si="107"/>
        <v>alp_vw_dv360_imc_dsy_lanch_nd_nc_nvs_nivus-launch-consideracao-orca__configuracao_cpm_drct_all_320x50_lancamento-nivus-orca-rmkt-configurator-completion-nivus-model-intent_na_generico_nvl-nvs-imc-dsy-0820-10233</v>
      </c>
    </row>
    <row r="234" spans="2:66" ht="15.75" customHeight="1" x14ac:dyDescent="0.25">
      <c r="B234" s="15" t="s">
        <v>1291</v>
      </c>
      <c r="C234" s="15" t="s">
        <v>1477</v>
      </c>
      <c r="D234" s="15"/>
      <c r="E234" s="22">
        <v>44069</v>
      </c>
      <c r="F234" s="22">
        <v>44135</v>
      </c>
      <c r="G234" s="15" t="s">
        <v>651</v>
      </c>
      <c r="H234" s="41" t="s">
        <v>1266</v>
      </c>
      <c r="I234" s="15" t="s">
        <v>801</v>
      </c>
      <c r="J234" s="42" t="s">
        <v>883</v>
      </c>
      <c r="K234" s="42" t="s">
        <v>883</v>
      </c>
      <c r="L234" s="15" t="s">
        <v>676</v>
      </c>
      <c r="M234" s="15" t="s">
        <v>276</v>
      </c>
      <c r="N234" s="15" t="s">
        <v>295</v>
      </c>
      <c r="O234" s="15" t="s">
        <v>677</v>
      </c>
      <c r="P234" s="15" t="str">
        <f>VLOOKUP(Y234,'All Codes'!$BF$3:$BG$278,2,FALSE)</f>
        <v>Leaderboard</v>
      </c>
      <c r="Q234" s="15" t="s">
        <v>179</v>
      </c>
      <c r="R234" s="15" t="s">
        <v>277</v>
      </c>
      <c r="S234" s="15" t="s">
        <v>874</v>
      </c>
      <c r="T234" s="46" t="s">
        <v>884</v>
      </c>
      <c r="U234" s="15" t="s">
        <v>876</v>
      </c>
      <c r="V234" s="15" t="s">
        <v>1274</v>
      </c>
      <c r="W234" s="15" t="s">
        <v>866</v>
      </c>
      <c r="X234" s="15" t="s">
        <v>307</v>
      </c>
      <c r="Y234" s="46" t="s">
        <v>591</v>
      </c>
      <c r="Z234" s="15"/>
      <c r="AA234" s="15"/>
      <c r="AB234" s="15"/>
      <c r="AC234" s="15"/>
      <c r="AD234" s="15"/>
      <c r="AE234" s="15"/>
      <c r="AF234" s="15"/>
      <c r="AG234" s="15"/>
      <c r="AH234" s="15" t="str">
        <f t="shared" si="97"/>
        <v>284453902</v>
      </c>
      <c r="AI234" s="21" t="str">
        <f t="shared" si="120"/>
        <v>alp_vw_dv360_imc_dsy_lanch_nd_nc_nvs_nivus-launch-consideracao-orca__configuracao_cpm_drct_all_728x90_lancamento-nivus-orca-rmkt-configurator-completion-nivus-model-intent_na_lancamento-consideracao-nivus-orca_nvl-nvs-imc-dsy-0820-10234</v>
      </c>
      <c r="AJ234" s="40" t="str">
        <f t="shared" si="120"/>
        <v>alp_vw_dv360_imc_dsy_lanch_nd_nc_nvs_nivus-launch-consideracao-orca__configuracao_cpm_drct_all_728x90_lancamento-nivus-orca-rmkt-configurator-completion-nivus-model-intent_na_lancamento-consideracao-nivus-orca_nvl-nvs-imc-dsy-0820-10234</v>
      </c>
      <c r="AK234" s="21" t="str">
        <f t="shared" si="98"/>
        <v>vw_nivus_728x90_lancamento-consideracao-nivus-orca_adserver</v>
      </c>
      <c r="AL234" s="21" t="str">
        <f t="shared" si="108"/>
        <v>https://www.vw.com.br/pt/configurador.html/__app/%2Fnivus/0.app?adlid=nvl-nvs-imc-dsy-0820-10234&amp;adplt=alp_vw_dv360_imc_dsy_lanch_nd_nc_nvs_nivus-launch-consideracao-orca__configuracao_cpm_drct_all_728x90_lancamento-nivus-orca-rmkt-configurator-completion-nivus-model-intent_na_lancamento-consideracao-nivus-orca_nvl-nvs-imc-dsy-0820-10234</v>
      </c>
      <c r="AM234" s="21" t="str">
        <f t="shared" si="99"/>
        <v>TAG</v>
      </c>
      <c r="AN234" s="15" t="str">
        <f t="shared" si="109"/>
        <v>DV360</v>
      </c>
      <c r="AO234" s="15" t="str">
        <f t="shared" si="110"/>
        <v>Paid-Display</v>
      </c>
      <c r="AP234" s="21" t="str">
        <f>Campanha!$B$3</f>
        <v>BR_IMC_DSY_LANCH_ND_NC_2020Q3AUG_NVS_Nivus-Launch-Consideracao-Orca</v>
      </c>
      <c r="AQ234" s="21" t="str">
        <f t="shared" si="100"/>
        <v>alp_vw_dv360_imc_dsy_lanch_nd_nc_nvs_nivus-launch-consideracao-orca__configuracao_cpm_drct_all_728x90_lancamento-nivus-orca-rmkt-configurator-completion-nivus-model-intent_na_lancamento-consideracao-nivus-orca_nvl-nvs-imc-dsy-0820-10234</v>
      </c>
      <c r="AR234" s="15" t="s">
        <v>745</v>
      </c>
      <c r="AS234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configurator-completion-nivus-model-intent_na_lancamento-consideracao-nivus-orca_nvl-nvs-imc-dsy-0820-10234&amp;utm_campaign=BR_IMC_DSY_LANCH_ND_NC_2020Q3AUG_NVS_Nivus-Launch-Consideracao-Orca&amp;utm_term=%epid!_%ecid!_%eaid!</v>
      </c>
      <c r="AT234" s="15" t="str">
        <f t="shared" si="111"/>
        <v>other</v>
      </c>
      <c r="AU234" s="15" t="str">
        <f t="shared" si="102"/>
        <v>BR</v>
      </c>
      <c r="AV234" s="15" t="str">
        <f t="shared" si="112"/>
        <v>dv360</v>
      </c>
      <c r="AW234" s="15" t="str">
        <f t="shared" si="113"/>
        <v>dv360</v>
      </c>
      <c r="AX234" s="15" t="str">
        <f t="shared" si="103"/>
        <v>nivus-launch-consideracao-orca</v>
      </c>
      <c r="AY234" s="15" t="str">
        <f t="shared" si="114"/>
        <v>alp_vw_dv360_imc_dsy_lanch_nd_nc_nvs_nivus-launch-consideracao-orca__configuracao_cpm_drct_all_728x90_lancamento-nivus-orca-rmkt-configurator-completion-nivus-model-intent_na_lancamento-consideracao-nivus-orca_nvl-nvs-imc-dsy-0820-10234</v>
      </c>
      <c r="AZ234" s="15" t="str">
        <f t="shared" si="115"/>
        <v>728x90</v>
      </c>
      <c r="BA234" s="15" t="str">
        <f t="shared" si="116"/>
        <v>lancamento-consideracao-nivus-orca</v>
      </c>
      <c r="BB234" s="28" t="s">
        <v>798</v>
      </c>
      <c r="BC234" s="28" t="s">
        <v>798</v>
      </c>
      <c r="BD234" s="38" t="str">
        <f t="shared" si="117"/>
        <v>nvl-nvs-imc-dsy-0820-10234</v>
      </c>
      <c r="BE234" s="15" t="str">
        <f t="shared" si="118"/>
        <v>BR</v>
      </c>
      <c r="BF234" s="15" t="str">
        <f t="shared" si="119"/>
        <v>paid</v>
      </c>
      <c r="BG234" s="28"/>
      <c r="BH234" s="28"/>
      <c r="BI234" s="36" t="str">
        <f t="shared" si="104"/>
        <v>https://www.vw.com.br/pt/configurador.html/__app/%2Fnivus/0.app?adlid=nvl-nvs-imc-dsy-0820-10234&amp;adplt=alp_vw_dv360_imc_dsy_lanch_nd_nc_nvs_nivus-launch-consideracao-orca__configuracao_cpm_drct_all_728x90_lancamento-nivus-orca-rmkt-configurator-completion-nivus-model-intent_na_lancamento-consideracao-nivus-orca_nvl-nvs-imc-dsy-0820-10234</v>
      </c>
      <c r="BL234" t="str">
        <f t="shared" si="105"/>
        <v>alp_vw_dv360_imc_dsy_lanch_nd_nc_nvs_nivus-launch-consideracao-orca__configuracao</v>
      </c>
      <c r="BM234" t="str">
        <f t="shared" si="106"/>
        <v>cpm_drct_all_728x90_lancamento-nivus-orca-rmkt-configurator-completion-nivus-model-intent_na</v>
      </c>
      <c r="BN234" t="str">
        <f t="shared" si="107"/>
        <v>alp_vw_dv360_imc_dsy_lanch_nd_nc_nvs_nivus-launch-consideracao-orca__configuracao_cpm_drct_all_728x90_lancamento-nivus-orca-rmkt-configurator-completion-nivus-model-intent_na_generico_nvl-nvs-imc-dsy-0820-10234</v>
      </c>
    </row>
    <row r="235" spans="2:66" ht="15.75" customHeight="1" x14ac:dyDescent="0.25">
      <c r="B235" s="15" t="s">
        <v>1291</v>
      </c>
      <c r="C235" s="15" t="s">
        <v>1477</v>
      </c>
      <c r="D235" s="15"/>
      <c r="E235" s="22">
        <v>44069</v>
      </c>
      <c r="F235" s="22">
        <v>44135</v>
      </c>
      <c r="G235" s="15" t="s">
        <v>651</v>
      </c>
      <c r="H235" s="41" t="s">
        <v>1266</v>
      </c>
      <c r="I235" s="15" t="s">
        <v>801</v>
      </c>
      <c r="J235" s="42" t="s">
        <v>883</v>
      </c>
      <c r="K235" s="42" t="s">
        <v>883</v>
      </c>
      <c r="L235" s="15" t="s">
        <v>676</v>
      </c>
      <c r="M235" s="15" t="s">
        <v>276</v>
      </c>
      <c r="N235" s="15" t="s">
        <v>295</v>
      </c>
      <c r="O235" s="15" t="s">
        <v>677</v>
      </c>
      <c r="P235" s="15" t="str">
        <f>VLOOKUP(Y235,'All Codes'!$BF$3:$BG$278,2,FALSE)</f>
        <v>Leaderboard</v>
      </c>
      <c r="Q235" s="15" t="s">
        <v>179</v>
      </c>
      <c r="R235" s="15" t="s">
        <v>277</v>
      </c>
      <c r="S235" s="15" t="s">
        <v>874</v>
      </c>
      <c r="T235" s="46" t="s">
        <v>884</v>
      </c>
      <c r="U235" s="15" t="s">
        <v>876</v>
      </c>
      <c r="V235" s="15" t="s">
        <v>1274</v>
      </c>
      <c r="W235" s="15" t="s">
        <v>866</v>
      </c>
      <c r="X235" s="15" t="s">
        <v>307</v>
      </c>
      <c r="Y235" s="46" t="s">
        <v>629</v>
      </c>
      <c r="Z235" s="15"/>
      <c r="AA235" s="15"/>
      <c r="AB235" s="15"/>
      <c r="AC235" s="15"/>
      <c r="AD235" s="15"/>
      <c r="AE235" s="15"/>
      <c r="AF235" s="15"/>
      <c r="AG235" s="15"/>
      <c r="AH235" s="15" t="str">
        <f t="shared" si="97"/>
        <v>284453896</v>
      </c>
      <c r="AI235" s="21" t="str">
        <f t="shared" si="120"/>
        <v>alp_vw_dv360_imc_dsy_lanch_nd_nc_nvs_nivus-launch-consideracao-orca__configuracao_cpm_drct_all_970x250_lancamento-nivus-orca-rmkt-configurator-completion-nivus-model-intent_na_lancamento-consideracao-nivus-orca_nvl-nvs-imc-dsy-0820-10235</v>
      </c>
      <c r="AJ235" s="40" t="str">
        <f t="shared" si="120"/>
        <v>alp_vw_dv360_imc_dsy_lanch_nd_nc_nvs_nivus-launch-consideracao-orca__configuracao_cpm_drct_all_970x250_lancamento-nivus-orca-rmkt-configurator-completion-nivus-model-intent_na_lancamento-consideracao-nivus-orca_nvl-nvs-imc-dsy-0820-10235</v>
      </c>
      <c r="AK235" s="21" t="str">
        <f t="shared" si="98"/>
        <v>vw_nivus_970x250_lancamento-consideracao-nivus-orca_adserver</v>
      </c>
      <c r="AL235" s="21" t="str">
        <f t="shared" si="108"/>
        <v>https://www.vw.com.br/pt/configurador.html/__app/%2Fnivus/0.app?adlid=nvl-nvs-imc-dsy-0820-10235&amp;adplt=alp_vw_dv360_imc_dsy_lanch_nd_nc_nvs_nivus-launch-consideracao-orca__configuracao_cpm_drct_all_970x250_lancamento-nivus-orca-rmkt-configurator-completion-nivus-model-intent_na_lancamento-consideracao-nivus-orca_nvl-nvs-imc-dsy-0820-10235</v>
      </c>
      <c r="AM235" s="21" t="str">
        <f t="shared" si="99"/>
        <v>TAG</v>
      </c>
      <c r="AN235" s="15" t="str">
        <f t="shared" si="109"/>
        <v>DV360</v>
      </c>
      <c r="AO235" s="15" t="str">
        <f t="shared" si="110"/>
        <v>Paid-Display</v>
      </c>
      <c r="AP235" s="21" t="str">
        <f>Campanha!$B$3</f>
        <v>BR_IMC_DSY_LANCH_ND_NC_2020Q3AUG_NVS_Nivus-Launch-Consideracao-Orca</v>
      </c>
      <c r="AQ235" s="21" t="str">
        <f t="shared" si="100"/>
        <v>alp_vw_dv360_imc_dsy_lanch_nd_nc_nvs_nivus-launch-consideracao-orca__configuracao_cpm_drct_all_970x250_lancamento-nivus-orca-rmkt-configurator-completion-nivus-model-intent_na_lancamento-consideracao-nivus-orca_nvl-nvs-imc-dsy-0820-10235</v>
      </c>
      <c r="AR235" s="15" t="s">
        <v>745</v>
      </c>
      <c r="AS235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configurator-completion-nivus-model-intent_na_lancamento-consideracao-nivus-orca_nvl-nvs-imc-dsy-0820-10235&amp;utm_campaign=BR_IMC_DSY_LANCH_ND_NC_2020Q3AUG_NVS_Nivus-Launch-Consideracao-Orca&amp;utm_term=%epid!_%ecid!_%eaid!</v>
      </c>
      <c r="AT235" s="15" t="str">
        <f t="shared" si="111"/>
        <v>other</v>
      </c>
      <c r="AU235" s="15" t="str">
        <f t="shared" si="102"/>
        <v>BR</v>
      </c>
      <c r="AV235" s="15" t="str">
        <f t="shared" si="112"/>
        <v>dv360</v>
      </c>
      <c r="AW235" s="15" t="str">
        <f t="shared" si="113"/>
        <v>dv360</v>
      </c>
      <c r="AX235" s="15" t="str">
        <f t="shared" si="103"/>
        <v>nivus-launch-consideracao-orca</v>
      </c>
      <c r="AY235" s="15" t="str">
        <f t="shared" si="114"/>
        <v>alp_vw_dv360_imc_dsy_lanch_nd_nc_nvs_nivus-launch-consideracao-orca__configuracao_cpm_drct_all_970x250_lancamento-nivus-orca-rmkt-configurator-completion-nivus-model-intent_na_lancamento-consideracao-nivus-orca_nvl-nvs-imc-dsy-0820-10235</v>
      </c>
      <c r="AZ235" s="15" t="str">
        <f t="shared" si="115"/>
        <v>970x250</v>
      </c>
      <c r="BA235" s="15" t="str">
        <f t="shared" si="116"/>
        <v>lancamento-consideracao-nivus-orca</v>
      </c>
      <c r="BB235" s="28" t="s">
        <v>798</v>
      </c>
      <c r="BC235" s="28" t="s">
        <v>798</v>
      </c>
      <c r="BD235" s="38" t="str">
        <f t="shared" si="117"/>
        <v>nvl-nvs-imc-dsy-0820-10235</v>
      </c>
      <c r="BE235" s="15" t="str">
        <f t="shared" si="118"/>
        <v>BR</v>
      </c>
      <c r="BF235" s="15" t="str">
        <f t="shared" si="119"/>
        <v>paid</v>
      </c>
      <c r="BG235" s="28"/>
      <c r="BH235" s="28"/>
      <c r="BI235" s="36" t="str">
        <f t="shared" si="104"/>
        <v>https://www.vw.com.br/pt/configurador.html/__app/%2Fnivus/0.app?adlid=nvl-nvs-imc-dsy-0820-10235&amp;adplt=alp_vw_dv360_imc_dsy_lanch_nd_nc_nvs_nivus-launch-consideracao-orca__configuracao_cpm_drct_all_970x250_lancamento-nivus-orca-rmkt-configurator-completion-nivus-model-intent_na_lancamento-consideracao-nivus-orca_nvl-nvs-imc-dsy-0820-10235</v>
      </c>
      <c r="BL235" t="str">
        <f t="shared" si="105"/>
        <v>alp_vw_dv360_imc_dsy_lanch_nd_nc_nvs_nivus-launch-consideracao-orca__configuracao</v>
      </c>
      <c r="BM235" t="str">
        <f t="shared" si="106"/>
        <v>cpm_drct_all_970x250_lancamento-nivus-orca-rmkt-configurator-completion-nivus-model-intent_na</v>
      </c>
      <c r="BN235" t="str">
        <f t="shared" si="107"/>
        <v>alp_vw_dv360_imc_dsy_lanch_nd_nc_nvs_nivus-launch-consideracao-orca__configuracao_cpm_drct_all_970x250_lancamento-nivus-orca-rmkt-configurator-completion-nivus-model-intent_na_generico_nvl-nvs-imc-dsy-0820-10235</v>
      </c>
    </row>
    <row r="236" spans="2:66" ht="15.75" customHeight="1" x14ac:dyDescent="0.25">
      <c r="B236" s="15" t="s">
        <v>1291</v>
      </c>
      <c r="C236" s="15" t="s">
        <v>1477</v>
      </c>
      <c r="D236" s="15"/>
      <c r="E236" s="22">
        <v>44069</v>
      </c>
      <c r="F236" s="22">
        <v>44135</v>
      </c>
      <c r="G236" s="15" t="s">
        <v>651</v>
      </c>
      <c r="H236" s="41" t="s">
        <v>1266</v>
      </c>
      <c r="I236" s="15" t="s">
        <v>801</v>
      </c>
      <c r="J236" s="42" t="s">
        <v>883</v>
      </c>
      <c r="K236" s="42" t="s">
        <v>883</v>
      </c>
      <c r="L236" s="15" t="s">
        <v>676</v>
      </c>
      <c r="M236" s="15" t="s">
        <v>276</v>
      </c>
      <c r="N236" s="15" t="s">
        <v>295</v>
      </c>
      <c r="O236" s="15" t="s">
        <v>677</v>
      </c>
      <c r="P236" s="15" t="str">
        <f>VLOOKUP(Y236,'All Codes'!$BF$3:$BG$278,2,FALSE)</f>
        <v>MPU</v>
      </c>
      <c r="Q236" s="15" t="s">
        <v>179</v>
      </c>
      <c r="R236" s="15" t="s">
        <v>277</v>
      </c>
      <c r="S236" s="15" t="s">
        <v>874</v>
      </c>
      <c r="T236" s="46" t="s">
        <v>884</v>
      </c>
      <c r="U236" s="15" t="s">
        <v>876</v>
      </c>
      <c r="V236" s="15" t="s">
        <v>1275</v>
      </c>
      <c r="W236" s="15" t="s">
        <v>866</v>
      </c>
      <c r="X236" s="15" t="s">
        <v>307</v>
      </c>
      <c r="Y236" s="46" t="s">
        <v>461</v>
      </c>
      <c r="Z236" s="15"/>
      <c r="AA236" s="15"/>
      <c r="AB236" s="15"/>
      <c r="AC236" s="15"/>
      <c r="AD236" s="15"/>
      <c r="AE236" s="15"/>
      <c r="AF236" s="15"/>
      <c r="AG236" s="15"/>
      <c r="AH236" s="15" t="str">
        <f t="shared" si="97"/>
        <v>284453890</v>
      </c>
      <c r="AI236" s="21" t="str">
        <f t="shared" si="120"/>
        <v>alp_vw_dv360_imc_dsy_lanch_nd_nc_nvs_nivus-launch-consideracao-orca__configuracao_cpm_drct_all_300x50_lancamento-nivus-orca-rmkt-configurator-completion-nivus-lapsed-user_na_lancamento-consideracao-nivus-orca_nvl-nvs-imc-dsy-0820-10236</v>
      </c>
      <c r="AJ236" s="40" t="str">
        <f t="shared" si="120"/>
        <v>alp_vw_dv360_imc_dsy_lanch_nd_nc_nvs_nivus-launch-consideracao-orca__configuracao_cpm_drct_all_300x50_lancamento-nivus-orca-rmkt-configurator-completion-nivus-lapsed-user_na_lancamento-consideracao-nivus-orca_nvl-nvs-imc-dsy-0820-10236</v>
      </c>
      <c r="AK236" s="21" t="str">
        <f t="shared" si="98"/>
        <v>vw_nivus_300x50_lancamento-consideracao-nivus-orca_adserver</v>
      </c>
      <c r="AL236" s="21" t="str">
        <f t="shared" si="108"/>
        <v>https://www.vw.com.br/pt/configurador.html/__app/%2Fnivus/0.app?adlid=nvl-nvs-imc-dsy-0820-10236&amp;adplt=alp_vw_dv360_imc_dsy_lanch_nd_nc_nvs_nivus-launch-consideracao-orca__configuracao_cpm_drct_all_300x50_lancamento-nivus-orca-rmkt-configurator-completion-nivus-lapsed-user_na_lancamento-consideracao-nivus-orca_nvl-nvs-imc-dsy-0820-10236</v>
      </c>
      <c r="AM236" s="21" t="str">
        <f t="shared" si="99"/>
        <v>TAG</v>
      </c>
      <c r="AN236" s="15" t="str">
        <f t="shared" si="109"/>
        <v>DV360</v>
      </c>
      <c r="AO236" s="15" t="str">
        <f t="shared" si="110"/>
        <v>Paid-Display</v>
      </c>
      <c r="AP236" s="21" t="str">
        <f>Campanha!$B$3</f>
        <v>BR_IMC_DSY_LANCH_ND_NC_2020Q3AUG_NVS_Nivus-Launch-Consideracao-Orca</v>
      </c>
      <c r="AQ236" s="21" t="str">
        <f t="shared" si="100"/>
        <v>alp_vw_dv360_imc_dsy_lanch_nd_nc_nvs_nivus-launch-consideracao-orca__configuracao_cpm_drct_all_300x50_lancamento-nivus-orca-rmkt-configurator-completion-nivus-lapsed-user_na_lancamento-consideracao-nivus-orca_nvl-nvs-imc-dsy-0820-10236</v>
      </c>
      <c r="AR236" s="15" t="s">
        <v>745</v>
      </c>
      <c r="AS236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50_lancamento-nivus-orca-rmkt-configurator-completion-nivus-lapsed-user_na_lancamento-consideracao-nivus-orca_nvl-nvs-imc-dsy-0820-10236&amp;utm_campaign=BR_IMC_DSY_LANCH_ND_NC_2020Q3AUG_NVS_Nivus-Launch-Consideracao-Orca&amp;utm_term=%epid!_%ecid!_%eaid!</v>
      </c>
      <c r="AT236" s="15" t="str">
        <f t="shared" si="111"/>
        <v>other</v>
      </c>
      <c r="AU236" s="15" t="str">
        <f t="shared" si="102"/>
        <v>BR</v>
      </c>
      <c r="AV236" s="15" t="str">
        <f t="shared" si="112"/>
        <v>dv360</v>
      </c>
      <c r="AW236" s="15" t="str">
        <f t="shared" si="113"/>
        <v>dv360</v>
      </c>
      <c r="AX236" s="15" t="str">
        <f t="shared" si="103"/>
        <v>nivus-launch-consideracao-orca</v>
      </c>
      <c r="AY236" s="15" t="str">
        <f t="shared" si="114"/>
        <v>alp_vw_dv360_imc_dsy_lanch_nd_nc_nvs_nivus-launch-consideracao-orca__configuracao_cpm_drct_all_300x50_lancamento-nivus-orca-rmkt-configurator-completion-nivus-lapsed-user_na_lancamento-consideracao-nivus-orca_nvl-nvs-imc-dsy-0820-10236</v>
      </c>
      <c r="AZ236" s="15" t="str">
        <f t="shared" si="115"/>
        <v>300x50</v>
      </c>
      <c r="BA236" s="15" t="str">
        <f t="shared" si="116"/>
        <v>lancamento-consideracao-nivus-orca</v>
      </c>
      <c r="BB236" s="28" t="s">
        <v>798</v>
      </c>
      <c r="BC236" s="28" t="s">
        <v>798</v>
      </c>
      <c r="BD236" s="38" t="str">
        <f t="shared" si="117"/>
        <v>nvl-nvs-imc-dsy-0820-10236</v>
      </c>
      <c r="BE236" s="15" t="str">
        <f t="shared" si="118"/>
        <v>BR</v>
      </c>
      <c r="BF236" s="15" t="str">
        <f t="shared" si="119"/>
        <v>paid</v>
      </c>
      <c r="BG236" s="28"/>
      <c r="BH236" s="28"/>
      <c r="BI236" s="36" t="str">
        <f t="shared" si="104"/>
        <v>https://www.vw.com.br/pt/configurador.html/__app/%2Fnivus/0.app?adlid=nvl-nvs-imc-dsy-0820-10236&amp;adplt=alp_vw_dv360_imc_dsy_lanch_nd_nc_nvs_nivus-launch-consideracao-orca__configuracao_cpm_drct_all_300x50_lancamento-nivus-orca-rmkt-configurator-completion-nivus-lapsed-user_na_lancamento-consideracao-nivus-orca_nvl-nvs-imc-dsy-0820-10236</v>
      </c>
      <c r="BL236" t="str">
        <f t="shared" si="105"/>
        <v>alp_vw_dv360_imc_dsy_lanch_nd_nc_nvs_nivus-launch-consideracao-orca__configuracao</v>
      </c>
      <c r="BM236" t="str">
        <f t="shared" si="106"/>
        <v>cpm_drct_all_300x50_lancamento-nivus-orca-rmkt-configurator-completion-nivus-lapsed-user_na</v>
      </c>
      <c r="BN236" t="str">
        <f t="shared" si="107"/>
        <v>alp_vw_dv360_imc_dsy_lanch_nd_nc_nvs_nivus-launch-consideracao-orca__configuracao_cpm_drct_all_300x50_lancamento-nivus-orca-rmkt-configurator-completion-nivus-lapsed-user_na_generico_nvl-nvs-imc-dsy-0820-10236</v>
      </c>
    </row>
    <row r="237" spans="2:66" ht="15.75" customHeight="1" x14ac:dyDescent="0.25">
      <c r="B237" s="15" t="s">
        <v>1291</v>
      </c>
      <c r="C237" s="15" t="s">
        <v>1477</v>
      </c>
      <c r="D237" s="15"/>
      <c r="E237" s="22">
        <v>44069</v>
      </c>
      <c r="F237" s="22">
        <v>44135</v>
      </c>
      <c r="G237" s="15" t="s">
        <v>651</v>
      </c>
      <c r="H237" s="41" t="s">
        <v>1266</v>
      </c>
      <c r="I237" s="15" t="s">
        <v>801</v>
      </c>
      <c r="J237" s="42" t="s">
        <v>883</v>
      </c>
      <c r="K237" s="42" t="s">
        <v>883</v>
      </c>
      <c r="L237" s="15" t="s">
        <v>676</v>
      </c>
      <c r="M237" s="15" t="s">
        <v>276</v>
      </c>
      <c r="N237" s="15" t="s">
        <v>295</v>
      </c>
      <c r="O237" s="15" t="s">
        <v>677</v>
      </c>
      <c r="P237" s="15" t="str">
        <f>VLOOKUP(Y237,'All Codes'!$BF$3:$BG$278,2,FALSE)</f>
        <v>Skyscraper</v>
      </c>
      <c r="Q237" s="15" t="s">
        <v>179</v>
      </c>
      <c r="R237" s="15" t="s">
        <v>277</v>
      </c>
      <c r="S237" s="15" t="s">
        <v>874</v>
      </c>
      <c r="T237" s="46" t="s">
        <v>884</v>
      </c>
      <c r="U237" s="15" t="s">
        <v>876</v>
      </c>
      <c r="V237" s="15" t="s">
        <v>1275</v>
      </c>
      <c r="W237" s="15" t="s">
        <v>866</v>
      </c>
      <c r="X237" s="15" t="s">
        <v>307</v>
      </c>
      <c r="Y237" s="46" t="s">
        <v>434</v>
      </c>
      <c r="Z237" s="15"/>
      <c r="AA237" s="15"/>
      <c r="AB237" s="15"/>
      <c r="AC237" s="15"/>
      <c r="AD237" s="15"/>
      <c r="AE237" s="15"/>
      <c r="AF237" s="15"/>
      <c r="AG237" s="15"/>
      <c r="AH237" s="15" t="str">
        <f t="shared" si="97"/>
        <v>284453884</v>
      </c>
      <c r="AI237" s="21" t="str">
        <f t="shared" si="120"/>
        <v>alp_vw_dv360_imc_dsy_lanch_nd_nc_nvs_nivus-launch-consideracao-orca__configuracao_cpm_drct_all_160x600_lancamento-nivus-orca-rmkt-configurator-completion-nivus-lapsed-user_na_lancamento-consideracao-nivus-orca_nvl-nvs-imc-dsy-0820-10237</v>
      </c>
      <c r="AJ237" s="40" t="str">
        <f t="shared" si="120"/>
        <v>alp_vw_dv360_imc_dsy_lanch_nd_nc_nvs_nivus-launch-consideracao-orca__configuracao_cpm_drct_all_160x600_lancamento-nivus-orca-rmkt-configurator-completion-nivus-lapsed-user_na_lancamento-consideracao-nivus-orca_nvl-nvs-imc-dsy-0820-10237</v>
      </c>
      <c r="AK237" s="21" t="str">
        <f t="shared" si="98"/>
        <v>vw_nivus_160x600_lancamento-consideracao-nivus-orca_adserver</v>
      </c>
      <c r="AL237" s="21" t="str">
        <f t="shared" si="108"/>
        <v>https://www.vw.com.br/pt/configurador.html/__app/%2Fnivus/0.app?adlid=nvl-nvs-imc-dsy-0820-10237&amp;adplt=alp_vw_dv360_imc_dsy_lanch_nd_nc_nvs_nivus-launch-consideracao-orca__configuracao_cpm_drct_all_160x600_lancamento-nivus-orca-rmkt-configurator-completion-nivus-lapsed-user_na_lancamento-consideracao-nivus-orca_nvl-nvs-imc-dsy-0820-10237</v>
      </c>
      <c r="AM237" s="21" t="str">
        <f t="shared" si="99"/>
        <v>TAG</v>
      </c>
      <c r="AN237" s="15" t="str">
        <f t="shared" si="109"/>
        <v>DV360</v>
      </c>
      <c r="AO237" s="15" t="str">
        <f t="shared" si="110"/>
        <v>Paid-Display</v>
      </c>
      <c r="AP237" s="21" t="str">
        <f>Campanha!$B$3</f>
        <v>BR_IMC_DSY_LANCH_ND_NC_2020Q3AUG_NVS_Nivus-Launch-Consideracao-Orca</v>
      </c>
      <c r="AQ237" s="21" t="str">
        <f t="shared" si="100"/>
        <v>alp_vw_dv360_imc_dsy_lanch_nd_nc_nvs_nivus-launch-consideracao-orca__configuracao_cpm_drct_all_160x600_lancamento-nivus-orca-rmkt-configurator-completion-nivus-lapsed-user_na_lancamento-consideracao-nivus-orca_nvl-nvs-imc-dsy-0820-10237</v>
      </c>
      <c r="AR237" s="15" t="s">
        <v>745</v>
      </c>
      <c r="AS237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160x600_lancamento-nivus-orca-rmkt-configurator-completion-nivus-lapsed-user_na_lancamento-consideracao-nivus-orca_nvl-nvs-imc-dsy-0820-10237&amp;utm_campaign=BR_IMC_DSY_LANCH_ND_NC_2020Q3AUG_NVS_Nivus-Launch-Consideracao-Orca&amp;utm_term=%epid!_%ecid!_%eaid!</v>
      </c>
      <c r="AT237" s="15" t="str">
        <f t="shared" si="111"/>
        <v>other</v>
      </c>
      <c r="AU237" s="15" t="str">
        <f t="shared" si="102"/>
        <v>BR</v>
      </c>
      <c r="AV237" s="15" t="str">
        <f t="shared" si="112"/>
        <v>dv360</v>
      </c>
      <c r="AW237" s="15" t="str">
        <f t="shared" si="113"/>
        <v>dv360</v>
      </c>
      <c r="AX237" s="15" t="str">
        <f t="shared" si="103"/>
        <v>nivus-launch-consideracao-orca</v>
      </c>
      <c r="AY237" s="15" t="str">
        <f t="shared" si="114"/>
        <v>alp_vw_dv360_imc_dsy_lanch_nd_nc_nvs_nivus-launch-consideracao-orca__configuracao_cpm_drct_all_160x600_lancamento-nivus-orca-rmkt-configurator-completion-nivus-lapsed-user_na_lancamento-consideracao-nivus-orca_nvl-nvs-imc-dsy-0820-10237</v>
      </c>
      <c r="AZ237" s="15" t="str">
        <f t="shared" si="115"/>
        <v>160x600</v>
      </c>
      <c r="BA237" s="15" t="str">
        <f t="shared" si="116"/>
        <v>lancamento-consideracao-nivus-orca</v>
      </c>
      <c r="BB237" s="28" t="s">
        <v>798</v>
      </c>
      <c r="BC237" s="28" t="s">
        <v>798</v>
      </c>
      <c r="BD237" s="38" t="str">
        <f t="shared" si="117"/>
        <v>nvl-nvs-imc-dsy-0820-10237</v>
      </c>
      <c r="BE237" s="15" t="str">
        <f t="shared" si="118"/>
        <v>BR</v>
      </c>
      <c r="BF237" s="15" t="str">
        <f t="shared" si="119"/>
        <v>paid</v>
      </c>
      <c r="BG237" s="28"/>
      <c r="BH237" s="28"/>
      <c r="BI237" s="36" t="str">
        <f t="shared" si="104"/>
        <v>https://www.vw.com.br/pt/configurador.html/__app/%2Fnivus/0.app?adlid=nvl-nvs-imc-dsy-0820-10237&amp;adplt=alp_vw_dv360_imc_dsy_lanch_nd_nc_nvs_nivus-launch-consideracao-orca__configuracao_cpm_drct_all_160x600_lancamento-nivus-orca-rmkt-configurator-completion-nivus-lapsed-user_na_lancamento-consideracao-nivus-orca_nvl-nvs-imc-dsy-0820-10237</v>
      </c>
      <c r="BL237" t="str">
        <f t="shared" si="105"/>
        <v>alp_vw_dv360_imc_dsy_lanch_nd_nc_nvs_nivus-launch-consideracao-orca__configuracao</v>
      </c>
      <c r="BM237" t="str">
        <f t="shared" si="106"/>
        <v>cpm_drct_all_160x600_lancamento-nivus-orca-rmkt-configurator-completion-nivus-lapsed-user_na</v>
      </c>
      <c r="BN237" t="str">
        <f t="shared" si="107"/>
        <v>alp_vw_dv360_imc_dsy_lanch_nd_nc_nvs_nivus-launch-consideracao-orca__configuracao_cpm_drct_all_160x600_lancamento-nivus-orca-rmkt-configurator-completion-nivus-lapsed-user_na_generico_nvl-nvs-imc-dsy-0820-10237</v>
      </c>
    </row>
    <row r="238" spans="2:66" ht="15.75" customHeight="1" x14ac:dyDescent="0.25">
      <c r="B238" s="15" t="s">
        <v>1291</v>
      </c>
      <c r="C238" s="15" t="s">
        <v>1477</v>
      </c>
      <c r="D238" s="15"/>
      <c r="E238" s="22">
        <v>44069</v>
      </c>
      <c r="F238" s="22">
        <v>44135</v>
      </c>
      <c r="G238" s="15" t="s">
        <v>651</v>
      </c>
      <c r="H238" s="41" t="s">
        <v>1266</v>
      </c>
      <c r="I238" s="15" t="s">
        <v>801</v>
      </c>
      <c r="J238" s="42" t="s">
        <v>883</v>
      </c>
      <c r="K238" s="42" t="s">
        <v>883</v>
      </c>
      <c r="L238" s="15" t="s">
        <v>676</v>
      </c>
      <c r="M238" s="15" t="s">
        <v>276</v>
      </c>
      <c r="N238" s="15" t="s">
        <v>295</v>
      </c>
      <c r="O238" s="15" t="s">
        <v>677</v>
      </c>
      <c r="P238" s="15" t="str">
        <f>VLOOKUP(Y238,'All Codes'!$BF$3:$BG$278,2,FALSE)</f>
        <v>MPU</v>
      </c>
      <c r="Q238" s="15" t="s">
        <v>179</v>
      </c>
      <c r="R238" s="15" t="s">
        <v>277</v>
      </c>
      <c r="S238" s="15" t="s">
        <v>874</v>
      </c>
      <c r="T238" s="46" t="s">
        <v>884</v>
      </c>
      <c r="U238" s="15" t="s">
        <v>876</v>
      </c>
      <c r="V238" s="15" t="s">
        <v>1275</v>
      </c>
      <c r="W238" s="15" t="s">
        <v>866</v>
      </c>
      <c r="X238" s="15" t="s">
        <v>307</v>
      </c>
      <c r="Y238" s="46" t="s">
        <v>455</v>
      </c>
      <c r="Z238" s="15"/>
      <c r="AA238" s="15"/>
      <c r="AB238" s="15"/>
      <c r="AC238" s="15"/>
      <c r="AD238" s="15"/>
      <c r="AE238" s="15"/>
      <c r="AF238" s="15"/>
      <c r="AG238" s="15"/>
      <c r="AH238" s="15" t="str">
        <f t="shared" si="97"/>
        <v>284453878</v>
      </c>
      <c r="AI238" s="21" t="str">
        <f t="shared" si="120"/>
        <v>alp_vw_dv360_imc_dsy_lanch_nd_nc_nvs_nivus-launch-consideracao-orca__configuracao_cpm_drct_all_300x250_lancamento-nivus-orca-rmkt-configurator-completion-nivus-lapsed-user_na_lancamento-consideracao-nivus-orca_nvl-nvs-imc-dsy-0820-10238</v>
      </c>
      <c r="AJ238" s="40" t="str">
        <f t="shared" si="120"/>
        <v>alp_vw_dv360_imc_dsy_lanch_nd_nc_nvs_nivus-launch-consideracao-orca__configuracao_cpm_drct_all_300x250_lancamento-nivus-orca-rmkt-configurator-completion-nivus-lapsed-user_na_lancamento-consideracao-nivus-orca_nvl-nvs-imc-dsy-0820-10238</v>
      </c>
      <c r="AK238" s="21" t="str">
        <f t="shared" si="98"/>
        <v>vw_nivus_300x250_lancamento-consideracao-nivus-orca_adserver</v>
      </c>
      <c r="AL238" s="21" t="str">
        <f t="shared" si="108"/>
        <v>https://www.vw.com.br/pt/configurador.html/__app/%2Fnivus/0.app?adlid=nvl-nvs-imc-dsy-0820-10238&amp;adplt=alp_vw_dv360_imc_dsy_lanch_nd_nc_nvs_nivus-launch-consideracao-orca__configuracao_cpm_drct_all_300x250_lancamento-nivus-orca-rmkt-configurator-completion-nivus-lapsed-user_na_lancamento-consideracao-nivus-orca_nvl-nvs-imc-dsy-0820-10238</v>
      </c>
      <c r="AM238" s="21" t="str">
        <f t="shared" si="99"/>
        <v>TAG</v>
      </c>
      <c r="AN238" s="15" t="str">
        <f t="shared" si="109"/>
        <v>DV360</v>
      </c>
      <c r="AO238" s="15" t="str">
        <f t="shared" si="110"/>
        <v>Paid-Display</v>
      </c>
      <c r="AP238" s="21" t="str">
        <f>Campanha!$B$3</f>
        <v>BR_IMC_DSY_LANCH_ND_NC_2020Q3AUG_NVS_Nivus-Launch-Consideracao-Orca</v>
      </c>
      <c r="AQ238" s="21" t="str">
        <f t="shared" si="100"/>
        <v>alp_vw_dv360_imc_dsy_lanch_nd_nc_nvs_nivus-launch-consideracao-orca__configuracao_cpm_drct_all_300x250_lancamento-nivus-orca-rmkt-configurator-completion-nivus-lapsed-user_na_lancamento-consideracao-nivus-orca_nvl-nvs-imc-dsy-0820-10238</v>
      </c>
      <c r="AR238" s="15" t="s">
        <v>745</v>
      </c>
      <c r="AS238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250_lancamento-nivus-orca-rmkt-configurator-completion-nivus-lapsed-user_na_lancamento-consideracao-nivus-orca_nvl-nvs-imc-dsy-0820-10238&amp;utm_campaign=BR_IMC_DSY_LANCH_ND_NC_2020Q3AUG_NVS_Nivus-Launch-Consideracao-Orca&amp;utm_term=%epid!_%ecid!_%eaid!</v>
      </c>
      <c r="AT238" s="15" t="str">
        <f t="shared" si="111"/>
        <v>other</v>
      </c>
      <c r="AU238" s="15" t="str">
        <f t="shared" si="102"/>
        <v>BR</v>
      </c>
      <c r="AV238" s="15" t="str">
        <f t="shared" si="112"/>
        <v>dv360</v>
      </c>
      <c r="AW238" s="15" t="str">
        <f t="shared" si="113"/>
        <v>dv360</v>
      </c>
      <c r="AX238" s="15" t="str">
        <f t="shared" si="103"/>
        <v>nivus-launch-consideracao-orca</v>
      </c>
      <c r="AY238" s="15" t="str">
        <f t="shared" si="114"/>
        <v>alp_vw_dv360_imc_dsy_lanch_nd_nc_nvs_nivus-launch-consideracao-orca__configuracao_cpm_drct_all_300x250_lancamento-nivus-orca-rmkt-configurator-completion-nivus-lapsed-user_na_lancamento-consideracao-nivus-orca_nvl-nvs-imc-dsy-0820-10238</v>
      </c>
      <c r="AZ238" s="15" t="str">
        <f t="shared" si="115"/>
        <v>300x250</v>
      </c>
      <c r="BA238" s="15" t="str">
        <f t="shared" si="116"/>
        <v>lancamento-consideracao-nivus-orca</v>
      </c>
      <c r="BB238" s="28" t="s">
        <v>798</v>
      </c>
      <c r="BC238" s="28" t="s">
        <v>798</v>
      </c>
      <c r="BD238" s="38" t="str">
        <f t="shared" si="117"/>
        <v>nvl-nvs-imc-dsy-0820-10238</v>
      </c>
      <c r="BE238" s="15" t="str">
        <f t="shared" si="118"/>
        <v>BR</v>
      </c>
      <c r="BF238" s="15" t="str">
        <f t="shared" si="119"/>
        <v>paid</v>
      </c>
      <c r="BG238" s="28"/>
      <c r="BH238" s="28"/>
      <c r="BI238" s="36" t="str">
        <f t="shared" si="104"/>
        <v>https://www.vw.com.br/pt/configurador.html/__app/%2Fnivus/0.app?adlid=nvl-nvs-imc-dsy-0820-10238&amp;adplt=alp_vw_dv360_imc_dsy_lanch_nd_nc_nvs_nivus-launch-consideracao-orca__configuracao_cpm_drct_all_300x250_lancamento-nivus-orca-rmkt-configurator-completion-nivus-lapsed-user_na_lancamento-consideracao-nivus-orca_nvl-nvs-imc-dsy-0820-10238</v>
      </c>
      <c r="BL238" t="str">
        <f t="shared" si="105"/>
        <v>alp_vw_dv360_imc_dsy_lanch_nd_nc_nvs_nivus-launch-consideracao-orca__configuracao</v>
      </c>
      <c r="BM238" t="str">
        <f t="shared" si="106"/>
        <v>cpm_drct_all_300x250_lancamento-nivus-orca-rmkt-configurator-completion-nivus-lapsed-user_na</v>
      </c>
      <c r="BN238" t="str">
        <f t="shared" si="107"/>
        <v>alp_vw_dv360_imc_dsy_lanch_nd_nc_nvs_nivus-launch-consideracao-orca__configuracao_cpm_drct_all_300x250_lancamento-nivus-orca-rmkt-configurator-completion-nivus-lapsed-user_na_generico_nvl-nvs-imc-dsy-0820-10238</v>
      </c>
    </row>
    <row r="239" spans="2:66" ht="15.75" customHeight="1" x14ac:dyDescent="0.25">
      <c r="B239" s="15" t="s">
        <v>1291</v>
      </c>
      <c r="C239" s="15" t="s">
        <v>1477</v>
      </c>
      <c r="D239" s="15"/>
      <c r="E239" s="22">
        <v>44069</v>
      </c>
      <c r="F239" s="22">
        <v>44135</v>
      </c>
      <c r="G239" s="15" t="s">
        <v>651</v>
      </c>
      <c r="H239" s="41" t="s">
        <v>1266</v>
      </c>
      <c r="I239" s="15" t="s">
        <v>801</v>
      </c>
      <c r="J239" s="42" t="s">
        <v>883</v>
      </c>
      <c r="K239" s="42" t="s">
        <v>883</v>
      </c>
      <c r="L239" s="15" t="s">
        <v>676</v>
      </c>
      <c r="M239" s="15" t="s">
        <v>276</v>
      </c>
      <c r="N239" s="15" t="s">
        <v>295</v>
      </c>
      <c r="O239" s="15" t="s">
        <v>677</v>
      </c>
      <c r="P239" s="15" t="str">
        <f>VLOOKUP(Y239,'All Codes'!$BF$3:$BG$278,2,FALSE)</f>
        <v>Skyscraper</v>
      </c>
      <c r="Q239" s="15" t="s">
        <v>179</v>
      </c>
      <c r="R239" s="15" t="s">
        <v>277</v>
      </c>
      <c r="S239" s="15" t="s">
        <v>874</v>
      </c>
      <c r="T239" s="46" t="s">
        <v>884</v>
      </c>
      <c r="U239" s="15" t="s">
        <v>876</v>
      </c>
      <c r="V239" s="15" t="s">
        <v>1275</v>
      </c>
      <c r="W239" s="15" t="s">
        <v>866</v>
      </c>
      <c r="X239" s="15" t="s">
        <v>307</v>
      </c>
      <c r="Y239" s="46" t="s">
        <v>464</v>
      </c>
      <c r="Z239" s="15"/>
      <c r="AA239" s="15"/>
      <c r="AB239" s="15"/>
      <c r="AC239" s="15"/>
      <c r="AD239" s="15"/>
      <c r="AE239" s="15"/>
      <c r="AF239" s="15"/>
      <c r="AG239" s="15"/>
      <c r="AH239" s="15" t="str">
        <f t="shared" si="97"/>
        <v>284453872</v>
      </c>
      <c r="AI239" s="21" t="str">
        <f t="shared" si="120"/>
        <v>alp_vw_dv360_imc_dsy_lanch_nd_nc_nvs_nivus-launch-consideracao-orca__configuracao_cpm_drct_all_300x600_lancamento-nivus-orca-rmkt-configurator-completion-nivus-lapsed-user_na_lancamento-consideracao-nivus-orca_nvl-nvs-imc-dsy-0820-10239</v>
      </c>
      <c r="AJ239" s="40" t="str">
        <f t="shared" si="120"/>
        <v>alp_vw_dv360_imc_dsy_lanch_nd_nc_nvs_nivus-launch-consideracao-orca__configuracao_cpm_drct_all_300x600_lancamento-nivus-orca-rmkt-configurator-completion-nivus-lapsed-user_na_lancamento-consideracao-nivus-orca_nvl-nvs-imc-dsy-0820-10239</v>
      </c>
      <c r="AK239" s="21" t="str">
        <f t="shared" si="98"/>
        <v>vw_nivus_300x600_lancamento-consideracao-nivus-orca_adserver</v>
      </c>
      <c r="AL239" s="21" t="str">
        <f t="shared" si="108"/>
        <v>https://www.vw.com.br/pt/configurador.html/__app/%2Fnivus/0.app?adlid=nvl-nvs-imc-dsy-0820-10239&amp;adplt=alp_vw_dv360_imc_dsy_lanch_nd_nc_nvs_nivus-launch-consideracao-orca__configuracao_cpm_drct_all_300x600_lancamento-nivus-orca-rmkt-configurator-completion-nivus-lapsed-user_na_lancamento-consideracao-nivus-orca_nvl-nvs-imc-dsy-0820-10239</v>
      </c>
      <c r="AM239" s="21" t="str">
        <f t="shared" si="99"/>
        <v>TAG</v>
      </c>
      <c r="AN239" s="15" t="str">
        <f t="shared" si="109"/>
        <v>DV360</v>
      </c>
      <c r="AO239" s="15" t="str">
        <f t="shared" si="110"/>
        <v>Paid-Display</v>
      </c>
      <c r="AP239" s="21" t="str">
        <f>Campanha!$B$3</f>
        <v>BR_IMC_DSY_LANCH_ND_NC_2020Q3AUG_NVS_Nivus-Launch-Consideracao-Orca</v>
      </c>
      <c r="AQ239" s="21" t="str">
        <f t="shared" si="100"/>
        <v>alp_vw_dv360_imc_dsy_lanch_nd_nc_nvs_nivus-launch-consideracao-orca__configuracao_cpm_drct_all_300x600_lancamento-nivus-orca-rmkt-configurator-completion-nivus-lapsed-user_na_lancamento-consideracao-nivus-orca_nvl-nvs-imc-dsy-0820-10239</v>
      </c>
      <c r="AR239" s="15" t="s">
        <v>745</v>
      </c>
      <c r="AS239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600_lancamento-nivus-orca-rmkt-configurator-completion-nivus-lapsed-user_na_lancamento-consideracao-nivus-orca_nvl-nvs-imc-dsy-0820-10239&amp;utm_campaign=BR_IMC_DSY_LANCH_ND_NC_2020Q3AUG_NVS_Nivus-Launch-Consideracao-Orca&amp;utm_term=%epid!_%ecid!_%eaid!</v>
      </c>
      <c r="AT239" s="15" t="str">
        <f t="shared" si="111"/>
        <v>other</v>
      </c>
      <c r="AU239" s="15" t="str">
        <f t="shared" si="102"/>
        <v>BR</v>
      </c>
      <c r="AV239" s="15" t="str">
        <f t="shared" si="112"/>
        <v>dv360</v>
      </c>
      <c r="AW239" s="15" t="str">
        <f t="shared" si="113"/>
        <v>dv360</v>
      </c>
      <c r="AX239" s="15" t="str">
        <f t="shared" si="103"/>
        <v>nivus-launch-consideracao-orca</v>
      </c>
      <c r="AY239" s="15" t="str">
        <f t="shared" si="114"/>
        <v>alp_vw_dv360_imc_dsy_lanch_nd_nc_nvs_nivus-launch-consideracao-orca__configuracao_cpm_drct_all_300x600_lancamento-nivus-orca-rmkt-configurator-completion-nivus-lapsed-user_na_lancamento-consideracao-nivus-orca_nvl-nvs-imc-dsy-0820-10239</v>
      </c>
      <c r="AZ239" s="15" t="str">
        <f t="shared" si="115"/>
        <v>300x600</v>
      </c>
      <c r="BA239" s="15" t="str">
        <f t="shared" si="116"/>
        <v>lancamento-consideracao-nivus-orca</v>
      </c>
      <c r="BB239" s="28" t="s">
        <v>798</v>
      </c>
      <c r="BC239" s="28" t="s">
        <v>798</v>
      </c>
      <c r="BD239" s="38" t="str">
        <f t="shared" si="117"/>
        <v>nvl-nvs-imc-dsy-0820-10239</v>
      </c>
      <c r="BE239" s="15" t="str">
        <f t="shared" si="118"/>
        <v>BR</v>
      </c>
      <c r="BF239" s="15" t="str">
        <f t="shared" si="119"/>
        <v>paid</v>
      </c>
      <c r="BG239" s="28"/>
      <c r="BH239" s="28"/>
      <c r="BI239" s="36" t="str">
        <f t="shared" si="104"/>
        <v>https://www.vw.com.br/pt/configurador.html/__app/%2Fnivus/0.app?adlid=nvl-nvs-imc-dsy-0820-10239&amp;adplt=alp_vw_dv360_imc_dsy_lanch_nd_nc_nvs_nivus-launch-consideracao-orca__configuracao_cpm_drct_all_300x600_lancamento-nivus-orca-rmkt-configurator-completion-nivus-lapsed-user_na_lancamento-consideracao-nivus-orca_nvl-nvs-imc-dsy-0820-10239</v>
      </c>
      <c r="BL239" t="str">
        <f t="shared" si="105"/>
        <v>alp_vw_dv360_imc_dsy_lanch_nd_nc_nvs_nivus-launch-consideracao-orca__configuracao</v>
      </c>
      <c r="BM239" t="str">
        <f t="shared" si="106"/>
        <v>cpm_drct_all_300x600_lancamento-nivus-orca-rmkt-configurator-completion-nivus-lapsed-user_na</v>
      </c>
      <c r="BN239" t="str">
        <f t="shared" si="107"/>
        <v>alp_vw_dv360_imc_dsy_lanch_nd_nc_nvs_nivus-launch-consideracao-orca__configuracao_cpm_drct_all_300x600_lancamento-nivus-orca-rmkt-configurator-completion-nivus-lapsed-user_na_generico_nvl-nvs-imc-dsy-0820-10239</v>
      </c>
    </row>
    <row r="240" spans="2:66" ht="15.75" customHeight="1" x14ac:dyDescent="0.25">
      <c r="B240" s="15" t="s">
        <v>1291</v>
      </c>
      <c r="C240" s="15" t="s">
        <v>1477</v>
      </c>
      <c r="D240" s="15"/>
      <c r="E240" s="22">
        <v>44069</v>
      </c>
      <c r="F240" s="22">
        <v>44135</v>
      </c>
      <c r="G240" s="15" t="s">
        <v>651</v>
      </c>
      <c r="H240" s="41" t="s">
        <v>1266</v>
      </c>
      <c r="I240" s="15" t="s">
        <v>801</v>
      </c>
      <c r="J240" s="42" t="s">
        <v>883</v>
      </c>
      <c r="K240" s="42" t="s">
        <v>883</v>
      </c>
      <c r="L240" s="15" t="s">
        <v>676</v>
      </c>
      <c r="M240" s="15" t="s">
        <v>276</v>
      </c>
      <c r="N240" s="15" t="s">
        <v>295</v>
      </c>
      <c r="O240" s="15" t="s">
        <v>677</v>
      </c>
      <c r="P240" s="15" t="str">
        <f>VLOOKUP(Y240,'All Codes'!$BF$3:$BG$278,2,FALSE)</f>
        <v>MPU</v>
      </c>
      <c r="Q240" s="15" t="s">
        <v>179</v>
      </c>
      <c r="R240" s="15" t="s">
        <v>277</v>
      </c>
      <c r="S240" s="15" t="s">
        <v>874</v>
      </c>
      <c r="T240" s="46" t="s">
        <v>884</v>
      </c>
      <c r="U240" s="15" t="s">
        <v>876</v>
      </c>
      <c r="V240" s="15" t="s">
        <v>1275</v>
      </c>
      <c r="W240" s="15" t="s">
        <v>866</v>
      </c>
      <c r="X240" s="15" t="s">
        <v>307</v>
      </c>
      <c r="Y240" s="46" t="s">
        <v>479</v>
      </c>
      <c r="Z240" s="15"/>
      <c r="AA240" s="15"/>
      <c r="AB240" s="15"/>
      <c r="AC240" s="15"/>
      <c r="AD240" s="15"/>
      <c r="AE240" s="15"/>
      <c r="AF240" s="15"/>
      <c r="AG240" s="15"/>
      <c r="AH240" s="15" t="str">
        <f t="shared" si="97"/>
        <v>284453866</v>
      </c>
      <c r="AI240" s="21" t="str">
        <f t="shared" si="120"/>
        <v>alp_vw_dv360_imc_dsy_lanch_nd_nc_nvs_nivus-launch-consideracao-orca__configuracao_cpm_drct_all_320x50_lancamento-nivus-orca-rmkt-configurator-completion-nivus-lapsed-user_na_lancamento-consideracao-nivus-orca_nvl-nvs-imc-dsy-0820-10240</v>
      </c>
      <c r="AJ240" s="40" t="str">
        <f t="shared" si="120"/>
        <v>alp_vw_dv360_imc_dsy_lanch_nd_nc_nvs_nivus-launch-consideracao-orca__configuracao_cpm_drct_all_320x50_lancamento-nivus-orca-rmkt-configurator-completion-nivus-lapsed-user_na_lancamento-consideracao-nivus-orca_nvl-nvs-imc-dsy-0820-10240</v>
      </c>
      <c r="AK240" s="21" t="str">
        <f t="shared" si="98"/>
        <v>vw_nivus_320x50_lancamento-consideracao-nivus-orca_adserver</v>
      </c>
      <c r="AL240" s="21" t="str">
        <f t="shared" si="108"/>
        <v>https://www.vw.com.br/pt/configurador.html/__app/%2Fnivus/0.app?adlid=nvl-nvs-imc-dsy-0820-10240&amp;adplt=alp_vw_dv360_imc_dsy_lanch_nd_nc_nvs_nivus-launch-consideracao-orca__configuracao_cpm_drct_all_320x50_lancamento-nivus-orca-rmkt-configurator-completion-nivus-lapsed-user_na_lancamento-consideracao-nivus-orca_nvl-nvs-imc-dsy-0820-10240</v>
      </c>
      <c r="AM240" s="21" t="str">
        <f t="shared" si="99"/>
        <v>TAG</v>
      </c>
      <c r="AN240" s="15" t="str">
        <f t="shared" si="109"/>
        <v>DV360</v>
      </c>
      <c r="AO240" s="15" t="str">
        <f t="shared" si="110"/>
        <v>Paid-Display</v>
      </c>
      <c r="AP240" s="21" t="str">
        <f>Campanha!$B$3</f>
        <v>BR_IMC_DSY_LANCH_ND_NC_2020Q3AUG_NVS_Nivus-Launch-Consideracao-Orca</v>
      </c>
      <c r="AQ240" s="21" t="str">
        <f t="shared" si="100"/>
        <v>alp_vw_dv360_imc_dsy_lanch_nd_nc_nvs_nivus-launch-consideracao-orca__configuracao_cpm_drct_all_320x50_lancamento-nivus-orca-rmkt-configurator-completion-nivus-lapsed-user_na_lancamento-consideracao-nivus-orca_nvl-nvs-imc-dsy-0820-10240</v>
      </c>
      <c r="AR240" s="15" t="s">
        <v>745</v>
      </c>
      <c r="AS240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configurator-completion-nivus-lapsed-user_na_lancamento-consideracao-nivus-orca_nvl-nvs-imc-dsy-0820-10240&amp;utm_campaign=BR_IMC_DSY_LANCH_ND_NC_2020Q3AUG_NVS_Nivus-Launch-Consideracao-Orca&amp;utm_term=%epid!_%ecid!_%eaid!</v>
      </c>
      <c r="AT240" s="15" t="str">
        <f t="shared" si="111"/>
        <v>other</v>
      </c>
      <c r="AU240" s="15" t="str">
        <f t="shared" si="102"/>
        <v>BR</v>
      </c>
      <c r="AV240" s="15" t="str">
        <f t="shared" si="112"/>
        <v>dv360</v>
      </c>
      <c r="AW240" s="15" t="str">
        <f t="shared" si="113"/>
        <v>dv360</v>
      </c>
      <c r="AX240" s="15" t="str">
        <f t="shared" si="103"/>
        <v>nivus-launch-consideracao-orca</v>
      </c>
      <c r="AY240" s="15" t="str">
        <f t="shared" si="114"/>
        <v>alp_vw_dv360_imc_dsy_lanch_nd_nc_nvs_nivus-launch-consideracao-orca__configuracao_cpm_drct_all_320x50_lancamento-nivus-orca-rmkt-configurator-completion-nivus-lapsed-user_na_lancamento-consideracao-nivus-orca_nvl-nvs-imc-dsy-0820-10240</v>
      </c>
      <c r="AZ240" s="15" t="str">
        <f t="shared" si="115"/>
        <v>320x50</v>
      </c>
      <c r="BA240" s="15" t="str">
        <f t="shared" si="116"/>
        <v>lancamento-consideracao-nivus-orca</v>
      </c>
      <c r="BB240" s="28" t="s">
        <v>798</v>
      </c>
      <c r="BC240" s="28" t="s">
        <v>798</v>
      </c>
      <c r="BD240" s="38" t="str">
        <f t="shared" si="117"/>
        <v>nvl-nvs-imc-dsy-0820-10240</v>
      </c>
      <c r="BE240" s="15" t="str">
        <f t="shared" si="118"/>
        <v>BR</v>
      </c>
      <c r="BF240" s="15" t="str">
        <f t="shared" si="119"/>
        <v>paid</v>
      </c>
      <c r="BG240" s="28"/>
      <c r="BH240" s="28"/>
      <c r="BI240" s="36" t="str">
        <f t="shared" si="104"/>
        <v>https://www.vw.com.br/pt/configurador.html/__app/%2Fnivus/0.app?adlid=nvl-nvs-imc-dsy-0820-10240&amp;adplt=alp_vw_dv360_imc_dsy_lanch_nd_nc_nvs_nivus-launch-consideracao-orca__configuracao_cpm_drct_all_320x50_lancamento-nivus-orca-rmkt-configurator-completion-nivus-lapsed-user_na_lancamento-consideracao-nivus-orca_nvl-nvs-imc-dsy-0820-10240</v>
      </c>
      <c r="BL240" t="str">
        <f t="shared" si="105"/>
        <v>alp_vw_dv360_imc_dsy_lanch_nd_nc_nvs_nivus-launch-consideracao-orca__configuracao</v>
      </c>
      <c r="BM240" t="str">
        <f t="shared" si="106"/>
        <v>cpm_drct_all_320x50_lancamento-nivus-orca-rmkt-configurator-completion-nivus-lapsed-user_na</v>
      </c>
      <c r="BN240" t="str">
        <f t="shared" si="107"/>
        <v>alp_vw_dv360_imc_dsy_lanch_nd_nc_nvs_nivus-launch-consideracao-orca__configuracao_cpm_drct_all_320x50_lancamento-nivus-orca-rmkt-configurator-completion-nivus-lapsed-user_na_generico_nvl-nvs-imc-dsy-0820-10240</v>
      </c>
    </row>
    <row r="241" spans="2:66" ht="15.75" customHeight="1" x14ac:dyDescent="0.25">
      <c r="B241" s="15" t="s">
        <v>1291</v>
      </c>
      <c r="C241" s="15" t="s">
        <v>1477</v>
      </c>
      <c r="D241" s="15"/>
      <c r="E241" s="22">
        <v>44069</v>
      </c>
      <c r="F241" s="22">
        <v>44135</v>
      </c>
      <c r="G241" s="15" t="s">
        <v>651</v>
      </c>
      <c r="H241" s="41" t="s">
        <v>1266</v>
      </c>
      <c r="I241" s="15" t="s">
        <v>801</v>
      </c>
      <c r="J241" s="42" t="s">
        <v>883</v>
      </c>
      <c r="K241" s="42" t="s">
        <v>883</v>
      </c>
      <c r="L241" s="15" t="s">
        <v>676</v>
      </c>
      <c r="M241" s="15" t="s">
        <v>276</v>
      </c>
      <c r="N241" s="15" t="s">
        <v>295</v>
      </c>
      <c r="O241" s="15" t="s">
        <v>677</v>
      </c>
      <c r="P241" s="15" t="str">
        <f>VLOOKUP(Y241,'All Codes'!$BF$3:$BG$278,2,FALSE)</f>
        <v>Leaderboard</v>
      </c>
      <c r="Q241" s="15" t="s">
        <v>179</v>
      </c>
      <c r="R241" s="15" t="s">
        <v>277</v>
      </c>
      <c r="S241" s="15" t="s">
        <v>874</v>
      </c>
      <c r="T241" s="46" t="s">
        <v>884</v>
      </c>
      <c r="U241" s="15" t="s">
        <v>876</v>
      </c>
      <c r="V241" s="15" t="s">
        <v>1275</v>
      </c>
      <c r="W241" s="15" t="s">
        <v>866</v>
      </c>
      <c r="X241" s="15" t="s">
        <v>307</v>
      </c>
      <c r="Y241" s="46" t="s">
        <v>591</v>
      </c>
      <c r="Z241" s="15"/>
      <c r="AA241" s="15"/>
      <c r="AB241" s="15"/>
      <c r="AC241" s="15"/>
      <c r="AD241" s="15"/>
      <c r="AE241" s="15"/>
      <c r="AF241" s="15"/>
      <c r="AG241" s="15"/>
      <c r="AH241" s="15" t="str">
        <f t="shared" si="97"/>
        <v>284453860</v>
      </c>
      <c r="AI241" s="21" t="str">
        <f t="shared" si="120"/>
        <v>alp_vw_dv360_imc_dsy_lanch_nd_nc_nvs_nivus-launch-consideracao-orca__configuracao_cpm_drct_all_728x90_lancamento-nivus-orca-rmkt-configurator-completion-nivus-lapsed-user_na_lancamento-consideracao-nivus-orca_nvl-nvs-imc-dsy-0820-10241</v>
      </c>
      <c r="AJ241" s="40" t="str">
        <f t="shared" si="120"/>
        <v>alp_vw_dv360_imc_dsy_lanch_nd_nc_nvs_nivus-launch-consideracao-orca__configuracao_cpm_drct_all_728x90_lancamento-nivus-orca-rmkt-configurator-completion-nivus-lapsed-user_na_lancamento-consideracao-nivus-orca_nvl-nvs-imc-dsy-0820-10241</v>
      </c>
      <c r="AK241" s="21" t="str">
        <f t="shared" si="98"/>
        <v>vw_nivus_728x90_lancamento-consideracao-nivus-orca_adserver</v>
      </c>
      <c r="AL241" s="21" t="str">
        <f t="shared" si="108"/>
        <v>https://www.vw.com.br/pt/configurador.html/__app/%2Fnivus/0.app?adlid=nvl-nvs-imc-dsy-0820-10241&amp;adplt=alp_vw_dv360_imc_dsy_lanch_nd_nc_nvs_nivus-launch-consideracao-orca__configuracao_cpm_drct_all_728x90_lancamento-nivus-orca-rmkt-configurator-completion-nivus-lapsed-user_na_lancamento-consideracao-nivus-orca_nvl-nvs-imc-dsy-0820-10241</v>
      </c>
      <c r="AM241" s="21" t="str">
        <f t="shared" si="99"/>
        <v>TAG</v>
      </c>
      <c r="AN241" s="15" t="str">
        <f t="shared" si="109"/>
        <v>DV360</v>
      </c>
      <c r="AO241" s="15" t="str">
        <f t="shared" si="110"/>
        <v>Paid-Display</v>
      </c>
      <c r="AP241" s="21" t="str">
        <f>Campanha!$B$3</f>
        <v>BR_IMC_DSY_LANCH_ND_NC_2020Q3AUG_NVS_Nivus-Launch-Consideracao-Orca</v>
      </c>
      <c r="AQ241" s="21" t="str">
        <f t="shared" si="100"/>
        <v>alp_vw_dv360_imc_dsy_lanch_nd_nc_nvs_nivus-launch-consideracao-orca__configuracao_cpm_drct_all_728x90_lancamento-nivus-orca-rmkt-configurator-completion-nivus-lapsed-user_na_lancamento-consideracao-nivus-orca_nvl-nvs-imc-dsy-0820-10241</v>
      </c>
      <c r="AR241" s="15" t="s">
        <v>745</v>
      </c>
      <c r="AS241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configurator-completion-nivus-lapsed-user_na_lancamento-consideracao-nivus-orca_nvl-nvs-imc-dsy-0820-10241&amp;utm_campaign=BR_IMC_DSY_LANCH_ND_NC_2020Q3AUG_NVS_Nivus-Launch-Consideracao-Orca&amp;utm_term=%epid!_%ecid!_%eaid!</v>
      </c>
      <c r="AT241" s="15" t="str">
        <f t="shared" si="111"/>
        <v>other</v>
      </c>
      <c r="AU241" s="15" t="str">
        <f t="shared" si="102"/>
        <v>BR</v>
      </c>
      <c r="AV241" s="15" t="str">
        <f t="shared" si="112"/>
        <v>dv360</v>
      </c>
      <c r="AW241" s="15" t="str">
        <f t="shared" si="113"/>
        <v>dv360</v>
      </c>
      <c r="AX241" s="15" t="str">
        <f t="shared" si="103"/>
        <v>nivus-launch-consideracao-orca</v>
      </c>
      <c r="AY241" s="15" t="str">
        <f t="shared" si="114"/>
        <v>alp_vw_dv360_imc_dsy_lanch_nd_nc_nvs_nivus-launch-consideracao-orca__configuracao_cpm_drct_all_728x90_lancamento-nivus-orca-rmkt-configurator-completion-nivus-lapsed-user_na_lancamento-consideracao-nivus-orca_nvl-nvs-imc-dsy-0820-10241</v>
      </c>
      <c r="AZ241" s="15" t="str">
        <f t="shared" si="115"/>
        <v>728x90</v>
      </c>
      <c r="BA241" s="15" t="str">
        <f t="shared" si="116"/>
        <v>lancamento-consideracao-nivus-orca</v>
      </c>
      <c r="BB241" s="28" t="s">
        <v>798</v>
      </c>
      <c r="BC241" s="28" t="s">
        <v>798</v>
      </c>
      <c r="BD241" s="38" t="str">
        <f t="shared" si="117"/>
        <v>nvl-nvs-imc-dsy-0820-10241</v>
      </c>
      <c r="BE241" s="15" t="str">
        <f t="shared" si="118"/>
        <v>BR</v>
      </c>
      <c r="BF241" s="15" t="str">
        <f t="shared" si="119"/>
        <v>paid</v>
      </c>
      <c r="BG241" s="28"/>
      <c r="BH241" s="28"/>
      <c r="BI241" s="36" t="str">
        <f t="shared" si="104"/>
        <v>https://www.vw.com.br/pt/configurador.html/__app/%2Fnivus/0.app?adlid=nvl-nvs-imc-dsy-0820-10241&amp;adplt=alp_vw_dv360_imc_dsy_lanch_nd_nc_nvs_nivus-launch-consideracao-orca__configuracao_cpm_drct_all_728x90_lancamento-nivus-orca-rmkt-configurator-completion-nivus-lapsed-user_na_lancamento-consideracao-nivus-orca_nvl-nvs-imc-dsy-0820-10241</v>
      </c>
      <c r="BL241" t="str">
        <f t="shared" si="105"/>
        <v>alp_vw_dv360_imc_dsy_lanch_nd_nc_nvs_nivus-launch-consideracao-orca__configuracao</v>
      </c>
      <c r="BM241" t="str">
        <f t="shared" si="106"/>
        <v>cpm_drct_all_728x90_lancamento-nivus-orca-rmkt-configurator-completion-nivus-lapsed-user_na</v>
      </c>
      <c r="BN241" t="str">
        <f t="shared" si="107"/>
        <v>alp_vw_dv360_imc_dsy_lanch_nd_nc_nvs_nivus-launch-consideracao-orca__configuracao_cpm_drct_all_728x90_lancamento-nivus-orca-rmkt-configurator-completion-nivus-lapsed-user_na_generico_nvl-nvs-imc-dsy-0820-10241</v>
      </c>
    </row>
    <row r="242" spans="2:66" ht="15.75" customHeight="1" x14ac:dyDescent="0.25">
      <c r="B242" s="15" t="s">
        <v>1291</v>
      </c>
      <c r="C242" s="15" t="s">
        <v>1477</v>
      </c>
      <c r="D242" s="15"/>
      <c r="E242" s="22">
        <v>44069</v>
      </c>
      <c r="F242" s="22">
        <v>44135</v>
      </c>
      <c r="G242" s="15" t="s">
        <v>651</v>
      </c>
      <c r="H242" s="41" t="s">
        <v>1266</v>
      </c>
      <c r="I242" s="15" t="s">
        <v>801</v>
      </c>
      <c r="J242" s="42" t="s">
        <v>883</v>
      </c>
      <c r="K242" s="42" t="s">
        <v>883</v>
      </c>
      <c r="L242" s="15" t="s">
        <v>676</v>
      </c>
      <c r="M242" s="15" t="s">
        <v>276</v>
      </c>
      <c r="N242" s="15" t="s">
        <v>295</v>
      </c>
      <c r="O242" s="15" t="s">
        <v>677</v>
      </c>
      <c r="P242" s="15" t="str">
        <f>VLOOKUP(Y242,'All Codes'!$BF$3:$BG$278,2,FALSE)</f>
        <v>Leaderboard</v>
      </c>
      <c r="Q242" s="15" t="s">
        <v>179</v>
      </c>
      <c r="R242" s="15" t="s">
        <v>277</v>
      </c>
      <c r="S242" s="15" t="s">
        <v>874</v>
      </c>
      <c r="T242" s="46" t="s">
        <v>884</v>
      </c>
      <c r="U242" s="15" t="s">
        <v>876</v>
      </c>
      <c r="V242" s="15" t="s">
        <v>1275</v>
      </c>
      <c r="W242" s="15" t="s">
        <v>866</v>
      </c>
      <c r="X242" s="15" t="s">
        <v>307</v>
      </c>
      <c r="Y242" s="46" t="s">
        <v>629</v>
      </c>
      <c r="Z242" s="15"/>
      <c r="AA242" s="15"/>
      <c r="AB242" s="15"/>
      <c r="AC242" s="15"/>
      <c r="AD242" s="15"/>
      <c r="AE242" s="15"/>
      <c r="AF242" s="15"/>
      <c r="AG242" s="15"/>
      <c r="AH242" s="15" t="str">
        <f t="shared" si="97"/>
        <v>284453854</v>
      </c>
      <c r="AI242" s="21" t="str">
        <f t="shared" si="120"/>
        <v>alp_vw_dv360_imc_dsy_lanch_nd_nc_nvs_nivus-launch-consideracao-orca__configuracao_cpm_drct_all_970x250_lancamento-nivus-orca-rmkt-configurator-completion-nivus-lapsed-user_na_lancamento-consideracao-nivus-orca_nvl-nvs-imc-dsy-0820-10242</v>
      </c>
      <c r="AJ242" s="40" t="str">
        <f t="shared" si="120"/>
        <v>alp_vw_dv360_imc_dsy_lanch_nd_nc_nvs_nivus-launch-consideracao-orca__configuracao_cpm_drct_all_970x250_lancamento-nivus-orca-rmkt-configurator-completion-nivus-lapsed-user_na_lancamento-consideracao-nivus-orca_nvl-nvs-imc-dsy-0820-10242</v>
      </c>
      <c r="AK242" s="21" t="str">
        <f t="shared" si="98"/>
        <v>vw_nivus_970x250_lancamento-consideracao-nivus-orca_adserver</v>
      </c>
      <c r="AL242" s="21" t="str">
        <f t="shared" si="108"/>
        <v>https://www.vw.com.br/pt/configurador.html/__app/%2Fnivus/0.app?adlid=nvl-nvs-imc-dsy-0820-10242&amp;adplt=alp_vw_dv360_imc_dsy_lanch_nd_nc_nvs_nivus-launch-consideracao-orca__configuracao_cpm_drct_all_970x250_lancamento-nivus-orca-rmkt-configurator-completion-nivus-lapsed-user_na_lancamento-consideracao-nivus-orca_nvl-nvs-imc-dsy-0820-10242</v>
      </c>
      <c r="AM242" s="21" t="str">
        <f t="shared" si="99"/>
        <v>TAG</v>
      </c>
      <c r="AN242" s="15" t="str">
        <f t="shared" si="109"/>
        <v>DV360</v>
      </c>
      <c r="AO242" s="15" t="str">
        <f t="shared" si="110"/>
        <v>Paid-Display</v>
      </c>
      <c r="AP242" s="21" t="str">
        <f>Campanha!$B$3</f>
        <v>BR_IMC_DSY_LANCH_ND_NC_2020Q3AUG_NVS_Nivus-Launch-Consideracao-Orca</v>
      </c>
      <c r="AQ242" s="21" t="str">
        <f t="shared" si="100"/>
        <v>alp_vw_dv360_imc_dsy_lanch_nd_nc_nvs_nivus-launch-consideracao-orca__configuracao_cpm_drct_all_970x250_lancamento-nivus-orca-rmkt-configurator-completion-nivus-lapsed-user_na_lancamento-consideracao-nivus-orca_nvl-nvs-imc-dsy-0820-10242</v>
      </c>
      <c r="AR242" s="15" t="s">
        <v>745</v>
      </c>
      <c r="AS242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configurator-completion-nivus-lapsed-user_na_lancamento-consideracao-nivus-orca_nvl-nvs-imc-dsy-0820-10242&amp;utm_campaign=BR_IMC_DSY_LANCH_ND_NC_2020Q3AUG_NVS_Nivus-Launch-Consideracao-Orca&amp;utm_term=%epid!_%ecid!_%eaid!</v>
      </c>
      <c r="AT242" s="15" t="str">
        <f t="shared" si="111"/>
        <v>other</v>
      </c>
      <c r="AU242" s="15" t="str">
        <f t="shared" si="102"/>
        <v>BR</v>
      </c>
      <c r="AV242" s="15" t="str">
        <f t="shared" si="112"/>
        <v>dv360</v>
      </c>
      <c r="AW242" s="15" t="str">
        <f t="shared" si="113"/>
        <v>dv360</v>
      </c>
      <c r="AX242" s="15" t="str">
        <f t="shared" si="103"/>
        <v>nivus-launch-consideracao-orca</v>
      </c>
      <c r="AY242" s="15" t="str">
        <f t="shared" si="114"/>
        <v>alp_vw_dv360_imc_dsy_lanch_nd_nc_nvs_nivus-launch-consideracao-orca__configuracao_cpm_drct_all_970x250_lancamento-nivus-orca-rmkt-configurator-completion-nivus-lapsed-user_na_lancamento-consideracao-nivus-orca_nvl-nvs-imc-dsy-0820-10242</v>
      </c>
      <c r="AZ242" s="15" t="str">
        <f t="shared" si="115"/>
        <v>970x250</v>
      </c>
      <c r="BA242" s="15" t="str">
        <f t="shared" si="116"/>
        <v>lancamento-consideracao-nivus-orca</v>
      </c>
      <c r="BB242" s="28" t="s">
        <v>798</v>
      </c>
      <c r="BC242" s="28" t="s">
        <v>798</v>
      </c>
      <c r="BD242" s="38" t="str">
        <f t="shared" si="117"/>
        <v>nvl-nvs-imc-dsy-0820-10242</v>
      </c>
      <c r="BE242" s="15" t="str">
        <f t="shared" si="118"/>
        <v>BR</v>
      </c>
      <c r="BF242" s="15" t="str">
        <f t="shared" si="119"/>
        <v>paid</v>
      </c>
      <c r="BG242" s="28"/>
      <c r="BH242" s="28"/>
      <c r="BI242" s="36" t="str">
        <f t="shared" si="104"/>
        <v>https://www.vw.com.br/pt/configurador.html/__app/%2Fnivus/0.app?adlid=nvl-nvs-imc-dsy-0820-10242&amp;adplt=alp_vw_dv360_imc_dsy_lanch_nd_nc_nvs_nivus-launch-consideracao-orca__configuracao_cpm_drct_all_970x250_lancamento-nivus-orca-rmkt-configurator-completion-nivus-lapsed-user_na_lancamento-consideracao-nivus-orca_nvl-nvs-imc-dsy-0820-10242</v>
      </c>
      <c r="BL242" t="str">
        <f t="shared" si="105"/>
        <v>alp_vw_dv360_imc_dsy_lanch_nd_nc_nvs_nivus-launch-consideracao-orca__configuracao</v>
      </c>
      <c r="BM242" t="str">
        <f t="shared" si="106"/>
        <v>cpm_drct_all_970x250_lancamento-nivus-orca-rmkt-configurator-completion-nivus-lapsed-user_na</v>
      </c>
      <c r="BN242" t="str">
        <f t="shared" si="107"/>
        <v>alp_vw_dv360_imc_dsy_lanch_nd_nc_nvs_nivus-launch-consideracao-orca__configuracao_cpm_drct_all_970x250_lancamento-nivus-orca-rmkt-configurator-completion-nivus-lapsed-user_na_generico_nvl-nvs-imc-dsy-0820-10242</v>
      </c>
    </row>
    <row r="243" spans="2:66" ht="15.75" customHeight="1" x14ac:dyDescent="0.25">
      <c r="B243" s="15" t="s">
        <v>1291</v>
      </c>
      <c r="C243" s="15" t="s">
        <v>1477</v>
      </c>
      <c r="D243" s="15"/>
      <c r="E243" s="22">
        <v>44069</v>
      </c>
      <c r="F243" s="22">
        <v>44135</v>
      </c>
      <c r="G243" s="15" t="s">
        <v>651</v>
      </c>
      <c r="H243" s="41" t="s">
        <v>1266</v>
      </c>
      <c r="I243" s="15" t="s">
        <v>801</v>
      </c>
      <c r="J243" s="42" t="s">
        <v>883</v>
      </c>
      <c r="K243" s="42" t="s">
        <v>883</v>
      </c>
      <c r="L243" s="15" t="s">
        <v>676</v>
      </c>
      <c r="M243" s="15" t="s">
        <v>276</v>
      </c>
      <c r="N243" s="15" t="s">
        <v>295</v>
      </c>
      <c r="O243" s="15" t="s">
        <v>677</v>
      </c>
      <c r="P243" s="15" t="str">
        <f>VLOOKUP(Y243,'All Codes'!$BF$3:$BG$278,2,FALSE)</f>
        <v>MPU</v>
      </c>
      <c r="Q243" s="15" t="s">
        <v>179</v>
      </c>
      <c r="R243" s="15" t="s">
        <v>277</v>
      </c>
      <c r="S243" s="15" t="s">
        <v>874</v>
      </c>
      <c r="T243" s="46" t="s">
        <v>884</v>
      </c>
      <c r="U243" s="15" t="s">
        <v>876</v>
      </c>
      <c r="V243" s="15" t="s">
        <v>1276</v>
      </c>
      <c r="W243" s="15" t="s">
        <v>866</v>
      </c>
      <c r="X243" s="15" t="s">
        <v>307</v>
      </c>
      <c r="Y243" s="46" t="s">
        <v>461</v>
      </c>
      <c r="Z243" s="15"/>
      <c r="AA243" s="15"/>
      <c r="AB243" s="15"/>
      <c r="AC243" s="15"/>
      <c r="AD243" s="15"/>
      <c r="AE243" s="15"/>
      <c r="AF243" s="15"/>
      <c r="AG243" s="15"/>
      <c r="AH243" s="15" t="str">
        <f t="shared" si="97"/>
        <v>284453848</v>
      </c>
      <c r="AI243" s="21" t="str">
        <f t="shared" si="120"/>
        <v>alp_vw_dv360_imc_dsy_lanch_nd_nc_nvs_nivus-launch-consideracao-orca__configuracao_cpm_drct_all_300x50_lancamento-nivus-orca-rmkt-dealer-selection-form-lapsed-user_na_lancamento-consideracao-nivus-orca_nvl-nvs-imc-dsy-0820-10243</v>
      </c>
      <c r="AJ243" s="40" t="str">
        <f t="shared" si="120"/>
        <v>alp_vw_dv360_imc_dsy_lanch_nd_nc_nvs_nivus-launch-consideracao-orca__configuracao_cpm_drct_all_300x50_lancamento-nivus-orca-rmkt-dealer-selection-form-lapsed-user_na_lancamento-consideracao-nivus-orca_nvl-nvs-imc-dsy-0820-10243</v>
      </c>
      <c r="AK243" s="21" t="str">
        <f t="shared" si="98"/>
        <v>vw_nivus_300x50_lancamento-consideracao-nivus-orca_adserver</v>
      </c>
      <c r="AL243" s="21" t="str">
        <f t="shared" si="108"/>
        <v>https://www.vw.com.br/pt/configurador.html/__app/%2Fnivus/0.app?adlid=nvl-nvs-imc-dsy-0820-10243&amp;adplt=alp_vw_dv360_imc_dsy_lanch_nd_nc_nvs_nivus-launch-consideracao-orca__configuracao_cpm_drct_all_300x50_lancamento-nivus-orca-rmkt-dealer-selection-form-lapsed-user_na_lancamento-consideracao-nivus-orca_nvl-nvs-imc-dsy-0820-10243</v>
      </c>
      <c r="AM243" s="21" t="str">
        <f t="shared" si="99"/>
        <v>TAG</v>
      </c>
      <c r="AN243" s="15" t="str">
        <f t="shared" si="109"/>
        <v>DV360</v>
      </c>
      <c r="AO243" s="15" t="str">
        <f t="shared" si="110"/>
        <v>Paid-Display</v>
      </c>
      <c r="AP243" s="21" t="str">
        <f>Campanha!$B$3</f>
        <v>BR_IMC_DSY_LANCH_ND_NC_2020Q3AUG_NVS_Nivus-Launch-Consideracao-Orca</v>
      </c>
      <c r="AQ243" s="21" t="str">
        <f t="shared" si="100"/>
        <v>alp_vw_dv360_imc_dsy_lanch_nd_nc_nvs_nivus-launch-consideracao-orca__configuracao_cpm_drct_all_300x50_lancamento-nivus-orca-rmkt-dealer-selection-form-lapsed-user_na_lancamento-consideracao-nivus-orca_nvl-nvs-imc-dsy-0820-10243</v>
      </c>
      <c r="AR243" s="15" t="s">
        <v>745</v>
      </c>
      <c r="AS243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50_lancamento-nivus-orca-rmkt-dealer-selection-form-lapsed-user_na_lancamento-consideracao-nivus-orca_nvl-nvs-imc-dsy-0820-10243&amp;utm_campaign=BR_IMC_DSY_LANCH_ND_NC_2020Q3AUG_NVS_Nivus-Launch-Consideracao-Orca&amp;utm_term=%epid!_%ecid!_%eaid!</v>
      </c>
      <c r="AT243" s="15" t="str">
        <f t="shared" si="111"/>
        <v>other</v>
      </c>
      <c r="AU243" s="15" t="str">
        <f t="shared" si="102"/>
        <v>BR</v>
      </c>
      <c r="AV243" s="15" t="str">
        <f t="shared" si="112"/>
        <v>dv360</v>
      </c>
      <c r="AW243" s="15" t="str">
        <f t="shared" si="113"/>
        <v>dv360</v>
      </c>
      <c r="AX243" s="15" t="str">
        <f t="shared" si="103"/>
        <v>nivus-launch-consideracao-orca</v>
      </c>
      <c r="AY243" s="15" t="str">
        <f t="shared" si="114"/>
        <v>alp_vw_dv360_imc_dsy_lanch_nd_nc_nvs_nivus-launch-consideracao-orca__configuracao_cpm_drct_all_300x50_lancamento-nivus-orca-rmkt-dealer-selection-form-lapsed-user_na_lancamento-consideracao-nivus-orca_nvl-nvs-imc-dsy-0820-10243</v>
      </c>
      <c r="AZ243" s="15" t="str">
        <f t="shared" si="115"/>
        <v>300x50</v>
      </c>
      <c r="BA243" s="15" t="str">
        <f t="shared" si="116"/>
        <v>lancamento-consideracao-nivus-orca</v>
      </c>
      <c r="BB243" s="28" t="s">
        <v>798</v>
      </c>
      <c r="BC243" s="28" t="s">
        <v>798</v>
      </c>
      <c r="BD243" s="38" t="str">
        <f t="shared" si="117"/>
        <v>nvl-nvs-imc-dsy-0820-10243</v>
      </c>
      <c r="BE243" s="15" t="str">
        <f t="shared" si="118"/>
        <v>BR</v>
      </c>
      <c r="BF243" s="15" t="str">
        <f t="shared" si="119"/>
        <v>paid</v>
      </c>
      <c r="BG243" s="28"/>
      <c r="BH243" s="28"/>
      <c r="BI243" s="36" t="str">
        <f t="shared" si="104"/>
        <v>https://www.vw.com.br/pt/configurador.html/__app/%2Fnivus/0.app?adlid=nvl-nvs-imc-dsy-0820-10243&amp;adplt=alp_vw_dv360_imc_dsy_lanch_nd_nc_nvs_nivus-launch-consideracao-orca__configuracao_cpm_drct_all_300x50_lancamento-nivus-orca-rmkt-dealer-selection-form-lapsed-user_na_lancamento-consideracao-nivus-orca_nvl-nvs-imc-dsy-0820-10243</v>
      </c>
      <c r="BL243" t="str">
        <f t="shared" si="105"/>
        <v>alp_vw_dv360_imc_dsy_lanch_nd_nc_nvs_nivus-launch-consideracao-orca__configuracao</v>
      </c>
      <c r="BM243" t="str">
        <f t="shared" si="106"/>
        <v>cpm_drct_all_300x50_lancamento-nivus-orca-rmkt-dealer-selection-form-lapsed-user_na</v>
      </c>
      <c r="BN243" t="str">
        <f t="shared" si="107"/>
        <v>alp_vw_dv360_imc_dsy_lanch_nd_nc_nvs_nivus-launch-consideracao-orca__configuracao_cpm_drct_all_300x50_lancamento-nivus-orca-rmkt-dealer-selection-form-lapsed-user_na_generico_nvl-nvs-imc-dsy-0820-10243</v>
      </c>
    </row>
    <row r="244" spans="2:66" ht="15.75" customHeight="1" x14ac:dyDescent="0.25">
      <c r="B244" s="15" t="s">
        <v>1291</v>
      </c>
      <c r="C244" s="15" t="s">
        <v>1477</v>
      </c>
      <c r="D244" s="15"/>
      <c r="E244" s="22">
        <v>44069</v>
      </c>
      <c r="F244" s="22">
        <v>44135</v>
      </c>
      <c r="G244" s="15" t="s">
        <v>651</v>
      </c>
      <c r="H244" s="41" t="s">
        <v>1266</v>
      </c>
      <c r="I244" s="15" t="s">
        <v>801</v>
      </c>
      <c r="J244" s="42" t="s">
        <v>883</v>
      </c>
      <c r="K244" s="42" t="s">
        <v>883</v>
      </c>
      <c r="L244" s="15" t="s">
        <v>676</v>
      </c>
      <c r="M244" s="15" t="s">
        <v>276</v>
      </c>
      <c r="N244" s="15" t="s">
        <v>295</v>
      </c>
      <c r="O244" s="15" t="s">
        <v>677</v>
      </c>
      <c r="P244" s="15" t="str">
        <f>VLOOKUP(Y244,'All Codes'!$BF$3:$BG$278,2,FALSE)</f>
        <v>Skyscraper</v>
      </c>
      <c r="Q244" s="15" t="s">
        <v>179</v>
      </c>
      <c r="R244" s="15" t="s">
        <v>277</v>
      </c>
      <c r="S244" s="15" t="s">
        <v>874</v>
      </c>
      <c r="T244" s="46" t="s">
        <v>884</v>
      </c>
      <c r="U244" s="15" t="s">
        <v>876</v>
      </c>
      <c r="V244" s="15" t="s">
        <v>1276</v>
      </c>
      <c r="W244" s="15" t="s">
        <v>866</v>
      </c>
      <c r="X244" s="15" t="s">
        <v>307</v>
      </c>
      <c r="Y244" s="46" t="s">
        <v>434</v>
      </c>
      <c r="Z244" s="15"/>
      <c r="AA244" s="15"/>
      <c r="AB244" s="15"/>
      <c r="AC244" s="15"/>
      <c r="AD244" s="15"/>
      <c r="AE244" s="15"/>
      <c r="AF244" s="15"/>
      <c r="AG244" s="15"/>
      <c r="AH244" s="15" t="str">
        <f t="shared" si="97"/>
        <v>284453842</v>
      </c>
      <c r="AI244" s="21" t="str">
        <f t="shared" si="120"/>
        <v>alp_vw_dv360_imc_dsy_lanch_nd_nc_nvs_nivus-launch-consideracao-orca__configuracao_cpm_drct_all_160x600_lancamento-nivus-orca-rmkt-dealer-selection-form-lapsed-user_na_lancamento-consideracao-nivus-orca_nvl-nvs-imc-dsy-0820-10244</v>
      </c>
      <c r="AJ244" s="40" t="str">
        <f t="shared" si="120"/>
        <v>alp_vw_dv360_imc_dsy_lanch_nd_nc_nvs_nivus-launch-consideracao-orca__configuracao_cpm_drct_all_160x600_lancamento-nivus-orca-rmkt-dealer-selection-form-lapsed-user_na_lancamento-consideracao-nivus-orca_nvl-nvs-imc-dsy-0820-10244</v>
      </c>
      <c r="AK244" s="21" t="str">
        <f t="shared" si="98"/>
        <v>vw_nivus_160x600_lancamento-consideracao-nivus-orca_adserver</v>
      </c>
      <c r="AL244" s="21" t="str">
        <f t="shared" si="108"/>
        <v>https://www.vw.com.br/pt/configurador.html/__app/%2Fnivus/0.app?adlid=nvl-nvs-imc-dsy-0820-10244&amp;adplt=alp_vw_dv360_imc_dsy_lanch_nd_nc_nvs_nivus-launch-consideracao-orca__configuracao_cpm_drct_all_160x600_lancamento-nivus-orca-rmkt-dealer-selection-form-lapsed-user_na_lancamento-consideracao-nivus-orca_nvl-nvs-imc-dsy-0820-10244</v>
      </c>
      <c r="AM244" s="21" t="str">
        <f t="shared" si="99"/>
        <v>TAG</v>
      </c>
      <c r="AN244" s="15" t="str">
        <f t="shared" si="109"/>
        <v>DV360</v>
      </c>
      <c r="AO244" s="15" t="str">
        <f t="shared" si="110"/>
        <v>Paid-Display</v>
      </c>
      <c r="AP244" s="21" t="str">
        <f>Campanha!$B$3</f>
        <v>BR_IMC_DSY_LANCH_ND_NC_2020Q3AUG_NVS_Nivus-Launch-Consideracao-Orca</v>
      </c>
      <c r="AQ244" s="21" t="str">
        <f t="shared" si="100"/>
        <v>alp_vw_dv360_imc_dsy_lanch_nd_nc_nvs_nivus-launch-consideracao-orca__configuracao_cpm_drct_all_160x600_lancamento-nivus-orca-rmkt-dealer-selection-form-lapsed-user_na_lancamento-consideracao-nivus-orca_nvl-nvs-imc-dsy-0820-10244</v>
      </c>
      <c r="AR244" s="15" t="s">
        <v>745</v>
      </c>
      <c r="AS244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160x600_lancamento-nivus-orca-rmkt-dealer-selection-form-lapsed-user_na_lancamento-consideracao-nivus-orca_nvl-nvs-imc-dsy-0820-10244&amp;utm_campaign=BR_IMC_DSY_LANCH_ND_NC_2020Q3AUG_NVS_Nivus-Launch-Consideracao-Orca&amp;utm_term=%epid!_%ecid!_%eaid!</v>
      </c>
      <c r="AT244" s="15" t="str">
        <f t="shared" si="111"/>
        <v>other</v>
      </c>
      <c r="AU244" s="15" t="str">
        <f t="shared" si="102"/>
        <v>BR</v>
      </c>
      <c r="AV244" s="15" t="str">
        <f t="shared" si="112"/>
        <v>dv360</v>
      </c>
      <c r="AW244" s="15" t="str">
        <f t="shared" si="113"/>
        <v>dv360</v>
      </c>
      <c r="AX244" s="15" t="str">
        <f t="shared" si="103"/>
        <v>nivus-launch-consideracao-orca</v>
      </c>
      <c r="AY244" s="15" t="str">
        <f t="shared" si="114"/>
        <v>alp_vw_dv360_imc_dsy_lanch_nd_nc_nvs_nivus-launch-consideracao-orca__configuracao_cpm_drct_all_160x600_lancamento-nivus-orca-rmkt-dealer-selection-form-lapsed-user_na_lancamento-consideracao-nivus-orca_nvl-nvs-imc-dsy-0820-10244</v>
      </c>
      <c r="AZ244" s="15" t="str">
        <f t="shared" si="115"/>
        <v>160x600</v>
      </c>
      <c r="BA244" s="15" t="str">
        <f t="shared" si="116"/>
        <v>lancamento-consideracao-nivus-orca</v>
      </c>
      <c r="BB244" s="28" t="s">
        <v>798</v>
      </c>
      <c r="BC244" s="28" t="s">
        <v>798</v>
      </c>
      <c r="BD244" s="38" t="str">
        <f t="shared" si="117"/>
        <v>nvl-nvs-imc-dsy-0820-10244</v>
      </c>
      <c r="BE244" s="15" t="str">
        <f t="shared" si="118"/>
        <v>BR</v>
      </c>
      <c r="BF244" s="15" t="str">
        <f t="shared" si="119"/>
        <v>paid</v>
      </c>
      <c r="BG244" s="28"/>
      <c r="BH244" s="28"/>
      <c r="BI244" s="36" t="str">
        <f t="shared" si="104"/>
        <v>https://www.vw.com.br/pt/configurador.html/__app/%2Fnivus/0.app?adlid=nvl-nvs-imc-dsy-0820-10244&amp;adplt=alp_vw_dv360_imc_dsy_lanch_nd_nc_nvs_nivus-launch-consideracao-orca__configuracao_cpm_drct_all_160x600_lancamento-nivus-orca-rmkt-dealer-selection-form-lapsed-user_na_lancamento-consideracao-nivus-orca_nvl-nvs-imc-dsy-0820-10244</v>
      </c>
      <c r="BL244" t="str">
        <f t="shared" si="105"/>
        <v>alp_vw_dv360_imc_dsy_lanch_nd_nc_nvs_nivus-launch-consideracao-orca__configuracao</v>
      </c>
      <c r="BM244" t="str">
        <f t="shared" si="106"/>
        <v>cpm_drct_all_160x600_lancamento-nivus-orca-rmkt-dealer-selection-form-lapsed-user_na</v>
      </c>
      <c r="BN244" t="str">
        <f t="shared" si="107"/>
        <v>alp_vw_dv360_imc_dsy_lanch_nd_nc_nvs_nivus-launch-consideracao-orca__configuracao_cpm_drct_all_160x600_lancamento-nivus-orca-rmkt-dealer-selection-form-lapsed-user_na_generico_nvl-nvs-imc-dsy-0820-10244</v>
      </c>
    </row>
    <row r="245" spans="2:66" ht="15.75" customHeight="1" x14ac:dyDescent="0.25">
      <c r="B245" s="15" t="s">
        <v>1291</v>
      </c>
      <c r="C245" s="15" t="s">
        <v>1477</v>
      </c>
      <c r="D245" s="15"/>
      <c r="E245" s="22">
        <v>44069</v>
      </c>
      <c r="F245" s="22">
        <v>44135</v>
      </c>
      <c r="G245" s="15" t="s">
        <v>651</v>
      </c>
      <c r="H245" s="41" t="s">
        <v>1266</v>
      </c>
      <c r="I245" s="15" t="s">
        <v>801</v>
      </c>
      <c r="J245" s="42" t="s">
        <v>883</v>
      </c>
      <c r="K245" s="42" t="s">
        <v>883</v>
      </c>
      <c r="L245" s="15" t="s">
        <v>676</v>
      </c>
      <c r="M245" s="15" t="s">
        <v>276</v>
      </c>
      <c r="N245" s="15" t="s">
        <v>295</v>
      </c>
      <c r="O245" s="15" t="s">
        <v>677</v>
      </c>
      <c r="P245" s="15" t="str">
        <f>VLOOKUP(Y245,'All Codes'!$BF$3:$BG$278,2,FALSE)</f>
        <v>MPU</v>
      </c>
      <c r="Q245" s="15" t="s">
        <v>179</v>
      </c>
      <c r="R245" s="15" t="s">
        <v>277</v>
      </c>
      <c r="S245" s="15" t="s">
        <v>874</v>
      </c>
      <c r="T245" s="46" t="s">
        <v>884</v>
      </c>
      <c r="U245" s="15" t="s">
        <v>876</v>
      </c>
      <c r="V245" s="15" t="s">
        <v>1276</v>
      </c>
      <c r="W245" s="15" t="s">
        <v>866</v>
      </c>
      <c r="X245" s="15" t="s">
        <v>307</v>
      </c>
      <c r="Y245" s="46" t="s">
        <v>455</v>
      </c>
      <c r="Z245" s="15"/>
      <c r="AA245" s="15"/>
      <c r="AB245" s="15"/>
      <c r="AC245" s="15"/>
      <c r="AD245" s="15"/>
      <c r="AE245" s="15"/>
      <c r="AF245" s="15"/>
      <c r="AG245" s="15"/>
      <c r="AH245" s="15" t="str">
        <f t="shared" si="97"/>
        <v>284453836</v>
      </c>
      <c r="AI245" s="21" t="str">
        <f t="shared" si="120"/>
        <v>alp_vw_dv360_imc_dsy_lanch_nd_nc_nvs_nivus-launch-consideracao-orca__configuracao_cpm_drct_all_300x250_lancamento-nivus-orca-rmkt-dealer-selection-form-lapsed-user_na_lancamento-consideracao-nivus-orca_nvl-nvs-imc-dsy-0820-10245</v>
      </c>
      <c r="AJ245" s="40" t="str">
        <f t="shared" si="120"/>
        <v>alp_vw_dv360_imc_dsy_lanch_nd_nc_nvs_nivus-launch-consideracao-orca__configuracao_cpm_drct_all_300x250_lancamento-nivus-orca-rmkt-dealer-selection-form-lapsed-user_na_lancamento-consideracao-nivus-orca_nvl-nvs-imc-dsy-0820-10245</v>
      </c>
      <c r="AK245" s="21" t="str">
        <f t="shared" si="98"/>
        <v>vw_nivus_300x250_lancamento-consideracao-nivus-orca_adserver</v>
      </c>
      <c r="AL245" s="21" t="str">
        <f t="shared" si="108"/>
        <v>https://www.vw.com.br/pt/configurador.html/__app/%2Fnivus/0.app?adlid=nvl-nvs-imc-dsy-0820-10245&amp;adplt=alp_vw_dv360_imc_dsy_lanch_nd_nc_nvs_nivus-launch-consideracao-orca__configuracao_cpm_drct_all_300x250_lancamento-nivus-orca-rmkt-dealer-selection-form-lapsed-user_na_lancamento-consideracao-nivus-orca_nvl-nvs-imc-dsy-0820-10245</v>
      </c>
      <c r="AM245" s="21" t="str">
        <f t="shared" si="99"/>
        <v>TAG</v>
      </c>
      <c r="AN245" s="15" t="str">
        <f t="shared" si="109"/>
        <v>DV360</v>
      </c>
      <c r="AO245" s="15" t="str">
        <f t="shared" si="110"/>
        <v>Paid-Display</v>
      </c>
      <c r="AP245" s="21" t="str">
        <f>Campanha!$B$3</f>
        <v>BR_IMC_DSY_LANCH_ND_NC_2020Q3AUG_NVS_Nivus-Launch-Consideracao-Orca</v>
      </c>
      <c r="AQ245" s="21" t="str">
        <f t="shared" si="100"/>
        <v>alp_vw_dv360_imc_dsy_lanch_nd_nc_nvs_nivus-launch-consideracao-orca__configuracao_cpm_drct_all_300x250_lancamento-nivus-orca-rmkt-dealer-selection-form-lapsed-user_na_lancamento-consideracao-nivus-orca_nvl-nvs-imc-dsy-0820-10245</v>
      </c>
      <c r="AR245" s="15" t="s">
        <v>745</v>
      </c>
      <c r="AS245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250_lancamento-nivus-orca-rmkt-dealer-selection-form-lapsed-user_na_lancamento-consideracao-nivus-orca_nvl-nvs-imc-dsy-0820-10245&amp;utm_campaign=BR_IMC_DSY_LANCH_ND_NC_2020Q3AUG_NVS_Nivus-Launch-Consideracao-Orca&amp;utm_term=%epid!_%ecid!_%eaid!</v>
      </c>
      <c r="AT245" s="15" t="str">
        <f t="shared" si="111"/>
        <v>other</v>
      </c>
      <c r="AU245" s="15" t="str">
        <f t="shared" si="102"/>
        <v>BR</v>
      </c>
      <c r="AV245" s="15" t="str">
        <f t="shared" si="112"/>
        <v>dv360</v>
      </c>
      <c r="AW245" s="15" t="str">
        <f t="shared" si="113"/>
        <v>dv360</v>
      </c>
      <c r="AX245" s="15" t="str">
        <f t="shared" si="103"/>
        <v>nivus-launch-consideracao-orca</v>
      </c>
      <c r="AY245" s="15" t="str">
        <f t="shared" si="114"/>
        <v>alp_vw_dv360_imc_dsy_lanch_nd_nc_nvs_nivus-launch-consideracao-orca__configuracao_cpm_drct_all_300x250_lancamento-nivus-orca-rmkt-dealer-selection-form-lapsed-user_na_lancamento-consideracao-nivus-orca_nvl-nvs-imc-dsy-0820-10245</v>
      </c>
      <c r="AZ245" s="15" t="str">
        <f t="shared" si="115"/>
        <v>300x250</v>
      </c>
      <c r="BA245" s="15" t="str">
        <f t="shared" si="116"/>
        <v>lancamento-consideracao-nivus-orca</v>
      </c>
      <c r="BB245" s="28" t="s">
        <v>798</v>
      </c>
      <c r="BC245" s="28" t="s">
        <v>798</v>
      </c>
      <c r="BD245" s="38" t="str">
        <f t="shared" si="117"/>
        <v>nvl-nvs-imc-dsy-0820-10245</v>
      </c>
      <c r="BE245" s="15" t="str">
        <f t="shared" si="118"/>
        <v>BR</v>
      </c>
      <c r="BF245" s="15" t="str">
        <f t="shared" si="119"/>
        <v>paid</v>
      </c>
      <c r="BG245" s="28"/>
      <c r="BH245" s="28"/>
      <c r="BI245" s="36" t="str">
        <f t="shared" si="104"/>
        <v>https://www.vw.com.br/pt/configurador.html/__app/%2Fnivus/0.app?adlid=nvl-nvs-imc-dsy-0820-10245&amp;adplt=alp_vw_dv360_imc_dsy_lanch_nd_nc_nvs_nivus-launch-consideracao-orca__configuracao_cpm_drct_all_300x250_lancamento-nivus-orca-rmkt-dealer-selection-form-lapsed-user_na_lancamento-consideracao-nivus-orca_nvl-nvs-imc-dsy-0820-10245</v>
      </c>
      <c r="BL245" t="str">
        <f t="shared" si="105"/>
        <v>alp_vw_dv360_imc_dsy_lanch_nd_nc_nvs_nivus-launch-consideracao-orca__configuracao</v>
      </c>
      <c r="BM245" t="str">
        <f t="shared" si="106"/>
        <v>cpm_drct_all_300x250_lancamento-nivus-orca-rmkt-dealer-selection-form-lapsed-user_na</v>
      </c>
      <c r="BN245" t="str">
        <f t="shared" si="107"/>
        <v>alp_vw_dv360_imc_dsy_lanch_nd_nc_nvs_nivus-launch-consideracao-orca__configuracao_cpm_drct_all_300x250_lancamento-nivus-orca-rmkt-dealer-selection-form-lapsed-user_na_generico_nvl-nvs-imc-dsy-0820-10245</v>
      </c>
    </row>
    <row r="246" spans="2:66" ht="15.75" customHeight="1" x14ac:dyDescent="0.25">
      <c r="B246" s="15" t="s">
        <v>1291</v>
      </c>
      <c r="C246" s="15" t="s">
        <v>1477</v>
      </c>
      <c r="D246" s="15"/>
      <c r="E246" s="22">
        <v>44069</v>
      </c>
      <c r="F246" s="22">
        <v>44135</v>
      </c>
      <c r="G246" s="15" t="s">
        <v>651</v>
      </c>
      <c r="H246" s="41" t="s">
        <v>1266</v>
      </c>
      <c r="I246" s="15" t="s">
        <v>801</v>
      </c>
      <c r="J246" s="42" t="s">
        <v>883</v>
      </c>
      <c r="K246" s="42" t="s">
        <v>883</v>
      </c>
      <c r="L246" s="15" t="s">
        <v>676</v>
      </c>
      <c r="M246" s="15" t="s">
        <v>276</v>
      </c>
      <c r="N246" s="15" t="s">
        <v>295</v>
      </c>
      <c r="O246" s="15" t="s">
        <v>677</v>
      </c>
      <c r="P246" s="15" t="str">
        <f>VLOOKUP(Y246,'All Codes'!$BF$3:$BG$278,2,FALSE)</f>
        <v>Skyscraper</v>
      </c>
      <c r="Q246" s="15" t="s">
        <v>179</v>
      </c>
      <c r="R246" s="15" t="s">
        <v>277</v>
      </c>
      <c r="S246" s="15" t="s">
        <v>874</v>
      </c>
      <c r="T246" s="46" t="s">
        <v>884</v>
      </c>
      <c r="U246" s="15" t="s">
        <v>876</v>
      </c>
      <c r="V246" s="15" t="s">
        <v>1276</v>
      </c>
      <c r="W246" s="15" t="s">
        <v>866</v>
      </c>
      <c r="X246" s="15" t="s">
        <v>307</v>
      </c>
      <c r="Y246" s="46" t="s">
        <v>464</v>
      </c>
      <c r="Z246" s="15"/>
      <c r="AA246" s="15"/>
      <c r="AB246" s="15"/>
      <c r="AC246" s="15"/>
      <c r="AD246" s="15"/>
      <c r="AE246" s="15"/>
      <c r="AF246" s="15"/>
      <c r="AG246" s="15"/>
      <c r="AH246" s="15" t="str">
        <f t="shared" si="97"/>
        <v>284453830</v>
      </c>
      <c r="AI246" s="21" t="str">
        <f t="shared" si="120"/>
        <v>alp_vw_dv360_imc_dsy_lanch_nd_nc_nvs_nivus-launch-consideracao-orca__configuracao_cpm_drct_all_300x600_lancamento-nivus-orca-rmkt-dealer-selection-form-lapsed-user_na_lancamento-consideracao-nivus-orca_nvl-nvs-imc-dsy-0820-10246</v>
      </c>
      <c r="AJ246" s="40" t="str">
        <f t="shared" si="120"/>
        <v>alp_vw_dv360_imc_dsy_lanch_nd_nc_nvs_nivus-launch-consideracao-orca__configuracao_cpm_drct_all_300x600_lancamento-nivus-orca-rmkt-dealer-selection-form-lapsed-user_na_lancamento-consideracao-nivus-orca_nvl-nvs-imc-dsy-0820-10246</v>
      </c>
      <c r="AK246" s="21" t="str">
        <f t="shared" si="98"/>
        <v>vw_nivus_300x600_lancamento-consideracao-nivus-orca_adserver</v>
      </c>
      <c r="AL246" s="21" t="str">
        <f t="shared" si="108"/>
        <v>https://www.vw.com.br/pt/configurador.html/__app/%2Fnivus/0.app?adlid=nvl-nvs-imc-dsy-0820-10246&amp;adplt=alp_vw_dv360_imc_dsy_lanch_nd_nc_nvs_nivus-launch-consideracao-orca__configuracao_cpm_drct_all_300x600_lancamento-nivus-orca-rmkt-dealer-selection-form-lapsed-user_na_lancamento-consideracao-nivus-orca_nvl-nvs-imc-dsy-0820-10246</v>
      </c>
      <c r="AM246" s="21" t="str">
        <f t="shared" si="99"/>
        <v>TAG</v>
      </c>
      <c r="AN246" s="15" t="str">
        <f t="shared" si="109"/>
        <v>DV360</v>
      </c>
      <c r="AO246" s="15" t="str">
        <f t="shared" si="110"/>
        <v>Paid-Display</v>
      </c>
      <c r="AP246" s="21" t="str">
        <f>Campanha!$B$3</f>
        <v>BR_IMC_DSY_LANCH_ND_NC_2020Q3AUG_NVS_Nivus-Launch-Consideracao-Orca</v>
      </c>
      <c r="AQ246" s="21" t="str">
        <f t="shared" si="100"/>
        <v>alp_vw_dv360_imc_dsy_lanch_nd_nc_nvs_nivus-launch-consideracao-orca__configuracao_cpm_drct_all_300x600_lancamento-nivus-orca-rmkt-dealer-selection-form-lapsed-user_na_lancamento-consideracao-nivus-orca_nvl-nvs-imc-dsy-0820-10246</v>
      </c>
      <c r="AR246" s="15" t="s">
        <v>745</v>
      </c>
      <c r="AS246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300x600_lancamento-nivus-orca-rmkt-dealer-selection-form-lapsed-user_na_lancamento-consideracao-nivus-orca_nvl-nvs-imc-dsy-0820-10246&amp;utm_campaign=BR_IMC_DSY_LANCH_ND_NC_2020Q3AUG_NVS_Nivus-Launch-Consideracao-Orca&amp;utm_term=%epid!_%ecid!_%eaid!</v>
      </c>
      <c r="AT246" s="15" t="str">
        <f t="shared" si="111"/>
        <v>other</v>
      </c>
      <c r="AU246" s="15" t="str">
        <f t="shared" si="102"/>
        <v>BR</v>
      </c>
      <c r="AV246" s="15" t="str">
        <f t="shared" si="112"/>
        <v>dv360</v>
      </c>
      <c r="AW246" s="15" t="str">
        <f t="shared" si="113"/>
        <v>dv360</v>
      </c>
      <c r="AX246" s="15" t="str">
        <f t="shared" si="103"/>
        <v>nivus-launch-consideracao-orca</v>
      </c>
      <c r="AY246" s="15" t="str">
        <f t="shared" si="114"/>
        <v>alp_vw_dv360_imc_dsy_lanch_nd_nc_nvs_nivus-launch-consideracao-orca__configuracao_cpm_drct_all_300x600_lancamento-nivus-orca-rmkt-dealer-selection-form-lapsed-user_na_lancamento-consideracao-nivus-orca_nvl-nvs-imc-dsy-0820-10246</v>
      </c>
      <c r="AZ246" s="15" t="str">
        <f t="shared" si="115"/>
        <v>300x600</v>
      </c>
      <c r="BA246" s="15" t="str">
        <f t="shared" si="116"/>
        <v>lancamento-consideracao-nivus-orca</v>
      </c>
      <c r="BB246" s="28" t="s">
        <v>798</v>
      </c>
      <c r="BC246" s="28" t="s">
        <v>798</v>
      </c>
      <c r="BD246" s="38" t="str">
        <f t="shared" si="117"/>
        <v>nvl-nvs-imc-dsy-0820-10246</v>
      </c>
      <c r="BE246" s="15" t="str">
        <f t="shared" si="118"/>
        <v>BR</v>
      </c>
      <c r="BF246" s="15" t="str">
        <f t="shared" si="119"/>
        <v>paid</v>
      </c>
      <c r="BG246" s="28"/>
      <c r="BH246" s="28"/>
      <c r="BI246" s="36" t="str">
        <f t="shared" si="104"/>
        <v>https://www.vw.com.br/pt/configurador.html/__app/%2Fnivus/0.app?adlid=nvl-nvs-imc-dsy-0820-10246&amp;adplt=alp_vw_dv360_imc_dsy_lanch_nd_nc_nvs_nivus-launch-consideracao-orca__configuracao_cpm_drct_all_300x600_lancamento-nivus-orca-rmkt-dealer-selection-form-lapsed-user_na_lancamento-consideracao-nivus-orca_nvl-nvs-imc-dsy-0820-10246</v>
      </c>
      <c r="BL246" t="str">
        <f t="shared" si="105"/>
        <v>alp_vw_dv360_imc_dsy_lanch_nd_nc_nvs_nivus-launch-consideracao-orca__configuracao</v>
      </c>
      <c r="BM246" t="str">
        <f t="shared" si="106"/>
        <v>cpm_drct_all_300x600_lancamento-nivus-orca-rmkt-dealer-selection-form-lapsed-user_na</v>
      </c>
      <c r="BN246" t="str">
        <f t="shared" si="107"/>
        <v>alp_vw_dv360_imc_dsy_lanch_nd_nc_nvs_nivus-launch-consideracao-orca__configuracao_cpm_drct_all_300x600_lancamento-nivus-orca-rmkt-dealer-selection-form-lapsed-user_na_generico_nvl-nvs-imc-dsy-0820-10246</v>
      </c>
    </row>
    <row r="247" spans="2:66" ht="15.75" customHeight="1" x14ac:dyDescent="0.25">
      <c r="B247" s="15" t="s">
        <v>1291</v>
      </c>
      <c r="C247" s="15" t="s">
        <v>1477</v>
      </c>
      <c r="D247" s="15"/>
      <c r="E247" s="22">
        <v>44069</v>
      </c>
      <c r="F247" s="22">
        <v>44135</v>
      </c>
      <c r="G247" s="15" t="s">
        <v>651</v>
      </c>
      <c r="H247" s="41" t="s">
        <v>1266</v>
      </c>
      <c r="I247" s="15" t="s">
        <v>801</v>
      </c>
      <c r="J247" s="42" t="s">
        <v>883</v>
      </c>
      <c r="K247" s="42" t="s">
        <v>883</v>
      </c>
      <c r="L247" s="15" t="s">
        <v>676</v>
      </c>
      <c r="M247" s="15" t="s">
        <v>276</v>
      </c>
      <c r="N247" s="15" t="s">
        <v>295</v>
      </c>
      <c r="O247" s="15" t="s">
        <v>677</v>
      </c>
      <c r="P247" s="15" t="str">
        <f>VLOOKUP(Y247,'All Codes'!$BF$3:$BG$278,2,FALSE)</f>
        <v>MPU</v>
      </c>
      <c r="Q247" s="15" t="s">
        <v>179</v>
      </c>
      <c r="R247" s="15" t="s">
        <v>277</v>
      </c>
      <c r="S247" s="15" t="s">
        <v>874</v>
      </c>
      <c r="T247" s="46" t="s">
        <v>884</v>
      </c>
      <c r="U247" s="15" t="s">
        <v>876</v>
      </c>
      <c r="V247" s="15" t="s">
        <v>1276</v>
      </c>
      <c r="W247" s="15" t="s">
        <v>866</v>
      </c>
      <c r="X247" s="15" t="s">
        <v>307</v>
      </c>
      <c r="Y247" s="46" t="s">
        <v>479</v>
      </c>
      <c r="Z247" s="15"/>
      <c r="AA247" s="15"/>
      <c r="AB247" s="15"/>
      <c r="AC247" s="15"/>
      <c r="AD247" s="15"/>
      <c r="AE247" s="15"/>
      <c r="AF247" s="15"/>
      <c r="AG247" s="15"/>
      <c r="AH247" s="15" t="str">
        <f t="shared" si="97"/>
        <v>284453824</v>
      </c>
      <c r="AI247" s="21" t="str">
        <f t="shared" si="120"/>
        <v>alp_vw_dv360_imc_dsy_lanch_nd_nc_nvs_nivus-launch-consideracao-orca__configuracao_cpm_drct_all_320x50_lancamento-nivus-orca-rmkt-dealer-selection-form-lapsed-user_na_lancamento-consideracao-nivus-orca_nvl-nvs-imc-dsy-0820-10247</v>
      </c>
      <c r="AJ247" s="40" t="str">
        <f t="shared" si="120"/>
        <v>alp_vw_dv360_imc_dsy_lanch_nd_nc_nvs_nivus-launch-consideracao-orca__configuracao_cpm_drct_all_320x50_lancamento-nivus-orca-rmkt-dealer-selection-form-lapsed-user_na_lancamento-consideracao-nivus-orca_nvl-nvs-imc-dsy-0820-10247</v>
      </c>
      <c r="AK247" s="21" t="str">
        <f t="shared" si="98"/>
        <v>vw_nivus_320x50_lancamento-consideracao-nivus-orca_adserver</v>
      </c>
      <c r="AL247" s="21" t="str">
        <f t="shared" si="108"/>
        <v>https://www.vw.com.br/pt/configurador.html/__app/%2Fnivus/0.app?adlid=nvl-nvs-imc-dsy-0820-10247&amp;adplt=alp_vw_dv360_imc_dsy_lanch_nd_nc_nvs_nivus-launch-consideracao-orca__configuracao_cpm_drct_all_320x50_lancamento-nivus-orca-rmkt-dealer-selection-form-lapsed-user_na_lancamento-consideracao-nivus-orca_nvl-nvs-imc-dsy-0820-10247</v>
      </c>
      <c r="AM247" s="21" t="str">
        <f t="shared" si="99"/>
        <v>TAG</v>
      </c>
      <c r="AN247" s="15" t="str">
        <f t="shared" si="109"/>
        <v>DV360</v>
      </c>
      <c r="AO247" s="15" t="str">
        <f t="shared" si="110"/>
        <v>Paid-Display</v>
      </c>
      <c r="AP247" s="21" t="str">
        <f>Campanha!$B$3</f>
        <v>BR_IMC_DSY_LANCH_ND_NC_2020Q3AUG_NVS_Nivus-Launch-Consideracao-Orca</v>
      </c>
      <c r="AQ247" s="21" t="str">
        <f t="shared" si="100"/>
        <v>alp_vw_dv360_imc_dsy_lanch_nd_nc_nvs_nivus-launch-consideracao-orca__configuracao_cpm_drct_all_320x50_lancamento-nivus-orca-rmkt-dealer-selection-form-lapsed-user_na_lancamento-consideracao-nivus-orca_nvl-nvs-imc-dsy-0820-10247</v>
      </c>
      <c r="AR247" s="15" t="s">
        <v>745</v>
      </c>
      <c r="AS247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320x50_lancamento-nivus-orca-rmkt-dealer-selection-form-lapsed-user_na_lancamento-consideracao-nivus-orca_nvl-nvs-imc-dsy-0820-10247&amp;utm_campaign=BR_IMC_DSY_LANCH_ND_NC_2020Q3AUG_NVS_Nivus-Launch-Consideracao-Orca&amp;utm_term=%epid!_%ecid!_%eaid!</v>
      </c>
      <c r="AT247" s="15" t="str">
        <f t="shared" si="111"/>
        <v>other</v>
      </c>
      <c r="AU247" s="15" t="str">
        <f t="shared" si="102"/>
        <v>BR</v>
      </c>
      <c r="AV247" s="15" t="str">
        <f t="shared" si="112"/>
        <v>dv360</v>
      </c>
      <c r="AW247" s="15" t="str">
        <f t="shared" si="113"/>
        <v>dv360</v>
      </c>
      <c r="AX247" s="15" t="str">
        <f t="shared" si="103"/>
        <v>nivus-launch-consideracao-orca</v>
      </c>
      <c r="AY247" s="15" t="str">
        <f t="shared" si="114"/>
        <v>alp_vw_dv360_imc_dsy_lanch_nd_nc_nvs_nivus-launch-consideracao-orca__configuracao_cpm_drct_all_320x50_lancamento-nivus-orca-rmkt-dealer-selection-form-lapsed-user_na_lancamento-consideracao-nivus-orca_nvl-nvs-imc-dsy-0820-10247</v>
      </c>
      <c r="AZ247" s="15" t="str">
        <f t="shared" si="115"/>
        <v>320x50</v>
      </c>
      <c r="BA247" s="15" t="str">
        <f t="shared" si="116"/>
        <v>lancamento-consideracao-nivus-orca</v>
      </c>
      <c r="BB247" s="28" t="s">
        <v>798</v>
      </c>
      <c r="BC247" s="28" t="s">
        <v>798</v>
      </c>
      <c r="BD247" s="38" t="str">
        <f t="shared" si="117"/>
        <v>nvl-nvs-imc-dsy-0820-10247</v>
      </c>
      <c r="BE247" s="15" t="str">
        <f t="shared" si="118"/>
        <v>BR</v>
      </c>
      <c r="BF247" s="15" t="str">
        <f t="shared" si="119"/>
        <v>paid</v>
      </c>
      <c r="BG247" s="28"/>
      <c r="BH247" s="28"/>
      <c r="BI247" s="36" t="str">
        <f t="shared" si="104"/>
        <v>https://www.vw.com.br/pt/configurador.html/__app/%2Fnivus/0.app?adlid=nvl-nvs-imc-dsy-0820-10247&amp;adplt=alp_vw_dv360_imc_dsy_lanch_nd_nc_nvs_nivus-launch-consideracao-orca__configuracao_cpm_drct_all_320x50_lancamento-nivus-orca-rmkt-dealer-selection-form-lapsed-user_na_lancamento-consideracao-nivus-orca_nvl-nvs-imc-dsy-0820-10247</v>
      </c>
      <c r="BL247" t="str">
        <f t="shared" si="105"/>
        <v>alp_vw_dv360_imc_dsy_lanch_nd_nc_nvs_nivus-launch-consideracao-orca__configuracao</v>
      </c>
      <c r="BM247" t="str">
        <f t="shared" si="106"/>
        <v>cpm_drct_all_320x50_lancamento-nivus-orca-rmkt-dealer-selection-form-lapsed-user_na</v>
      </c>
      <c r="BN247" t="str">
        <f t="shared" si="107"/>
        <v>alp_vw_dv360_imc_dsy_lanch_nd_nc_nvs_nivus-launch-consideracao-orca__configuracao_cpm_drct_all_320x50_lancamento-nivus-orca-rmkt-dealer-selection-form-lapsed-user_na_generico_nvl-nvs-imc-dsy-0820-10247</v>
      </c>
    </row>
    <row r="248" spans="2:66" ht="15.75" customHeight="1" x14ac:dyDescent="0.25">
      <c r="B248" s="15" t="s">
        <v>1291</v>
      </c>
      <c r="C248" s="15" t="s">
        <v>1477</v>
      </c>
      <c r="D248" s="15"/>
      <c r="E248" s="22">
        <v>44069</v>
      </c>
      <c r="F248" s="22">
        <v>44135</v>
      </c>
      <c r="G248" s="15" t="s">
        <v>651</v>
      </c>
      <c r="H248" s="41" t="s">
        <v>1266</v>
      </c>
      <c r="I248" s="15" t="s">
        <v>801</v>
      </c>
      <c r="J248" s="42" t="s">
        <v>883</v>
      </c>
      <c r="K248" s="42" t="s">
        <v>883</v>
      </c>
      <c r="L248" s="15" t="s">
        <v>676</v>
      </c>
      <c r="M248" s="15" t="s">
        <v>276</v>
      </c>
      <c r="N248" s="15" t="s">
        <v>295</v>
      </c>
      <c r="O248" s="15" t="s">
        <v>677</v>
      </c>
      <c r="P248" s="15" t="str">
        <f>VLOOKUP(Y248,'All Codes'!$BF$3:$BG$278,2,FALSE)</f>
        <v>Leaderboard</v>
      </c>
      <c r="Q248" s="15" t="s">
        <v>179</v>
      </c>
      <c r="R248" s="15" t="s">
        <v>277</v>
      </c>
      <c r="S248" s="15" t="s">
        <v>874</v>
      </c>
      <c r="T248" s="46" t="s">
        <v>884</v>
      </c>
      <c r="U248" s="15" t="s">
        <v>876</v>
      </c>
      <c r="V248" s="15" t="s">
        <v>1276</v>
      </c>
      <c r="W248" s="15" t="s">
        <v>866</v>
      </c>
      <c r="X248" s="15" t="s">
        <v>307</v>
      </c>
      <c r="Y248" s="46" t="s">
        <v>591</v>
      </c>
      <c r="Z248" s="15"/>
      <c r="AA248" s="15"/>
      <c r="AB248" s="15"/>
      <c r="AC248" s="15"/>
      <c r="AD248" s="15"/>
      <c r="AE248" s="15"/>
      <c r="AF248" s="15"/>
      <c r="AG248" s="15"/>
      <c r="AH248" s="15" t="str">
        <f t="shared" ref="AH248:AH249" si="121">VLOOKUP(AI248,id_placement,2,FALSE)</f>
        <v>284453818</v>
      </c>
      <c r="AI248" s="21" t="str">
        <f t="shared" si="120"/>
        <v>alp_vw_dv360_imc_dsy_lanch_nd_nc_nvs_nivus-launch-consideracao-orca__configuracao_cpm_drct_all_728x90_lancamento-nivus-orca-rmkt-dealer-selection-form-lapsed-user_na_lancamento-consideracao-nivus-orca_nvl-nvs-imc-dsy-0820-10248</v>
      </c>
      <c r="AJ248" s="40" t="str">
        <f t="shared" si="120"/>
        <v>alp_vw_dv360_imc_dsy_lanch_nd_nc_nvs_nivus-launch-consideracao-orca__configuracao_cpm_drct_all_728x90_lancamento-nivus-orca-rmkt-dealer-selection-form-lapsed-user_na_lancamento-consideracao-nivus-orca_nvl-nvs-imc-dsy-0820-10248</v>
      </c>
      <c r="AK248" s="21" t="str">
        <f t="shared" si="98"/>
        <v>vw_nivus_728x90_lancamento-consideracao-nivus-orca_adserver</v>
      </c>
      <c r="AL248" s="21" t="str">
        <f t="shared" si="108"/>
        <v>https://www.vw.com.br/pt/configurador.html/__app/%2Fnivus/0.app?adlid=nvl-nvs-imc-dsy-0820-10248&amp;adplt=alp_vw_dv360_imc_dsy_lanch_nd_nc_nvs_nivus-launch-consideracao-orca__configuracao_cpm_drct_all_728x90_lancamento-nivus-orca-rmkt-dealer-selection-form-lapsed-user_na_lancamento-consideracao-nivus-orca_nvl-nvs-imc-dsy-0820-10248</v>
      </c>
      <c r="AM248" s="21" t="str">
        <f t="shared" si="99"/>
        <v>TAG</v>
      </c>
      <c r="AN248" s="15" t="str">
        <f t="shared" si="109"/>
        <v>DV360</v>
      </c>
      <c r="AO248" s="15" t="str">
        <f t="shared" si="110"/>
        <v>Paid-Display</v>
      </c>
      <c r="AP248" s="21" t="str">
        <f>Campanha!$B$3</f>
        <v>BR_IMC_DSY_LANCH_ND_NC_2020Q3AUG_NVS_Nivus-Launch-Consideracao-Orca</v>
      </c>
      <c r="AQ248" s="21" t="str">
        <f t="shared" si="100"/>
        <v>alp_vw_dv360_imc_dsy_lanch_nd_nc_nvs_nivus-launch-consideracao-orca__configuracao_cpm_drct_all_728x90_lancamento-nivus-orca-rmkt-dealer-selection-form-lapsed-user_na_lancamento-consideracao-nivus-orca_nvl-nvs-imc-dsy-0820-10248</v>
      </c>
      <c r="AR248" s="15" t="s">
        <v>745</v>
      </c>
      <c r="AS248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728x90_lancamento-nivus-orca-rmkt-dealer-selection-form-lapsed-user_na_lancamento-consideracao-nivus-orca_nvl-nvs-imc-dsy-0820-10248&amp;utm_campaign=BR_IMC_DSY_LANCH_ND_NC_2020Q3AUG_NVS_Nivus-Launch-Consideracao-Orca&amp;utm_term=%epid!_%ecid!_%eaid!</v>
      </c>
      <c r="AT248" s="15" t="str">
        <f t="shared" si="111"/>
        <v>other</v>
      </c>
      <c r="AU248" s="15" t="str">
        <f t="shared" si="102"/>
        <v>BR</v>
      </c>
      <c r="AV248" s="15" t="str">
        <f t="shared" si="112"/>
        <v>dv360</v>
      </c>
      <c r="AW248" s="15" t="str">
        <f t="shared" si="113"/>
        <v>dv360</v>
      </c>
      <c r="AX248" s="15" t="str">
        <f t="shared" si="103"/>
        <v>nivus-launch-consideracao-orca</v>
      </c>
      <c r="AY248" s="15" t="str">
        <f t="shared" si="114"/>
        <v>alp_vw_dv360_imc_dsy_lanch_nd_nc_nvs_nivus-launch-consideracao-orca__configuracao_cpm_drct_all_728x90_lancamento-nivus-orca-rmkt-dealer-selection-form-lapsed-user_na_lancamento-consideracao-nivus-orca_nvl-nvs-imc-dsy-0820-10248</v>
      </c>
      <c r="AZ248" s="15" t="str">
        <f t="shared" si="115"/>
        <v>728x90</v>
      </c>
      <c r="BA248" s="15" t="str">
        <f t="shared" si="116"/>
        <v>lancamento-consideracao-nivus-orca</v>
      </c>
      <c r="BB248" s="28" t="s">
        <v>798</v>
      </c>
      <c r="BC248" s="28" t="s">
        <v>798</v>
      </c>
      <c r="BD248" s="38" t="str">
        <f t="shared" si="117"/>
        <v>nvl-nvs-imc-dsy-0820-10248</v>
      </c>
      <c r="BE248" s="15" t="str">
        <f t="shared" si="118"/>
        <v>BR</v>
      </c>
      <c r="BF248" s="15" t="str">
        <f t="shared" si="119"/>
        <v>paid</v>
      </c>
      <c r="BG248" s="28"/>
      <c r="BH248" s="28"/>
      <c r="BI248" s="36" t="str">
        <f t="shared" si="104"/>
        <v>https://www.vw.com.br/pt/configurador.html/__app/%2Fnivus/0.app?adlid=nvl-nvs-imc-dsy-0820-10248&amp;adplt=alp_vw_dv360_imc_dsy_lanch_nd_nc_nvs_nivus-launch-consideracao-orca__configuracao_cpm_drct_all_728x90_lancamento-nivus-orca-rmkt-dealer-selection-form-lapsed-user_na_lancamento-consideracao-nivus-orca_nvl-nvs-imc-dsy-0820-10248</v>
      </c>
      <c r="BL248" t="str">
        <f t="shared" si="105"/>
        <v>alp_vw_dv360_imc_dsy_lanch_nd_nc_nvs_nivus-launch-consideracao-orca__configuracao</v>
      </c>
      <c r="BM248" t="str">
        <f t="shared" si="106"/>
        <v>cpm_drct_all_728x90_lancamento-nivus-orca-rmkt-dealer-selection-form-lapsed-user_na</v>
      </c>
      <c r="BN248" t="str">
        <f t="shared" si="107"/>
        <v>alp_vw_dv360_imc_dsy_lanch_nd_nc_nvs_nivus-launch-consideracao-orca__configuracao_cpm_drct_all_728x90_lancamento-nivus-orca-rmkt-dealer-selection-form-lapsed-user_na_generico_nvl-nvs-imc-dsy-0820-10248</v>
      </c>
    </row>
    <row r="249" spans="2:66" ht="15.75" customHeight="1" x14ac:dyDescent="0.25">
      <c r="B249" s="15" t="s">
        <v>1291</v>
      </c>
      <c r="C249" s="15" t="s">
        <v>1477</v>
      </c>
      <c r="D249" s="15"/>
      <c r="E249" s="22">
        <v>44069</v>
      </c>
      <c r="F249" s="22">
        <v>44135</v>
      </c>
      <c r="G249" s="15" t="s">
        <v>651</v>
      </c>
      <c r="H249" s="41" t="s">
        <v>1266</v>
      </c>
      <c r="I249" s="15" t="s">
        <v>801</v>
      </c>
      <c r="J249" s="42" t="s">
        <v>883</v>
      </c>
      <c r="K249" s="42" t="s">
        <v>883</v>
      </c>
      <c r="L249" s="15" t="s">
        <v>676</v>
      </c>
      <c r="M249" s="15" t="s">
        <v>276</v>
      </c>
      <c r="N249" s="15" t="s">
        <v>295</v>
      </c>
      <c r="O249" s="15" t="s">
        <v>677</v>
      </c>
      <c r="P249" s="15" t="str">
        <f>VLOOKUP(Y249,'All Codes'!$BF$3:$BG$278,2,FALSE)</f>
        <v>Leaderboard</v>
      </c>
      <c r="Q249" s="15" t="s">
        <v>179</v>
      </c>
      <c r="R249" s="15" t="s">
        <v>277</v>
      </c>
      <c r="S249" s="15" t="s">
        <v>874</v>
      </c>
      <c r="T249" s="46" t="s">
        <v>884</v>
      </c>
      <c r="U249" s="15" t="s">
        <v>876</v>
      </c>
      <c r="V249" s="15" t="s">
        <v>1276</v>
      </c>
      <c r="W249" s="15" t="s">
        <v>866</v>
      </c>
      <c r="X249" s="15" t="s">
        <v>307</v>
      </c>
      <c r="Y249" s="46" t="s">
        <v>629</v>
      </c>
      <c r="Z249" s="15"/>
      <c r="AA249" s="15"/>
      <c r="AB249" s="15"/>
      <c r="AC249" s="15"/>
      <c r="AD249" s="15"/>
      <c r="AE249" s="15"/>
      <c r="AF249" s="15"/>
      <c r="AG249" s="15"/>
      <c r="AH249" s="15" t="str">
        <f t="shared" si="121"/>
        <v>284453812</v>
      </c>
      <c r="AI249" s="21" t="str">
        <f t="shared" si="120"/>
        <v>alp_vw_dv360_imc_dsy_lanch_nd_nc_nvs_nivus-launch-consideracao-orca__configuracao_cpm_drct_all_970x250_lancamento-nivus-orca-rmkt-dealer-selection-form-lapsed-user_na_lancamento-consideracao-nivus-orca_nvl-nvs-imc-dsy-0820-10249</v>
      </c>
      <c r="AJ249" s="40" t="str">
        <f t="shared" si="120"/>
        <v>alp_vw_dv360_imc_dsy_lanch_nd_nc_nvs_nivus-launch-consideracao-orca__configuracao_cpm_drct_all_970x250_lancamento-nivus-orca-rmkt-dealer-selection-form-lapsed-user_na_lancamento-consideracao-nivus-orca_nvl-nvs-imc-dsy-0820-10249</v>
      </c>
      <c r="AK249" s="21" t="str">
        <f t="shared" si="98"/>
        <v>vw_nivus_970x250_lancamento-consideracao-nivus-orca_adserver</v>
      </c>
      <c r="AL249" s="21" t="str">
        <f t="shared" si="108"/>
        <v>https://www.vw.com.br/pt/configurador.html/__app/%2Fnivus/0.app?adlid=nvl-nvs-imc-dsy-0820-10249&amp;adplt=alp_vw_dv360_imc_dsy_lanch_nd_nc_nvs_nivus-launch-consideracao-orca__configuracao_cpm_drct_all_970x250_lancamento-nivus-orca-rmkt-dealer-selection-form-lapsed-user_na_lancamento-consideracao-nivus-orca_nvl-nvs-imc-dsy-0820-10249</v>
      </c>
      <c r="AM249" s="21" t="str">
        <f t="shared" si="99"/>
        <v>TAG</v>
      </c>
      <c r="AN249" s="15" t="str">
        <f t="shared" si="109"/>
        <v>DV360</v>
      </c>
      <c r="AO249" s="15" t="str">
        <f t="shared" si="110"/>
        <v>Paid-Display</v>
      </c>
      <c r="AP249" s="21" t="str">
        <f>Campanha!$B$3</f>
        <v>BR_IMC_DSY_LANCH_ND_NC_2020Q3AUG_NVS_Nivus-Launch-Consideracao-Orca</v>
      </c>
      <c r="AQ249" s="21" t="str">
        <f t="shared" si="100"/>
        <v>alp_vw_dv360_imc_dsy_lanch_nd_nc_nvs_nivus-launch-consideracao-orca__configuracao_cpm_drct_all_970x250_lancamento-nivus-orca-rmkt-dealer-selection-form-lapsed-user_na_lancamento-consideracao-nivus-orca_nvl-nvs-imc-dsy-0820-10249</v>
      </c>
      <c r="AR249" s="15" t="s">
        <v>745</v>
      </c>
      <c r="AS249" s="21" t="str">
        <f t="shared" si="101"/>
        <v>https://www.vw.com.br/pt/configurador.html/__app/%2Fnivus/0.app?utm_source=DV360&amp;utm_medium=Paid-Display&amp;utm_content=alp_vw_dv360_imc_dsy_lanch_nd_nc_nvs_nivus-launch-consideracao-orca__configuracao_cpm_drct_all_970x250_lancamento-nivus-orca-rmkt-dealer-selection-form-lapsed-user_na_lancamento-consideracao-nivus-orca_nvl-nvs-imc-dsy-0820-10249&amp;utm_campaign=BR_IMC_DSY_LANCH_ND_NC_2020Q3AUG_NVS_Nivus-Launch-Consideracao-Orca&amp;utm_term=%epid!_%ecid!_%eaid!</v>
      </c>
      <c r="AT249" s="15" t="str">
        <f t="shared" si="111"/>
        <v>other</v>
      </c>
      <c r="AU249" s="15" t="str">
        <f t="shared" si="102"/>
        <v>BR</v>
      </c>
      <c r="AV249" s="15" t="str">
        <f t="shared" si="112"/>
        <v>dv360</v>
      </c>
      <c r="AW249" s="15" t="str">
        <f t="shared" si="113"/>
        <v>dv360</v>
      </c>
      <c r="AX249" s="15" t="str">
        <f t="shared" si="103"/>
        <v>nivus-launch-consideracao-orca</v>
      </c>
      <c r="AY249" s="15" t="str">
        <f t="shared" si="114"/>
        <v>alp_vw_dv360_imc_dsy_lanch_nd_nc_nvs_nivus-launch-consideracao-orca__configuracao_cpm_drct_all_970x250_lancamento-nivus-orca-rmkt-dealer-selection-form-lapsed-user_na_lancamento-consideracao-nivus-orca_nvl-nvs-imc-dsy-0820-10249</v>
      </c>
      <c r="AZ249" s="15" t="str">
        <f t="shared" si="115"/>
        <v>970x250</v>
      </c>
      <c r="BA249" s="15" t="str">
        <f t="shared" si="116"/>
        <v>lancamento-consideracao-nivus-orca</v>
      </c>
      <c r="BB249" s="28" t="s">
        <v>798</v>
      </c>
      <c r="BC249" s="28" t="s">
        <v>798</v>
      </c>
      <c r="BD249" s="38" t="str">
        <f t="shared" si="117"/>
        <v>nvl-nvs-imc-dsy-0820-10249</v>
      </c>
      <c r="BE249" s="15" t="str">
        <f t="shared" si="118"/>
        <v>BR</v>
      </c>
      <c r="BF249" s="15" t="str">
        <f t="shared" si="119"/>
        <v>paid</v>
      </c>
      <c r="BG249" s="28"/>
      <c r="BH249" s="28"/>
      <c r="BI249" s="36" t="str">
        <f t="shared" si="104"/>
        <v>https://www.vw.com.br/pt/configurador.html/__app/%2Fnivus/0.app?adlid=nvl-nvs-imc-dsy-0820-10249&amp;adplt=alp_vw_dv360_imc_dsy_lanch_nd_nc_nvs_nivus-launch-consideracao-orca__configuracao_cpm_drct_all_970x250_lancamento-nivus-orca-rmkt-dealer-selection-form-lapsed-user_na_lancamento-consideracao-nivus-orca_nvl-nvs-imc-dsy-0820-10249</v>
      </c>
      <c r="BL249" t="str">
        <f t="shared" si="105"/>
        <v>alp_vw_dv360_imc_dsy_lanch_nd_nc_nvs_nivus-launch-consideracao-orca__configuracao</v>
      </c>
      <c r="BM249" t="str">
        <f t="shared" si="106"/>
        <v>cpm_drct_all_970x250_lancamento-nivus-orca-rmkt-dealer-selection-form-lapsed-user_na</v>
      </c>
      <c r="BN249" t="str">
        <f t="shared" si="107"/>
        <v>alp_vw_dv360_imc_dsy_lanch_nd_nc_nvs_nivus-launch-consideracao-orca__configuracao_cpm_drct_all_970x250_lancamento-nivus-orca-rmkt-dealer-selection-form-lapsed-user_na_generico_nvl-nvs-imc-dsy-0820-10249</v>
      </c>
    </row>
    <row r="250" spans="2:66" ht="15.75" customHeight="1" x14ac:dyDescent="0.25">
      <c r="B250" s="15"/>
      <c r="C250" s="15"/>
      <c r="D250" s="15"/>
      <c r="E250" s="22"/>
      <c r="F250" s="22"/>
      <c r="G250" s="15"/>
      <c r="H250" s="41"/>
      <c r="I250" s="15"/>
      <c r="J250" s="42"/>
      <c r="K250" s="42"/>
      <c r="L250" s="15"/>
      <c r="M250" s="15"/>
      <c r="N250" s="15"/>
      <c r="O250" s="15"/>
      <c r="P250" s="15"/>
      <c r="Q250" s="15"/>
      <c r="R250" s="15"/>
      <c r="S250" s="15"/>
      <c r="T250" s="46"/>
      <c r="U250" s="15"/>
      <c r="V250" s="15"/>
      <c r="W250" s="15"/>
      <c r="X250" s="15"/>
      <c r="Y250" s="46"/>
      <c r="Z250" s="15"/>
      <c r="AA250" s="15"/>
      <c r="AB250" s="15"/>
      <c r="AC250" s="15"/>
      <c r="AD250" s="15"/>
      <c r="AE250" s="15"/>
      <c r="AF250" s="15"/>
      <c r="AG250" s="15"/>
      <c r="AH250" s="15" t="e">
        <f t="shared" ref="AH250:AH308" si="122">VLOOKUP(AI250,id_placement,2,FALSE)</f>
        <v>#N/A</v>
      </c>
      <c r="AI250" s="21" t="e">
        <f t="shared" si="120"/>
        <v>#N/A</v>
      </c>
      <c r="AJ250" s="40" t="e">
        <f t="shared" si="120"/>
        <v>#N/A</v>
      </c>
      <c r="AK250" s="21" t="str">
        <f t="shared" si="98"/>
        <v>vw_nivus___adserver</v>
      </c>
      <c r="AL250" s="21" t="e">
        <f t="shared" si="108"/>
        <v>#VALUE!</v>
      </c>
      <c r="AM250" s="21" t="str">
        <f t="shared" si="99"/>
        <v>TAG</v>
      </c>
      <c r="AN250" s="15">
        <f t="shared" si="109"/>
        <v>0</v>
      </c>
      <c r="AO250" s="15">
        <f t="shared" si="110"/>
        <v>0</v>
      </c>
      <c r="AP250" s="21" t="str">
        <f>Campanha!$B$3</f>
        <v>BR_IMC_DSY_LANCH_ND_NC_2020Q3AUG_NVS_Nivus-Launch-Consideracao-Orca</v>
      </c>
      <c r="AQ250" s="21" t="e">
        <f t="shared" si="100"/>
        <v>#N/A</v>
      </c>
      <c r="AR250" s="15" t="s">
        <v>745</v>
      </c>
      <c r="AS250" s="21" t="e">
        <f t="shared" si="101"/>
        <v>#VALUE!</v>
      </c>
      <c r="AT250" s="15" t="str">
        <f t="shared" si="111"/>
        <v/>
      </c>
      <c r="AU250" s="15" t="str">
        <f t="shared" si="102"/>
        <v>BR</v>
      </c>
      <c r="AV250" s="15" t="str">
        <f t="shared" si="112"/>
        <v/>
      </c>
      <c r="AW250" s="15" t="str">
        <f t="shared" si="113"/>
        <v/>
      </c>
      <c r="AX250" s="15" t="str">
        <f t="shared" si="103"/>
        <v>nivus-launch-consideracao-orca</v>
      </c>
      <c r="AY250" s="15" t="e">
        <f t="shared" si="114"/>
        <v>#N/A</v>
      </c>
      <c r="AZ250" s="15" t="str">
        <f t="shared" si="115"/>
        <v/>
      </c>
      <c r="BA250" s="15" t="str">
        <f t="shared" si="116"/>
        <v/>
      </c>
      <c r="BB250" s="28" t="s">
        <v>798</v>
      </c>
      <c r="BC250" s="28" t="s">
        <v>798</v>
      </c>
      <c r="BD250" s="38" t="str">
        <f t="shared" si="117"/>
        <v>nvl-nvs-imc-dsy-0820-10250</v>
      </c>
      <c r="BE250" s="15" t="str">
        <f t="shared" si="118"/>
        <v>BR</v>
      </c>
      <c r="BF250" s="15" t="str">
        <f t="shared" si="119"/>
        <v/>
      </c>
      <c r="BG250" s="28"/>
      <c r="BH250" s="28"/>
      <c r="BI250" s="36" t="e">
        <f t="shared" si="104"/>
        <v>#VALUE!</v>
      </c>
      <c r="BL250" t="str">
        <f t="shared" si="105"/>
        <v>alp_vw__imc_dsy_lanch_nd_nc_nvs_nivus-launch-consideracao-orca__</v>
      </c>
      <c r="BM250" t="e">
        <f t="shared" si="106"/>
        <v>#N/A</v>
      </c>
      <c r="BN250" t="e">
        <f t="shared" si="107"/>
        <v>#VALUE!</v>
      </c>
    </row>
    <row r="251" spans="2:66" ht="15.75" customHeight="1" x14ac:dyDescent="0.25">
      <c r="B251" s="15"/>
      <c r="C251" s="15"/>
      <c r="D251" s="15"/>
      <c r="E251" s="22"/>
      <c r="F251" s="22"/>
      <c r="G251" s="15"/>
      <c r="H251" s="41"/>
      <c r="I251" s="15"/>
      <c r="J251" s="42"/>
      <c r="K251" s="42"/>
      <c r="L251" s="15"/>
      <c r="M251" s="15"/>
      <c r="N251" s="15"/>
      <c r="O251" s="15"/>
      <c r="P251" s="15"/>
      <c r="Q251" s="15"/>
      <c r="R251" s="15"/>
      <c r="S251" s="15"/>
      <c r="T251" s="46"/>
      <c r="U251" s="15"/>
      <c r="V251" s="15"/>
      <c r="W251" s="15"/>
      <c r="X251" s="15"/>
      <c r="Y251" s="46"/>
      <c r="Z251" s="15"/>
      <c r="AA251" s="15"/>
      <c r="AB251" s="15"/>
      <c r="AC251" s="15"/>
      <c r="AD251" s="15"/>
      <c r="AE251" s="15"/>
      <c r="AF251" s="15"/>
      <c r="AG251" s="15"/>
      <c r="AH251" s="15" t="e">
        <f t="shared" si="122"/>
        <v>#N/A</v>
      </c>
      <c r="AI251" s="21" t="e">
        <f t="shared" si="120"/>
        <v>#N/A</v>
      </c>
      <c r="AJ251" s="40" t="e">
        <f t="shared" si="120"/>
        <v>#N/A</v>
      </c>
      <c r="AK251" s="21" t="str">
        <f t="shared" si="98"/>
        <v>vw_nivus___adserver</v>
      </c>
      <c r="AL251" s="21" t="e">
        <f t="shared" si="108"/>
        <v>#VALUE!</v>
      </c>
      <c r="AM251" s="21" t="str">
        <f t="shared" si="99"/>
        <v>TAG</v>
      </c>
      <c r="AN251" s="15">
        <f t="shared" si="109"/>
        <v>0</v>
      </c>
      <c r="AO251" s="15">
        <f t="shared" si="110"/>
        <v>0</v>
      </c>
      <c r="AP251" s="21" t="str">
        <f>Campanha!$B$3</f>
        <v>BR_IMC_DSY_LANCH_ND_NC_2020Q3AUG_NVS_Nivus-Launch-Consideracao-Orca</v>
      </c>
      <c r="AQ251" s="21" t="e">
        <f t="shared" si="100"/>
        <v>#N/A</v>
      </c>
      <c r="AR251" s="15" t="s">
        <v>745</v>
      </c>
      <c r="AS251" s="21" t="e">
        <f t="shared" si="101"/>
        <v>#VALUE!</v>
      </c>
      <c r="AT251" s="15" t="str">
        <f t="shared" si="111"/>
        <v/>
      </c>
      <c r="AU251" s="15" t="str">
        <f t="shared" si="102"/>
        <v>BR</v>
      </c>
      <c r="AV251" s="15" t="str">
        <f t="shared" si="112"/>
        <v/>
      </c>
      <c r="AW251" s="15" t="str">
        <f t="shared" si="113"/>
        <v/>
      </c>
      <c r="AX251" s="15" t="str">
        <f t="shared" si="103"/>
        <v>nivus-launch-consideracao-orca</v>
      </c>
      <c r="AY251" s="15" t="e">
        <f t="shared" si="114"/>
        <v>#N/A</v>
      </c>
      <c r="AZ251" s="15" t="str">
        <f t="shared" si="115"/>
        <v/>
      </c>
      <c r="BA251" s="15" t="str">
        <f t="shared" si="116"/>
        <v/>
      </c>
      <c r="BB251" s="28" t="s">
        <v>798</v>
      </c>
      <c r="BC251" s="28" t="s">
        <v>798</v>
      </c>
      <c r="BD251" s="38" t="str">
        <f t="shared" si="117"/>
        <v>nvl-nvs-imc-dsy-0820-10251</v>
      </c>
      <c r="BE251" s="15" t="str">
        <f t="shared" si="118"/>
        <v>BR</v>
      </c>
      <c r="BF251" s="15" t="str">
        <f t="shared" si="119"/>
        <v/>
      </c>
      <c r="BG251" s="28"/>
      <c r="BH251" s="28"/>
      <c r="BI251" s="36" t="e">
        <f t="shared" si="104"/>
        <v>#VALUE!</v>
      </c>
      <c r="BL251" t="str">
        <f t="shared" si="105"/>
        <v>alp_vw__imc_dsy_lanch_nd_nc_nvs_nivus-launch-consideracao-orca__</v>
      </c>
      <c r="BM251" t="e">
        <f t="shared" si="106"/>
        <v>#N/A</v>
      </c>
      <c r="BN251" t="e">
        <f t="shared" si="107"/>
        <v>#VALUE!</v>
      </c>
    </row>
    <row r="252" spans="2:66" ht="15.75" customHeight="1" x14ac:dyDescent="0.25">
      <c r="B252" s="15"/>
      <c r="C252" s="15"/>
      <c r="D252" s="15"/>
      <c r="E252" s="22"/>
      <c r="F252" s="22"/>
      <c r="G252" s="15"/>
      <c r="H252" s="41"/>
      <c r="I252" s="15"/>
      <c r="J252" s="42"/>
      <c r="K252" s="42"/>
      <c r="L252" s="15"/>
      <c r="M252" s="15"/>
      <c r="N252" s="15"/>
      <c r="O252" s="15"/>
      <c r="P252" s="15"/>
      <c r="Q252" s="15"/>
      <c r="R252" s="15"/>
      <c r="S252" s="15"/>
      <c r="T252" s="46"/>
      <c r="U252" s="15"/>
      <c r="V252" s="15"/>
      <c r="W252" s="15"/>
      <c r="X252" s="15"/>
      <c r="Y252" s="46"/>
      <c r="Z252" s="15"/>
      <c r="AA252" s="15"/>
      <c r="AB252" s="15"/>
      <c r="AC252" s="15"/>
      <c r="AD252" s="15"/>
      <c r="AE252" s="15"/>
      <c r="AF252" s="15"/>
      <c r="AG252" s="15"/>
      <c r="AH252" s="15" t="e">
        <f t="shared" si="122"/>
        <v>#N/A</v>
      </c>
      <c r="AI252" s="21" t="e">
        <f t="shared" si="120"/>
        <v>#N/A</v>
      </c>
      <c r="AJ252" s="40" t="e">
        <f t="shared" si="120"/>
        <v>#N/A</v>
      </c>
      <c r="AK252" s="21" t="str">
        <f t="shared" si="98"/>
        <v>vw_nivus___adserver</v>
      </c>
      <c r="AL252" s="21" t="e">
        <f t="shared" si="108"/>
        <v>#VALUE!</v>
      </c>
      <c r="AM252" s="21" t="str">
        <f t="shared" si="99"/>
        <v>TAG</v>
      </c>
      <c r="AN252" s="15">
        <f t="shared" si="109"/>
        <v>0</v>
      </c>
      <c r="AO252" s="15">
        <f t="shared" si="110"/>
        <v>0</v>
      </c>
      <c r="AP252" s="21" t="str">
        <f>Campanha!$B$3</f>
        <v>BR_IMC_DSY_LANCH_ND_NC_2020Q3AUG_NVS_Nivus-Launch-Consideracao-Orca</v>
      </c>
      <c r="AQ252" s="21" t="e">
        <f t="shared" si="100"/>
        <v>#N/A</v>
      </c>
      <c r="AR252" s="15" t="s">
        <v>745</v>
      </c>
      <c r="AS252" s="21" t="e">
        <f t="shared" si="101"/>
        <v>#VALUE!</v>
      </c>
      <c r="AT252" s="15" t="str">
        <f t="shared" si="111"/>
        <v/>
      </c>
      <c r="AU252" s="15" t="str">
        <f t="shared" si="102"/>
        <v>BR</v>
      </c>
      <c r="AV252" s="15" t="str">
        <f t="shared" si="112"/>
        <v/>
      </c>
      <c r="AW252" s="15" t="str">
        <f t="shared" si="113"/>
        <v/>
      </c>
      <c r="AX252" s="15" t="str">
        <f t="shared" si="103"/>
        <v>nivus-launch-consideracao-orca</v>
      </c>
      <c r="AY252" s="15" t="e">
        <f t="shared" si="114"/>
        <v>#N/A</v>
      </c>
      <c r="AZ252" s="15" t="str">
        <f t="shared" si="115"/>
        <v/>
      </c>
      <c r="BA252" s="15" t="str">
        <f t="shared" si="116"/>
        <v/>
      </c>
      <c r="BB252" s="28" t="s">
        <v>798</v>
      </c>
      <c r="BC252" s="28" t="s">
        <v>798</v>
      </c>
      <c r="BD252" s="38" t="str">
        <f t="shared" si="117"/>
        <v>nvl-nvs-imc-dsy-0820-10252</v>
      </c>
      <c r="BE252" s="15" t="str">
        <f t="shared" si="118"/>
        <v>BR</v>
      </c>
      <c r="BF252" s="15" t="str">
        <f t="shared" si="119"/>
        <v/>
      </c>
      <c r="BG252" s="28"/>
      <c r="BH252" s="28"/>
      <c r="BI252" s="36" t="e">
        <f t="shared" si="104"/>
        <v>#VALUE!</v>
      </c>
      <c r="BL252" t="str">
        <f t="shared" si="105"/>
        <v>alp_vw__imc_dsy_lanch_nd_nc_nvs_nivus-launch-consideracao-orca__</v>
      </c>
      <c r="BM252" t="e">
        <f t="shared" si="106"/>
        <v>#N/A</v>
      </c>
      <c r="BN252" t="e">
        <f t="shared" si="107"/>
        <v>#VALUE!</v>
      </c>
    </row>
    <row r="253" spans="2:66" ht="15.75" customHeight="1" x14ac:dyDescent="0.25">
      <c r="B253" s="15"/>
      <c r="C253" s="15"/>
      <c r="D253" s="15"/>
      <c r="E253" s="22"/>
      <c r="F253" s="22"/>
      <c r="G253" s="15"/>
      <c r="H253" s="41"/>
      <c r="I253" s="15"/>
      <c r="J253" s="42"/>
      <c r="K253" s="42"/>
      <c r="L253" s="15"/>
      <c r="M253" s="15"/>
      <c r="N253" s="15"/>
      <c r="O253" s="15"/>
      <c r="P253" s="15"/>
      <c r="Q253" s="15"/>
      <c r="R253" s="15"/>
      <c r="S253" s="15"/>
      <c r="T253" s="46"/>
      <c r="U253" s="15"/>
      <c r="V253" s="15"/>
      <c r="W253" s="15"/>
      <c r="X253" s="15"/>
      <c r="Y253" s="46"/>
      <c r="Z253" s="15"/>
      <c r="AA253" s="15"/>
      <c r="AB253" s="15"/>
      <c r="AC253" s="15"/>
      <c r="AD253" s="15"/>
      <c r="AE253" s="15"/>
      <c r="AF253" s="15"/>
      <c r="AG253" s="15"/>
      <c r="AH253" s="15" t="e">
        <f t="shared" si="122"/>
        <v>#N/A</v>
      </c>
      <c r="AI253" s="21" t="e">
        <f t="shared" si="120"/>
        <v>#N/A</v>
      </c>
      <c r="AJ253" s="40" t="e">
        <f t="shared" si="120"/>
        <v>#N/A</v>
      </c>
      <c r="AK253" s="21" t="str">
        <f t="shared" si="98"/>
        <v>vw_nivus___adserver</v>
      </c>
      <c r="AL253" s="21" t="e">
        <f t="shared" si="108"/>
        <v>#VALUE!</v>
      </c>
      <c r="AM253" s="21" t="str">
        <f t="shared" si="99"/>
        <v>TAG</v>
      </c>
      <c r="AN253" s="15">
        <f t="shared" si="109"/>
        <v>0</v>
      </c>
      <c r="AO253" s="15">
        <f t="shared" si="110"/>
        <v>0</v>
      </c>
      <c r="AP253" s="21" t="str">
        <f>Campanha!$B$3</f>
        <v>BR_IMC_DSY_LANCH_ND_NC_2020Q3AUG_NVS_Nivus-Launch-Consideracao-Orca</v>
      </c>
      <c r="AQ253" s="21" t="e">
        <f t="shared" si="100"/>
        <v>#N/A</v>
      </c>
      <c r="AR253" s="15" t="s">
        <v>745</v>
      </c>
      <c r="AS253" s="21" t="e">
        <f t="shared" si="101"/>
        <v>#VALUE!</v>
      </c>
      <c r="AT253" s="15" t="str">
        <f t="shared" si="111"/>
        <v/>
      </c>
      <c r="AU253" s="15" t="str">
        <f t="shared" si="102"/>
        <v>BR</v>
      </c>
      <c r="AV253" s="15" t="str">
        <f t="shared" si="112"/>
        <v/>
      </c>
      <c r="AW253" s="15" t="str">
        <f t="shared" si="113"/>
        <v/>
      </c>
      <c r="AX253" s="15" t="str">
        <f t="shared" si="103"/>
        <v>nivus-launch-consideracao-orca</v>
      </c>
      <c r="AY253" s="15" t="e">
        <f t="shared" si="114"/>
        <v>#N/A</v>
      </c>
      <c r="AZ253" s="15" t="str">
        <f t="shared" si="115"/>
        <v/>
      </c>
      <c r="BA253" s="15" t="str">
        <f t="shared" si="116"/>
        <v/>
      </c>
      <c r="BB253" s="28" t="s">
        <v>798</v>
      </c>
      <c r="BC253" s="28" t="s">
        <v>798</v>
      </c>
      <c r="BD253" s="38" t="str">
        <f t="shared" si="117"/>
        <v>nvl-nvs-imc-dsy-0820-10253</v>
      </c>
      <c r="BE253" s="15" t="str">
        <f t="shared" si="118"/>
        <v>BR</v>
      </c>
      <c r="BF253" s="15" t="str">
        <f t="shared" si="119"/>
        <v/>
      </c>
      <c r="BG253" s="28"/>
      <c r="BH253" s="28"/>
      <c r="BI253" s="36" t="e">
        <f t="shared" si="104"/>
        <v>#VALUE!</v>
      </c>
      <c r="BL253" t="str">
        <f t="shared" si="105"/>
        <v>alp_vw__imc_dsy_lanch_nd_nc_nvs_nivus-launch-consideracao-orca__</v>
      </c>
      <c r="BM253" t="e">
        <f t="shared" si="106"/>
        <v>#N/A</v>
      </c>
      <c r="BN253" t="e">
        <f t="shared" si="107"/>
        <v>#VALUE!</v>
      </c>
    </row>
    <row r="254" spans="2:66" ht="15.75" customHeight="1" x14ac:dyDescent="0.25">
      <c r="B254" s="15"/>
      <c r="C254" s="15"/>
      <c r="D254" s="15"/>
      <c r="E254" s="22"/>
      <c r="F254" s="22"/>
      <c r="G254" s="15"/>
      <c r="H254" s="41"/>
      <c r="I254" s="15"/>
      <c r="J254" s="42"/>
      <c r="K254" s="42"/>
      <c r="L254" s="15"/>
      <c r="M254" s="15"/>
      <c r="N254" s="15"/>
      <c r="O254" s="15"/>
      <c r="P254" s="15"/>
      <c r="Q254" s="15"/>
      <c r="R254" s="15"/>
      <c r="S254" s="15"/>
      <c r="T254" s="46"/>
      <c r="U254" s="15"/>
      <c r="V254" s="15"/>
      <c r="W254" s="15"/>
      <c r="X254" s="15"/>
      <c r="Y254" s="46"/>
      <c r="Z254" s="15"/>
      <c r="AA254" s="15"/>
      <c r="AB254" s="15"/>
      <c r="AC254" s="15"/>
      <c r="AD254" s="15"/>
      <c r="AE254" s="15"/>
      <c r="AF254" s="15"/>
      <c r="AG254" s="15"/>
      <c r="AH254" s="15" t="e">
        <f t="shared" si="122"/>
        <v>#N/A</v>
      </c>
      <c r="AI254" s="21" t="e">
        <f t="shared" si="120"/>
        <v>#N/A</v>
      </c>
      <c r="AJ254" s="40" t="e">
        <f t="shared" si="120"/>
        <v>#N/A</v>
      </c>
      <c r="AK254" s="21" t="str">
        <f t="shared" si="98"/>
        <v>vw_nivus___adserver</v>
      </c>
      <c r="AL254" s="21" t="e">
        <f t="shared" si="108"/>
        <v>#VALUE!</v>
      </c>
      <c r="AM254" s="21" t="str">
        <f t="shared" si="99"/>
        <v>TAG</v>
      </c>
      <c r="AN254" s="15">
        <f t="shared" si="109"/>
        <v>0</v>
      </c>
      <c r="AO254" s="15">
        <f t="shared" si="110"/>
        <v>0</v>
      </c>
      <c r="AP254" s="21" t="str">
        <f>Campanha!$B$3</f>
        <v>BR_IMC_DSY_LANCH_ND_NC_2020Q3AUG_NVS_Nivus-Launch-Consideracao-Orca</v>
      </c>
      <c r="AQ254" s="21" t="e">
        <f t="shared" si="100"/>
        <v>#N/A</v>
      </c>
      <c r="AR254" s="15" t="s">
        <v>745</v>
      </c>
      <c r="AS254" s="21" t="e">
        <f t="shared" si="101"/>
        <v>#VALUE!</v>
      </c>
      <c r="AT254" s="15" t="str">
        <f t="shared" si="111"/>
        <v/>
      </c>
      <c r="AU254" s="15" t="str">
        <f t="shared" si="102"/>
        <v>BR</v>
      </c>
      <c r="AV254" s="15" t="str">
        <f t="shared" si="112"/>
        <v/>
      </c>
      <c r="AW254" s="15" t="str">
        <f t="shared" si="113"/>
        <v/>
      </c>
      <c r="AX254" s="15" t="str">
        <f t="shared" si="103"/>
        <v>nivus-launch-consideracao-orca</v>
      </c>
      <c r="AY254" s="15" t="e">
        <f t="shared" si="114"/>
        <v>#N/A</v>
      </c>
      <c r="AZ254" s="15" t="str">
        <f t="shared" si="115"/>
        <v/>
      </c>
      <c r="BA254" s="15" t="str">
        <f t="shared" si="116"/>
        <v/>
      </c>
      <c r="BB254" s="28" t="s">
        <v>798</v>
      </c>
      <c r="BC254" s="28" t="s">
        <v>798</v>
      </c>
      <c r="BD254" s="38" t="str">
        <f t="shared" si="117"/>
        <v>nvl-nvs-imc-dsy-0820-10254</v>
      </c>
      <c r="BE254" s="15" t="str">
        <f t="shared" si="118"/>
        <v>BR</v>
      </c>
      <c r="BF254" s="15" t="str">
        <f t="shared" si="119"/>
        <v/>
      </c>
      <c r="BG254" s="28"/>
      <c r="BH254" s="28"/>
      <c r="BI254" s="36" t="e">
        <f t="shared" si="104"/>
        <v>#VALUE!</v>
      </c>
      <c r="BL254" t="str">
        <f t="shared" si="105"/>
        <v>alp_vw__imc_dsy_lanch_nd_nc_nvs_nivus-launch-consideracao-orca__</v>
      </c>
      <c r="BM254" t="e">
        <f t="shared" si="106"/>
        <v>#N/A</v>
      </c>
      <c r="BN254" t="e">
        <f t="shared" si="107"/>
        <v>#VALUE!</v>
      </c>
    </row>
    <row r="255" spans="2:66" ht="15.75" customHeight="1" x14ac:dyDescent="0.25">
      <c r="B255" s="15"/>
      <c r="C255" s="15"/>
      <c r="D255" s="15"/>
      <c r="E255" s="22"/>
      <c r="F255" s="22"/>
      <c r="G255" s="15"/>
      <c r="H255" s="41"/>
      <c r="I255" s="15"/>
      <c r="J255" s="42"/>
      <c r="K255" s="42"/>
      <c r="L255" s="15"/>
      <c r="M255" s="15"/>
      <c r="N255" s="15"/>
      <c r="O255" s="15"/>
      <c r="P255" s="15"/>
      <c r="Q255" s="15"/>
      <c r="R255" s="15"/>
      <c r="S255" s="15"/>
      <c r="T255" s="46"/>
      <c r="U255" s="15"/>
      <c r="V255" s="15"/>
      <c r="W255" s="15"/>
      <c r="X255" s="15"/>
      <c r="Y255" s="46"/>
      <c r="Z255" s="15"/>
      <c r="AA255" s="15"/>
      <c r="AB255" s="15"/>
      <c r="AC255" s="15"/>
      <c r="AD255" s="15"/>
      <c r="AE255" s="15"/>
      <c r="AF255" s="15"/>
      <c r="AG255" s="15"/>
      <c r="AH255" s="15" t="e">
        <f t="shared" si="122"/>
        <v>#N/A</v>
      </c>
      <c r="AI255" s="21" t="e">
        <f t="shared" si="120"/>
        <v>#N/A</v>
      </c>
      <c r="AJ255" s="40" t="e">
        <f t="shared" si="120"/>
        <v>#N/A</v>
      </c>
      <c r="AK255" s="21" t="str">
        <f t="shared" si="98"/>
        <v>vw_nivus___adserver</v>
      </c>
      <c r="AL255" s="21" t="e">
        <f t="shared" si="108"/>
        <v>#VALUE!</v>
      </c>
      <c r="AM255" s="21" t="str">
        <f t="shared" si="99"/>
        <v>TAG</v>
      </c>
      <c r="AN255" s="15">
        <f t="shared" si="109"/>
        <v>0</v>
      </c>
      <c r="AO255" s="15">
        <f t="shared" si="110"/>
        <v>0</v>
      </c>
      <c r="AP255" s="21" t="str">
        <f>Campanha!$B$3</f>
        <v>BR_IMC_DSY_LANCH_ND_NC_2020Q3AUG_NVS_Nivus-Launch-Consideracao-Orca</v>
      </c>
      <c r="AQ255" s="21" t="e">
        <f t="shared" si="100"/>
        <v>#N/A</v>
      </c>
      <c r="AR255" s="15" t="s">
        <v>745</v>
      </c>
      <c r="AS255" s="21" t="e">
        <f t="shared" si="101"/>
        <v>#VALUE!</v>
      </c>
      <c r="AT255" s="15" t="str">
        <f t="shared" si="111"/>
        <v/>
      </c>
      <c r="AU255" s="15" t="str">
        <f t="shared" si="102"/>
        <v>BR</v>
      </c>
      <c r="AV255" s="15" t="str">
        <f t="shared" si="112"/>
        <v/>
      </c>
      <c r="AW255" s="15" t="str">
        <f t="shared" si="113"/>
        <v/>
      </c>
      <c r="AX255" s="15" t="str">
        <f t="shared" si="103"/>
        <v>nivus-launch-consideracao-orca</v>
      </c>
      <c r="AY255" s="15" t="e">
        <f t="shared" si="114"/>
        <v>#N/A</v>
      </c>
      <c r="AZ255" s="15" t="str">
        <f t="shared" si="115"/>
        <v/>
      </c>
      <c r="BA255" s="15" t="str">
        <f t="shared" si="116"/>
        <v/>
      </c>
      <c r="BB255" s="28" t="s">
        <v>798</v>
      </c>
      <c r="BC255" s="28" t="s">
        <v>798</v>
      </c>
      <c r="BD255" s="38" t="str">
        <f t="shared" si="117"/>
        <v>nvl-nvs-imc-dsy-0820-10255</v>
      </c>
      <c r="BE255" s="15" t="str">
        <f t="shared" si="118"/>
        <v>BR</v>
      </c>
      <c r="BF255" s="15" t="str">
        <f t="shared" si="119"/>
        <v/>
      </c>
      <c r="BG255" s="28"/>
      <c r="BH255" s="28"/>
      <c r="BI255" s="36" t="e">
        <f t="shared" si="104"/>
        <v>#VALUE!</v>
      </c>
      <c r="BL255" t="str">
        <f t="shared" si="105"/>
        <v>alp_vw__imc_dsy_lanch_nd_nc_nvs_nivus-launch-consideracao-orca__</v>
      </c>
      <c r="BM255" t="e">
        <f t="shared" si="106"/>
        <v>#N/A</v>
      </c>
      <c r="BN255" t="e">
        <f t="shared" si="107"/>
        <v>#VALUE!</v>
      </c>
    </row>
    <row r="256" spans="2:66" ht="15.75" customHeight="1" x14ac:dyDescent="0.25">
      <c r="B256" s="15"/>
      <c r="C256" s="15"/>
      <c r="D256" s="15"/>
      <c r="E256" s="22"/>
      <c r="F256" s="22"/>
      <c r="G256" s="15"/>
      <c r="H256" s="41"/>
      <c r="I256" s="15"/>
      <c r="J256" s="42"/>
      <c r="K256" s="42"/>
      <c r="L256" s="15"/>
      <c r="M256" s="15"/>
      <c r="N256" s="15"/>
      <c r="O256" s="15"/>
      <c r="P256" s="15"/>
      <c r="Q256" s="15"/>
      <c r="R256" s="15"/>
      <c r="S256" s="15"/>
      <c r="T256" s="46"/>
      <c r="U256" s="15"/>
      <c r="V256" s="15"/>
      <c r="W256" s="15"/>
      <c r="X256" s="15"/>
      <c r="Y256" s="46"/>
      <c r="Z256" s="15"/>
      <c r="AA256" s="15"/>
      <c r="AB256" s="15"/>
      <c r="AC256" s="15"/>
      <c r="AD256" s="15"/>
      <c r="AE256" s="15"/>
      <c r="AF256" s="15"/>
      <c r="AG256" s="15"/>
      <c r="AH256" s="15" t="e">
        <f t="shared" si="122"/>
        <v>#N/A</v>
      </c>
      <c r="AI256" s="21" t="e">
        <f t="shared" si="120"/>
        <v>#N/A</v>
      </c>
      <c r="AJ256" s="40" t="e">
        <f t="shared" si="120"/>
        <v>#N/A</v>
      </c>
      <c r="AK256" s="21" t="str">
        <f t="shared" si="98"/>
        <v>vw_nivus___adserver</v>
      </c>
      <c r="AL256" s="21" t="e">
        <f t="shared" si="108"/>
        <v>#VALUE!</v>
      </c>
      <c r="AM256" s="21" t="str">
        <f t="shared" si="99"/>
        <v>TAG</v>
      </c>
      <c r="AN256" s="15">
        <f t="shared" si="109"/>
        <v>0</v>
      </c>
      <c r="AO256" s="15">
        <f t="shared" si="110"/>
        <v>0</v>
      </c>
      <c r="AP256" s="21" t="str">
        <f>Campanha!$B$3</f>
        <v>BR_IMC_DSY_LANCH_ND_NC_2020Q3AUG_NVS_Nivus-Launch-Consideracao-Orca</v>
      </c>
      <c r="AQ256" s="21" t="e">
        <f t="shared" si="100"/>
        <v>#N/A</v>
      </c>
      <c r="AR256" s="15" t="s">
        <v>745</v>
      </c>
      <c r="AS256" s="21" t="e">
        <f t="shared" si="101"/>
        <v>#VALUE!</v>
      </c>
      <c r="AT256" s="15" t="str">
        <f t="shared" si="111"/>
        <v/>
      </c>
      <c r="AU256" s="15" t="str">
        <f t="shared" si="102"/>
        <v>BR</v>
      </c>
      <c r="AV256" s="15" t="str">
        <f t="shared" si="112"/>
        <v/>
      </c>
      <c r="AW256" s="15" t="str">
        <f t="shared" si="113"/>
        <v/>
      </c>
      <c r="AX256" s="15" t="str">
        <f t="shared" si="103"/>
        <v>nivus-launch-consideracao-orca</v>
      </c>
      <c r="AY256" s="15" t="e">
        <f t="shared" si="114"/>
        <v>#N/A</v>
      </c>
      <c r="AZ256" s="15" t="str">
        <f t="shared" si="115"/>
        <v/>
      </c>
      <c r="BA256" s="15" t="str">
        <f t="shared" si="116"/>
        <v/>
      </c>
      <c r="BB256" s="28" t="s">
        <v>798</v>
      </c>
      <c r="BC256" s="28" t="s">
        <v>798</v>
      </c>
      <c r="BD256" s="38" t="str">
        <f t="shared" si="117"/>
        <v>nvl-nvs-imc-dsy-0820-10256</v>
      </c>
      <c r="BE256" s="15" t="str">
        <f t="shared" si="118"/>
        <v>BR</v>
      </c>
      <c r="BF256" s="15" t="str">
        <f t="shared" si="119"/>
        <v/>
      </c>
      <c r="BG256" s="28"/>
      <c r="BH256" s="28"/>
      <c r="BI256" s="36" t="e">
        <f t="shared" si="104"/>
        <v>#VALUE!</v>
      </c>
      <c r="BL256" t="str">
        <f t="shared" si="105"/>
        <v>alp_vw__imc_dsy_lanch_nd_nc_nvs_nivus-launch-consideracao-orca__</v>
      </c>
      <c r="BM256" t="e">
        <f t="shared" si="106"/>
        <v>#N/A</v>
      </c>
      <c r="BN256" t="e">
        <f t="shared" si="107"/>
        <v>#VALUE!</v>
      </c>
    </row>
    <row r="257" spans="2:66" ht="15.75" customHeight="1" x14ac:dyDescent="0.25">
      <c r="B257" s="15"/>
      <c r="C257" s="15"/>
      <c r="D257" s="15"/>
      <c r="E257" s="22"/>
      <c r="F257" s="22"/>
      <c r="G257" s="15"/>
      <c r="H257" s="41"/>
      <c r="I257" s="15"/>
      <c r="J257" s="42"/>
      <c r="K257" s="42"/>
      <c r="L257" s="15"/>
      <c r="M257" s="15"/>
      <c r="N257" s="15"/>
      <c r="O257" s="15"/>
      <c r="P257" s="15"/>
      <c r="Q257" s="15"/>
      <c r="R257" s="15"/>
      <c r="S257" s="15"/>
      <c r="T257" s="46"/>
      <c r="U257" s="15"/>
      <c r="V257" s="15"/>
      <c r="W257" s="15"/>
      <c r="X257" s="15"/>
      <c r="Y257" s="46"/>
      <c r="Z257" s="15"/>
      <c r="AA257" s="15"/>
      <c r="AB257" s="15"/>
      <c r="AC257" s="15"/>
      <c r="AD257" s="15"/>
      <c r="AE257" s="15"/>
      <c r="AF257" s="15"/>
      <c r="AG257" s="15"/>
      <c r="AH257" s="15" t="e">
        <f t="shared" si="122"/>
        <v>#N/A</v>
      </c>
      <c r="AI257" s="21" t="e">
        <f t="shared" si="120"/>
        <v>#N/A</v>
      </c>
      <c r="AJ257" s="40" t="e">
        <f t="shared" si="120"/>
        <v>#N/A</v>
      </c>
      <c r="AK257" s="21" t="str">
        <f t="shared" si="98"/>
        <v>vw_nivus___adserver</v>
      </c>
      <c r="AL257" s="21" t="e">
        <f t="shared" si="108"/>
        <v>#VALUE!</v>
      </c>
      <c r="AM257" s="21" t="str">
        <f t="shared" si="99"/>
        <v>TAG</v>
      </c>
      <c r="AN257" s="15">
        <f t="shared" si="109"/>
        <v>0</v>
      </c>
      <c r="AO257" s="15">
        <f t="shared" si="110"/>
        <v>0</v>
      </c>
      <c r="AP257" s="21" t="str">
        <f>Campanha!$B$3</f>
        <v>BR_IMC_DSY_LANCH_ND_NC_2020Q3AUG_NVS_Nivus-Launch-Consideracao-Orca</v>
      </c>
      <c r="AQ257" s="21" t="e">
        <f t="shared" si="100"/>
        <v>#N/A</v>
      </c>
      <c r="AR257" s="15" t="s">
        <v>745</v>
      </c>
      <c r="AS257" s="21" t="e">
        <f t="shared" si="101"/>
        <v>#VALUE!</v>
      </c>
      <c r="AT257" s="15" t="str">
        <f t="shared" si="111"/>
        <v/>
      </c>
      <c r="AU257" s="15" t="str">
        <f t="shared" si="102"/>
        <v>BR</v>
      </c>
      <c r="AV257" s="15" t="str">
        <f t="shared" si="112"/>
        <v/>
      </c>
      <c r="AW257" s="15" t="str">
        <f t="shared" si="113"/>
        <v/>
      </c>
      <c r="AX257" s="15" t="str">
        <f t="shared" si="103"/>
        <v>nivus-launch-consideracao-orca</v>
      </c>
      <c r="AY257" s="15" t="e">
        <f t="shared" si="114"/>
        <v>#N/A</v>
      </c>
      <c r="AZ257" s="15" t="str">
        <f t="shared" si="115"/>
        <v/>
      </c>
      <c r="BA257" s="15" t="str">
        <f t="shared" si="116"/>
        <v/>
      </c>
      <c r="BB257" s="28" t="s">
        <v>798</v>
      </c>
      <c r="BC257" s="28" t="s">
        <v>798</v>
      </c>
      <c r="BD257" s="38" t="str">
        <f t="shared" si="117"/>
        <v>nvl-nvs-imc-dsy-0820-10257</v>
      </c>
      <c r="BE257" s="15" t="str">
        <f t="shared" si="118"/>
        <v>BR</v>
      </c>
      <c r="BF257" s="15" t="str">
        <f t="shared" si="119"/>
        <v/>
      </c>
      <c r="BG257" s="28"/>
      <c r="BH257" s="28"/>
      <c r="BI257" s="36" t="e">
        <f t="shared" si="104"/>
        <v>#VALUE!</v>
      </c>
      <c r="BL257" t="str">
        <f t="shared" si="105"/>
        <v>alp_vw__imc_dsy_lanch_nd_nc_nvs_nivus-launch-consideracao-orca__</v>
      </c>
      <c r="BM257" t="e">
        <f t="shared" si="106"/>
        <v>#N/A</v>
      </c>
      <c r="BN257" t="e">
        <f t="shared" si="107"/>
        <v>#VALUE!</v>
      </c>
    </row>
    <row r="258" spans="2:66" ht="15.75" customHeight="1" x14ac:dyDescent="0.25">
      <c r="B258" s="15"/>
      <c r="C258" s="15"/>
      <c r="D258" s="15"/>
      <c r="E258" s="22"/>
      <c r="F258" s="22"/>
      <c r="G258" s="15"/>
      <c r="H258" s="41"/>
      <c r="I258" s="15"/>
      <c r="J258" s="42"/>
      <c r="K258" s="42"/>
      <c r="L258" s="15"/>
      <c r="M258" s="15"/>
      <c r="N258" s="15"/>
      <c r="O258" s="15"/>
      <c r="P258" s="15"/>
      <c r="Q258" s="15"/>
      <c r="R258" s="15"/>
      <c r="S258" s="15"/>
      <c r="T258" s="46"/>
      <c r="U258" s="15"/>
      <c r="V258" s="15"/>
      <c r="W258" s="15"/>
      <c r="X258" s="15"/>
      <c r="Y258" s="46"/>
      <c r="Z258" s="15"/>
      <c r="AA258" s="15"/>
      <c r="AB258" s="15"/>
      <c r="AC258" s="15"/>
      <c r="AD258" s="15"/>
      <c r="AE258" s="15"/>
      <c r="AF258" s="15"/>
      <c r="AG258" s="15"/>
      <c r="AH258" s="15" t="e">
        <f t="shared" si="122"/>
        <v>#N/A</v>
      </c>
      <c r="AI258" s="21" t="e">
        <f t="shared" si="120"/>
        <v>#N/A</v>
      </c>
      <c r="AJ258" s="40" t="e">
        <f t="shared" si="120"/>
        <v>#N/A</v>
      </c>
      <c r="AK258" s="21" t="str">
        <f t="shared" si="98"/>
        <v>vw_nivus___adserver</v>
      </c>
      <c r="AL258" s="21" t="e">
        <f t="shared" si="108"/>
        <v>#VALUE!</v>
      </c>
      <c r="AM258" s="21" t="str">
        <f t="shared" si="99"/>
        <v>TAG</v>
      </c>
      <c r="AN258" s="15">
        <f t="shared" si="109"/>
        <v>0</v>
      </c>
      <c r="AO258" s="15">
        <f t="shared" si="110"/>
        <v>0</v>
      </c>
      <c r="AP258" s="21" t="str">
        <f>Campanha!$B$3</f>
        <v>BR_IMC_DSY_LANCH_ND_NC_2020Q3AUG_NVS_Nivus-Launch-Consideracao-Orca</v>
      </c>
      <c r="AQ258" s="21" t="e">
        <f t="shared" si="100"/>
        <v>#N/A</v>
      </c>
      <c r="AR258" s="15" t="s">
        <v>745</v>
      </c>
      <c r="AS258" s="21" t="e">
        <f t="shared" si="101"/>
        <v>#VALUE!</v>
      </c>
      <c r="AT258" s="15" t="str">
        <f t="shared" si="111"/>
        <v/>
      </c>
      <c r="AU258" s="15" t="str">
        <f t="shared" si="102"/>
        <v>BR</v>
      </c>
      <c r="AV258" s="15" t="str">
        <f t="shared" si="112"/>
        <v/>
      </c>
      <c r="AW258" s="15" t="str">
        <f t="shared" si="113"/>
        <v/>
      </c>
      <c r="AX258" s="15" t="str">
        <f t="shared" si="103"/>
        <v>nivus-launch-consideracao-orca</v>
      </c>
      <c r="AY258" s="15" t="e">
        <f t="shared" si="114"/>
        <v>#N/A</v>
      </c>
      <c r="AZ258" s="15" t="str">
        <f t="shared" si="115"/>
        <v/>
      </c>
      <c r="BA258" s="15" t="str">
        <f t="shared" si="116"/>
        <v/>
      </c>
      <c r="BB258" s="28" t="s">
        <v>798</v>
      </c>
      <c r="BC258" s="28" t="s">
        <v>798</v>
      </c>
      <c r="BD258" s="38" t="str">
        <f t="shared" si="117"/>
        <v>nvl-nvs-imc-dsy-0820-10258</v>
      </c>
      <c r="BE258" s="15" t="str">
        <f t="shared" si="118"/>
        <v>BR</v>
      </c>
      <c r="BF258" s="15" t="str">
        <f t="shared" si="119"/>
        <v/>
      </c>
      <c r="BG258" s="28"/>
      <c r="BH258" s="28"/>
      <c r="BI258" s="36" t="e">
        <f t="shared" si="104"/>
        <v>#VALUE!</v>
      </c>
      <c r="BL258" t="str">
        <f t="shared" si="105"/>
        <v>alp_vw__imc_dsy_lanch_nd_nc_nvs_nivus-launch-consideracao-orca__</v>
      </c>
      <c r="BM258" t="e">
        <f t="shared" si="106"/>
        <v>#N/A</v>
      </c>
      <c r="BN258" t="e">
        <f t="shared" si="107"/>
        <v>#VALUE!</v>
      </c>
    </row>
    <row r="259" spans="2:66" ht="15.75" customHeight="1" x14ac:dyDescent="0.25">
      <c r="B259" s="15"/>
      <c r="C259" s="15"/>
      <c r="D259" s="15"/>
      <c r="E259" s="22"/>
      <c r="F259" s="22"/>
      <c r="G259" s="15"/>
      <c r="H259" s="41"/>
      <c r="I259" s="15"/>
      <c r="J259" s="42"/>
      <c r="K259" s="42"/>
      <c r="L259" s="15"/>
      <c r="M259" s="15"/>
      <c r="N259" s="15"/>
      <c r="O259" s="15"/>
      <c r="P259" s="15"/>
      <c r="Q259" s="15"/>
      <c r="R259" s="15"/>
      <c r="S259" s="15"/>
      <c r="T259" s="46"/>
      <c r="U259" s="15"/>
      <c r="V259" s="15"/>
      <c r="W259" s="15"/>
      <c r="X259" s="15"/>
      <c r="Y259" s="46"/>
      <c r="Z259" s="15"/>
      <c r="AA259" s="15"/>
      <c r="AB259" s="15"/>
      <c r="AC259" s="15"/>
      <c r="AD259" s="15"/>
      <c r="AE259" s="15"/>
      <c r="AF259" s="15"/>
      <c r="AG259" s="15"/>
      <c r="AH259" s="15" t="e">
        <f t="shared" si="122"/>
        <v>#N/A</v>
      </c>
      <c r="AI259" s="21" t="e">
        <f t="shared" si="120"/>
        <v>#N/A</v>
      </c>
      <c r="AJ259" s="40" t="e">
        <f t="shared" si="120"/>
        <v>#N/A</v>
      </c>
      <c r="AK259" s="21" t="str">
        <f t="shared" si="98"/>
        <v>vw_nivus___adserver</v>
      </c>
      <c r="AL259" s="21" t="e">
        <f t="shared" si="108"/>
        <v>#VALUE!</v>
      </c>
      <c r="AM259" s="21" t="str">
        <f t="shared" si="99"/>
        <v>TAG</v>
      </c>
      <c r="AN259" s="15">
        <f t="shared" si="109"/>
        <v>0</v>
      </c>
      <c r="AO259" s="15">
        <f t="shared" si="110"/>
        <v>0</v>
      </c>
      <c r="AP259" s="21" t="str">
        <f>Campanha!$B$3</f>
        <v>BR_IMC_DSY_LANCH_ND_NC_2020Q3AUG_NVS_Nivus-Launch-Consideracao-Orca</v>
      </c>
      <c r="AQ259" s="21" t="e">
        <f t="shared" si="100"/>
        <v>#N/A</v>
      </c>
      <c r="AR259" s="15" t="s">
        <v>745</v>
      </c>
      <c r="AS259" s="21" t="e">
        <f t="shared" si="101"/>
        <v>#VALUE!</v>
      </c>
      <c r="AT259" s="15" t="str">
        <f t="shared" si="111"/>
        <v/>
      </c>
      <c r="AU259" s="15" t="str">
        <f t="shared" si="102"/>
        <v>BR</v>
      </c>
      <c r="AV259" s="15" t="str">
        <f t="shared" si="112"/>
        <v/>
      </c>
      <c r="AW259" s="15" t="str">
        <f t="shared" si="113"/>
        <v/>
      </c>
      <c r="AX259" s="15" t="str">
        <f t="shared" si="103"/>
        <v>nivus-launch-consideracao-orca</v>
      </c>
      <c r="AY259" s="15" t="e">
        <f t="shared" si="114"/>
        <v>#N/A</v>
      </c>
      <c r="AZ259" s="15" t="str">
        <f t="shared" si="115"/>
        <v/>
      </c>
      <c r="BA259" s="15" t="str">
        <f t="shared" si="116"/>
        <v/>
      </c>
      <c r="BB259" s="28" t="s">
        <v>798</v>
      </c>
      <c r="BC259" s="28" t="s">
        <v>798</v>
      </c>
      <c r="BD259" s="38" t="str">
        <f t="shared" si="117"/>
        <v>nvl-nvs-imc-dsy-0820-10259</v>
      </c>
      <c r="BE259" s="15" t="str">
        <f t="shared" si="118"/>
        <v>BR</v>
      </c>
      <c r="BF259" s="15" t="str">
        <f t="shared" si="119"/>
        <v/>
      </c>
      <c r="BG259" s="28"/>
      <c r="BH259" s="28"/>
      <c r="BI259" s="36" t="e">
        <f t="shared" si="104"/>
        <v>#VALUE!</v>
      </c>
      <c r="BL259" t="str">
        <f t="shared" si="105"/>
        <v>alp_vw__imc_dsy_lanch_nd_nc_nvs_nivus-launch-consideracao-orca__</v>
      </c>
      <c r="BM259" t="e">
        <f t="shared" si="106"/>
        <v>#N/A</v>
      </c>
      <c r="BN259" t="e">
        <f t="shared" si="107"/>
        <v>#VALUE!</v>
      </c>
    </row>
    <row r="260" spans="2:66" ht="15.75" customHeight="1" x14ac:dyDescent="0.25">
      <c r="B260" s="15"/>
      <c r="C260" s="15"/>
      <c r="D260" s="15"/>
      <c r="E260" s="22"/>
      <c r="F260" s="22"/>
      <c r="G260" s="15"/>
      <c r="H260" s="41"/>
      <c r="I260" s="15"/>
      <c r="J260" s="42"/>
      <c r="K260" s="42"/>
      <c r="L260" s="15"/>
      <c r="M260" s="15"/>
      <c r="N260" s="15"/>
      <c r="O260" s="15"/>
      <c r="P260" s="15"/>
      <c r="Q260" s="15"/>
      <c r="R260" s="15"/>
      <c r="S260" s="15"/>
      <c r="T260" s="46"/>
      <c r="U260" s="15"/>
      <c r="V260" s="15"/>
      <c r="W260" s="15"/>
      <c r="X260" s="15"/>
      <c r="Y260" s="46"/>
      <c r="Z260" s="15"/>
      <c r="AA260" s="15"/>
      <c r="AB260" s="15"/>
      <c r="AC260" s="15"/>
      <c r="AD260" s="15"/>
      <c r="AE260" s="15"/>
      <c r="AF260" s="15"/>
      <c r="AG260" s="15"/>
      <c r="AH260" s="15" t="e">
        <f t="shared" si="122"/>
        <v>#N/A</v>
      </c>
      <c r="AI260" s="21" t="e">
        <f t="shared" si="120"/>
        <v>#N/A</v>
      </c>
      <c r="AJ260" s="40" t="e">
        <f t="shared" si="120"/>
        <v>#N/A</v>
      </c>
      <c r="AK260" s="21" t="str">
        <f t="shared" si="98"/>
        <v>vw_nivus___adserver</v>
      </c>
      <c r="AL260" s="21" t="e">
        <f t="shared" si="108"/>
        <v>#VALUE!</v>
      </c>
      <c r="AM260" s="21" t="str">
        <f t="shared" si="99"/>
        <v>TAG</v>
      </c>
      <c r="AN260" s="15">
        <f t="shared" si="109"/>
        <v>0</v>
      </c>
      <c r="AO260" s="15">
        <f t="shared" si="110"/>
        <v>0</v>
      </c>
      <c r="AP260" s="21" t="str">
        <f>Campanha!$B$3</f>
        <v>BR_IMC_DSY_LANCH_ND_NC_2020Q3AUG_NVS_Nivus-Launch-Consideracao-Orca</v>
      </c>
      <c r="AQ260" s="21" t="e">
        <f t="shared" si="100"/>
        <v>#N/A</v>
      </c>
      <c r="AR260" s="15" t="s">
        <v>745</v>
      </c>
      <c r="AS260" s="21" t="e">
        <f t="shared" si="101"/>
        <v>#VALUE!</v>
      </c>
      <c r="AT260" s="15" t="str">
        <f t="shared" si="111"/>
        <v/>
      </c>
      <c r="AU260" s="15" t="str">
        <f t="shared" si="102"/>
        <v>BR</v>
      </c>
      <c r="AV260" s="15" t="str">
        <f t="shared" si="112"/>
        <v/>
      </c>
      <c r="AW260" s="15" t="str">
        <f t="shared" si="113"/>
        <v/>
      </c>
      <c r="AX260" s="15" t="str">
        <f t="shared" si="103"/>
        <v>nivus-launch-consideracao-orca</v>
      </c>
      <c r="AY260" s="15" t="e">
        <f t="shared" si="114"/>
        <v>#N/A</v>
      </c>
      <c r="AZ260" s="15" t="str">
        <f t="shared" si="115"/>
        <v/>
      </c>
      <c r="BA260" s="15" t="str">
        <f t="shared" si="116"/>
        <v/>
      </c>
      <c r="BB260" s="28" t="s">
        <v>798</v>
      </c>
      <c r="BC260" s="28" t="s">
        <v>798</v>
      </c>
      <c r="BD260" s="38" t="str">
        <f t="shared" si="117"/>
        <v>nvl-nvs-imc-dsy-0820-10260</v>
      </c>
      <c r="BE260" s="15" t="str">
        <f t="shared" si="118"/>
        <v>BR</v>
      </c>
      <c r="BF260" s="15" t="str">
        <f t="shared" si="119"/>
        <v/>
      </c>
      <c r="BG260" s="28"/>
      <c r="BH260" s="28"/>
      <c r="BI260" s="36" t="e">
        <f t="shared" si="104"/>
        <v>#VALUE!</v>
      </c>
      <c r="BL260" t="str">
        <f t="shared" si="105"/>
        <v>alp_vw__imc_dsy_lanch_nd_nc_nvs_nivus-launch-consideracao-orca__</v>
      </c>
      <c r="BM260" t="e">
        <f t="shared" si="106"/>
        <v>#N/A</v>
      </c>
      <c r="BN260" t="e">
        <f t="shared" si="107"/>
        <v>#VALUE!</v>
      </c>
    </row>
    <row r="261" spans="2:66" ht="15.75" customHeight="1" x14ac:dyDescent="0.25">
      <c r="B261" s="15"/>
      <c r="C261" s="15"/>
      <c r="D261" s="15"/>
      <c r="E261" s="22"/>
      <c r="F261" s="22"/>
      <c r="G261" s="15"/>
      <c r="H261" s="41"/>
      <c r="I261" s="15"/>
      <c r="J261" s="42"/>
      <c r="K261" s="42"/>
      <c r="L261" s="15"/>
      <c r="M261" s="15"/>
      <c r="N261" s="15"/>
      <c r="O261" s="15"/>
      <c r="P261" s="15"/>
      <c r="Q261" s="15"/>
      <c r="R261" s="15"/>
      <c r="S261" s="15"/>
      <c r="T261" s="46"/>
      <c r="U261" s="15"/>
      <c r="V261" s="15"/>
      <c r="W261" s="15"/>
      <c r="X261" s="15"/>
      <c r="Y261" s="46"/>
      <c r="Z261" s="15"/>
      <c r="AA261" s="15"/>
      <c r="AB261" s="15"/>
      <c r="AC261" s="15"/>
      <c r="AD261" s="15"/>
      <c r="AE261" s="15"/>
      <c r="AF261" s="15"/>
      <c r="AG261" s="15"/>
      <c r="AH261" s="15" t="e">
        <f t="shared" si="122"/>
        <v>#N/A</v>
      </c>
      <c r="AI261" s="21" t="e">
        <f t="shared" si="120"/>
        <v>#N/A</v>
      </c>
      <c r="AJ261" s="40" t="e">
        <f t="shared" si="120"/>
        <v>#N/A</v>
      </c>
      <c r="AK261" s="21" t="str">
        <f t="shared" ref="AK261:AK280" si="123">LOWER(faxineiro(CONCATENATE("VW","_",cel_modelvariant,"_",col_size,"_",col_localfreetype,"_",IF(col_servidopor="portal",col_supplier,"adserver"))))</f>
        <v>vw_nivus___adserver</v>
      </c>
      <c r="AL261" s="21" t="e">
        <f t="shared" si="108"/>
        <v>#VALUE!</v>
      </c>
      <c r="AM261" s="21" t="str">
        <f t="shared" ref="AM261:AM280" si="124">IFERROR(IF(col_servidopor="portal",VLOOKUP(col_placement,tab_contadores,2,FALSE),"TAG"),"Contador")</f>
        <v>TAG</v>
      </c>
      <c r="AN261" s="15">
        <f t="shared" si="109"/>
        <v>0</v>
      </c>
      <c r="AO261" s="15">
        <f t="shared" si="110"/>
        <v>0</v>
      </c>
      <c r="AP261" s="21" t="str">
        <f>Campanha!$B$3</f>
        <v>BR_IMC_DSY_LANCH_ND_NC_2020Q3AUG_NVS_Nivus-Launch-Consideracao-Orca</v>
      </c>
      <c r="AQ261" s="21" t="e">
        <f t="shared" ref="AQ261:AQ280" si="125">col_adname</f>
        <v>#N/A</v>
      </c>
      <c r="AR261" s="15" t="s">
        <v>745</v>
      </c>
      <c r="AS261" s="21" t="e">
        <f t="shared" ref="AS261:AS280" si="126">faxineiro(CONCATENATE(col_url,IF(ISNUMBER(FIND("?",col_url)),"&amp;","?"),"utm_source=",col_utmsource,"&amp;utm_medium=",col_utmmedium,"&amp;utm_content=",col_utmcontent,"&amp;utm_campaign=",col_utmcampaign,"&amp;utm_term=",col_keyword))</f>
        <v>#VALUE!</v>
      </c>
      <c r="AT261" s="15" t="str">
        <f t="shared" si="111"/>
        <v/>
      </c>
      <c r="AU261" s="15" t="str">
        <f t="shared" ref="AU261:AU280" si="127">VLOOKUP(cel_country,tab_country,2,FALSE)</f>
        <v>BR</v>
      </c>
      <c r="AV261" s="15" t="str">
        <f t="shared" si="112"/>
        <v/>
      </c>
      <c r="AW261" s="15" t="str">
        <f t="shared" si="113"/>
        <v/>
      </c>
      <c r="AX261" s="15" t="str">
        <f t="shared" ref="AX261:AX280" si="128">LOWER(cel_campaing)</f>
        <v>nivus-launch-consideracao-orca</v>
      </c>
      <c r="AY261" s="15" t="e">
        <f t="shared" si="114"/>
        <v>#N/A</v>
      </c>
      <c r="AZ261" s="15" t="str">
        <f t="shared" si="115"/>
        <v/>
      </c>
      <c r="BA261" s="15" t="str">
        <f t="shared" si="116"/>
        <v/>
      </c>
      <c r="BB261" s="28" t="s">
        <v>798</v>
      </c>
      <c r="BC261" s="28" t="s">
        <v>798</v>
      </c>
      <c r="BD261" s="38" t="str">
        <f t="shared" si="117"/>
        <v>nvl-nvs-imc-dsy-0820-10261</v>
      </c>
      <c r="BE261" s="15" t="str">
        <f t="shared" si="118"/>
        <v>BR</v>
      </c>
      <c r="BF261" s="15" t="str">
        <f t="shared" si="119"/>
        <v/>
      </c>
      <c r="BG261" s="28"/>
      <c r="BH261" s="28"/>
      <c r="BI261" s="36" t="e">
        <f t="shared" ref="BI261:BI280" si="129">faxineiro(CONCATENATE(col_url,IF(ISNUMBER(FIND("?",col_url)),"&amp;","?"),CONCATENATE("adlid=",col_adlid,"&amp;adplt=",adplt)))</f>
        <v>#VALUE!</v>
      </c>
      <c r="BL261" t="str">
        <f t="shared" ref="BL261:BL280" si="130">LOWER(CONCATENATE("alp","_","vw","_",col_supplier,"_",cel_structurename,"_",col_objetivo))</f>
        <v>alp_vw__imc_dsy_lanch_nd_nc_nvs_nivus-launch-consideracao-orca__</v>
      </c>
      <c r="BM261" t="e">
        <f t="shared" ref="BM261:BM280" si="131">LOWER(CONCATENATE(col_buyingmetric,"_",VLOOKUP(col_buyingtype,tab_buyingtype,2,FALSE),"_",col_device,"_",col_size,"_",col_segmentacao,"_",col_segmentacaodeanun))</f>
        <v>#N/A</v>
      </c>
      <c r="BN261" t="e">
        <f t="shared" ref="BN261:BN280" si="132">faxineiro(LOWER(CONCATENATE(col_campanhaanunciante,"_",col_grupoanunciante,"_",col_linhacriativa2,"_",col_adlid)))</f>
        <v>#VALUE!</v>
      </c>
    </row>
    <row r="262" spans="2:66" ht="15.75" customHeight="1" x14ac:dyDescent="0.25">
      <c r="B262" s="15"/>
      <c r="C262" s="15"/>
      <c r="D262" s="15"/>
      <c r="E262" s="22"/>
      <c r="F262" s="22"/>
      <c r="G262" s="15"/>
      <c r="H262" s="41"/>
      <c r="I262" s="15"/>
      <c r="J262" s="42"/>
      <c r="K262" s="42"/>
      <c r="L262" s="15"/>
      <c r="M262" s="15"/>
      <c r="N262" s="15"/>
      <c r="O262" s="15"/>
      <c r="P262" s="15"/>
      <c r="Q262" s="15"/>
      <c r="R262" s="15"/>
      <c r="S262" s="15"/>
      <c r="T262" s="46"/>
      <c r="U262" s="15"/>
      <c r="V262" s="15"/>
      <c r="W262" s="15"/>
      <c r="X262" s="15"/>
      <c r="Y262" s="46"/>
      <c r="Z262" s="15"/>
      <c r="AA262" s="15"/>
      <c r="AB262" s="15"/>
      <c r="AC262" s="15"/>
      <c r="AD262" s="15"/>
      <c r="AE262" s="15"/>
      <c r="AF262" s="15"/>
      <c r="AG262" s="15"/>
      <c r="AH262" s="15" t="e">
        <f t="shared" si="122"/>
        <v>#N/A</v>
      </c>
      <c r="AI262" s="21" t="e">
        <f t="shared" si="120"/>
        <v>#N/A</v>
      </c>
      <c r="AJ262" s="40" t="e">
        <f t="shared" si="120"/>
        <v>#N/A</v>
      </c>
      <c r="AK262" s="21" t="str">
        <f t="shared" si="123"/>
        <v>vw_nivus___adserver</v>
      </c>
      <c r="AL262" s="21" t="e">
        <f t="shared" ref="AL262:AL280" si="133">IF(col_parametrizacao="GA",AS262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262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#VALUE!</v>
      </c>
      <c r="AM262" s="21" t="str">
        <f t="shared" si="124"/>
        <v>TAG</v>
      </c>
      <c r="AN262" s="15">
        <f t="shared" ref="AN262:AN280" si="134">J262</f>
        <v>0</v>
      </c>
      <c r="AO262" s="15">
        <f t="shared" ref="AO262:AO280" si="135">L262</f>
        <v>0</v>
      </c>
      <c r="AP262" s="21" t="str">
        <f>Campanha!$B$3</f>
        <v>BR_IMC_DSY_LANCH_ND_NC_2020Q3AUG_NVS_Nivus-Launch-Consideracao-Orca</v>
      </c>
      <c r="AQ262" s="21" t="e">
        <f t="shared" si="125"/>
        <v>#N/A</v>
      </c>
      <c r="AR262" s="15" t="s">
        <v>745</v>
      </c>
      <c r="AS262" s="21" t="e">
        <f t="shared" si="126"/>
        <v>#VALUE!</v>
      </c>
      <c r="AT262" s="15" t="str">
        <f t="shared" ref="AT262:AT280" si="136">LOWER(Q262)</f>
        <v/>
      </c>
      <c r="AU262" s="15" t="str">
        <f t="shared" si="127"/>
        <v>BR</v>
      </c>
      <c r="AV262" s="15" t="str">
        <f t="shared" ref="AV262:AV280" si="137">LOWER(K262)</f>
        <v/>
      </c>
      <c r="AW262" s="15" t="str">
        <f t="shared" ref="AW262:AW280" si="138">LOWER(J262)</f>
        <v/>
      </c>
      <c r="AX262" s="15" t="str">
        <f t="shared" si="128"/>
        <v>nivus-launch-consideracao-orca</v>
      </c>
      <c r="AY262" s="15" t="e">
        <f t="shared" ref="AY262:AY280" si="139">LOWER(AI262)</f>
        <v>#N/A</v>
      </c>
      <c r="AZ262" s="15" t="str">
        <f t="shared" ref="AZ262:AZ280" si="140">LOWER(Y262)</f>
        <v/>
      </c>
      <c r="BA262" s="15" t="str">
        <f t="shared" ref="BA262:BA280" si="141">LOWER(T262)</f>
        <v/>
      </c>
      <c r="BB262" s="28" t="s">
        <v>798</v>
      </c>
      <c r="BC262" s="28" t="s">
        <v>798</v>
      </c>
      <c r="BD262" s="38" t="str">
        <f t="shared" ref="BD262:BD280" si="142">LOWER(CONCATENATE(cel_idcampaign,"-",SUM(10000+ROW(A262))))</f>
        <v>nvl-nvs-imc-dsy-0820-10262</v>
      </c>
      <c r="BE262" s="15" t="str">
        <f t="shared" ref="BE262:BE280" si="143">AU262</f>
        <v>BR</v>
      </c>
      <c r="BF262" s="15" t="str">
        <f t="shared" ref="BF262:BF280" si="144">LOWER(X262)</f>
        <v/>
      </c>
      <c r="BG262" s="28"/>
      <c r="BH262" s="28"/>
      <c r="BI262" s="36" t="e">
        <f t="shared" si="129"/>
        <v>#VALUE!</v>
      </c>
      <c r="BL262" t="str">
        <f t="shared" si="130"/>
        <v>alp_vw__imc_dsy_lanch_nd_nc_nvs_nivus-launch-consideracao-orca__</v>
      </c>
      <c r="BM262" t="e">
        <f t="shared" si="131"/>
        <v>#N/A</v>
      </c>
      <c r="BN262" t="e">
        <f t="shared" si="132"/>
        <v>#VALUE!</v>
      </c>
    </row>
    <row r="263" spans="2:66" ht="15.75" customHeight="1" x14ac:dyDescent="0.25">
      <c r="B263" s="15"/>
      <c r="C263" s="15"/>
      <c r="D263" s="15"/>
      <c r="E263" s="22"/>
      <c r="F263" s="22"/>
      <c r="G263" s="15"/>
      <c r="H263" s="41"/>
      <c r="I263" s="15"/>
      <c r="J263" s="42"/>
      <c r="K263" s="42"/>
      <c r="L263" s="15"/>
      <c r="M263" s="15"/>
      <c r="N263" s="15"/>
      <c r="O263" s="15"/>
      <c r="P263" s="15"/>
      <c r="Q263" s="15"/>
      <c r="R263" s="15"/>
      <c r="S263" s="15"/>
      <c r="T263" s="46"/>
      <c r="U263" s="15"/>
      <c r="V263" s="15"/>
      <c r="W263" s="15"/>
      <c r="X263" s="15"/>
      <c r="Y263" s="46"/>
      <c r="Z263" s="15"/>
      <c r="AA263" s="15"/>
      <c r="AB263" s="15"/>
      <c r="AC263" s="15"/>
      <c r="AD263" s="15"/>
      <c r="AE263" s="15"/>
      <c r="AF263" s="15"/>
      <c r="AG263" s="15"/>
      <c r="AH263" s="15" t="e">
        <f t="shared" si="122"/>
        <v>#N/A</v>
      </c>
      <c r="AI263" s="21" t="e">
        <f t="shared" si="120"/>
        <v>#N/A</v>
      </c>
      <c r="AJ263" s="40" t="e">
        <f t="shared" si="120"/>
        <v>#N/A</v>
      </c>
      <c r="AK263" s="21" t="str">
        <f t="shared" si="123"/>
        <v>vw_nivus___adserver</v>
      </c>
      <c r="AL263" s="21" t="e">
        <f t="shared" si="133"/>
        <v>#VALUE!</v>
      </c>
      <c r="AM263" s="21" t="str">
        <f t="shared" si="124"/>
        <v>TAG</v>
      </c>
      <c r="AN263" s="15">
        <f t="shared" si="134"/>
        <v>0</v>
      </c>
      <c r="AO263" s="15">
        <f t="shared" si="135"/>
        <v>0</v>
      </c>
      <c r="AP263" s="21" t="str">
        <f>Campanha!$B$3</f>
        <v>BR_IMC_DSY_LANCH_ND_NC_2020Q3AUG_NVS_Nivus-Launch-Consideracao-Orca</v>
      </c>
      <c r="AQ263" s="21" t="e">
        <f t="shared" si="125"/>
        <v>#N/A</v>
      </c>
      <c r="AR263" s="15" t="s">
        <v>745</v>
      </c>
      <c r="AS263" s="21" t="e">
        <f t="shared" si="126"/>
        <v>#VALUE!</v>
      </c>
      <c r="AT263" s="15" t="str">
        <f t="shared" si="136"/>
        <v/>
      </c>
      <c r="AU263" s="15" t="str">
        <f t="shared" si="127"/>
        <v>BR</v>
      </c>
      <c r="AV263" s="15" t="str">
        <f t="shared" si="137"/>
        <v/>
      </c>
      <c r="AW263" s="15" t="str">
        <f t="shared" si="138"/>
        <v/>
      </c>
      <c r="AX263" s="15" t="str">
        <f t="shared" si="128"/>
        <v>nivus-launch-consideracao-orca</v>
      </c>
      <c r="AY263" s="15" t="e">
        <f t="shared" si="139"/>
        <v>#N/A</v>
      </c>
      <c r="AZ263" s="15" t="str">
        <f t="shared" si="140"/>
        <v/>
      </c>
      <c r="BA263" s="15" t="str">
        <f t="shared" si="141"/>
        <v/>
      </c>
      <c r="BB263" s="28" t="s">
        <v>798</v>
      </c>
      <c r="BC263" s="28" t="s">
        <v>798</v>
      </c>
      <c r="BD263" s="38" t="str">
        <f t="shared" si="142"/>
        <v>nvl-nvs-imc-dsy-0820-10263</v>
      </c>
      <c r="BE263" s="15" t="str">
        <f t="shared" si="143"/>
        <v>BR</v>
      </c>
      <c r="BF263" s="15" t="str">
        <f t="shared" si="144"/>
        <v/>
      </c>
      <c r="BG263" s="28"/>
      <c r="BH263" s="28"/>
      <c r="BI263" s="36" t="e">
        <f t="shared" si="129"/>
        <v>#VALUE!</v>
      </c>
      <c r="BL263" t="str">
        <f t="shared" si="130"/>
        <v>alp_vw__imc_dsy_lanch_nd_nc_nvs_nivus-launch-consideracao-orca__</v>
      </c>
      <c r="BM263" t="e">
        <f t="shared" si="131"/>
        <v>#N/A</v>
      </c>
      <c r="BN263" t="e">
        <f t="shared" si="132"/>
        <v>#VALUE!</v>
      </c>
    </row>
    <row r="264" spans="2:66" ht="15.75" customHeight="1" x14ac:dyDescent="0.25">
      <c r="B264" s="15"/>
      <c r="C264" s="15"/>
      <c r="D264" s="15"/>
      <c r="E264" s="22"/>
      <c r="F264" s="22"/>
      <c r="G264" s="15"/>
      <c r="H264" s="41"/>
      <c r="I264" s="15"/>
      <c r="J264" s="42"/>
      <c r="K264" s="42"/>
      <c r="L264" s="15"/>
      <c r="M264" s="15"/>
      <c r="N264" s="15"/>
      <c r="O264" s="15"/>
      <c r="P264" s="15"/>
      <c r="Q264" s="15"/>
      <c r="R264" s="15"/>
      <c r="S264" s="15"/>
      <c r="T264" s="46"/>
      <c r="U264" s="15"/>
      <c r="V264" s="15"/>
      <c r="W264" s="15"/>
      <c r="X264" s="15"/>
      <c r="Y264" s="46"/>
      <c r="Z264" s="15"/>
      <c r="AA264" s="15"/>
      <c r="AB264" s="15"/>
      <c r="AC264" s="15"/>
      <c r="AD264" s="15"/>
      <c r="AE264" s="15"/>
      <c r="AF264" s="15"/>
      <c r="AG264" s="15"/>
      <c r="AH264" s="15" t="e">
        <f t="shared" si="122"/>
        <v>#N/A</v>
      </c>
      <c r="AI264" s="21" t="e">
        <f t="shared" si="120"/>
        <v>#N/A</v>
      </c>
      <c r="AJ264" s="40" t="e">
        <f t="shared" si="120"/>
        <v>#N/A</v>
      </c>
      <c r="AK264" s="21" t="str">
        <f t="shared" si="123"/>
        <v>vw_nivus___adserver</v>
      </c>
      <c r="AL264" s="21" t="e">
        <f t="shared" si="133"/>
        <v>#VALUE!</v>
      </c>
      <c r="AM264" s="21" t="str">
        <f t="shared" si="124"/>
        <v>TAG</v>
      </c>
      <c r="AN264" s="15">
        <f t="shared" si="134"/>
        <v>0</v>
      </c>
      <c r="AO264" s="15">
        <f t="shared" si="135"/>
        <v>0</v>
      </c>
      <c r="AP264" s="21" t="str">
        <f>Campanha!$B$3</f>
        <v>BR_IMC_DSY_LANCH_ND_NC_2020Q3AUG_NVS_Nivus-Launch-Consideracao-Orca</v>
      </c>
      <c r="AQ264" s="21" t="e">
        <f t="shared" si="125"/>
        <v>#N/A</v>
      </c>
      <c r="AR264" s="15" t="s">
        <v>745</v>
      </c>
      <c r="AS264" s="21" t="e">
        <f t="shared" si="126"/>
        <v>#VALUE!</v>
      </c>
      <c r="AT264" s="15" t="str">
        <f t="shared" si="136"/>
        <v/>
      </c>
      <c r="AU264" s="15" t="str">
        <f t="shared" si="127"/>
        <v>BR</v>
      </c>
      <c r="AV264" s="15" t="str">
        <f t="shared" si="137"/>
        <v/>
      </c>
      <c r="AW264" s="15" t="str">
        <f t="shared" si="138"/>
        <v/>
      </c>
      <c r="AX264" s="15" t="str">
        <f t="shared" si="128"/>
        <v>nivus-launch-consideracao-orca</v>
      </c>
      <c r="AY264" s="15" t="e">
        <f t="shared" si="139"/>
        <v>#N/A</v>
      </c>
      <c r="AZ264" s="15" t="str">
        <f t="shared" si="140"/>
        <v/>
      </c>
      <c r="BA264" s="15" t="str">
        <f t="shared" si="141"/>
        <v/>
      </c>
      <c r="BB264" s="28" t="s">
        <v>798</v>
      </c>
      <c r="BC264" s="28" t="s">
        <v>798</v>
      </c>
      <c r="BD264" s="38" t="str">
        <f t="shared" si="142"/>
        <v>nvl-nvs-imc-dsy-0820-10264</v>
      </c>
      <c r="BE264" s="15" t="str">
        <f t="shared" si="143"/>
        <v>BR</v>
      </c>
      <c r="BF264" s="15" t="str">
        <f t="shared" si="144"/>
        <v/>
      </c>
      <c r="BG264" s="28"/>
      <c r="BH264" s="28"/>
      <c r="BI264" s="36" t="e">
        <f t="shared" si="129"/>
        <v>#VALUE!</v>
      </c>
      <c r="BL264" t="str">
        <f t="shared" si="130"/>
        <v>alp_vw__imc_dsy_lanch_nd_nc_nvs_nivus-launch-consideracao-orca__</v>
      </c>
      <c r="BM264" t="e">
        <f t="shared" si="131"/>
        <v>#N/A</v>
      </c>
      <c r="BN264" t="e">
        <f t="shared" si="132"/>
        <v>#VALUE!</v>
      </c>
    </row>
    <row r="265" spans="2:66" ht="15.75" customHeight="1" x14ac:dyDescent="0.25">
      <c r="B265" s="15"/>
      <c r="C265" s="15"/>
      <c r="D265" s="15"/>
      <c r="E265" s="22"/>
      <c r="F265" s="22"/>
      <c r="G265" s="15"/>
      <c r="H265" s="41"/>
      <c r="I265" s="15"/>
      <c r="J265" s="42"/>
      <c r="K265" s="42"/>
      <c r="L265" s="15"/>
      <c r="M265" s="15"/>
      <c r="N265" s="15"/>
      <c r="O265" s="15"/>
      <c r="P265" s="15"/>
      <c r="Q265" s="15"/>
      <c r="R265" s="15"/>
      <c r="S265" s="15"/>
      <c r="T265" s="46"/>
      <c r="U265" s="15"/>
      <c r="V265" s="15"/>
      <c r="W265" s="15"/>
      <c r="X265" s="15"/>
      <c r="Y265" s="46"/>
      <c r="Z265" s="15"/>
      <c r="AA265" s="15"/>
      <c r="AB265" s="15"/>
      <c r="AC265" s="15"/>
      <c r="AD265" s="15"/>
      <c r="AE265" s="15"/>
      <c r="AF265" s="15"/>
      <c r="AG265" s="15"/>
      <c r="AH265" s="15" t="e">
        <f t="shared" si="122"/>
        <v>#N/A</v>
      </c>
      <c r="AI265" s="21" t="e">
        <f t="shared" si="120"/>
        <v>#N/A</v>
      </c>
      <c r="AJ265" s="40" t="e">
        <f t="shared" si="120"/>
        <v>#N/A</v>
      </c>
      <c r="AK265" s="21" t="str">
        <f t="shared" si="123"/>
        <v>vw_nivus___adserver</v>
      </c>
      <c r="AL265" s="21" t="e">
        <f t="shared" si="133"/>
        <v>#VALUE!</v>
      </c>
      <c r="AM265" s="21" t="str">
        <f t="shared" si="124"/>
        <v>TAG</v>
      </c>
      <c r="AN265" s="15">
        <f t="shared" si="134"/>
        <v>0</v>
      </c>
      <c r="AO265" s="15">
        <f t="shared" si="135"/>
        <v>0</v>
      </c>
      <c r="AP265" s="21" t="str">
        <f>Campanha!$B$3</f>
        <v>BR_IMC_DSY_LANCH_ND_NC_2020Q3AUG_NVS_Nivus-Launch-Consideracao-Orca</v>
      </c>
      <c r="AQ265" s="21" t="e">
        <f t="shared" si="125"/>
        <v>#N/A</v>
      </c>
      <c r="AR265" s="15" t="s">
        <v>745</v>
      </c>
      <c r="AS265" s="21" t="e">
        <f t="shared" si="126"/>
        <v>#VALUE!</v>
      </c>
      <c r="AT265" s="15" t="str">
        <f t="shared" si="136"/>
        <v/>
      </c>
      <c r="AU265" s="15" t="str">
        <f t="shared" si="127"/>
        <v>BR</v>
      </c>
      <c r="AV265" s="15" t="str">
        <f t="shared" si="137"/>
        <v/>
      </c>
      <c r="AW265" s="15" t="str">
        <f t="shared" si="138"/>
        <v/>
      </c>
      <c r="AX265" s="15" t="str">
        <f t="shared" si="128"/>
        <v>nivus-launch-consideracao-orca</v>
      </c>
      <c r="AY265" s="15" t="e">
        <f t="shared" si="139"/>
        <v>#N/A</v>
      </c>
      <c r="AZ265" s="15" t="str">
        <f t="shared" si="140"/>
        <v/>
      </c>
      <c r="BA265" s="15" t="str">
        <f t="shared" si="141"/>
        <v/>
      </c>
      <c r="BB265" s="28" t="s">
        <v>798</v>
      </c>
      <c r="BC265" s="28" t="s">
        <v>798</v>
      </c>
      <c r="BD265" s="38" t="str">
        <f t="shared" si="142"/>
        <v>nvl-nvs-imc-dsy-0820-10265</v>
      </c>
      <c r="BE265" s="15" t="str">
        <f t="shared" si="143"/>
        <v>BR</v>
      </c>
      <c r="BF265" s="15" t="str">
        <f t="shared" si="144"/>
        <v/>
      </c>
      <c r="BG265" s="28"/>
      <c r="BH265" s="28"/>
      <c r="BI265" s="36" t="e">
        <f t="shared" si="129"/>
        <v>#VALUE!</v>
      </c>
      <c r="BL265" t="str">
        <f t="shared" si="130"/>
        <v>alp_vw__imc_dsy_lanch_nd_nc_nvs_nivus-launch-consideracao-orca__</v>
      </c>
      <c r="BM265" t="e">
        <f t="shared" si="131"/>
        <v>#N/A</v>
      </c>
      <c r="BN265" t="e">
        <f t="shared" si="132"/>
        <v>#VALUE!</v>
      </c>
    </row>
    <row r="266" spans="2:66" ht="15.75" customHeight="1" x14ac:dyDescent="0.25">
      <c r="B266" s="15"/>
      <c r="C266" s="15"/>
      <c r="D266" s="15"/>
      <c r="E266" s="22"/>
      <c r="F266" s="22"/>
      <c r="G266" s="15"/>
      <c r="H266" s="41"/>
      <c r="I266" s="15"/>
      <c r="J266" s="42"/>
      <c r="K266" s="42"/>
      <c r="L266" s="15"/>
      <c r="M266" s="15"/>
      <c r="N266" s="15"/>
      <c r="O266" s="15"/>
      <c r="P266" s="15"/>
      <c r="Q266" s="15"/>
      <c r="R266" s="15"/>
      <c r="S266" s="15"/>
      <c r="T266" s="46"/>
      <c r="U266" s="15"/>
      <c r="V266" s="15"/>
      <c r="W266" s="15"/>
      <c r="X266" s="15"/>
      <c r="Y266" s="46"/>
      <c r="Z266" s="15"/>
      <c r="AA266" s="15"/>
      <c r="AB266" s="15"/>
      <c r="AC266" s="15"/>
      <c r="AD266" s="15"/>
      <c r="AE266" s="15"/>
      <c r="AF266" s="15"/>
      <c r="AG266" s="15"/>
      <c r="AH266" s="15" t="e">
        <f t="shared" si="122"/>
        <v>#N/A</v>
      </c>
      <c r="AI266" s="21" t="e">
        <f t="shared" si="120"/>
        <v>#N/A</v>
      </c>
      <c r="AJ266" s="40" t="e">
        <f t="shared" si="120"/>
        <v>#N/A</v>
      </c>
      <c r="AK266" s="21" t="str">
        <f t="shared" si="123"/>
        <v>vw_nivus___adserver</v>
      </c>
      <c r="AL266" s="21" t="e">
        <f t="shared" si="133"/>
        <v>#VALUE!</v>
      </c>
      <c r="AM266" s="21" t="str">
        <f t="shared" si="124"/>
        <v>TAG</v>
      </c>
      <c r="AN266" s="15">
        <f t="shared" si="134"/>
        <v>0</v>
      </c>
      <c r="AO266" s="15">
        <f t="shared" si="135"/>
        <v>0</v>
      </c>
      <c r="AP266" s="21" t="str">
        <f>Campanha!$B$3</f>
        <v>BR_IMC_DSY_LANCH_ND_NC_2020Q3AUG_NVS_Nivus-Launch-Consideracao-Orca</v>
      </c>
      <c r="AQ266" s="21" t="e">
        <f t="shared" si="125"/>
        <v>#N/A</v>
      </c>
      <c r="AR266" s="15" t="s">
        <v>745</v>
      </c>
      <c r="AS266" s="21" t="e">
        <f t="shared" si="126"/>
        <v>#VALUE!</v>
      </c>
      <c r="AT266" s="15" t="str">
        <f t="shared" si="136"/>
        <v/>
      </c>
      <c r="AU266" s="15" t="str">
        <f t="shared" si="127"/>
        <v>BR</v>
      </c>
      <c r="AV266" s="15" t="str">
        <f t="shared" si="137"/>
        <v/>
      </c>
      <c r="AW266" s="15" t="str">
        <f t="shared" si="138"/>
        <v/>
      </c>
      <c r="AX266" s="15" t="str">
        <f t="shared" si="128"/>
        <v>nivus-launch-consideracao-orca</v>
      </c>
      <c r="AY266" s="15" t="e">
        <f t="shared" si="139"/>
        <v>#N/A</v>
      </c>
      <c r="AZ266" s="15" t="str">
        <f t="shared" si="140"/>
        <v/>
      </c>
      <c r="BA266" s="15" t="str">
        <f t="shared" si="141"/>
        <v/>
      </c>
      <c r="BB266" s="28" t="s">
        <v>798</v>
      </c>
      <c r="BC266" s="28" t="s">
        <v>798</v>
      </c>
      <c r="BD266" s="38" t="str">
        <f t="shared" si="142"/>
        <v>nvl-nvs-imc-dsy-0820-10266</v>
      </c>
      <c r="BE266" s="15" t="str">
        <f t="shared" si="143"/>
        <v>BR</v>
      </c>
      <c r="BF266" s="15" t="str">
        <f t="shared" si="144"/>
        <v/>
      </c>
      <c r="BG266" s="28"/>
      <c r="BH266" s="28"/>
      <c r="BI266" s="36" t="e">
        <f t="shared" si="129"/>
        <v>#VALUE!</v>
      </c>
      <c r="BL266" t="str">
        <f t="shared" si="130"/>
        <v>alp_vw__imc_dsy_lanch_nd_nc_nvs_nivus-launch-consideracao-orca__</v>
      </c>
      <c r="BM266" t="e">
        <f t="shared" si="131"/>
        <v>#N/A</v>
      </c>
      <c r="BN266" t="e">
        <f t="shared" si="132"/>
        <v>#VALUE!</v>
      </c>
    </row>
    <row r="267" spans="2:66" ht="15.75" customHeight="1" x14ac:dyDescent="0.25">
      <c r="B267" s="15"/>
      <c r="C267" s="15"/>
      <c r="D267" s="15"/>
      <c r="E267" s="22"/>
      <c r="F267" s="22"/>
      <c r="G267" s="15"/>
      <c r="H267" s="41"/>
      <c r="I267" s="15"/>
      <c r="J267" s="42"/>
      <c r="K267" s="42"/>
      <c r="L267" s="15"/>
      <c r="M267" s="15"/>
      <c r="N267" s="15"/>
      <c r="O267" s="15"/>
      <c r="P267" s="15"/>
      <c r="Q267" s="15"/>
      <c r="R267" s="15"/>
      <c r="S267" s="15"/>
      <c r="T267" s="46"/>
      <c r="U267" s="15"/>
      <c r="V267" s="15"/>
      <c r="W267" s="15"/>
      <c r="X267" s="15"/>
      <c r="Y267" s="46"/>
      <c r="Z267" s="15"/>
      <c r="AA267" s="15"/>
      <c r="AB267" s="15"/>
      <c r="AC267" s="15"/>
      <c r="AD267" s="15"/>
      <c r="AE267" s="15"/>
      <c r="AF267" s="15"/>
      <c r="AG267" s="15"/>
      <c r="AH267" s="15" t="e">
        <f t="shared" si="122"/>
        <v>#N/A</v>
      </c>
      <c r="AI267" s="21" t="e">
        <f t="shared" si="120"/>
        <v>#N/A</v>
      </c>
      <c r="AJ267" s="40" t="e">
        <f t="shared" si="120"/>
        <v>#N/A</v>
      </c>
      <c r="AK267" s="21" t="str">
        <f t="shared" si="123"/>
        <v>vw_nivus___adserver</v>
      </c>
      <c r="AL267" s="21" t="e">
        <f t="shared" si="133"/>
        <v>#VALUE!</v>
      </c>
      <c r="AM267" s="21" t="str">
        <f t="shared" si="124"/>
        <v>TAG</v>
      </c>
      <c r="AN267" s="15">
        <f t="shared" si="134"/>
        <v>0</v>
      </c>
      <c r="AO267" s="15">
        <f t="shared" si="135"/>
        <v>0</v>
      </c>
      <c r="AP267" s="21" t="str">
        <f>Campanha!$B$3</f>
        <v>BR_IMC_DSY_LANCH_ND_NC_2020Q3AUG_NVS_Nivus-Launch-Consideracao-Orca</v>
      </c>
      <c r="AQ267" s="21" t="e">
        <f t="shared" si="125"/>
        <v>#N/A</v>
      </c>
      <c r="AR267" s="15" t="s">
        <v>745</v>
      </c>
      <c r="AS267" s="21" t="e">
        <f t="shared" si="126"/>
        <v>#VALUE!</v>
      </c>
      <c r="AT267" s="15" t="str">
        <f t="shared" si="136"/>
        <v/>
      </c>
      <c r="AU267" s="15" t="str">
        <f t="shared" si="127"/>
        <v>BR</v>
      </c>
      <c r="AV267" s="15" t="str">
        <f t="shared" si="137"/>
        <v/>
      </c>
      <c r="AW267" s="15" t="str">
        <f t="shared" si="138"/>
        <v/>
      </c>
      <c r="AX267" s="15" t="str">
        <f t="shared" si="128"/>
        <v>nivus-launch-consideracao-orca</v>
      </c>
      <c r="AY267" s="15" t="e">
        <f t="shared" si="139"/>
        <v>#N/A</v>
      </c>
      <c r="AZ267" s="15" t="str">
        <f t="shared" si="140"/>
        <v/>
      </c>
      <c r="BA267" s="15" t="str">
        <f t="shared" si="141"/>
        <v/>
      </c>
      <c r="BB267" s="28" t="s">
        <v>798</v>
      </c>
      <c r="BC267" s="28" t="s">
        <v>798</v>
      </c>
      <c r="BD267" s="38" t="str">
        <f t="shared" si="142"/>
        <v>nvl-nvs-imc-dsy-0820-10267</v>
      </c>
      <c r="BE267" s="15" t="str">
        <f t="shared" si="143"/>
        <v>BR</v>
      </c>
      <c r="BF267" s="15" t="str">
        <f t="shared" si="144"/>
        <v/>
      </c>
      <c r="BG267" s="28"/>
      <c r="BH267" s="28"/>
      <c r="BI267" s="36" t="e">
        <f t="shared" si="129"/>
        <v>#VALUE!</v>
      </c>
      <c r="BL267" t="str">
        <f t="shared" si="130"/>
        <v>alp_vw__imc_dsy_lanch_nd_nc_nvs_nivus-launch-consideracao-orca__</v>
      </c>
      <c r="BM267" t="e">
        <f t="shared" si="131"/>
        <v>#N/A</v>
      </c>
      <c r="BN267" t="e">
        <f t="shared" si="132"/>
        <v>#VALUE!</v>
      </c>
    </row>
    <row r="268" spans="2:66" ht="15.75" customHeight="1" x14ac:dyDescent="0.25">
      <c r="B268" s="15"/>
      <c r="C268" s="15"/>
      <c r="D268" s="15"/>
      <c r="E268" s="22"/>
      <c r="F268" s="22"/>
      <c r="G268" s="15"/>
      <c r="H268" s="41"/>
      <c r="I268" s="15"/>
      <c r="J268" s="42"/>
      <c r="K268" s="42"/>
      <c r="L268" s="15"/>
      <c r="M268" s="15"/>
      <c r="N268" s="15"/>
      <c r="O268" s="15"/>
      <c r="P268" s="15"/>
      <c r="Q268" s="15"/>
      <c r="R268" s="15"/>
      <c r="S268" s="15"/>
      <c r="T268" s="46"/>
      <c r="U268" s="15"/>
      <c r="V268" s="15"/>
      <c r="W268" s="15"/>
      <c r="X268" s="15"/>
      <c r="Y268" s="46"/>
      <c r="Z268" s="15"/>
      <c r="AA268" s="15"/>
      <c r="AB268" s="15"/>
      <c r="AC268" s="15"/>
      <c r="AD268" s="15"/>
      <c r="AE268" s="15"/>
      <c r="AF268" s="15"/>
      <c r="AG268" s="15"/>
      <c r="AH268" s="15" t="e">
        <f t="shared" si="122"/>
        <v>#N/A</v>
      </c>
      <c r="AI268" s="21" t="e">
        <f t="shared" si="120"/>
        <v>#N/A</v>
      </c>
      <c r="AJ268" s="40" t="e">
        <f t="shared" si="120"/>
        <v>#N/A</v>
      </c>
      <c r="AK268" s="21" t="str">
        <f t="shared" si="123"/>
        <v>vw_nivus___adserver</v>
      </c>
      <c r="AL268" s="21" t="e">
        <f t="shared" si="133"/>
        <v>#VALUE!</v>
      </c>
      <c r="AM268" s="21" t="str">
        <f t="shared" si="124"/>
        <v>TAG</v>
      </c>
      <c r="AN268" s="15">
        <f t="shared" si="134"/>
        <v>0</v>
      </c>
      <c r="AO268" s="15">
        <f t="shared" si="135"/>
        <v>0</v>
      </c>
      <c r="AP268" s="21" t="str">
        <f>Campanha!$B$3</f>
        <v>BR_IMC_DSY_LANCH_ND_NC_2020Q3AUG_NVS_Nivus-Launch-Consideracao-Orca</v>
      </c>
      <c r="AQ268" s="21" t="e">
        <f t="shared" si="125"/>
        <v>#N/A</v>
      </c>
      <c r="AR268" s="15" t="s">
        <v>745</v>
      </c>
      <c r="AS268" s="21" t="e">
        <f t="shared" si="126"/>
        <v>#VALUE!</v>
      </c>
      <c r="AT268" s="15" t="str">
        <f t="shared" si="136"/>
        <v/>
      </c>
      <c r="AU268" s="15" t="str">
        <f t="shared" si="127"/>
        <v>BR</v>
      </c>
      <c r="AV268" s="15" t="str">
        <f t="shared" si="137"/>
        <v/>
      </c>
      <c r="AW268" s="15" t="str">
        <f t="shared" si="138"/>
        <v/>
      </c>
      <c r="AX268" s="15" t="str">
        <f t="shared" si="128"/>
        <v>nivus-launch-consideracao-orca</v>
      </c>
      <c r="AY268" s="15" t="e">
        <f t="shared" si="139"/>
        <v>#N/A</v>
      </c>
      <c r="AZ268" s="15" t="str">
        <f t="shared" si="140"/>
        <v/>
      </c>
      <c r="BA268" s="15" t="str">
        <f t="shared" si="141"/>
        <v/>
      </c>
      <c r="BB268" s="28" t="s">
        <v>798</v>
      </c>
      <c r="BC268" s="28" t="s">
        <v>798</v>
      </c>
      <c r="BD268" s="38" t="str">
        <f t="shared" si="142"/>
        <v>nvl-nvs-imc-dsy-0820-10268</v>
      </c>
      <c r="BE268" s="15" t="str">
        <f t="shared" si="143"/>
        <v>BR</v>
      </c>
      <c r="BF268" s="15" t="str">
        <f t="shared" si="144"/>
        <v/>
      </c>
      <c r="BG268" s="28"/>
      <c r="BH268" s="28"/>
      <c r="BI268" s="36" t="e">
        <f t="shared" si="129"/>
        <v>#VALUE!</v>
      </c>
      <c r="BL268" t="str">
        <f t="shared" si="130"/>
        <v>alp_vw__imc_dsy_lanch_nd_nc_nvs_nivus-launch-consideracao-orca__</v>
      </c>
      <c r="BM268" t="e">
        <f t="shared" si="131"/>
        <v>#N/A</v>
      </c>
      <c r="BN268" t="e">
        <f t="shared" si="132"/>
        <v>#VALUE!</v>
      </c>
    </row>
    <row r="269" spans="2:66" ht="15.75" customHeight="1" x14ac:dyDescent="0.25">
      <c r="B269" s="15"/>
      <c r="C269" s="15"/>
      <c r="D269" s="15"/>
      <c r="E269" s="22"/>
      <c r="F269" s="22"/>
      <c r="G269" s="15"/>
      <c r="H269" s="41"/>
      <c r="I269" s="15"/>
      <c r="J269" s="42"/>
      <c r="K269" s="42"/>
      <c r="L269" s="15"/>
      <c r="M269" s="15"/>
      <c r="N269" s="15"/>
      <c r="O269" s="15"/>
      <c r="P269" s="15"/>
      <c r="Q269" s="15"/>
      <c r="R269" s="15"/>
      <c r="S269" s="15"/>
      <c r="T269" s="46"/>
      <c r="U269" s="15"/>
      <c r="V269" s="15"/>
      <c r="W269" s="15"/>
      <c r="X269" s="15"/>
      <c r="Y269" s="46"/>
      <c r="Z269" s="15"/>
      <c r="AA269" s="15"/>
      <c r="AB269" s="15"/>
      <c r="AC269" s="15"/>
      <c r="AD269" s="15"/>
      <c r="AE269" s="15"/>
      <c r="AF269" s="15"/>
      <c r="AG269" s="15"/>
      <c r="AH269" s="15" t="e">
        <f t="shared" si="122"/>
        <v>#N/A</v>
      </c>
      <c r="AI269" s="21" t="e">
        <f t="shared" si="120"/>
        <v>#N/A</v>
      </c>
      <c r="AJ269" s="40" t="e">
        <f t="shared" si="120"/>
        <v>#N/A</v>
      </c>
      <c r="AK269" s="21" t="str">
        <f t="shared" si="123"/>
        <v>vw_nivus___adserver</v>
      </c>
      <c r="AL269" s="21" t="e">
        <f t="shared" si="133"/>
        <v>#VALUE!</v>
      </c>
      <c r="AM269" s="21" t="str">
        <f t="shared" si="124"/>
        <v>TAG</v>
      </c>
      <c r="AN269" s="15">
        <f t="shared" si="134"/>
        <v>0</v>
      </c>
      <c r="AO269" s="15">
        <f t="shared" si="135"/>
        <v>0</v>
      </c>
      <c r="AP269" s="21" t="str">
        <f>Campanha!$B$3</f>
        <v>BR_IMC_DSY_LANCH_ND_NC_2020Q3AUG_NVS_Nivus-Launch-Consideracao-Orca</v>
      </c>
      <c r="AQ269" s="21" t="e">
        <f t="shared" si="125"/>
        <v>#N/A</v>
      </c>
      <c r="AR269" s="15" t="s">
        <v>745</v>
      </c>
      <c r="AS269" s="21" t="e">
        <f t="shared" si="126"/>
        <v>#VALUE!</v>
      </c>
      <c r="AT269" s="15" t="str">
        <f t="shared" si="136"/>
        <v/>
      </c>
      <c r="AU269" s="15" t="str">
        <f t="shared" si="127"/>
        <v>BR</v>
      </c>
      <c r="AV269" s="15" t="str">
        <f t="shared" si="137"/>
        <v/>
      </c>
      <c r="AW269" s="15" t="str">
        <f t="shared" si="138"/>
        <v/>
      </c>
      <c r="AX269" s="15" t="str">
        <f t="shared" si="128"/>
        <v>nivus-launch-consideracao-orca</v>
      </c>
      <c r="AY269" s="15" t="e">
        <f t="shared" si="139"/>
        <v>#N/A</v>
      </c>
      <c r="AZ269" s="15" t="str">
        <f t="shared" si="140"/>
        <v/>
      </c>
      <c r="BA269" s="15" t="str">
        <f t="shared" si="141"/>
        <v/>
      </c>
      <c r="BB269" s="28" t="s">
        <v>798</v>
      </c>
      <c r="BC269" s="28" t="s">
        <v>798</v>
      </c>
      <c r="BD269" s="38" t="str">
        <f t="shared" si="142"/>
        <v>nvl-nvs-imc-dsy-0820-10269</v>
      </c>
      <c r="BE269" s="15" t="str">
        <f t="shared" si="143"/>
        <v>BR</v>
      </c>
      <c r="BF269" s="15" t="str">
        <f t="shared" si="144"/>
        <v/>
      </c>
      <c r="BG269" s="28"/>
      <c r="BH269" s="28"/>
      <c r="BI269" s="36" t="e">
        <f t="shared" si="129"/>
        <v>#VALUE!</v>
      </c>
      <c r="BL269" t="str">
        <f t="shared" si="130"/>
        <v>alp_vw__imc_dsy_lanch_nd_nc_nvs_nivus-launch-consideracao-orca__</v>
      </c>
      <c r="BM269" t="e">
        <f t="shared" si="131"/>
        <v>#N/A</v>
      </c>
      <c r="BN269" t="e">
        <f t="shared" si="132"/>
        <v>#VALUE!</v>
      </c>
    </row>
    <row r="270" spans="2:66" ht="15.75" customHeight="1" x14ac:dyDescent="0.25">
      <c r="B270" s="15"/>
      <c r="C270" s="15"/>
      <c r="D270" s="15"/>
      <c r="E270" s="22"/>
      <c r="F270" s="22"/>
      <c r="G270" s="15"/>
      <c r="H270" s="41"/>
      <c r="I270" s="15"/>
      <c r="J270" s="42"/>
      <c r="K270" s="42"/>
      <c r="L270" s="15"/>
      <c r="M270" s="15"/>
      <c r="N270" s="15"/>
      <c r="O270" s="15"/>
      <c r="P270" s="15"/>
      <c r="Q270" s="15"/>
      <c r="R270" s="15"/>
      <c r="S270" s="15"/>
      <c r="T270" s="46"/>
      <c r="U270" s="15"/>
      <c r="V270" s="15"/>
      <c r="W270" s="15"/>
      <c r="X270" s="15"/>
      <c r="Y270" s="46"/>
      <c r="Z270" s="15"/>
      <c r="AA270" s="15"/>
      <c r="AB270" s="15"/>
      <c r="AC270" s="15"/>
      <c r="AD270" s="15"/>
      <c r="AE270" s="15"/>
      <c r="AF270" s="15"/>
      <c r="AG270" s="15"/>
      <c r="AH270" s="15" t="e">
        <f t="shared" si="122"/>
        <v>#N/A</v>
      </c>
      <c r="AI270" s="21" t="e">
        <f t="shared" si="120"/>
        <v>#N/A</v>
      </c>
      <c r="AJ270" s="40" t="e">
        <f t="shared" si="120"/>
        <v>#N/A</v>
      </c>
      <c r="AK270" s="21" t="str">
        <f t="shared" si="123"/>
        <v>vw_nivus___adserver</v>
      </c>
      <c r="AL270" s="21" t="e">
        <f t="shared" si="133"/>
        <v>#VALUE!</v>
      </c>
      <c r="AM270" s="21" t="str">
        <f t="shared" si="124"/>
        <v>TAG</v>
      </c>
      <c r="AN270" s="15">
        <f t="shared" si="134"/>
        <v>0</v>
      </c>
      <c r="AO270" s="15">
        <f t="shared" si="135"/>
        <v>0</v>
      </c>
      <c r="AP270" s="21" t="str">
        <f>Campanha!$B$3</f>
        <v>BR_IMC_DSY_LANCH_ND_NC_2020Q3AUG_NVS_Nivus-Launch-Consideracao-Orca</v>
      </c>
      <c r="AQ270" s="21" t="e">
        <f t="shared" si="125"/>
        <v>#N/A</v>
      </c>
      <c r="AR270" s="15" t="s">
        <v>745</v>
      </c>
      <c r="AS270" s="21" t="e">
        <f t="shared" si="126"/>
        <v>#VALUE!</v>
      </c>
      <c r="AT270" s="15" t="str">
        <f t="shared" si="136"/>
        <v/>
      </c>
      <c r="AU270" s="15" t="str">
        <f t="shared" si="127"/>
        <v>BR</v>
      </c>
      <c r="AV270" s="15" t="str">
        <f t="shared" si="137"/>
        <v/>
      </c>
      <c r="AW270" s="15" t="str">
        <f t="shared" si="138"/>
        <v/>
      </c>
      <c r="AX270" s="15" t="str">
        <f t="shared" si="128"/>
        <v>nivus-launch-consideracao-orca</v>
      </c>
      <c r="AY270" s="15" t="e">
        <f t="shared" si="139"/>
        <v>#N/A</v>
      </c>
      <c r="AZ270" s="15" t="str">
        <f t="shared" si="140"/>
        <v/>
      </c>
      <c r="BA270" s="15" t="str">
        <f t="shared" si="141"/>
        <v/>
      </c>
      <c r="BB270" s="28" t="s">
        <v>798</v>
      </c>
      <c r="BC270" s="28" t="s">
        <v>798</v>
      </c>
      <c r="BD270" s="38" t="str">
        <f t="shared" si="142"/>
        <v>nvl-nvs-imc-dsy-0820-10270</v>
      </c>
      <c r="BE270" s="15" t="str">
        <f t="shared" si="143"/>
        <v>BR</v>
      </c>
      <c r="BF270" s="15" t="str">
        <f t="shared" si="144"/>
        <v/>
      </c>
      <c r="BG270" s="28"/>
      <c r="BH270" s="28"/>
      <c r="BI270" s="36" t="e">
        <f t="shared" si="129"/>
        <v>#VALUE!</v>
      </c>
      <c r="BL270" t="str">
        <f t="shared" si="130"/>
        <v>alp_vw__imc_dsy_lanch_nd_nc_nvs_nivus-launch-consideracao-orca__</v>
      </c>
      <c r="BM270" t="e">
        <f t="shared" si="131"/>
        <v>#N/A</v>
      </c>
      <c r="BN270" t="e">
        <f t="shared" si="132"/>
        <v>#VALUE!</v>
      </c>
    </row>
    <row r="271" spans="2:66" ht="15.75" customHeight="1" x14ac:dyDescent="0.25">
      <c r="B271" s="15"/>
      <c r="C271" s="15"/>
      <c r="D271" s="15"/>
      <c r="E271" s="22"/>
      <c r="F271" s="22"/>
      <c r="G271" s="15"/>
      <c r="H271" s="41"/>
      <c r="I271" s="15"/>
      <c r="J271" s="42"/>
      <c r="K271" s="42"/>
      <c r="L271" s="15"/>
      <c r="M271" s="15"/>
      <c r="N271" s="15"/>
      <c r="O271" s="15"/>
      <c r="P271" s="15"/>
      <c r="Q271" s="15"/>
      <c r="R271" s="15"/>
      <c r="S271" s="15"/>
      <c r="T271" s="46"/>
      <c r="U271" s="15"/>
      <c r="V271" s="15"/>
      <c r="W271" s="15"/>
      <c r="X271" s="15"/>
      <c r="Y271" s="46"/>
      <c r="Z271" s="15"/>
      <c r="AA271" s="15"/>
      <c r="AB271" s="15"/>
      <c r="AC271" s="15"/>
      <c r="AD271" s="15"/>
      <c r="AE271" s="15"/>
      <c r="AF271" s="15"/>
      <c r="AG271" s="15"/>
      <c r="AH271" s="15" t="e">
        <f t="shared" si="122"/>
        <v>#N/A</v>
      </c>
      <c r="AI271" s="21" t="e">
        <f t="shared" si="120"/>
        <v>#N/A</v>
      </c>
      <c r="AJ271" s="40" t="e">
        <f t="shared" si="120"/>
        <v>#N/A</v>
      </c>
      <c r="AK271" s="21" t="str">
        <f t="shared" si="123"/>
        <v>vw_nivus___adserver</v>
      </c>
      <c r="AL271" s="21" t="e">
        <f t="shared" si="133"/>
        <v>#VALUE!</v>
      </c>
      <c r="AM271" s="21" t="str">
        <f t="shared" si="124"/>
        <v>TAG</v>
      </c>
      <c r="AN271" s="15">
        <f t="shared" si="134"/>
        <v>0</v>
      </c>
      <c r="AO271" s="15">
        <f t="shared" si="135"/>
        <v>0</v>
      </c>
      <c r="AP271" s="21" t="str">
        <f>Campanha!$B$3</f>
        <v>BR_IMC_DSY_LANCH_ND_NC_2020Q3AUG_NVS_Nivus-Launch-Consideracao-Orca</v>
      </c>
      <c r="AQ271" s="21" t="e">
        <f t="shared" si="125"/>
        <v>#N/A</v>
      </c>
      <c r="AR271" s="15" t="s">
        <v>745</v>
      </c>
      <c r="AS271" s="21" t="e">
        <f t="shared" si="126"/>
        <v>#VALUE!</v>
      </c>
      <c r="AT271" s="15" t="str">
        <f t="shared" si="136"/>
        <v/>
      </c>
      <c r="AU271" s="15" t="str">
        <f t="shared" si="127"/>
        <v>BR</v>
      </c>
      <c r="AV271" s="15" t="str">
        <f t="shared" si="137"/>
        <v/>
      </c>
      <c r="AW271" s="15" t="str">
        <f t="shared" si="138"/>
        <v/>
      </c>
      <c r="AX271" s="15" t="str">
        <f t="shared" si="128"/>
        <v>nivus-launch-consideracao-orca</v>
      </c>
      <c r="AY271" s="15" t="e">
        <f t="shared" si="139"/>
        <v>#N/A</v>
      </c>
      <c r="AZ271" s="15" t="str">
        <f t="shared" si="140"/>
        <v/>
      </c>
      <c r="BA271" s="15" t="str">
        <f t="shared" si="141"/>
        <v/>
      </c>
      <c r="BB271" s="28" t="s">
        <v>798</v>
      </c>
      <c r="BC271" s="28" t="s">
        <v>798</v>
      </c>
      <c r="BD271" s="38" t="str">
        <f t="shared" si="142"/>
        <v>nvl-nvs-imc-dsy-0820-10271</v>
      </c>
      <c r="BE271" s="15" t="str">
        <f t="shared" si="143"/>
        <v>BR</v>
      </c>
      <c r="BF271" s="15" t="str">
        <f t="shared" si="144"/>
        <v/>
      </c>
      <c r="BG271" s="28"/>
      <c r="BH271" s="28"/>
      <c r="BI271" s="36" t="e">
        <f t="shared" si="129"/>
        <v>#VALUE!</v>
      </c>
      <c r="BL271" t="str">
        <f t="shared" si="130"/>
        <v>alp_vw__imc_dsy_lanch_nd_nc_nvs_nivus-launch-consideracao-orca__</v>
      </c>
      <c r="BM271" t="e">
        <f t="shared" si="131"/>
        <v>#N/A</v>
      </c>
      <c r="BN271" t="e">
        <f t="shared" si="132"/>
        <v>#VALUE!</v>
      </c>
    </row>
    <row r="272" spans="2:66" ht="15.75" customHeight="1" x14ac:dyDescent="0.25">
      <c r="B272" s="15"/>
      <c r="C272" s="15"/>
      <c r="D272" s="15"/>
      <c r="E272" s="22"/>
      <c r="F272" s="22"/>
      <c r="G272" s="15"/>
      <c r="H272" s="41"/>
      <c r="I272" s="15"/>
      <c r="J272" s="42"/>
      <c r="K272" s="42"/>
      <c r="L272" s="15"/>
      <c r="M272" s="15"/>
      <c r="N272" s="15"/>
      <c r="O272" s="15"/>
      <c r="P272" s="15"/>
      <c r="Q272" s="15"/>
      <c r="R272" s="15"/>
      <c r="S272" s="15"/>
      <c r="T272" s="46"/>
      <c r="U272" s="15"/>
      <c r="V272" s="15"/>
      <c r="W272" s="15"/>
      <c r="X272" s="15"/>
      <c r="Y272" s="46"/>
      <c r="Z272" s="15"/>
      <c r="AA272" s="15"/>
      <c r="AB272" s="15"/>
      <c r="AC272" s="15"/>
      <c r="AD272" s="15"/>
      <c r="AE272" s="15"/>
      <c r="AF272" s="15"/>
      <c r="AG272" s="15"/>
      <c r="AH272" s="15" t="e">
        <f t="shared" si="122"/>
        <v>#N/A</v>
      </c>
      <c r="AI272" s="21" t="e">
        <f t="shared" si="120"/>
        <v>#N/A</v>
      </c>
      <c r="AJ272" s="40" t="e">
        <f t="shared" si="120"/>
        <v>#N/A</v>
      </c>
      <c r="AK272" s="21" t="str">
        <f t="shared" si="123"/>
        <v>vw_nivus___adserver</v>
      </c>
      <c r="AL272" s="21" t="e">
        <f t="shared" si="133"/>
        <v>#VALUE!</v>
      </c>
      <c r="AM272" s="21" t="str">
        <f t="shared" si="124"/>
        <v>TAG</v>
      </c>
      <c r="AN272" s="15">
        <f t="shared" si="134"/>
        <v>0</v>
      </c>
      <c r="AO272" s="15">
        <f t="shared" si="135"/>
        <v>0</v>
      </c>
      <c r="AP272" s="21" t="str">
        <f>Campanha!$B$3</f>
        <v>BR_IMC_DSY_LANCH_ND_NC_2020Q3AUG_NVS_Nivus-Launch-Consideracao-Orca</v>
      </c>
      <c r="AQ272" s="21" t="e">
        <f t="shared" si="125"/>
        <v>#N/A</v>
      </c>
      <c r="AR272" s="15" t="s">
        <v>745</v>
      </c>
      <c r="AS272" s="21" t="e">
        <f t="shared" si="126"/>
        <v>#VALUE!</v>
      </c>
      <c r="AT272" s="15" t="str">
        <f t="shared" si="136"/>
        <v/>
      </c>
      <c r="AU272" s="15" t="str">
        <f t="shared" si="127"/>
        <v>BR</v>
      </c>
      <c r="AV272" s="15" t="str">
        <f t="shared" si="137"/>
        <v/>
      </c>
      <c r="AW272" s="15" t="str">
        <f t="shared" si="138"/>
        <v/>
      </c>
      <c r="AX272" s="15" t="str">
        <f t="shared" si="128"/>
        <v>nivus-launch-consideracao-orca</v>
      </c>
      <c r="AY272" s="15" t="e">
        <f t="shared" si="139"/>
        <v>#N/A</v>
      </c>
      <c r="AZ272" s="15" t="str">
        <f t="shared" si="140"/>
        <v/>
      </c>
      <c r="BA272" s="15" t="str">
        <f t="shared" si="141"/>
        <v/>
      </c>
      <c r="BB272" s="28" t="s">
        <v>798</v>
      </c>
      <c r="BC272" s="28" t="s">
        <v>798</v>
      </c>
      <c r="BD272" s="38" t="str">
        <f t="shared" si="142"/>
        <v>nvl-nvs-imc-dsy-0820-10272</v>
      </c>
      <c r="BE272" s="15" t="str">
        <f t="shared" si="143"/>
        <v>BR</v>
      </c>
      <c r="BF272" s="15" t="str">
        <f t="shared" si="144"/>
        <v/>
      </c>
      <c r="BG272" s="28"/>
      <c r="BH272" s="28"/>
      <c r="BI272" s="36" t="e">
        <f t="shared" si="129"/>
        <v>#VALUE!</v>
      </c>
      <c r="BL272" t="str">
        <f t="shared" si="130"/>
        <v>alp_vw__imc_dsy_lanch_nd_nc_nvs_nivus-launch-consideracao-orca__</v>
      </c>
      <c r="BM272" t="e">
        <f t="shared" si="131"/>
        <v>#N/A</v>
      </c>
      <c r="BN272" t="e">
        <f t="shared" si="132"/>
        <v>#VALUE!</v>
      </c>
    </row>
    <row r="273" spans="2:66" ht="15.75" customHeight="1" x14ac:dyDescent="0.25">
      <c r="B273" s="15"/>
      <c r="C273" s="15"/>
      <c r="D273" s="15"/>
      <c r="E273" s="22"/>
      <c r="F273" s="22"/>
      <c r="G273" s="15"/>
      <c r="H273" s="41"/>
      <c r="I273" s="15"/>
      <c r="J273" s="42"/>
      <c r="K273" s="42"/>
      <c r="L273" s="15"/>
      <c r="M273" s="15"/>
      <c r="N273" s="15"/>
      <c r="O273" s="15"/>
      <c r="P273" s="15"/>
      <c r="Q273" s="15"/>
      <c r="R273" s="15"/>
      <c r="S273" s="15"/>
      <c r="T273" s="46"/>
      <c r="U273" s="15"/>
      <c r="V273" s="15"/>
      <c r="W273" s="15"/>
      <c r="X273" s="15"/>
      <c r="Y273" s="46"/>
      <c r="Z273" s="15"/>
      <c r="AA273" s="15"/>
      <c r="AB273" s="15"/>
      <c r="AC273" s="15"/>
      <c r="AD273" s="15"/>
      <c r="AE273" s="15"/>
      <c r="AF273" s="15"/>
      <c r="AG273" s="15"/>
      <c r="AH273" s="15" t="e">
        <f t="shared" si="122"/>
        <v>#N/A</v>
      </c>
      <c r="AI273" s="21" t="e">
        <f t="shared" si="120"/>
        <v>#N/A</v>
      </c>
      <c r="AJ273" s="40" t="e">
        <f t="shared" si="120"/>
        <v>#N/A</v>
      </c>
      <c r="AK273" s="21" t="str">
        <f t="shared" si="123"/>
        <v>vw_nivus___adserver</v>
      </c>
      <c r="AL273" s="21" t="e">
        <f t="shared" si="133"/>
        <v>#VALUE!</v>
      </c>
      <c r="AM273" s="21" t="str">
        <f t="shared" si="124"/>
        <v>TAG</v>
      </c>
      <c r="AN273" s="15">
        <f t="shared" si="134"/>
        <v>0</v>
      </c>
      <c r="AO273" s="15">
        <f t="shared" si="135"/>
        <v>0</v>
      </c>
      <c r="AP273" s="21" t="str">
        <f>Campanha!$B$3</f>
        <v>BR_IMC_DSY_LANCH_ND_NC_2020Q3AUG_NVS_Nivus-Launch-Consideracao-Orca</v>
      </c>
      <c r="AQ273" s="21" t="e">
        <f t="shared" si="125"/>
        <v>#N/A</v>
      </c>
      <c r="AR273" s="15" t="s">
        <v>745</v>
      </c>
      <c r="AS273" s="21" t="e">
        <f t="shared" si="126"/>
        <v>#VALUE!</v>
      </c>
      <c r="AT273" s="15" t="str">
        <f t="shared" si="136"/>
        <v/>
      </c>
      <c r="AU273" s="15" t="str">
        <f t="shared" si="127"/>
        <v>BR</v>
      </c>
      <c r="AV273" s="15" t="str">
        <f t="shared" si="137"/>
        <v/>
      </c>
      <c r="AW273" s="15" t="str">
        <f t="shared" si="138"/>
        <v/>
      </c>
      <c r="AX273" s="15" t="str">
        <f t="shared" si="128"/>
        <v>nivus-launch-consideracao-orca</v>
      </c>
      <c r="AY273" s="15" t="e">
        <f t="shared" si="139"/>
        <v>#N/A</v>
      </c>
      <c r="AZ273" s="15" t="str">
        <f t="shared" si="140"/>
        <v/>
      </c>
      <c r="BA273" s="15" t="str">
        <f t="shared" si="141"/>
        <v/>
      </c>
      <c r="BB273" s="28" t="s">
        <v>798</v>
      </c>
      <c r="BC273" s="28" t="s">
        <v>798</v>
      </c>
      <c r="BD273" s="38" t="str">
        <f t="shared" si="142"/>
        <v>nvl-nvs-imc-dsy-0820-10273</v>
      </c>
      <c r="BE273" s="15" t="str">
        <f t="shared" si="143"/>
        <v>BR</v>
      </c>
      <c r="BF273" s="15" t="str">
        <f t="shared" si="144"/>
        <v/>
      </c>
      <c r="BG273" s="28"/>
      <c r="BH273" s="28"/>
      <c r="BI273" s="36" t="e">
        <f t="shared" si="129"/>
        <v>#VALUE!</v>
      </c>
      <c r="BL273" t="str">
        <f t="shared" si="130"/>
        <v>alp_vw__imc_dsy_lanch_nd_nc_nvs_nivus-launch-consideracao-orca__</v>
      </c>
      <c r="BM273" t="e">
        <f t="shared" si="131"/>
        <v>#N/A</v>
      </c>
      <c r="BN273" t="e">
        <f t="shared" si="132"/>
        <v>#VALUE!</v>
      </c>
    </row>
    <row r="274" spans="2:66" ht="15.75" customHeight="1" x14ac:dyDescent="0.25">
      <c r="B274" s="15"/>
      <c r="C274" s="15"/>
      <c r="D274" s="15"/>
      <c r="E274" s="22"/>
      <c r="F274" s="22"/>
      <c r="G274" s="15"/>
      <c r="H274" s="41"/>
      <c r="I274" s="15"/>
      <c r="J274" s="42"/>
      <c r="K274" s="42"/>
      <c r="L274" s="15"/>
      <c r="M274" s="15"/>
      <c r="N274" s="15"/>
      <c r="O274" s="15"/>
      <c r="P274" s="15"/>
      <c r="Q274" s="15"/>
      <c r="R274" s="15"/>
      <c r="S274" s="15"/>
      <c r="T274" s="46"/>
      <c r="U274" s="15"/>
      <c r="V274" s="15"/>
      <c r="W274" s="15"/>
      <c r="X274" s="15"/>
      <c r="Y274" s="46"/>
      <c r="Z274" s="15"/>
      <c r="AA274" s="15"/>
      <c r="AB274" s="15"/>
      <c r="AC274" s="15"/>
      <c r="AD274" s="15"/>
      <c r="AE274" s="15"/>
      <c r="AF274" s="15"/>
      <c r="AG274" s="15"/>
      <c r="AH274" s="15" t="e">
        <f t="shared" si="122"/>
        <v>#N/A</v>
      </c>
      <c r="AI274" s="21" t="e">
        <f t="shared" si="120"/>
        <v>#N/A</v>
      </c>
      <c r="AJ274" s="40" t="e">
        <f t="shared" si="120"/>
        <v>#N/A</v>
      </c>
      <c r="AK274" s="21" t="str">
        <f t="shared" si="123"/>
        <v>vw_nivus___adserver</v>
      </c>
      <c r="AL274" s="21" t="e">
        <f t="shared" si="133"/>
        <v>#VALUE!</v>
      </c>
      <c r="AM274" s="21" t="str">
        <f t="shared" si="124"/>
        <v>TAG</v>
      </c>
      <c r="AN274" s="15">
        <f t="shared" si="134"/>
        <v>0</v>
      </c>
      <c r="AO274" s="15">
        <f t="shared" si="135"/>
        <v>0</v>
      </c>
      <c r="AP274" s="21" t="str">
        <f>Campanha!$B$3</f>
        <v>BR_IMC_DSY_LANCH_ND_NC_2020Q3AUG_NVS_Nivus-Launch-Consideracao-Orca</v>
      </c>
      <c r="AQ274" s="21" t="e">
        <f t="shared" si="125"/>
        <v>#N/A</v>
      </c>
      <c r="AR274" s="15" t="s">
        <v>745</v>
      </c>
      <c r="AS274" s="21" t="e">
        <f t="shared" si="126"/>
        <v>#VALUE!</v>
      </c>
      <c r="AT274" s="15" t="str">
        <f t="shared" si="136"/>
        <v/>
      </c>
      <c r="AU274" s="15" t="str">
        <f t="shared" si="127"/>
        <v>BR</v>
      </c>
      <c r="AV274" s="15" t="str">
        <f t="shared" si="137"/>
        <v/>
      </c>
      <c r="AW274" s="15" t="str">
        <f t="shared" si="138"/>
        <v/>
      </c>
      <c r="AX274" s="15" t="str">
        <f t="shared" si="128"/>
        <v>nivus-launch-consideracao-orca</v>
      </c>
      <c r="AY274" s="15" t="e">
        <f t="shared" si="139"/>
        <v>#N/A</v>
      </c>
      <c r="AZ274" s="15" t="str">
        <f t="shared" si="140"/>
        <v/>
      </c>
      <c r="BA274" s="15" t="str">
        <f t="shared" si="141"/>
        <v/>
      </c>
      <c r="BB274" s="28" t="s">
        <v>798</v>
      </c>
      <c r="BC274" s="28" t="s">
        <v>798</v>
      </c>
      <c r="BD274" s="38" t="str">
        <f t="shared" si="142"/>
        <v>nvl-nvs-imc-dsy-0820-10274</v>
      </c>
      <c r="BE274" s="15" t="str">
        <f t="shared" si="143"/>
        <v>BR</v>
      </c>
      <c r="BF274" s="15" t="str">
        <f t="shared" si="144"/>
        <v/>
      </c>
      <c r="BG274" s="28"/>
      <c r="BH274" s="28"/>
      <c r="BI274" s="36" t="e">
        <f t="shared" si="129"/>
        <v>#VALUE!</v>
      </c>
      <c r="BL274" t="str">
        <f t="shared" si="130"/>
        <v>alp_vw__imc_dsy_lanch_nd_nc_nvs_nivus-launch-consideracao-orca__</v>
      </c>
      <c r="BM274" t="e">
        <f t="shared" si="131"/>
        <v>#N/A</v>
      </c>
      <c r="BN274" t="e">
        <f t="shared" si="132"/>
        <v>#VALUE!</v>
      </c>
    </row>
    <row r="275" spans="2:66" ht="15.75" customHeight="1" x14ac:dyDescent="0.25">
      <c r="B275" s="15"/>
      <c r="C275" s="15"/>
      <c r="D275" s="15"/>
      <c r="E275" s="22"/>
      <c r="F275" s="22"/>
      <c r="G275" s="15"/>
      <c r="H275" s="41"/>
      <c r="I275" s="15"/>
      <c r="J275" s="42"/>
      <c r="K275" s="42"/>
      <c r="L275" s="15"/>
      <c r="M275" s="15"/>
      <c r="N275" s="15"/>
      <c r="O275" s="15"/>
      <c r="P275" s="15"/>
      <c r="Q275" s="15"/>
      <c r="R275" s="15"/>
      <c r="S275" s="15"/>
      <c r="T275" s="46"/>
      <c r="U275" s="15"/>
      <c r="V275" s="15"/>
      <c r="W275" s="15"/>
      <c r="X275" s="15"/>
      <c r="Y275" s="46"/>
      <c r="Z275" s="15"/>
      <c r="AA275" s="15"/>
      <c r="AB275" s="15"/>
      <c r="AC275" s="15"/>
      <c r="AD275" s="15"/>
      <c r="AE275" s="15"/>
      <c r="AF275" s="15"/>
      <c r="AG275" s="15"/>
      <c r="AH275" s="15" t="e">
        <f t="shared" si="122"/>
        <v>#N/A</v>
      </c>
      <c r="AI275" s="21" t="e">
        <f t="shared" si="120"/>
        <v>#N/A</v>
      </c>
      <c r="AJ275" s="40" t="e">
        <f t="shared" si="120"/>
        <v>#N/A</v>
      </c>
      <c r="AK275" s="21" t="str">
        <f t="shared" si="123"/>
        <v>vw_nivus___adserver</v>
      </c>
      <c r="AL275" s="21" t="e">
        <f t="shared" si="133"/>
        <v>#VALUE!</v>
      </c>
      <c r="AM275" s="21" t="str">
        <f t="shared" si="124"/>
        <v>TAG</v>
      </c>
      <c r="AN275" s="15">
        <f t="shared" si="134"/>
        <v>0</v>
      </c>
      <c r="AO275" s="15">
        <f t="shared" si="135"/>
        <v>0</v>
      </c>
      <c r="AP275" s="21" t="str">
        <f>Campanha!$B$3</f>
        <v>BR_IMC_DSY_LANCH_ND_NC_2020Q3AUG_NVS_Nivus-Launch-Consideracao-Orca</v>
      </c>
      <c r="AQ275" s="21" t="e">
        <f t="shared" si="125"/>
        <v>#N/A</v>
      </c>
      <c r="AR275" s="15" t="s">
        <v>745</v>
      </c>
      <c r="AS275" s="21" t="e">
        <f t="shared" si="126"/>
        <v>#VALUE!</v>
      </c>
      <c r="AT275" s="15" t="str">
        <f t="shared" si="136"/>
        <v/>
      </c>
      <c r="AU275" s="15" t="str">
        <f t="shared" si="127"/>
        <v>BR</v>
      </c>
      <c r="AV275" s="15" t="str">
        <f t="shared" si="137"/>
        <v/>
      </c>
      <c r="AW275" s="15" t="str">
        <f t="shared" si="138"/>
        <v/>
      </c>
      <c r="AX275" s="15" t="str">
        <f t="shared" si="128"/>
        <v>nivus-launch-consideracao-orca</v>
      </c>
      <c r="AY275" s="15" t="e">
        <f t="shared" si="139"/>
        <v>#N/A</v>
      </c>
      <c r="AZ275" s="15" t="str">
        <f t="shared" si="140"/>
        <v/>
      </c>
      <c r="BA275" s="15" t="str">
        <f t="shared" si="141"/>
        <v/>
      </c>
      <c r="BB275" s="28" t="s">
        <v>798</v>
      </c>
      <c r="BC275" s="28" t="s">
        <v>798</v>
      </c>
      <c r="BD275" s="38" t="str">
        <f t="shared" si="142"/>
        <v>nvl-nvs-imc-dsy-0820-10275</v>
      </c>
      <c r="BE275" s="15" t="str">
        <f t="shared" si="143"/>
        <v>BR</v>
      </c>
      <c r="BF275" s="15" t="str">
        <f t="shared" si="144"/>
        <v/>
      </c>
      <c r="BG275" s="28"/>
      <c r="BH275" s="28"/>
      <c r="BI275" s="36" t="e">
        <f t="shared" si="129"/>
        <v>#VALUE!</v>
      </c>
      <c r="BL275" t="str">
        <f t="shared" si="130"/>
        <v>alp_vw__imc_dsy_lanch_nd_nc_nvs_nivus-launch-consideracao-orca__</v>
      </c>
      <c r="BM275" t="e">
        <f t="shared" si="131"/>
        <v>#N/A</v>
      </c>
      <c r="BN275" t="e">
        <f t="shared" si="132"/>
        <v>#VALUE!</v>
      </c>
    </row>
    <row r="276" spans="2:66" ht="15.75" customHeight="1" x14ac:dyDescent="0.25">
      <c r="B276" s="15"/>
      <c r="C276" s="15"/>
      <c r="D276" s="15"/>
      <c r="E276" s="22"/>
      <c r="F276" s="22"/>
      <c r="G276" s="15"/>
      <c r="H276" s="41"/>
      <c r="I276" s="15"/>
      <c r="J276" s="42"/>
      <c r="K276" s="42"/>
      <c r="L276" s="15"/>
      <c r="M276" s="15"/>
      <c r="N276" s="15"/>
      <c r="O276" s="15"/>
      <c r="P276" s="15"/>
      <c r="Q276" s="15"/>
      <c r="R276" s="15"/>
      <c r="S276" s="15"/>
      <c r="T276" s="46"/>
      <c r="U276" s="15"/>
      <c r="V276" s="15"/>
      <c r="W276" s="15"/>
      <c r="X276" s="15"/>
      <c r="Y276" s="46"/>
      <c r="Z276" s="15"/>
      <c r="AA276" s="15"/>
      <c r="AB276" s="15"/>
      <c r="AC276" s="15"/>
      <c r="AD276" s="15"/>
      <c r="AE276" s="15"/>
      <c r="AF276" s="15"/>
      <c r="AG276" s="15"/>
      <c r="AH276" s="15" t="e">
        <f t="shared" si="122"/>
        <v>#N/A</v>
      </c>
      <c r="AI276" s="21" t="e">
        <f t="shared" si="120"/>
        <v>#N/A</v>
      </c>
      <c r="AJ276" s="40" t="e">
        <f t="shared" si="120"/>
        <v>#N/A</v>
      </c>
      <c r="AK276" s="21" t="str">
        <f t="shared" si="123"/>
        <v>vw_nivus___adserver</v>
      </c>
      <c r="AL276" s="21" t="e">
        <f t="shared" si="133"/>
        <v>#VALUE!</v>
      </c>
      <c r="AM276" s="21" t="str">
        <f t="shared" si="124"/>
        <v>TAG</v>
      </c>
      <c r="AN276" s="15">
        <f t="shared" si="134"/>
        <v>0</v>
      </c>
      <c r="AO276" s="15">
        <f t="shared" si="135"/>
        <v>0</v>
      </c>
      <c r="AP276" s="21" t="str">
        <f>Campanha!$B$3</f>
        <v>BR_IMC_DSY_LANCH_ND_NC_2020Q3AUG_NVS_Nivus-Launch-Consideracao-Orca</v>
      </c>
      <c r="AQ276" s="21" t="e">
        <f t="shared" si="125"/>
        <v>#N/A</v>
      </c>
      <c r="AR276" s="15" t="s">
        <v>745</v>
      </c>
      <c r="AS276" s="21" t="e">
        <f t="shared" si="126"/>
        <v>#VALUE!</v>
      </c>
      <c r="AT276" s="15" t="str">
        <f t="shared" si="136"/>
        <v/>
      </c>
      <c r="AU276" s="15" t="str">
        <f t="shared" si="127"/>
        <v>BR</v>
      </c>
      <c r="AV276" s="15" t="str">
        <f t="shared" si="137"/>
        <v/>
      </c>
      <c r="AW276" s="15" t="str">
        <f t="shared" si="138"/>
        <v/>
      </c>
      <c r="AX276" s="15" t="str">
        <f t="shared" si="128"/>
        <v>nivus-launch-consideracao-orca</v>
      </c>
      <c r="AY276" s="15" t="e">
        <f t="shared" si="139"/>
        <v>#N/A</v>
      </c>
      <c r="AZ276" s="15" t="str">
        <f t="shared" si="140"/>
        <v/>
      </c>
      <c r="BA276" s="15" t="str">
        <f t="shared" si="141"/>
        <v/>
      </c>
      <c r="BB276" s="28" t="s">
        <v>798</v>
      </c>
      <c r="BC276" s="28" t="s">
        <v>798</v>
      </c>
      <c r="BD276" s="38" t="str">
        <f t="shared" si="142"/>
        <v>nvl-nvs-imc-dsy-0820-10276</v>
      </c>
      <c r="BE276" s="15" t="str">
        <f t="shared" si="143"/>
        <v>BR</v>
      </c>
      <c r="BF276" s="15" t="str">
        <f t="shared" si="144"/>
        <v/>
      </c>
      <c r="BG276" s="28"/>
      <c r="BH276" s="28"/>
      <c r="BI276" s="36" t="e">
        <f t="shared" si="129"/>
        <v>#VALUE!</v>
      </c>
      <c r="BL276" t="str">
        <f t="shared" si="130"/>
        <v>alp_vw__imc_dsy_lanch_nd_nc_nvs_nivus-launch-consideracao-orca__</v>
      </c>
      <c r="BM276" t="e">
        <f t="shared" si="131"/>
        <v>#N/A</v>
      </c>
      <c r="BN276" t="e">
        <f t="shared" si="132"/>
        <v>#VALUE!</v>
      </c>
    </row>
    <row r="277" spans="2:66" ht="15.75" customHeight="1" x14ac:dyDescent="0.25">
      <c r="B277" s="15"/>
      <c r="C277" s="15"/>
      <c r="D277" s="15"/>
      <c r="E277" s="22"/>
      <c r="F277" s="22"/>
      <c r="G277" s="15"/>
      <c r="H277" s="41"/>
      <c r="I277" s="15"/>
      <c r="J277" s="42"/>
      <c r="K277" s="42"/>
      <c r="L277" s="15"/>
      <c r="M277" s="15"/>
      <c r="N277" s="15"/>
      <c r="O277" s="15"/>
      <c r="P277" s="15"/>
      <c r="Q277" s="15"/>
      <c r="R277" s="15"/>
      <c r="S277" s="15"/>
      <c r="T277" s="46"/>
      <c r="U277" s="15"/>
      <c r="V277" s="15"/>
      <c r="W277" s="15"/>
      <c r="X277" s="15"/>
      <c r="Y277" s="46"/>
      <c r="Z277" s="15"/>
      <c r="AA277" s="15"/>
      <c r="AB277" s="15"/>
      <c r="AC277" s="15"/>
      <c r="AD277" s="15"/>
      <c r="AE277" s="15"/>
      <c r="AF277" s="15"/>
      <c r="AG277" s="15"/>
      <c r="AH277" s="15" t="e">
        <f t="shared" si="122"/>
        <v>#N/A</v>
      </c>
      <c r="AI277" s="21" t="e">
        <f t="shared" ref="AI277:AJ280" si="145">LOWER(CONCATENATE(col_campanhaanunciante,"_",col_grupoanunciante,"_",col_localfreetype,"_",col_adlid))</f>
        <v>#N/A</v>
      </c>
      <c r="AJ277" s="40" t="e">
        <f t="shared" si="145"/>
        <v>#N/A</v>
      </c>
      <c r="AK277" s="21" t="str">
        <f t="shared" si="123"/>
        <v>vw_nivus___adserver</v>
      </c>
      <c r="AL277" s="21" t="e">
        <f t="shared" si="133"/>
        <v>#VALUE!</v>
      </c>
      <c r="AM277" s="21" t="str">
        <f t="shared" si="124"/>
        <v>TAG</v>
      </c>
      <c r="AN277" s="15">
        <f t="shared" si="134"/>
        <v>0</v>
      </c>
      <c r="AO277" s="15">
        <f t="shared" si="135"/>
        <v>0</v>
      </c>
      <c r="AP277" s="21" t="str">
        <f>Campanha!$B$3</f>
        <v>BR_IMC_DSY_LANCH_ND_NC_2020Q3AUG_NVS_Nivus-Launch-Consideracao-Orca</v>
      </c>
      <c r="AQ277" s="21" t="e">
        <f t="shared" si="125"/>
        <v>#N/A</v>
      </c>
      <c r="AR277" s="15" t="s">
        <v>745</v>
      </c>
      <c r="AS277" s="21" t="e">
        <f t="shared" si="126"/>
        <v>#VALUE!</v>
      </c>
      <c r="AT277" s="15" t="str">
        <f t="shared" si="136"/>
        <v/>
      </c>
      <c r="AU277" s="15" t="str">
        <f t="shared" si="127"/>
        <v>BR</v>
      </c>
      <c r="AV277" s="15" t="str">
        <f t="shared" si="137"/>
        <v/>
      </c>
      <c r="AW277" s="15" t="str">
        <f t="shared" si="138"/>
        <v/>
      </c>
      <c r="AX277" s="15" t="str">
        <f t="shared" si="128"/>
        <v>nivus-launch-consideracao-orca</v>
      </c>
      <c r="AY277" s="15" t="e">
        <f t="shared" si="139"/>
        <v>#N/A</v>
      </c>
      <c r="AZ277" s="15" t="str">
        <f t="shared" si="140"/>
        <v/>
      </c>
      <c r="BA277" s="15" t="str">
        <f t="shared" si="141"/>
        <v/>
      </c>
      <c r="BB277" s="28" t="s">
        <v>798</v>
      </c>
      <c r="BC277" s="28" t="s">
        <v>798</v>
      </c>
      <c r="BD277" s="38" t="str">
        <f t="shared" si="142"/>
        <v>nvl-nvs-imc-dsy-0820-10277</v>
      </c>
      <c r="BE277" s="15" t="str">
        <f t="shared" si="143"/>
        <v>BR</v>
      </c>
      <c r="BF277" s="15" t="str">
        <f t="shared" si="144"/>
        <v/>
      </c>
      <c r="BG277" s="28"/>
      <c r="BH277" s="28"/>
      <c r="BI277" s="36" t="e">
        <f t="shared" si="129"/>
        <v>#VALUE!</v>
      </c>
      <c r="BL277" t="str">
        <f t="shared" si="130"/>
        <v>alp_vw__imc_dsy_lanch_nd_nc_nvs_nivus-launch-consideracao-orca__</v>
      </c>
      <c r="BM277" t="e">
        <f t="shared" si="131"/>
        <v>#N/A</v>
      </c>
      <c r="BN277" t="e">
        <f t="shared" si="132"/>
        <v>#VALUE!</v>
      </c>
    </row>
    <row r="278" spans="2:66" ht="15.75" customHeight="1" x14ac:dyDescent="0.25">
      <c r="B278" s="15"/>
      <c r="C278" s="15"/>
      <c r="D278" s="15"/>
      <c r="E278" s="22"/>
      <c r="F278" s="22"/>
      <c r="G278" s="15"/>
      <c r="H278" s="41"/>
      <c r="I278" s="15"/>
      <c r="J278" s="42"/>
      <c r="K278" s="42"/>
      <c r="L278" s="15"/>
      <c r="M278" s="15"/>
      <c r="N278" s="15"/>
      <c r="O278" s="15"/>
      <c r="P278" s="15"/>
      <c r="Q278" s="15"/>
      <c r="R278" s="15"/>
      <c r="S278" s="15"/>
      <c r="T278" s="46"/>
      <c r="U278" s="15"/>
      <c r="V278" s="15"/>
      <c r="W278" s="15"/>
      <c r="X278" s="15"/>
      <c r="Y278" s="46"/>
      <c r="Z278" s="15"/>
      <c r="AA278" s="15"/>
      <c r="AB278" s="15"/>
      <c r="AC278" s="15"/>
      <c r="AD278" s="15"/>
      <c r="AE278" s="15"/>
      <c r="AF278" s="15"/>
      <c r="AG278" s="15"/>
      <c r="AH278" s="15" t="e">
        <f t="shared" si="122"/>
        <v>#N/A</v>
      </c>
      <c r="AI278" s="21" t="e">
        <f t="shared" si="145"/>
        <v>#N/A</v>
      </c>
      <c r="AJ278" s="40" t="e">
        <f t="shared" si="145"/>
        <v>#N/A</v>
      </c>
      <c r="AK278" s="21" t="str">
        <f t="shared" si="123"/>
        <v>vw_nivus___adserver</v>
      </c>
      <c r="AL278" s="21" t="e">
        <f t="shared" si="133"/>
        <v>#VALUE!</v>
      </c>
      <c r="AM278" s="21" t="str">
        <f t="shared" si="124"/>
        <v>TAG</v>
      </c>
      <c r="AN278" s="15">
        <f t="shared" si="134"/>
        <v>0</v>
      </c>
      <c r="AO278" s="15">
        <f t="shared" si="135"/>
        <v>0</v>
      </c>
      <c r="AP278" s="21" t="str">
        <f>Campanha!$B$3</f>
        <v>BR_IMC_DSY_LANCH_ND_NC_2020Q3AUG_NVS_Nivus-Launch-Consideracao-Orca</v>
      </c>
      <c r="AQ278" s="21" t="e">
        <f t="shared" si="125"/>
        <v>#N/A</v>
      </c>
      <c r="AR278" s="15" t="s">
        <v>745</v>
      </c>
      <c r="AS278" s="21" t="e">
        <f t="shared" si="126"/>
        <v>#VALUE!</v>
      </c>
      <c r="AT278" s="15" t="str">
        <f t="shared" si="136"/>
        <v/>
      </c>
      <c r="AU278" s="15" t="str">
        <f t="shared" si="127"/>
        <v>BR</v>
      </c>
      <c r="AV278" s="15" t="str">
        <f t="shared" si="137"/>
        <v/>
      </c>
      <c r="AW278" s="15" t="str">
        <f t="shared" si="138"/>
        <v/>
      </c>
      <c r="AX278" s="15" t="str">
        <f t="shared" si="128"/>
        <v>nivus-launch-consideracao-orca</v>
      </c>
      <c r="AY278" s="15" t="e">
        <f t="shared" si="139"/>
        <v>#N/A</v>
      </c>
      <c r="AZ278" s="15" t="str">
        <f t="shared" si="140"/>
        <v/>
      </c>
      <c r="BA278" s="15" t="str">
        <f t="shared" si="141"/>
        <v/>
      </c>
      <c r="BB278" s="28" t="s">
        <v>798</v>
      </c>
      <c r="BC278" s="28" t="s">
        <v>798</v>
      </c>
      <c r="BD278" s="38" t="str">
        <f t="shared" si="142"/>
        <v>nvl-nvs-imc-dsy-0820-10278</v>
      </c>
      <c r="BE278" s="15" t="str">
        <f t="shared" si="143"/>
        <v>BR</v>
      </c>
      <c r="BF278" s="15" t="str">
        <f t="shared" si="144"/>
        <v/>
      </c>
      <c r="BG278" s="28"/>
      <c r="BH278" s="28"/>
      <c r="BI278" s="36" t="e">
        <f t="shared" si="129"/>
        <v>#VALUE!</v>
      </c>
      <c r="BL278" t="str">
        <f t="shared" si="130"/>
        <v>alp_vw__imc_dsy_lanch_nd_nc_nvs_nivus-launch-consideracao-orca__</v>
      </c>
      <c r="BM278" t="e">
        <f t="shared" si="131"/>
        <v>#N/A</v>
      </c>
      <c r="BN278" t="e">
        <f t="shared" si="132"/>
        <v>#VALUE!</v>
      </c>
    </row>
    <row r="279" spans="2:66" ht="15.75" customHeight="1" x14ac:dyDescent="0.25">
      <c r="B279" s="15"/>
      <c r="C279" s="15"/>
      <c r="D279" s="15"/>
      <c r="E279" s="22"/>
      <c r="F279" s="22"/>
      <c r="G279" s="15"/>
      <c r="H279" s="41"/>
      <c r="I279" s="15"/>
      <c r="J279" s="42"/>
      <c r="K279" s="42"/>
      <c r="L279" s="15"/>
      <c r="M279" s="15"/>
      <c r="N279" s="15"/>
      <c r="O279" s="15"/>
      <c r="P279" s="15"/>
      <c r="Q279" s="15"/>
      <c r="R279" s="15"/>
      <c r="S279" s="15"/>
      <c r="T279" s="46"/>
      <c r="U279" s="15"/>
      <c r="V279" s="15"/>
      <c r="W279" s="15"/>
      <c r="X279" s="15"/>
      <c r="Y279" s="46"/>
      <c r="Z279" s="15"/>
      <c r="AA279" s="15"/>
      <c r="AB279" s="15"/>
      <c r="AC279" s="15"/>
      <c r="AD279" s="15"/>
      <c r="AE279" s="15"/>
      <c r="AF279" s="15"/>
      <c r="AG279" s="15"/>
      <c r="AH279" s="15" t="e">
        <f t="shared" si="122"/>
        <v>#N/A</v>
      </c>
      <c r="AI279" s="21" t="e">
        <f t="shared" si="145"/>
        <v>#N/A</v>
      </c>
      <c r="AJ279" s="40" t="e">
        <f t="shared" si="145"/>
        <v>#N/A</v>
      </c>
      <c r="AK279" s="21" t="str">
        <f t="shared" si="123"/>
        <v>vw_nivus___adserver</v>
      </c>
      <c r="AL279" s="21" t="e">
        <f t="shared" si="133"/>
        <v>#VALUE!</v>
      </c>
      <c r="AM279" s="21" t="str">
        <f t="shared" si="124"/>
        <v>TAG</v>
      </c>
      <c r="AN279" s="15">
        <f t="shared" si="134"/>
        <v>0</v>
      </c>
      <c r="AO279" s="15">
        <f t="shared" si="135"/>
        <v>0</v>
      </c>
      <c r="AP279" s="21" t="str">
        <f>Campanha!$B$3</f>
        <v>BR_IMC_DSY_LANCH_ND_NC_2020Q3AUG_NVS_Nivus-Launch-Consideracao-Orca</v>
      </c>
      <c r="AQ279" s="21" t="e">
        <f t="shared" si="125"/>
        <v>#N/A</v>
      </c>
      <c r="AR279" s="15" t="s">
        <v>745</v>
      </c>
      <c r="AS279" s="21" t="e">
        <f t="shared" si="126"/>
        <v>#VALUE!</v>
      </c>
      <c r="AT279" s="15" t="str">
        <f t="shared" si="136"/>
        <v/>
      </c>
      <c r="AU279" s="15" t="str">
        <f t="shared" si="127"/>
        <v>BR</v>
      </c>
      <c r="AV279" s="15" t="str">
        <f t="shared" si="137"/>
        <v/>
      </c>
      <c r="AW279" s="15" t="str">
        <f t="shared" si="138"/>
        <v/>
      </c>
      <c r="AX279" s="15" t="str">
        <f t="shared" si="128"/>
        <v>nivus-launch-consideracao-orca</v>
      </c>
      <c r="AY279" s="15" t="e">
        <f t="shared" si="139"/>
        <v>#N/A</v>
      </c>
      <c r="AZ279" s="15" t="str">
        <f t="shared" si="140"/>
        <v/>
      </c>
      <c r="BA279" s="15" t="str">
        <f t="shared" si="141"/>
        <v/>
      </c>
      <c r="BB279" s="28" t="s">
        <v>798</v>
      </c>
      <c r="BC279" s="28" t="s">
        <v>798</v>
      </c>
      <c r="BD279" s="38" t="str">
        <f t="shared" si="142"/>
        <v>nvl-nvs-imc-dsy-0820-10279</v>
      </c>
      <c r="BE279" s="15" t="str">
        <f t="shared" si="143"/>
        <v>BR</v>
      </c>
      <c r="BF279" s="15" t="str">
        <f t="shared" si="144"/>
        <v/>
      </c>
      <c r="BG279" s="28"/>
      <c r="BH279" s="28"/>
      <c r="BI279" s="36" t="e">
        <f t="shared" si="129"/>
        <v>#VALUE!</v>
      </c>
      <c r="BL279" t="str">
        <f t="shared" si="130"/>
        <v>alp_vw__imc_dsy_lanch_nd_nc_nvs_nivus-launch-consideracao-orca__</v>
      </c>
      <c r="BM279" t="e">
        <f t="shared" si="131"/>
        <v>#N/A</v>
      </c>
      <c r="BN279" t="e">
        <f t="shared" si="132"/>
        <v>#VALUE!</v>
      </c>
    </row>
    <row r="280" spans="2:66" ht="15.75" customHeight="1" x14ac:dyDescent="0.25">
      <c r="B280" s="15"/>
      <c r="C280" s="15"/>
      <c r="D280" s="15"/>
      <c r="E280" s="22"/>
      <c r="F280" s="22"/>
      <c r="G280" s="15"/>
      <c r="H280" s="41"/>
      <c r="I280" s="15"/>
      <c r="J280" s="42"/>
      <c r="K280" s="42"/>
      <c r="L280" s="15"/>
      <c r="M280" s="15"/>
      <c r="N280" s="15"/>
      <c r="O280" s="15"/>
      <c r="P280" s="15"/>
      <c r="Q280" s="15"/>
      <c r="R280" s="15"/>
      <c r="S280" s="15"/>
      <c r="T280" s="46"/>
      <c r="U280" s="15"/>
      <c r="V280" s="15"/>
      <c r="W280" s="15"/>
      <c r="X280" s="15"/>
      <c r="Y280" s="46"/>
      <c r="Z280" s="15"/>
      <c r="AA280" s="15"/>
      <c r="AB280" s="15"/>
      <c r="AC280" s="15"/>
      <c r="AD280" s="15"/>
      <c r="AE280" s="15"/>
      <c r="AF280" s="15"/>
      <c r="AG280" s="15"/>
      <c r="AH280" s="15" t="e">
        <f t="shared" si="122"/>
        <v>#N/A</v>
      </c>
      <c r="AI280" s="21" t="e">
        <f t="shared" si="145"/>
        <v>#N/A</v>
      </c>
      <c r="AJ280" s="40" t="e">
        <f t="shared" si="145"/>
        <v>#N/A</v>
      </c>
      <c r="AK280" s="21" t="str">
        <f t="shared" si="123"/>
        <v>vw_nivus___adserver</v>
      </c>
      <c r="AL280" s="21" t="e">
        <f t="shared" si="133"/>
        <v>#VALUE!</v>
      </c>
      <c r="AM280" s="21" t="str">
        <f t="shared" si="124"/>
        <v>TAG</v>
      </c>
      <c r="AN280" s="15">
        <f t="shared" si="134"/>
        <v>0</v>
      </c>
      <c r="AO280" s="15">
        <f t="shared" si="135"/>
        <v>0</v>
      </c>
      <c r="AP280" s="21" t="str">
        <f>Campanha!$B$3</f>
        <v>BR_IMC_DSY_LANCH_ND_NC_2020Q3AUG_NVS_Nivus-Launch-Consideracao-Orca</v>
      </c>
      <c r="AQ280" s="21" t="e">
        <f t="shared" si="125"/>
        <v>#N/A</v>
      </c>
      <c r="AR280" s="15" t="s">
        <v>745</v>
      </c>
      <c r="AS280" s="21" t="e">
        <f t="shared" si="126"/>
        <v>#VALUE!</v>
      </c>
      <c r="AT280" s="15" t="str">
        <f t="shared" si="136"/>
        <v/>
      </c>
      <c r="AU280" s="15" t="str">
        <f t="shared" si="127"/>
        <v>BR</v>
      </c>
      <c r="AV280" s="15" t="str">
        <f t="shared" si="137"/>
        <v/>
      </c>
      <c r="AW280" s="15" t="str">
        <f t="shared" si="138"/>
        <v/>
      </c>
      <c r="AX280" s="15" t="str">
        <f t="shared" si="128"/>
        <v>nivus-launch-consideracao-orca</v>
      </c>
      <c r="AY280" s="15" t="e">
        <f t="shared" si="139"/>
        <v>#N/A</v>
      </c>
      <c r="AZ280" s="15" t="str">
        <f t="shared" si="140"/>
        <v/>
      </c>
      <c r="BA280" s="15" t="str">
        <f t="shared" si="141"/>
        <v/>
      </c>
      <c r="BB280" s="28" t="s">
        <v>798</v>
      </c>
      <c r="BC280" s="28" t="s">
        <v>798</v>
      </c>
      <c r="BD280" s="38" t="str">
        <f t="shared" si="142"/>
        <v>nvl-nvs-imc-dsy-0820-10280</v>
      </c>
      <c r="BE280" s="15" t="str">
        <f t="shared" si="143"/>
        <v>BR</v>
      </c>
      <c r="BF280" s="15" t="str">
        <f t="shared" si="144"/>
        <v/>
      </c>
      <c r="BG280" s="28"/>
      <c r="BH280" s="28"/>
      <c r="BI280" s="36" t="e">
        <f t="shared" si="129"/>
        <v>#VALUE!</v>
      </c>
      <c r="BL280" t="str">
        <f t="shared" si="130"/>
        <v>alp_vw__imc_dsy_lanch_nd_nc_nvs_nivus-launch-consideracao-orca__</v>
      </c>
      <c r="BM280" t="e">
        <f t="shared" si="131"/>
        <v>#N/A</v>
      </c>
      <c r="BN280" t="e">
        <f t="shared" si="132"/>
        <v>#VALUE!</v>
      </c>
    </row>
    <row r="281" spans="2:66" ht="15.75" customHeight="1" x14ac:dyDescent="0.25">
      <c r="B281" s="15"/>
      <c r="C281" s="15"/>
      <c r="D281" s="15"/>
      <c r="E281" s="22"/>
      <c r="F281" s="22"/>
      <c r="G281" s="15"/>
      <c r="H281" s="41"/>
      <c r="I281" s="15"/>
      <c r="J281" s="42"/>
      <c r="K281" s="42"/>
      <c r="L281" s="15"/>
      <c r="M281" s="15"/>
      <c r="N281" s="15"/>
      <c r="O281" s="15"/>
      <c r="P281" s="15"/>
      <c r="Q281" s="15"/>
      <c r="R281" s="15"/>
      <c r="S281" s="15"/>
      <c r="T281" s="46"/>
      <c r="U281" s="15"/>
      <c r="V281" s="15"/>
      <c r="W281" s="15"/>
      <c r="X281" s="15"/>
      <c r="Y281" s="46"/>
      <c r="Z281" s="15"/>
      <c r="AA281" s="15"/>
      <c r="AB281" s="15"/>
      <c r="AC281" s="15"/>
      <c r="AD281" s="15"/>
      <c r="AE281" s="15"/>
      <c r="AF281" s="15"/>
      <c r="AG281" s="15"/>
      <c r="AH281" s="15" t="e">
        <f t="shared" si="122"/>
        <v>#N/A</v>
      </c>
      <c r="AI281" s="21" t="str">
        <f t="shared" ref="AI281:AI326" si="146">LOWER(CONCATENATE(col_campanhaanunciante,"_",col_grupoanunciante,"_",col_localfreetype,"_",col_adlid))</f>
        <v>___nvl-nvs-imc-dsy-0820-10281</v>
      </c>
      <c r="AJ281" s="40" t="str">
        <f t="shared" ref="AJ281:AJ326" si="147">LOWER(CONCATENATE(col_campanhaanunciante,"_",col_grupoanunciante,"_",col_localfreetype,"_",col_adlid))</f>
        <v>___nvl-nvs-imc-dsy-0820-10281</v>
      </c>
      <c r="AK281" s="21" t="str">
        <f t="shared" ref="AK281:AK308" si="148">LOWER(faxineiro(CONCATENATE("VW","_",cel_modelvariant,"_",col_size,"_",col_localfreetype,"-",IF(col_servidopor="portal",col_supplier,"adserver"))))</f>
        <v>vw_nivus__-adserver</v>
      </c>
      <c r="AL281" s="21" t="str">
        <f t="shared" ref="AL281:AL308" si="149">IF(col_parametrizacao="GA",AS281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281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?adlid=nvl-nvs-imc-dsy-0820-10281&amp;adplt=___nvl-nvs-imc-dsy-0820-10281</v>
      </c>
      <c r="AM281" s="21" t="str">
        <f t="shared" ref="AM281:AM308" si="150">IFERROR(IF(col_servidopor="portal",VLOOKUP(col_placement,tab_contadores,2,FALSE),"TAG"),"Contador")</f>
        <v>TAG</v>
      </c>
      <c r="AN281" s="15">
        <f t="shared" ref="AN281:AN308" si="151">J281</f>
        <v>0</v>
      </c>
      <c r="AO281" s="15">
        <f t="shared" ref="AO281:AO308" si="152">L281</f>
        <v>0</v>
      </c>
      <c r="AP281" s="21" t="str">
        <f>Campanha!$B$3</f>
        <v>BR_IMC_DSY_LANCH_ND_NC_2020Q3AUG_NVS_Nivus-Launch-Consideracao-Orca</v>
      </c>
      <c r="AQ281" s="21" t="str">
        <f t="shared" ref="AQ281:AQ308" si="153">col_adname</f>
        <v>___nvl-nvs-imc-dsy-0820-10281</v>
      </c>
      <c r="AR281" s="15" t="s">
        <v>745</v>
      </c>
      <c r="AS281" s="21" t="str">
        <f t="shared" ref="AS281:AS311" si="154">faxineiro(CONCATENATE(col_url,IF(ISNUMBER(FIND("?",col_url)),"&amp;","?"),"utm_source=",col_utmsource,"&amp;utm_medium=",col_utmmedium,"&amp;utm_content=",col_utmcontent,"&amp;utm_campaign=",col_utmcampaign,"&amp;utm_term=",col_keyword))</f>
        <v>?utm_source=0&amp;utm_medium=0&amp;utm_content=___nvl-nvs-imc-dsy-0820-10281&amp;utm_campaign=BR_IMC_DSY_LANCH_ND_NC_2020Q3AUG_NVS_Nivus-Launch-Consideracao-Orca&amp;utm_term=%epid!_%ecid!_%eaid!</v>
      </c>
      <c r="AT281" s="15" t="str">
        <f t="shared" ref="AT281:AT308" si="155">LOWER(Q281)</f>
        <v/>
      </c>
      <c r="AU281" s="15" t="str">
        <f t="shared" ref="AU281:AU308" si="156">VLOOKUP(cel_country,tab_country,2,FALSE)</f>
        <v>BR</v>
      </c>
      <c r="AV281" s="15" t="str">
        <f t="shared" ref="AV281:AV308" si="157">LOWER(K281)</f>
        <v/>
      </c>
      <c r="AW281" s="15" t="str">
        <f t="shared" ref="AW281:AW308" si="158">LOWER(J281)</f>
        <v/>
      </c>
      <c r="AX281" s="15" t="str">
        <f t="shared" ref="AX281:AX308" si="159">LOWER(cel_campaing)</f>
        <v>nivus-launch-consideracao-orca</v>
      </c>
      <c r="AY281" s="15" t="str">
        <f t="shared" ref="AY281:AY325" si="160">LOWER(AI281)</f>
        <v>___nvl-nvs-imc-dsy-0820-10281</v>
      </c>
      <c r="AZ281" s="15" t="str">
        <f t="shared" ref="AZ281:AZ325" si="161">LOWER(Y281)</f>
        <v/>
      </c>
      <c r="BA281" s="15" t="str">
        <f t="shared" ref="BA281:BA308" si="162">LOWER(T281)</f>
        <v/>
      </c>
      <c r="BB281" s="28" t="s">
        <v>798</v>
      </c>
      <c r="BC281" s="28" t="s">
        <v>798</v>
      </c>
      <c r="BD281" s="38" t="str">
        <f t="shared" ref="BD281:BD308" si="163">LOWER(CONCATENATE(cel_idcampaign,"-",SUM(10000+ROW(A281))))</f>
        <v>nvl-nvs-imc-dsy-0820-10281</v>
      </c>
      <c r="BE281" s="15" t="str">
        <f t="shared" ref="BE281:BE325" si="164">AU281</f>
        <v>BR</v>
      </c>
      <c r="BF281" s="15" t="str">
        <f t="shared" ref="BF281:BF325" si="165">LOWER(X281)</f>
        <v/>
      </c>
      <c r="BG281" s="28"/>
      <c r="BH281" s="28"/>
      <c r="BI281" s="36" t="str">
        <f t="shared" ref="BI281:BI308" si="166">faxineiro(CONCATENATE(col_url,IF(ISNUMBER(FIND("?",col_url)),"&amp;","?"),CONCATENATE("adlid=",col_adlid,"&amp;adplt=",adplt)))</f>
        <v>?adlid=nvl-nvs-imc-dsy-0820-10281&amp;adplt=___nvl-nvs-imc-dsy-0820-10281</v>
      </c>
    </row>
    <row r="282" spans="2:66" ht="15.75" customHeight="1" x14ac:dyDescent="0.25">
      <c r="B282" s="15"/>
      <c r="C282" s="15"/>
      <c r="D282" s="15"/>
      <c r="E282" s="22"/>
      <c r="F282" s="22"/>
      <c r="G282" s="15"/>
      <c r="H282" s="41"/>
      <c r="I282" s="15"/>
      <c r="J282" s="42"/>
      <c r="K282" s="42"/>
      <c r="L282" s="15"/>
      <c r="M282" s="15"/>
      <c r="N282" s="15"/>
      <c r="O282" s="15"/>
      <c r="P282" s="15"/>
      <c r="Q282" s="15"/>
      <c r="R282" s="15"/>
      <c r="S282" s="15"/>
      <c r="T282" s="46"/>
      <c r="U282" s="15"/>
      <c r="V282" s="15"/>
      <c r="W282" s="15"/>
      <c r="X282" s="15"/>
      <c r="Y282" s="46"/>
      <c r="Z282" s="15"/>
      <c r="AA282" s="15"/>
      <c r="AB282" s="15"/>
      <c r="AC282" s="15"/>
      <c r="AD282" s="15"/>
      <c r="AE282" s="15"/>
      <c r="AF282" s="15"/>
      <c r="AG282" s="15"/>
      <c r="AH282" s="15" t="e">
        <f t="shared" si="122"/>
        <v>#N/A</v>
      </c>
      <c r="AI282" s="21" t="str">
        <f t="shared" si="146"/>
        <v>___nvl-nvs-imc-dsy-0820-10282</v>
      </c>
      <c r="AJ282" s="40" t="str">
        <f t="shared" si="147"/>
        <v>___nvl-nvs-imc-dsy-0820-10282</v>
      </c>
      <c r="AK282" s="21" t="str">
        <f t="shared" si="148"/>
        <v>vw_nivus__-adserver</v>
      </c>
      <c r="AL282" s="21" t="str">
        <f t="shared" si="149"/>
        <v>?adlid=nvl-nvs-imc-dsy-0820-10282&amp;adplt=___nvl-nvs-imc-dsy-0820-10282</v>
      </c>
      <c r="AM282" s="21" t="str">
        <f t="shared" si="150"/>
        <v>TAG</v>
      </c>
      <c r="AN282" s="15">
        <f t="shared" si="151"/>
        <v>0</v>
      </c>
      <c r="AO282" s="15">
        <f t="shared" si="152"/>
        <v>0</v>
      </c>
      <c r="AP282" s="21" t="str">
        <f>Campanha!$B$3</f>
        <v>BR_IMC_DSY_LANCH_ND_NC_2020Q3AUG_NVS_Nivus-Launch-Consideracao-Orca</v>
      </c>
      <c r="AQ282" s="21" t="str">
        <f t="shared" si="153"/>
        <v>___nvl-nvs-imc-dsy-0820-10282</v>
      </c>
      <c r="AR282" s="15" t="s">
        <v>745</v>
      </c>
      <c r="AS282" s="21" t="str">
        <f t="shared" si="154"/>
        <v>?utm_source=0&amp;utm_medium=0&amp;utm_content=___nvl-nvs-imc-dsy-0820-10282&amp;utm_campaign=BR_IMC_DSY_LANCH_ND_NC_2020Q3AUG_NVS_Nivus-Launch-Consideracao-Orca&amp;utm_term=%epid!_%ecid!_%eaid!</v>
      </c>
      <c r="AT282" s="15" t="str">
        <f t="shared" si="155"/>
        <v/>
      </c>
      <c r="AU282" s="15" t="str">
        <f t="shared" si="156"/>
        <v>BR</v>
      </c>
      <c r="AV282" s="15" t="str">
        <f t="shared" si="157"/>
        <v/>
      </c>
      <c r="AW282" s="15" t="str">
        <f t="shared" si="158"/>
        <v/>
      </c>
      <c r="AX282" s="15" t="str">
        <f t="shared" si="159"/>
        <v>nivus-launch-consideracao-orca</v>
      </c>
      <c r="AY282" s="15" t="str">
        <f t="shared" si="160"/>
        <v>___nvl-nvs-imc-dsy-0820-10282</v>
      </c>
      <c r="AZ282" s="15" t="str">
        <f t="shared" si="161"/>
        <v/>
      </c>
      <c r="BA282" s="15" t="str">
        <f t="shared" si="162"/>
        <v/>
      </c>
      <c r="BB282" s="28" t="s">
        <v>798</v>
      </c>
      <c r="BC282" s="28" t="s">
        <v>798</v>
      </c>
      <c r="BD282" s="38" t="str">
        <f t="shared" si="163"/>
        <v>nvl-nvs-imc-dsy-0820-10282</v>
      </c>
      <c r="BE282" s="15" t="str">
        <f t="shared" si="164"/>
        <v>BR</v>
      </c>
      <c r="BF282" s="15" t="str">
        <f t="shared" si="165"/>
        <v/>
      </c>
      <c r="BG282" s="28"/>
      <c r="BH282" s="28"/>
      <c r="BI282" s="36" t="str">
        <f t="shared" si="166"/>
        <v>?adlid=nvl-nvs-imc-dsy-0820-10282&amp;adplt=___nvl-nvs-imc-dsy-0820-10282</v>
      </c>
    </row>
    <row r="283" spans="2:66" ht="15.75" customHeight="1" x14ac:dyDescent="0.25">
      <c r="B283" s="15"/>
      <c r="C283" s="15"/>
      <c r="D283" s="15"/>
      <c r="E283" s="22"/>
      <c r="F283" s="22"/>
      <c r="G283" s="15"/>
      <c r="H283" s="41"/>
      <c r="I283" s="15"/>
      <c r="J283" s="42"/>
      <c r="K283" s="42"/>
      <c r="L283" s="15"/>
      <c r="M283" s="15"/>
      <c r="N283" s="15"/>
      <c r="O283" s="15"/>
      <c r="P283" s="15"/>
      <c r="Q283" s="15"/>
      <c r="R283" s="15"/>
      <c r="S283" s="15"/>
      <c r="T283" s="46"/>
      <c r="U283" s="15"/>
      <c r="V283" s="15"/>
      <c r="W283" s="15"/>
      <c r="X283" s="15"/>
      <c r="Y283" s="46"/>
      <c r="Z283" s="15"/>
      <c r="AA283" s="15"/>
      <c r="AB283" s="15"/>
      <c r="AC283" s="15"/>
      <c r="AD283" s="15"/>
      <c r="AE283" s="15"/>
      <c r="AF283" s="15"/>
      <c r="AG283" s="15"/>
      <c r="AH283" s="15" t="e">
        <f t="shared" si="122"/>
        <v>#N/A</v>
      </c>
      <c r="AI283" s="21" t="str">
        <f t="shared" si="146"/>
        <v>___nvl-nvs-imc-dsy-0820-10283</v>
      </c>
      <c r="AJ283" s="40" t="str">
        <f t="shared" si="147"/>
        <v>___nvl-nvs-imc-dsy-0820-10283</v>
      </c>
      <c r="AK283" s="21" t="str">
        <f t="shared" si="148"/>
        <v>vw_nivus__-adserver</v>
      </c>
      <c r="AL283" s="21" t="str">
        <f t="shared" si="149"/>
        <v>?adlid=nvl-nvs-imc-dsy-0820-10283&amp;adplt=___nvl-nvs-imc-dsy-0820-10283</v>
      </c>
      <c r="AM283" s="21" t="str">
        <f t="shared" si="150"/>
        <v>TAG</v>
      </c>
      <c r="AN283" s="15">
        <f t="shared" si="151"/>
        <v>0</v>
      </c>
      <c r="AO283" s="15">
        <f t="shared" si="152"/>
        <v>0</v>
      </c>
      <c r="AP283" s="21" t="str">
        <f>Campanha!$B$3</f>
        <v>BR_IMC_DSY_LANCH_ND_NC_2020Q3AUG_NVS_Nivus-Launch-Consideracao-Orca</v>
      </c>
      <c r="AQ283" s="21" t="str">
        <f t="shared" si="153"/>
        <v>___nvl-nvs-imc-dsy-0820-10283</v>
      </c>
      <c r="AR283" s="15" t="s">
        <v>745</v>
      </c>
      <c r="AS283" s="21" t="str">
        <f t="shared" si="154"/>
        <v>?utm_source=0&amp;utm_medium=0&amp;utm_content=___nvl-nvs-imc-dsy-0820-10283&amp;utm_campaign=BR_IMC_DSY_LANCH_ND_NC_2020Q3AUG_NVS_Nivus-Launch-Consideracao-Orca&amp;utm_term=%epid!_%ecid!_%eaid!</v>
      </c>
      <c r="AT283" s="15" t="str">
        <f t="shared" si="155"/>
        <v/>
      </c>
      <c r="AU283" s="15" t="str">
        <f t="shared" si="156"/>
        <v>BR</v>
      </c>
      <c r="AV283" s="15" t="str">
        <f t="shared" si="157"/>
        <v/>
      </c>
      <c r="AW283" s="15" t="str">
        <f t="shared" si="158"/>
        <v/>
      </c>
      <c r="AX283" s="15" t="str">
        <f t="shared" si="159"/>
        <v>nivus-launch-consideracao-orca</v>
      </c>
      <c r="AY283" s="15" t="str">
        <f t="shared" si="160"/>
        <v>___nvl-nvs-imc-dsy-0820-10283</v>
      </c>
      <c r="AZ283" s="15" t="str">
        <f t="shared" si="161"/>
        <v/>
      </c>
      <c r="BA283" s="15" t="str">
        <f t="shared" si="162"/>
        <v/>
      </c>
      <c r="BB283" s="28" t="s">
        <v>798</v>
      </c>
      <c r="BC283" s="28" t="s">
        <v>798</v>
      </c>
      <c r="BD283" s="38" t="str">
        <f t="shared" si="163"/>
        <v>nvl-nvs-imc-dsy-0820-10283</v>
      </c>
      <c r="BE283" s="15" t="str">
        <f t="shared" si="164"/>
        <v>BR</v>
      </c>
      <c r="BF283" s="15" t="str">
        <f t="shared" si="165"/>
        <v/>
      </c>
      <c r="BG283" s="28"/>
      <c r="BH283" s="28"/>
      <c r="BI283" s="36" t="str">
        <f t="shared" si="166"/>
        <v>?adlid=nvl-nvs-imc-dsy-0820-10283&amp;adplt=___nvl-nvs-imc-dsy-0820-10283</v>
      </c>
    </row>
    <row r="284" spans="2:66" ht="15.75" customHeight="1" x14ac:dyDescent="0.25">
      <c r="B284" s="15"/>
      <c r="C284" s="15"/>
      <c r="D284" s="15"/>
      <c r="E284" s="22"/>
      <c r="F284" s="22"/>
      <c r="G284" s="15"/>
      <c r="H284" s="41"/>
      <c r="I284" s="15"/>
      <c r="J284" s="42"/>
      <c r="K284" s="42"/>
      <c r="L284" s="15"/>
      <c r="M284" s="15"/>
      <c r="N284" s="15"/>
      <c r="O284" s="15"/>
      <c r="P284" s="15"/>
      <c r="Q284" s="15"/>
      <c r="R284" s="15"/>
      <c r="S284" s="15"/>
      <c r="T284" s="46"/>
      <c r="U284" s="15"/>
      <c r="V284" s="15"/>
      <c r="W284" s="15"/>
      <c r="X284" s="15"/>
      <c r="Y284" s="46"/>
      <c r="Z284" s="15"/>
      <c r="AA284" s="15"/>
      <c r="AB284" s="15"/>
      <c r="AC284" s="15"/>
      <c r="AD284" s="15"/>
      <c r="AE284" s="15"/>
      <c r="AF284" s="15"/>
      <c r="AG284" s="15"/>
      <c r="AH284" s="15" t="e">
        <f t="shared" si="122"/>
        <v>#N/A</v>
      </c>
      <c r="AI284" s="21" t="str">
        <f t="shared" si="146"/>
        <v>___nvl-nvs-imc-dsy-0820-10284</v>
      </c>
      <c r="AJ284" s="40" t="str">
        <f t="shared" si="147"/>
        <v>___nvl-nvs-imc-dsy-0820-10284</v>
      </c>
      <c r="AK284" s="21" t="str">
        <f t="shared" si="148"/>
        <v>vw_nivus__-adserver</v>
      </c>
      <c r="AL284" s="21" t="str">
        <f t="shared" si="149"/>
        <v>?adlid=nvl-nvs-imc-dsy-0820-10284&amp;adplt=___nvl-nvs-imc-dsy-0820-10284</v>
      </c>
      <c r="AM284" s="21" t="str">
        <f t="shared" si="150"/>
        <v>TAG</v>
      </c>
      <c r="AN284" s="15">
        <f t="shared" si="151"/>
        <v>0</v>
      </c>
      <c r="AO284" s="15">
        <f t="shared" si="152"/>
        <v>0</v>
      </c>
      <c r="AP284" s="21" t="str">
        <f>Campanha!$B$3</f>
        <v>BR_IMC_DSY_LANCH_ND_NC_2020Q3AUG_NVS_Nivus-Launch-Consideracao-Orca</v>
      </c>
      <c r="AQ284" s="21" t="str">
        <f t="shared" si="153"/>
        <v>___nvl-nvs-imc-dsy-0820-10284</v>
      </c>
      <c r="AR284" s="15" t="s">
        <v>745</v>
      </c>
      <c r="AS284" s="21" t="str">
        <f t="shared" si="154"/>
        <v>?utm_source=0&amp;utm_medium=0&amp;utm_content=___nvl-nvs-imc-dsy-0820-10284&amp;utm_campaign=BR_IMC_DSY_LANCH_ND_NC_2020Q3AUG_NVS_Nivus-Launch-Consideracao-Orca&amp;utm_term=%epid!_%ecid!_%eaid!</v>
      </c>
      <c r="AT284" s="15" t="str">
        <f t="shared" si="155"/>
        <v/>
      </c>
      <c r="AU284" s="15" t="str">
        <f t="shared" si="156"/>
        <v>BR</v>
      </c>
      <c r="AV284" s="15" t="str">
        <f t="shared" si="157"/>
        <v/>
      </c>
      <c r="AW284" s="15" t="str">
        <f t="shared" si="158"/>
        <v/>
      </c>
      <c r="AX284" s="15" t="str">
        <f t="shared" si="159"/>
        <v>nivus-launch-consideracao-orca</v>
      </c>
      <c r="AY284" s="15" t="str">
        <f t="shared" si="160"/>
        <v>___nvl-nvs-imc-dsy-0820-10284</v>
      </c>
      <c r="AZ284" s="15" t="str">
        <f t="shared" si="161"/>
        <v/>
      </c>
      <c r="BA284" s="15" t="str">
        <f t="shared" si="162"/>
        <v/>
      </c>
      <c r="BB284" s="28" t="s">
        <v>798</v>
      </c>
      <c r="BC284" s="28" t="s">
        <v>798</v>
      </c>
      <c r="BD284" s="38" t="str">
        <f t="shared" si="163"/>
        <v>nvl-nvs-imc-dsy-0820-10284</v>
      </c>
      <c r="BE284" s="15" t="str">
        <f t="shared" si="164"/>
        <v>BR</v>
      </c>
      <c r="BF284" s="15" t="str">
        <f t="shared" si="165"/>
        <v/>
      </c>
      <c r="BG284" s="28"/>
      <c r="BH284" s="28"/>
      <c r="BI284" s="36" t="str">
        <f t="shared" si="166"/>
        <v>?adlid=nvl-nvs-imc-dsy-0820-10284&amp;adplt=___nvl-nvs-imc-dsy-0820-10284</v>
      </c>
    </row>
    <row r="285" spans="2:66" ht="15.75" customHeight="1" x14ac:dyDescent="0.25">
      <c r="B285" s="15"/>
      <c r="C285" s="15"/>
      <c r="D285" s="15"/>
      <c r="E285" s="22"/>
      <c r="F285" s="22"/>
      <c r="G285" s="15"/>
      <c r="H285" s="41"/>
      <c r="I285" s="15"/>
      <c r="J285" s="42"/>
      <c r="K285" s="42"/>
      <c r="L285" s="15"/>
      <c r="M285" s="15"/>
      <c r="N285" s="15"/>
      <c r="O285" s="15"/>
      <c r="P285" s="15"/>
      <c r="Q285" s="15"/>
      <c r="R285" s="15"/>
      <c r="S285" s="15"/>
      <c r="T285" s="46"/>
      <c r="U285" s="15"/>
      <c r="V285" s="15"/>
      <c r="W285" s="15"/>
      <c r="X285" s="15"/>
      <c r="Y285" s="46"/>
      <c r="Z285" s="15"/>
      <c r="AA285" s="15"/>
      <c r="AB285" s="15"/>
      <c r="AC285" s="15"/>
      <c r="AD285" s="15"/>
      <c r="AE285" s="15"/>
      <c r="AF285" s="15"/>
      <c r="AG285" s="15"/>
      <c r="AH285" s="15" t="e">
        <f t="shared" si="122"/>
        <v>#N/A</v>
      </c>
      <c r="AI285" s="21" t="str">
        <f t="shared" si="146"/>
        <v>___nvl-nvs-imc-dsy-0820-10285</v>
      </c>
      <c r="AJ285" s="40" t="str">
        <f t="shared" si="147"/>
        <v>___nvl-nvs-imc-dsy-0820-10285</v>
      </c>
      <c r="AK285" s="21" t="str">
        <f t="shared" si="148"/>
        <v>vw_nivus__-adserver</v>
      </c>
      <c r="AL285" s="21" t="str">
        <f t="shared" si="149"/>
        <v>?adlid=nvl-nvs-imc-dsy-0820-10285&amp;adplt=___nvl-nvs-imc-dsy-0820-10285</v>
      </c>
      <c r="AM285" s="21" t="str">
        <f t="shared" si="150"/>
        <v>TAG</v>
      </c>
      <c r="AN285" s="15">
        <f t="shared" si="151"/>
        <v>0</v>
      </c>
      <c r="AO285" s="15">
        <f t="shared" si="152"/>
        <v>0</v>
      </c>
      <c r="AP285" s="21" t="str">
        <f>Campanha!$B$3</f>
        <v>BR_IMC_DSY_LANCH_ND_NC_2020Q3AUG_NVS_Nivus-Launch-Consideracao-Orca</v>
      </c>
      <c r="AQ285" s="21" t="str">
        <f t="shared" si="153"/>
        <v>___nvl-nvs-imc-dsy-0820-10285</v>
      </c>
      <c r="AR285" s="15" t="s">
        <v>745</v>
      </c>
      <c r="AS285" s="21" t="str">
        <f t="shared" si="154"/>
        <v>?utm_source=0&amp;utm_medium=0&amp;utm_content=___nvl-nvs-imc-dsy-0820-10285&amp;utm_campaign=BR_IMC_DSY_LANCH_ND_NC_2020Q3AUG_NVS_Nivus-Launch-Consideracao-Orca&amp;utm_term=%epid!_%ecid!_%eaid!</v>
      </c>
      <c r="AT285" s="15" t="str">
        <f t="shared" si="155"/>
        <v/>
      </c>
      <c r="AU285" s="15" t="str">
        <f t="shared" si="156"/>
        <v>BR</v>
      </c>
      <c r="AV285" s="15" t="str">
        <f t="shared" si="157"/>
        <v/>
      </c>
      <c r="AW285" s="15" t="str">
        <f t="shared" si="158"/>
        <v/>
      </c>
      <c r="AX285" s="15" t="str">
        <f t="shared" si="159"/>
        <v>nivus-launch-consideracao-orca</v>
      </c>
      <c r="AY285" s="15" t="str">
        <f t="shared" si="160"/>
        <v>___nvl-nvs-imc-dsy-0820-10285</v>
      </c>
      <c r="AZ285" s="15" t="str">
        <f t="shared" si="161"/>
        <v/>
      </c>
      <c r="BA285" s="15" t="str">
        <f t="shared" si="162"/>
        <v/>
      </c>
      <c r="BB285" s="28" t="s">
        <v>798</v>
      </c>
      <c r="BC285" s="28" t="s">
        <v>798</v>
      </c>
      <c r="BD285" s="38" t="str">
        <f t="shared" si="163"/>
        <v>nvl-nvs-imc-dsy-0820-10285</v>
      </c>
      <c r="BE285" s="15" t="str">
        <f t="shared" si="164"/>
        <v>BR</v>
      </c>
      <c r="BF285" s="15" t="str">
        <f t="shared" si="165"/>
        <v/>
      </c>
      <c r="BG285" s="28"/>
      <c r="BH285" s="28"/>
      <c r="BI285" s="36" t="str">
        <f t="shared" si="166"/>
        <v>?adlid=nvl-nvs-imc-dsy-0820-10285&amp;adplt=___nvl-nvs-imc-dsy-0820-10285</v>
      </c>
    </row>
    <row r="286" spans="2:66" ht="15.75" customHeight="1" x14ac:dyDescent="0.25">
      <c r="B286" s="15"/>
      <c r="C286" s="15"/>
      <c r="D286" s="15"/>
      <c r="E286" s="22"/>
      <c r="F286" s="22"/>
      <c r="G286" s="15"/>
      <c r="H286" s="41"/>
      <c r="I286" s="15"/>
      <c r="J286" s="42"/>
      <c r="K286" s="42"/>
      <c r="L286" s="15"/>
      <c r="M286" s="15"/>
      <c r="N286" s="15"/>
      <c r="O286" s="15"/>
      <c r="P286" s="15"/>
      <c r="Q286" s="15"/>
      <c r="R286" s="15"/>
      <c r="S286" s="15"/>
      <c r="T286" s="46"/>
      <c r="U286" s="15"/>
      <c r="V286" s="15"/>
      <c r="W286" s="15"/>
      <c r="X286" s="15"/>
      <c r="Y286" s="46"/>
      <c r="Z286" s="15"/>
      <c r="AA286" s="15"/>
      <c r="AB286" s="15"/>
      <c r="AC286" s="15"/>
      <c r="AD286" s="15"/>
      <c r="AE286" s="15"/>
      <c r="AF286" s="15"/>
      <c r="AG286" s="15"/>
      <c r="AH286" s="15" t="e">
        <f t="shared" si="122"/>
        <v>#N/A</v>
      </c>
      <c r="AI286" s="21" t="str">
        <f t="shared" si="146"/>
        <v>___nvl-nvs-imc-dsy-0820-10286</v>
      </c>
      <c r="AJ286" s="40" t="str">
        <f t="shared" si="147"/>
        <v>___nvl-nvs-imc-dsy-0820-10286</v>
      </c>
      <c r="AK286" s="21" t="str">
        <f t="shared" si="148"/>
        <v>vw_nivus__-adserver</v>
      </c>
      <c r="AL286" s="21" t="str">
        <f t="shared" si="149"/>
        <v>?adlid=nvl-nvs-imc-dsy-0820-10286&amp;adplt=___nvl-nvs-imc-dsy-0820-10286</v>
      </c>
      <c r="AM286" s="21" t="str">
        <f t="shared" si="150"/>
        <v>TAG</v>
      </c>
      <c r="AN286" s="15">
        <f t="shared" si="151"/>
        <v>0</v>
      </c>
      <c r="AO286" s="15">
        <f t="shared" si="152"/>
        <v>0</v>
      </c>
      <c r="AP286" s="21" t="str">
        <f>Campanha!$B$3</f>
        <v>BR_IMC_DSY_LANCH_ND_NC_2020Q3AUG_NVS_Nivus-Launch-Consideracao-Orca</v>
      </c>
      <c r="AQ286" s="21" t="str">
        <f t="shared" si="153"/>
        <v>___nvl-nvs-imc-dsy-0820-10286</v>
      </c>
      <c r="AR286" s="15" t="s">
        <v>745</v>
      </c>
      <c r="AS286" s="21" t="str">
        <f t="shared" si="154"/>
        <v>?utm_source=0&amp;utm_medium=0&amp;utm_content=___nvl-nvs-imc-dsy-0820-10286&amp;utm_campaign=BR_IMC_DSY_LANCH_ND_NC_2020Q3AUG_NVS_Nivus-Launch-Consideracao-Orca&amp;utm_term=%epid!_%ecid!_%eaid!</v>
      </c>
      <c r="AT286" s="15" t="str">
        <f t="shared" si="155"/>
        <v/>
      </c>
      <c r="AU286" s="15" t="str">
        <f t="shared" si="156"/>
        <v>BR</v>
      </c>
      <c r="AV286" s="15" t="str">
        <f t="shared" si="157"/>
        <v/>
      </c>
      <c r="AW286" s="15" t="str">
        <f t="shared" si="158"/>
        <v/>
      </c>
      <c r="AX286" s="15" t="str">
        <f t="shared" si="159"/>
        <v>nivus-launch-consideracao-orca</v>
      </c>
      <c r="AY286" s="15" t="str">
        <f t="shared" si="160"/>
        <v>___nvl-nvs-imc-dsy-0820-10286</v>
      </c>
      <c r="AZ286" s="15" t="str">
        <f t="shared" si="161"/>
        <v/>
      </c>
      <c r="BA286" s="15" t="str">
        <f t="shared" si="162"/>
        <v/>
      </c>
      <c r="BB286" s="28" t="s">
        <v>798</v>
      </c>
      <c r="BC286" s="28" t="s">
        <v>798</v>
      </c>
      <c r="BD286" s="38" t="str">
        <f t="shared" si="163"/>
        <v>nvl-nvs-imc-dsy-0820-10286</v>
      </c>
      <c r="BE286" s="15" t="str">
        <f t="shared" si="164"/>
        <v>BR</v>
      </c>
      <c r="BF286" s="15" t="str">
        <f t="shared" si="165"/>
        <v/>
      </c>
      <c r="BG286" s="28"/>
      <c r="BH286" s="28"/>
      <c r="BI286" s="36" t="str">
        <f t="shared" si="166"/>
        <v>?adlid=nvl-nvs-imc-dsy-0820-10286&amp;adplt=___nvl-nvs-imc-dsy-0820-10286</v>
      </c>
    </row>
    <row r="287" spans="2:66" ht="15.75" customHeight="1" x14ac:dyDescent="0.25">
      <c r="B287" s="15"/>
      <c r="C287" s="15"/>
      <c r="D287" s="15"/>
      <c r="E287" s="22"/>
      <c r="F287" s="22"/>
      <c r="G287" s="15"/>
      <c r="H287" s="41"/>
      <c r="I287" s="15"/>
      <c r="J287" s="42"/>
      <c r="K287" s="42"/>
      <c r="L287" s="15"/>
      <c r="M287" s="15"/>
      <c r="N287" s="15"/>
      <c r="O287" s="15"/>
      <c r="P287" s="15"/>
      <c r="Q287" s="15"/>
      <c r="R287" s="15"/>
      <c r="S287" s="15"/>
      <c r="T287" s="46"/>
      <c r="U287" s="15"/>
      <c r="V287" s="15"/>
      <c r="W287" s="15"/>
      <c r="X287" s="15"/>
      <c r="Y287" s="46"/>
      <c r="Z287" s="15"/>
      <c r="AA287" s="15"/>
      <c r="AB287" s="15"/>
      <c r="AC287" s="15"/>
      <c r="AD287" s="15"/>
      <c r="AE287" s="15"/>
      <c r="AF287" s="15"/>
      <c r="AG287" s="15"/>
      <c r="AH287" s="15" t="e">
        <f t="shared" si="122"/>
        <v>#N/A</v>
      </c>
      <c r="AI287" s="21" t="str">
        <f t="shared" si="146"/>
        <v>___nvl-nvs-imc-dsy-0820-10287</v>
      </c>
      <c r="AJ287" s="40" t="str">
        <f t="shared" si="147"/>
        <v>___nvl-nvs-imc-dsy-0820-10287</v>
      </c>
      <c r="AK287" s="21" t="str">
        <f t="shared" si="148"/>
        <v>vw_nivus__-adserver</v>
      </c>
      <c r="AL287" s="21" t="str">
        <f t="shared" si="149"/>
        <v>?adlid=nvl-nvs-imc-dsy-0820-10287&amp;adplt=___nvl-nvs-imc-dsy-0820-10287</v>
      </c>
      <c r="AM287" s="21" t="str">
        <f t="shared" si="150"/>
        <v>TAG</v>
      </c>
      <c r="AN287" s="15">
        <f t="shared" si="151"/>
        <v>0</v>
      </c>
      <c r="AO287" s="15">
        <f t="shared" si="152"/>
        <v>0</v>
      </c>
      <c r="AP287" s="21" t="str">
        <f>Campanha!$B$3</f>
        <v>BR_IMC_DSY_LANCH_ND_NC_2020Q3AUG_NVS_Nivus-Launch-Consideracao-Orca</v>
      </c>
      <c r="AQ287" s="21" t="str">
        <f t="shared" si="153"/>
        <v>___nvl-nvs-imc-dsy-0820-10287</v>
      </c>
      <c r="AR287" s="15" t="s">
        <v>745</v>
      </c>
      <c r="AS287" s="21" t="str">
        <f t="shared" si="154"/>
        <v>?utm_source=0&amp;utm_medium=0&amp;utm_content=___nvl-nvs-imc-dsy-0820-10287&amp;utm_campaign=BR_IMC_DSY_LANCH_ND_NC_2020Q3AUG_NVS_Nivus-Launch-Consideracao-Orca&amp;utm_term=%epid!_%ecid!_%eaid!</v>
      </c>
      <c r="AT287" s="15" t="str">
        <f t="shared" si="155"/>
        <v/>
      </c>
      <c r="AU287" s="15" t="str">
        <f t="shared" si="156"/>
        <v>BR</v>
      </c>
      <c r="AV287" s="15" t="str">
        <f t="shared" si="157"/>
        <v/>
      </c>
      <c r="AW287" s="15" t="str">
        <f t="shared" si="158"/>
        <v/>
      </c>
      <c r="AX287" s="15" t="str">
        <f t="shared" si="159"/>
        <v>nivus-launch-consideracao-orca</v>
      </c>
      <c r="AY287" s="15" t="str">
        <f t="shared" si="160"/>
        <v>___nvl-nvs-imc-dsy-0820-10287</v>
      </c>
      <c r="AZ287" s="15" t="str">
        <f t="shared" si="161"/>
        <v/>
      </c>
      <c r="BA287" s="15" t="str">
        <f t="shared" si="162"/>
        <v/>
      </c>
      <c r="BB287" s="28" t="s">
        <v>798</v>
      </c>
      <c r="BC287" s="28" t="s">
        <v>798</v>
      </c>
      <c r="BD287" s="38" t="str">
        <f t="shared" si="163"/>
        <v>nvl-nvs-imc-dsy-0820-10287</v>
      </c>
      <c r="BE287" s="15" t="str">
        <f t="shared" si="164"/>
        <v>BR</v>
      </c>
      <c r="BF287" s="15" t="str">
        <f t="shared" si="165"/>
        <v/>
      </c>
      <c r="BG287" s="28"/>
      <c r="BH287" s="28"/>
      <c r="BI287" s="36" t="str">
        <f t="shared" si="166"/>
        <v>?adlid=nvl-nvs-imc-dsy-0820-10287&amp;adplt=___nvl-nvs-imc-dsy-0820-10287</v>
      </c>
    </row>
    <row r="288" spans="2:66" ht="15.75" customHeight="1" x14ac:dyDescent="0.25">
      <c r="B288" s="15"/>
      <c r="C288" s="15"/>
      <c r="D288" s="15"/>
      <c r="E288" s="22"/>
      <c r="F288" s="22"/>
      <c r="G288" s="15"/>
      <c r="H288" s="41"/>
      <c r="I288" s="15"/>
      <c r="J288" s="42"/>
      <c r="K288" s="42"/>
      <c r="L288" s="15"/>
      <c r="M288" s="15"/>
      <c r="N288" s="15"/>
      <c r="O288" s="15"/>
      <c r="P288" s="15"/>
      <c r="Q288" s="15"/>
      <c r="R288" s="15"/>
      <c r="S288" s="15"/>
      <c r="T288" s="46"/>
      <c r="U288" s="15"/>
      <c r="V288" s="15"/>
      <c r="W288" s="15"/>
      <c r="X288" s="15"/>
      <c r="Y288" s="46"/>
      <c r="Z288" s="15"/>
      <c r="AA288" s="15"/>
      <c r="AB288" s="15"/>
      <c r="AC288" s="15"/>
      <c r="AD288" s="15"/>
      <c r="AE288" s="15"/>
      <c r="AF288" s="15"/>
      <c r="AG288" s="15"/>
      <c r="AH288" s="15" t="e">
        <f t="shared" si="122"/>
        <v>#N/A</v>
      </c>
      <c r="AI288" s="21" t="str">
        <f t="shared" si="146"/>
        <v>___nvl-nvs-imc-dsy-0820-10288</v>
      </c>
      <c r="AJ288" s="40" t="str">
        <f t="shared" si="147"/>
        <v>___nvl-nvs-imc-dsy-0820-10288</v>
      </c>
      <c r="AK288" s="21" t="str">
        <f t="shared" si="148"/>
        <v>vw_nivus__-adserver</v>
      </c>
      <c r="AL288" s="21" t="str">
        <f t="shared" si="149"/>
        <v>?adlid=nvl-nvs-imc-dsy-0820-10288&amp;adplt=___nvl-nvs-imc-dsy-0820-10288</v>
      </c>
      <c r="AM288" s="21" t="str">
        <f t="shared" si="150"/>
        <v>TAG</v>
      </c>
      <c r="AN288" s="15">
        <f t="shared" si="151"/>
        <v>0</v>
      </c>
      <c r="AO288" s="15">
        <f t="shared" si="152"/>
        <v>0</v>
      </c>
      <c r="AP288" s="21" t="str">
        <f>Campanha!$B$3</f>
        <v>BR_IMC_DSY_LANCH_ND_NC_2020Q3AUG_NVS_Nivus-Launch-Consideracao-Orca</v>
      </c>
      <c r="AQ288" s="21" t="str">
        <f t="shared" si="153"/>
        <v>___nvl-nvs-imc-dsy-0820-10288</v>
      </c>
      <c r="AR288" s="15" t="s">
        <v>745</v>
      </c>
      <c r="AS288" s="21" t="str">
        <f t="shared" si="154"/>
        <v>?utm_source=0&amp;utm_medium=0&amp;utm_content=___nvl-nvs-imc-dsy-0820-10288&amp;utm_campaign=BR_IMC_DSY_LANCH_ND_NC_2020Q3AUG_NVS_Nivus-Launch-Consideracao-Orca&amp;utm_term=%epid!_%ecid!_%eaid!</v>
      </c>
      <c r="AT288" s="15" t="str">
        <f t="shared" si="155"/>
        <v/>
      </c>
      <c r="AU288" s="15" t="str">
        <f t="shared" si="156"/>
        <v>BR</v>
      </c>
      <c r="AV288" s="15" t="str">
        <f t="shared" si="157"/>
        <v/>
      </c>
      <c r="AW288" s="15" t="str">
        <f t="shared" si="158"/>
        <v/>
      </c>
      <c r="AX288" s="15" t="str">
        <f t="shared" si="159"/>
        <v>nivus-launch-consideracao-orca</v>
      </c>
      <c r="AY288" s="15" t="str">
        <f t="shared" si="160"/>
        <v>___nvl-nvs-imc-dsy-0820-10288</v>
      </c>
      <c r="AZ288" s="15" t="str">
        <f t="shared" si="161"/>
        <v/>
      </c>
      <c r="BA288" s="15" t="str">
        <f t="shared" si="162"/>
        <v/>
      </c>
      <c r="BB288" s="28" t="s">
        <v>798</v>
      </c>
      <c r="BC288" s="28" t="s">
        <v>798</v>
      </c>
      <c r="BD288" s="38" t="str">
        <f t="shared" si="163"/>
        <v>nvl-nvs-imc-dsy-0820-10288</v>
      </c>
      <c r="BE288" s="15" t="str">
        <f t="shared" si="164"/>
        <v>BR</v>
      </c>
      <c r="BF288" s="15" t="str">
        <f t="shared" si="165"/>
        <v/>
      </c>
      <c r="BG288" s="28"/>
      <c r="BH288" s="28"/>
      <c r="BI288" s="36" t="str">
        <f t="shared" si="166"/>
        <v>?adlid=nvl-nvs-imc-dsy-0820-10288&amp;adplt=___nvl-nvs-imc-dsy-0820-10288</v>
      </c>
    </row>
    <row r="289" spans="2:61" ht="15.75" customHeight="1" x14ac:dyDescent="0.25">
      <c r="B289" s="15"/>
      <c r="C289" s="15"/>
      <c r="D289" s="15"/>
      <c r="E289" s="22"/>
      <c r="F289" s="22"/>
      <c r="G289" s="15"/>
      <c r="H289" s="41"/>
      <c r="I289" s="15"/>
      <c r="J289" s="42"/>
      <c r="K289" s="42"/>
      <c r="L289" s="15"/>
      <c r="M289" s="15"/>
      <c r="N289" s="15"/>
      <c r="O289" s="15"/>
      <c r="P289" s="15"/>
      <c r="Q289" s="15"/>
      <c r="R289" s="15"/>
      <c r="S289" s="15"/>
      <c r="T289" s="46"/>
      <c r="U289" s="15"/>
      <c r="V289" s="15"/>
      <c r="W289" s="15"/>
      <c r="X289" s="15"/>
      <c r="Y289" s="46"/>
      <c r="Z289" s="15"/>
      <c r="AA289" s="15"/>
      <c r="AB289" s="15"/>
      <c r="AC289" s="15"/>
      <c r="AD289" s="15"/>
      <c r="AE289" s="15"/>
      <c r="AF289" s="15"/>
      <c r="AG289" s="15"/>
      <c r="AH289" s="15" t="e">
        <f t="shared" si="122"/>
        <v>#N/A</v>
      </c>
      <c r="AI289" s="21" t="str">
        <f t="shared" si="146"/>
        <v>___nvl-nvs-imc-dsy-0820-10289</v>
      </c>
      <c r="AJ289" s="40" t="str">
        <f t="shared" si="147"/>
        <v>___nvl-nvs-imc-dsy-0820-10289</v>
      </c>
      <c r="AK289" s="21" t="str">
        <f t="shared" si="148"/>
        <v>vw_nivus__-adserver</v>
      </c>
      <c r="AL289" s="21" t="str">
        <f t="shared" si="149"/>
        <v>?adlid=nvl-nvs-imc-dsy-0820-10289&amp;adplt=___nvl-nvs-imc-dsy-0820-10289</v>
      </c>
      <c r="AM289" s="21" t="str">
        <f t="shared" si="150"/>
        <v>TAG</v>
      </c>
      <c r="AN289" s="15">
        <f t="shared" si="151"/>
        <v>0</v>
      </c>
      <c r="AO289" s="15">
        <f t="shared" si="152"/>
        <v>0</v>
      </c>
      <c r="AP289" s="21" t="str">
        <f>Campanha!$B$3</f>
        <v>BR_IMC_DSY_LANCH_ND_NC_2020Q3AUG_NVS_Nivus-Launch-Consideracao-Orca</v>
      </c>
      <c r="AQ289" s="21" t="str">
        <f t="shared" si="153"/>
        <v>___nvl-nvs-imc-dsy-0820-10289</v>
      </c>
      <c r="AR289" s="15" t="s">
        <v>745</v>
      </c>
      <c r="AS289" s="21" t="str">
        <f t="shared" si="154"/>
        <v>?utm_source=0&amp;utm_medium=0&amp;utm_content=___nvl-nvs-imc-dsy-0820-10289&amp;utm_campaign=BR_IMC_DSY_LANCH_ND_NC_2020Q3AUG_NVS_Nivus-Launch-Consideracao-Orca&amp;utm_term=%epid!_%ecid!_%eaid!</v>
      </c>
      <c r="AT289" s="15" t="str">
        <f t="shared" si="155"/>
        <v/>
      </c>
      <c r="AU289" s="15" t="str">
        <f t="shared" si="156"/>
        <v>BR</v>
      </c>
      <c r="AV289" s="15" t="str">
        <f t="shared" si="157"/>
        <v/>
      </c>
      <c r="AW289" s="15" t="str">
        <f t="shared" si="158"/>
        <v/>
      </c>
      <c r="AX289" s="15" t="str">
        <f t="shared" si="159"/>
        <v>nivus-launch-consideracao-orca</v>
      </c>
      <c r="AY289" s="15" t="str">
        <f t="shared" si="160"/>
        <v>___nvl-nvs-imc-dsy-0820-10289</v>
      </c>
      <c r="AZ289" s="15" t="str">
        <f t="shared" si="161"/>
        <v/>
      </c>
      <c r="BA289" s="15" t="str">
        <f t="shared" si="162"/>
        <v/>
      </c>
      <c r="BB289" s="28" t="s">
        <v>798</v>
      </c>
      <c r="BC289" s="28" t="s">
        <v>798</v>
      </c>
      <c r="BD289" s="38" t="str">
        <f t="shared" si="163"/>
        <v>nvl-nvs-imc-dsy-0820-10289</v>
      </c>
      <c r="BE289" s="15" t="str">
        <f t="shared" si="164"/>
        <v>BR</v>
      </c>
      <c r="BF289" s="15" t="str">
        <f t="shared" si="165"/>
        <v/>
      </c>
      <c r="BG289" s="28"/>
      <c r="BH289" s="28"/>
      <c r="BI289" s="36" t="str">
        <f t="shared" si="166"/>
        <v>?adlid=nvl-nvs-imc-dsy-0820-10289&amp;adplt=___nvl-nvs-imc-dsy-0820-10289</v>
      </c>
    </row>
    <row r="290" spans="2:61" ht="15.75" customHeight="1" x14ac:dyDescent="0.25">
      <c r="B290" s="15"/>
      <c r="C290" s="15"/>
      <c r="D290" s="15"/>
      <c r="E290" s="22"/>
      <c r="F290" s="22"/>
      <c r="G290" s="15"/>
      <c r="H290" s="41"/>
      <c r="I290" s="15"/>
      <c r="J290" s="42"/>
      <c r="K290" s="42"/>
      <c r="L290" s="15"/>
      <c r="M290" s="15"/>
      <c r="N290" s="15"/>
      <c r="O290" s="15"/>
      <c r="P290" s="15"/>
      <c r="Q290" s="15"/>
      <c r="R290" s="15"/>
      <c r="S290" s="15"/>
      <c r="T290" s="46"/>
      <c r="U290" s="15"/>
      <c r="V290" s="15"/>
      <c r="W290" s="15"/>
      <c r="X290" s="15"/>
      <c r="Y290" s="46"/>
      <c r="Z290" s="15"/>
      <c r="AA290" s="15"/>
      <c r="AB290" s="15"/>
      <c r="AC290" s="15"/>
      <c r="AD290" s="15"/>
      <c r="AE290" s="15"/>
      <c r="AF290" s="15"/>
      <c r="AG290" s="15"/>
      <c r="AH290" s="15" t="e">
        <f t="shared" si="122"/>
        <v>#N/A</v>
      </c>
      <c r="AI290" s="21" t="str">
        <f t="shared" si="146"/>
        <v>___nvl-nvs-imc-dsy-0820-10290</v>
      </c>
      <c r="AJ290" s="40" t="str">
        <f t="shared" si="147"/>
        <v>___nvl-nvs-imc-dsy-0820-10290</v>
      </c>
      <c r="AK290" s="21" t="str">
        <f t="shared" si="148"/>
        <v>vw_nivus__-adserver</v>
      </c>
      <c r="AL290" s="21" t="str">
        <f t="shared" si="149"/>
        <v>?adlid=nvl-nvs-imc-dsy-0820-10290&amp;adplt=___nvl-nvs-imc-dsy-0820-10290</v>
      </c>
      <c r="AM290" s="21" t="str">
        <f t="shared" si="150"/>
        <v>TAG</v>
      </c>
      <c r="AN290" s="15">
        <f t="shared" si="151"/>
        <v>0</v>
      </c>
      <c r="AO290" s="15">
        <f t="shared" si="152"/>
        <v>0</v>
      </c>
      <c r="AP290" s="21" t="str">
        <f>Campanha!$B$3</f>
        <v>BR_IMC_DSY_LANCH_ND_NC_2020Q3AUG_NVS_Nivus-Launch-Consideracao-Orca</v>
      </c>
      <c r="AQ290" s="21" t="str">
        <f t="shared" si="153"/>
        <v>___nvl-nvs-imc-dsy-0820-10290</v>
      </c>
      <c r="AR290" s="15" t="s">
        <v>745</v>
      </c>
      <c r="AS290" s="21" t="str">
        <f t="shared" si="154"/>
        <v>?utm_source=0&amp;utm_medium=0&amp;utm_content=___nvl-nvs-imc-dsy-0820-10290&amp;utm_campaign=BR_IMC_DSY_LANCH_ND_NC_2020Q3AUG_NVS_Nivus-Launch-Consideracao-Orca&amp;utm_term=%epid!_%ecid!_%eaid!</v>
      </c>
      <c r="AT290" s="15" t="str">
        <f t="shared" si="155"/>
        <v/>
      </c>
      <c r="AU290" s="15" t="str">
        <f t="shared" si="156"/>
        <v>BR</v>
      </c>
      <c r="AV290" s="15" t="str">
        <f t="shared" si="157"/>
        <v/>
      </c>
      <c r="AW290" s="15" t="str">
        <f t="shared" si="158"/>
        <v/>
      </c>
      <c r="AX290" s="15" t="str">
        <f t="shared" si="159"/>
        <v>nivus-launch-consideracao-orca</v>
      </c>
      <c r="AY290" s="15" t="str">
        <f t="shared" si="160"/>
        <v>___nvl-nvs-imc-dsy-0820-10290</v>
      </c>
      <c r="AZ290" s="15" t="str">
        <f t="shared" si="161"/>
        <v/>
      </c>
      <c r="BA290" s="15" t="str">
        <f t="shared" si="162"/>
        <v/>
      </c>
      <c r="BB290" s="28" t="s">
        <v>798</v>
      </c>
      <c r="BC290" s="28" t="s">
        <v>798</v>
      </c>
      <c r="BD290" s="38" t="str">
        <f t="shared" si="163"/>
        <v>nvl-nvs-imc-dsy-0820-10290</v>
      </c>
      <c r="BE290" s="15" t="str">
        <f t="shared" si="164"/>
        <v>BR</v>
      </c>
      <c r="BF290" s="15" t="str">
        <f t="shared" si="165"/>
        <v/>
      </c>
      <c r="BG290" s="28"/>
      <c r="BH290" s="28"/>
      <c r="BI290" s="36" t="str">
        <f t="shared" si="166"/>
        <v>?adlid=nvl-nvs-imc-dsy-0820-10290&amp;adplt=___nvl-nvs-imc-dsy-0820-10290</v>
      </c>
    </row>
    <row r="291" spans="2:61" ht="15.75" customHeight="1" x14ac:dyDescent="0.25">
      <c r="B291" s="15"/>
      <c r="C291" s="15"/>
      <c r="D291" s="15"/>
      <c r="E291" s="22"/>
      <c r="F291" s="22"/>
      <c r="G291" s="15"/>
      <c r="H291" s="41"/>
      <c r="I291" s="15"/>
      <c r="J291" s="42"/>
      <c r="K291" s="42"/>
      <c r="L291" s="15"/>
      <c r="M291" s="15"/>
      <c r="N291" s="15"/>
      <c r="O291" s="15"/>
      <c r="P291" s="15"/>
      <c r="Q291" s="15"/>
      <c r="R291" s="15"/>
      <c r="S291" s="15"/>
      <c r="T291" s="46"/>
      <c r="U291" s="15"/>
      <c r="V291" s="15"/>
      <c r="W291" s="15"/>
      <c r="X291" s="15"/>
      <c r="Y291" s="46"/>
      <c r="Z291" s="15"/>
      <c r="AA291" s="15"/>
      <c r="AB291" s="15"/>
      <c r="AC291" s="15"/>
      <c r="AD291" s="15"/>
      <c r="AE291" s="15"/>
      <c r="AF291" s="15"/>
      <c r="AG291" s="15"/>
      <c r="AH291" s="15" t="e">
        <f t="shared" si="122"/>
        <v>#N/A</v>
      </c>
      <c r="AI291" s="21" t="str">
        <f t="shared" si="146"/>
        <v>___nvl-nvs-imc-dsy-0820-10291</v>
      </c>
      <c r="AJ291" s="40" t="str">
        <f t="shared" si="147"/>
        <v>___nvl-nvs-imc-dsy-0820-10291</v>
      </c>
      <c r="AK291" s="21" t="str">
        <f t="shared" si="148"/>
        <v>vw_nivus__-adserver</v>
      </c>
      <c r="AL291" s="21" t="str">
        <f t="shared" si="149"/>
        <v>?adlid=nvl-nvs-imc-dsy-0820-10291&amp;adplt=___nvl-nvs-imc-dsy-0820-10291</v>
      </c>
      <c r="AM291" s="21" t="str">
        <f t="shared" si="150"/>
        <v>TAG</v>
      </c>
      <c r="AN291" s="15">
        <f t="shared" si="151"/>
        <v>0</v>
      </c>
      <c r="AO291" s="15">
        <f t="shared" si="152"/>
        <v>0</v>
      </c>
      <c r="AP291" s="21" t="str">
        <f>Campanha!$B$3</f>
        <v>BR_IMC_DSY_LANCH_ND_NC_2020Q3AUG_NVS_Nivus-Launch-Consideracao-Orca</v>
      </c>
      <c r="AQ291" s="21" t="str">
        <f t="shared" si="153"/>
        <v>___nvl-nvs-imc-dsy-0820-10291</v>
      </c>
      <c r="AR291" s="15" t="s">
        <v>745</v>
      </c>
      <c r="AS291" s="21" t="str">
        <f t="shared" si="154"/>
        <v>?utm_source=0&amp;utm_medium=0&amp;utm_content=___nvl-nvs-imc-dsy-0820-10291&amp;utm_campaign=BR_IMC_DSY_LANCH_ND_NC_2020Q3AUG_NVS_Nivus-Launch-Consideracao-Orca&amp;utm_term=%epid!_%ecid!_%eaid!</v>
      </c>
      <c r="AT291" s="15" t="str">
        <f t="shared" si="155"/>
        <v/>
      </c>
      <c r="AU291" s="15" t="str">
        <f t="shared" si="156"/>
        <v>BR</v>
      </c>
      <c r="AV291" s="15" t="str">
        <f t="shared" si="157"/>
        <v/>
      </c>
      <c r="AW291" s="15" t="str">
        <f t="shared" si="158"/>
        <v/>
      </c>
      <c r="AX291" s="15" t="str">
        <f t="shared" si="159"/>
        <v>nivus-launch-consideracao-orca</v>
      </c>
      <c r="AY291" s="15" t="str">
        <f t="shared" si="160"/>
        <v>___nvl-nvs-imc-dsy-0820-10291</v>
      </c>
      <c r="AZ291" s="15" t="str">
        <f t="shared" si="161"/>
        <v/>
      </c>
      <c r="BA291" s="15" t="str">
        <f t="shared" si="162"/>
        <v/>
      </c>
      <c r="BB291" s="28" t="s">
        <v>798</v>
      </c>
      <c r="BC291" s="28" t="s">
        <v>798</v>
      </c>
      <c r="BD291" s="38" t="str">
        <f t="shared" si="163"/>
        <v>nvl-nvs-imc-dsy-0820-10291</v>
      </c>
      <c r="BE291" s="15" t="str">
        <f t="shared" si="164"/>
        <v>BR</v>
      </c>
      <c r="BF291" s="15" t="str">
        <f t="shared" si="165"/>
        <v/>
      </c>
      <c r="BG291" s="28"/>
      <c r="BH291" s="28"/>
      <c r="BI291" s="36" t="str">
        <f t="shared" si="166"/>
        <v>?adlid=nvl-nvs-imc-dsy-0820-10291&amp;adplt=___nvl-nvs-imc-dsy-0820-10291</v>
      </c>
    </row>
    <row r="292" spans="2:61" ht="15.75" customHeight="1" x14ac:dyDescent="0.25">
      <c r="B292" s="15"/>
      <c r="C292" s="15"/>
      <c r="D292" s="15"/>
      <c r="E292" s="22"/>
      <c r="F292" s="22"/>
      <c r="G292" s="15"/>
      <c r="H292" s="41"/>
      <c r="I292" s="15"/>
      <c r="J292" s="42"/>
      <c r="K292" s="42"/>
      <c r="L292" s="15"/>
      <c r="M292" s="15"/>
      <c r="N292" s="15"/>
      <c r="O292" s="15"/>
      <c r="P292" s="15"/>
      <c r="Q292" s="15"/>
      <c r="R292" s="15"/>
      <c r="S292" s="15"/>
      <c r="T292" s="46"/>
      <c r="U292" s="15"/>
      <c r="V292" s="15"/>
      <c r="W292" s="15"/>
      <c r="X292" s="15"/>
      <c r="Y292" s="46"/>
      <c r="Z292" s="15"/>
      <c r="AA292" s="15"/>
      <c r="AB292" s="15"/>
      <c r="AC292" s="15"/>
      <c r="AD292" s="15"/>
      <c r="AE292" s="15"/>
      <c r="AF292" s="15"/>
      <c r="AG292" s="15"/>
      <c r="AH292" s="15" t="e">
        <f t="shared" si="122"/>
        <v>#N/A</v>
      </c>
      <c r="AI292" s="21" t="str">
        <f t="shared" si="146"/>
        <v>___nvl-nvs-imc-dsy-0820-10292</v>
      </c>
      <c r="AJ292" s="40" t="str">
        <f t="shared" si="147"/>
        <v>___nvl-nvs-imc-dsy-0820-10292</v>
      </c>
      <c r="AK292" s="21" t="str">
        <f t="shared" si="148"/>
        <v>vw_nivus__-adserver</v>
      </c>
      <c r="AL292" s="21" t="str">
        <f t="shared" si="149"/>
        <v>?adlid=nvl-nvs-imc-dsy-0820-10292&amp;adplt=___nvl-nvs-imc-dsy-0820-10292</v>
      </c>
      <c r="AM292" s="21" t="str">
        <f t="shared" si="150"/>
        <v>TAG</v>
      </c>
      <c r="AN292" s="15">
        <f t="shared" si="151"/>
        <v>0</v>
      </c>
      <c r="AO292" s="15">
        <f t="shared" si="152"/>
        <v>0</v>
      </c>
      <c r="AP292" s="21" t="str">
        <f>Campanha!$B$3</f>
        <v>BR_IMC_DSY_LANCH_ND_NC_2020Q3AUG_NVS_Nivus-Launch-Consideracao-Orca</v>
      </c>
      <c r="AQ292" s="21" t="str">
        <f t="shared" si="153"/>
        <v>___nvl-nvs-imc-dsy-0820-10292</v>
      </c>
      <c r="AR292" s="15" t="s">
        <v>745</v>
      </c>
      <c r="AS292" s="21" t="str">
        <f t="shared" si="154"/>
        <v>?utm_source=0&amp;utm_medium=0&amp;utm_content=___nvl-nvs-imc-dsy-0820-10292&amp;utm_campaign=BR_IMC_DSY_LANCH_ND_NC_2020Q3AUG_NVS_Nivus-Launch-Consideracao-Orca&amp;utm_term=%epid!_%ecid!_%eaid!</v>
      </c>
      <c r="AT292" s="15" t="str">
        <f t="shared" si="155"/>
        <v/>
      </c>
      <c r="AU292" s="15" t="str">
        <f t="shared" si="156"/>
        <v>BR</v>
      </c>
      <c r="AV292" s="15" t="str">
        <f t="shared" si="157"/>
        <v/>
      </c>
      <c r="AW292" s="15" t="str">
        <f t="shared" si="158"/>
        <v/>
      </c>
      <c r="AX292" s="15" t="str">
        <f t="shared" si="159"/>
        <v>nivus-launch-consideracao-orca</v>
      </c>
      <c r="AY292" s="15" t="str">
        <f t="shared" si="160"/>
        <v>___nvl-nvs-imc-dsy-0820-10292</v>
      </c>
      <c r="AZ292" s="15" t="str">
        <f t="shared" si="161"/>
        <v/>
      </c>
      <c r="BA292" s="15" t="str">
        <f t="shared" si="162"/>
        <v/>
      </c>
      <c r="BB292" s="28" t="s">
        <v>798</v>
      </c>
      <c r="BC292" s="28" t="s">
        <v>798</v>
      </c>
      <c r="BD292" s="38" t="str">
        <f t="shared" si="163"/>
        <v>nvl-nvs-imc-dsy-0820-10292</v>
      </c>
      <c r="BE292" s="15" t="str">
        <f t="shared" si="164"/>
        <v>BR</v>
      </c>
      <c r="BF292" s="15" t="str">
        <f t="shared" si="165"/>
        <v/>
      </c>
      <c r="BG292" s="28"/>
      <c r="BH292" s="28"/>
      <c r="BI292" s="36" t="str">
        <f t="shared" si="166"/>
        <v>?adlid=nvl-nvs-imc-dsy-0820-10292&amp;adplt=___nvl-nvs-imc-dsy-0820-10292</v>
      </c>
    </row>
    <row r="293" spans="2:61" ht="15.75" customHeight="1" x14ac:dyDescent="0.25">
      <c r="B293" s="15"/>
      <c r="C293" s="15"/>
      <c r="D293" s="15"/>
      <c r="E293" s="22"/>
      <c r="F293" s="22"/>
      <c r="G293" s="15"/>
      <c r="H293" s="41"/>
      <c r="I293" s="15"/>
      <c r="J293" s="42"/>
      <c r="K293" s="42"/>
      <c r="L293" s="15"/>
      <c r="M293" s="15"/>
      <c r="N293" s="15"/>
      <c r="O293" s="15"/>
      <c r="P293" s="15"/>
      <c r="Q293" s="15"/>
      <c r="R293" s="15"/>
      <c r="S293" s="15"/>
      <c r="T293" s="46"/>
      <c r="U293" s="15"/>
      <c r="V293" s="15"/>
      <c r="W293" s="15"/>
      <c r="X293" s="15"/>
      <c r="Y293" s="46"/>
      <c r="Z293" s="15"/>
      <c r="AA293" s="15"/>
      <c r="AB293" s="15"/>
      <c r="AC293" s="15"/>
      <c r="AD293" s="15"/>
      <c r="AE293" s="15"/>
      <c r="AF293" s="15"/>
      <c r="AG293" s="15"/>
      <c r="AH293" s="15" t="e">
        <f t="shared" si="122"/>
        <v>#N/A</v>
      </c>
      <c r="AI293" s="21" t="str">
        <f t="shared" si="146"/>
        <v>___nvl-nvs-imc-dsy-0820-10293</v>
      </c>
      <c r="AJ293" s="40" t="str">
        <f t="shared" si="147"/>
        <v>___nvl-nvs-imc-dsy-0820-10293</v>
      </c>
      <c r="AK293" s="21" t="str">
        <f t="shared" si="148"/>
        <v>vw_nivus__-adserver</v>
      </c>
      <c r="AL293" s="21" t="str">
        <f t="shared" si="149"/>
        <v>?adlid=nvl-nvs-imc-dsy-0820-10293&amp;adplt=___nvl-nvs-imc-dsy-0820-10293</v>
      </c>
      <c r="AM293" s="21" t="str">
        <f t="shared" si="150"/>
        <v>TAG</v>
      </c>
      <c r="AN293" s="15">
        <f t="shared" si="151"/>
        <v>0</v>
      </c>
      <c r="AO293" s="15">
        <f t="shared" si="152"/>
        <v>0</v>
      </c>
      <c r="AP293" s="21" t="str">
        <f>Campanha!$B$3</f>
        <v>BR_IMC_DSY_LANCH_ND_NC_2020Q3AUG_NVS_Nivus-Launch-Consideracao-Orca</v>
      </c>
      <c r="AQ293" s="21" t="str">
        <f t="shared" si="153"/>
        <v>___nvl-nvs-imc-dsy-0820-10293</v>
      </c>
      <c r="AR293" s="15" t="s">
        <v>745</v>
      </c>
      <c r="AS293" s="21" t="str">
        <f t="shared" si="154"/>
        <v>?utm_source=0&amp;utm_medium=0&amp;utm_content=___nvl-nvs-imc-dsy-0820-10293&amp;utm_campaign=BR_IMC_DSY_LANCH_ND_NC_2020Q3AUG_NVS_Nivus-Launch-Consideracao-Orca&amp;utm_term=%epid!_%ecid!_%eaid!</v>
      </c>
      <c r="AT293" s="15" t="str">
        <f t="shared" si="155"/>
        <v/>
      </c>
      <c r="AU293" s="15" t="str">
        <f t="shared" si="156"/>
        <v>BR</v>
      </c>
      <c r="AV293" s="15" t="str">
        <f t="shared" si="157"/>
        <v/>
      </c>
      <c r="AW293" s="15" t="str">
        <f t="shared" si="158"/>
        <v/>
      </c>
      <c r="AX293" s="15" t="str">
        <f t="shared" si="159"/>
        <v>nivus-launch-consideracao-orca</v>
      </c>
      <c r="AY293" s="15" t="str">
        <f t="shared" si="160"/>
        <v>___nvl-nvs-imc-dsy-0820-10293</v>
      </c>
      <c r="AZ293" s="15" t="str">
        <f t="shared" si="161"/>
        <v/>
      </c>
      <c r="BA293" s="15" t="str">
        <f t="shared" si="162"/>
        <v/>
      </c>
      <c r="BB293" s="28" t="s">
        <v>798</v>
      </c>
      <c r="BC293" s="28" t="s">
        <v>798</v>
      </c>
      <c r="BD293" s="38" t="str">
        <f t="shared" si="163"/>
        <v>nvl-nvs-imc-dsy-0820-10293</v>
      </c>
      <c r="BE293" s="15" t="str">
        <f t="shared" si="164"/>
        <v>BR</v>
      </c>
      <c r="BF293" s="15" t="str">
        <f t="shared" si="165"/>
        <v/>
      </c>
      <c r="BG293" s="28"/>
      <c r="BH293" s="28"/>
      <c r="BI293" s="36" t="str">
        <f t="shared" si="166"/>
        <v>?adlid=nvl-nvs-imc-dsy-0820-10293&amp;adplt=___nvl-nvs-imc-dsy-0820-10293</v>
      </c>
    </row>
    <row r="294" spans="2:61" ht="15.75" customHeight="1" x14ac:dyDescent="0.25">
      <c r="B294" s="15"/>
      <c r="C294" s="15"/>
      <c r="D294" s="15"/>
      <c r="E294" s="22"/>
      <c r="F294" s="22"/>
      <c r="G294" s="15"/>
      <c r="H294" s="41"/>
      <c r="I294" s="15"/>
      <c r="J294" s="42"/>
      <c r="K294" s="42"/>
      <c r="L294" s="15"/>
      <c r="M294" s="15"/>
      <c r="N294" s="15"/>
      <c r="O294" s="15"/>
      <c r="P294" s="15"/>
      <c r="Q294" s="15"/>
      <c r="R294" s="15"/>
      <c r="S294" s="15"/>
      <c r="T294" s="46"/>
      <c r="U294" s="15"/>
      <c r="V294" s="15"/>
      <c r="W294" s="15"/>
      <c r="X294" s="15"/>
      <c r="Y294" s="46"/>
      <c r="Z294" s="15"/>
      <c r="AA294" s="15"/>
      <c r="AB294" s="15"/>
      <c r="AC294" s="15"/>
      <c r="AD294" s="15"/>
      <c r="AE294" s="15"/>
      <c r="AF294" s="15"/>
      <c r="AG294" s="15"/>
      <c r="AH294" s="15" t="e">
        <f t="shared" si="122"/>
        <v>#N/A</v>
      </c>
      <c r="AI294" s="21" t="str">
        <f t="shared" si="146"/>
        <v>___nvl-nvs-imc-dsy-0820-10294</v>
      </c>
      <c r="AJ294" s="40" t="str">
        <f t="shared" si="147"/>
        <v>___nvl-nvs-imc-dsy-0820-10294</v>
      </c>
      <c r="AK294" s="21" t="str">
        <f t="shared" si="148"/>
        <v>vw_nivus__-adserver</v>
      </c>
      <c r="AL294" s="21" t="str">
        <f t="shared" si="149"/>
        <v>?adlid=nvl-nvs-imc-dsy-0820-10294&amp;adplt=___nvl-nvs-imc-dsy-0820-10294</v>
      </c>
      <c r="AM294" s="21" t="str">
        <f t="shared" si="150"/>
        <v>TAG</v>
      </c>
      <c r="AN294" s="15">
        <f t="shared" si="151"/>
        <v>0</v>
      </c>
      <c r="AO294" s="15">
        <f t="shared" si="152"/>
        <v>0</v>
      </c>
      <c r="AP294" s="21" t="str">
        <f>Campanha!$B$3</f>
        <v>BR_IMC_DSY_LANCH_ND_NC_2020Q3AUG_NVS_Nivus-Launch-Consideracao-Orca</v>
      </c>
      <c r="AQ294" s="21" t="str">
        <f t="shared" si="153"/>
        <v>___nvl-nvs-imc-dsy-0820-10294</v>
      </c>
      <c r="AR294" s="15" t="s">
        <v>745</v>
      </c>
      <c r="AS294" s="21" t="str">
        <f t="shared" si="154"/>
        <v>?utm_source=0&amp;utm_medium=0&amp;utm_content=___nvl-nvs-imc-dsy-0820-10294&amp;utm_campaign=BR_IMC_DSY_LANCH_ND_NC_2020Q3AUG_NVS_Nivus-Launch-Consideracao-Orca&amp;utm_term=%epid!_%ecid!_%eaid!</v>
      </c>
      <c r="AT294" s="15" t="str">
        <f t="shared" si="155"/>
        <v/>
      </c>
      <c r="AU294" s="15" t="str">
        <f t="shared" si="156"/>
        <v>BR</v>
      </c>
      <c r="AV294" s="15" t="str">
        <f t="shared" si="157"/>
        <v/>
      </c>
      <c r="AW294" s="15" t="str">
        <f t="shared" si="158"/>
        <v/>
      </c>
      <c r="AX294" s="15" t="str">
        <f t="shared" si="159"/>
        <v>nivus-launch-consideracao-orca</v>
      </c>
      <c r="AY294" s="15" t="str">
        <f t="shared" si="160"/>
        <v>___nvl-nvs-imc-dsy-0820-10294</v>
      </c>
      <c r="AZ294" s="15" t="str">
        <f t="shared" si="161"/>
        <v/>
      </c>
      <c r="BA294" s="15" t="str">
        <f t="shared" si="162"/>
        <v/>
      </c>
      <c r="BB294" s="28" t="s">
        <v>798</v>
      </c>
      <c r="BC294" s="28" t="s">
        <v>798</v>
      </c>
      <c r="BD294" s="38" t="str">
        <f t="shared" si="163"/>
        <v>nvl-nvs-imc-dsy-0820-10294</v>
      </c>
      <c r="BE294" s="15" t="str">
        <f t="shared" si="164"/>
        <v>BR</v>
      </c>
      <c r="BF294" s="15" t="str">
        <f t="shared" si="165"/>
        <v/>
      </c>
      <c r="BG294" s="28"/>
      <c r="BH294" s="28"/>
      <c r="BI294" s="36" t="str">
        <f t="shared" si="166"/>
        <v>?adlid=nvl-nvs-imc-dsy-0820-10294&amp;adplt=___nvl-nvs-imc-dsy-0820-10294</v>
      </c>
    </row>
    <row r="295" spans="2:61" ht="15.75" customHeight="1" x14ac:dyDescent="0.25">
      <c r="B295" s="15"/>
      <c r="C295" s="15"/>
      <c r="D295" s="15"/>
      <c r="E295" s="22"/>
      <c r="F295" s="22"/>
      <c r="G295" s="15"/>
      <c r="H295" s="41"/>
      <c r="I295" s="15"/>
      <c r="J295" s="42"/>
      <c r="K295" s="42"/>
      <c r="L295" s="15"/>
      <c r="M295" s="15"/>
      <c r="N295" s="15"/>
      <c r="O295" s="15"/>
      <c r="P295" s="15"/>
      <c r="Q295" s="15"/>
      <c r="R295" s="15"/>
      <c r="S295" s="15"/>
      <c r="T295" s="46"/>
      <c r="U295" s="15"/>
      <c r="V295" s="15"/>
      <c r="W295" s="15"/>
      <c r="X295" s="15"/>
      <c r="Y295" s="46"/>
      <c r="Z295" s="15"/>
      <c r="AA295" s="15"/>
      <c r="AB295" s="15"/>
      <c r="AC295" s="15"/>
      <c r="AD295" s="15"/>
      <c r="AE295" s="15"/>
      <c r="AF295" s="15"/>
      <c r="AG295" s="15"/>
      <c r="AH295" s="15" t="e">
        <f t="shared" si="122"/>
        <v>#N/A</v>
      </c>
      <c r="AI295" s="21" t="str">
        <f t="shared" si="146"/>
        <v>___nvl-nvs-imc-dsy-0820-10295</v>
      </c>
      <c r="AJ295" s="40" t="str">
        <f t="shared" si="147"/>
        <v>___nvl-nvs-imc-dsy-0820-10295</v>
      </c>
      <c r="AK295" s="21" t="str">
        <f t="shared" si="148"/>
        <v>vw_nivus__-adserver</v>
      </c>
      <c r="AL295" s="21" t="str">
        <f t="shared" si="149"/>
        <v>?adlid=nvl-nvs-imc-dsy-0820-10295&amp;adplt=___nvl-nvs-imc-dsy-0820-10295</v>
      </c>
      <c r="AM295" s="21" t="str">
        <f t="shared" si="150"/>
        <v>TAG</v>
      </c>
      <c r="AN295" s="15">
        <f t="shared" si="151"/>
        <v>0</v>
      </c>
      <c r="AO295" s="15">
        <f t="shared" si="152"/>
        <v>0</v>
      </c>
      <c r="AP295" s="21" t="str">
        <f>Campanha!$B$3</f>
        <v>BR_IMC_DSY_LANCH_ND_NC_2020Q3AUG_NVS_Nivus-Launch-Consideracao-Orca</v>
      </c>
      <c r="AQ295" s="21" t="str">
        <f t="shared" si="153"/>
        <v>___nvl-nvs-imc-dsy-0820-10295</v>
      </c>
      <c r="AR295" s="15" t="s">
        <v>745</v>
      </c>
      <c r="AS295" s="21" t="str">
        <f t="shared" si="154"/>
        <v>?utm_source=0&amp;utm_medium=0&amp;utm_content=___nvl-nvs-imc-dsy-0820-10295&amp;utm_campaign=BR_IMC_DSY_LANCH_ND_NC_2020Q3AUG_NVS_Nivus-Launch-Consideracao-Orca&amp;utm_term=%epid!_%ecid!_%eaid!</v>
      </c>
      <c r="AT295" s="15" t="str">
        <f t="shared" si="155"/>
        <v/>
      </c>
      <c r="AU295" s="15" t="str">
        <f t="shared" si="156"/>
        <v>BR</v>
      </c>
      <c r="AV295" s="15" t="str">
        <f t="shared" si="157"/>
        <v/>
      </c>
      <c r="AW295" s="15" t="str">
        <f t="shared" si="158"/>
        <v/>
      </c>
      <c r="AX295" s="15" t="str">
        <f t="shared" si="159"/>
        <v>nivus-launch-consideracao-orca</v>
      </c>
      <c r="AY295" s="15" t="str">
        <f t="shared" si="160"/>
        <v>___nvl-nvs-imc-dsy-0820-10295</v>
      </c>
      <c r="AZ295" s="15" t="str">
        <f t="shared" si="161"/>
        <v/>
      </c>
      <c r="BA295" s="15" t="str">
        <f t="shared" si="162"/>
        <v/>
      </c>
      <c r="BB295" s="28" t="s">
        <v>798</v>
      </c>
      <c r="BC295" s="28" t="s">
        <v>798</v>
      </c>
      <c r="BD295" s="38" t="str">
        <f t="shared" si="163"/>
        <v>nvl-nvs-imc-dsy-0820-10295</v>
      </c>
      <c r="BE295" s="15" t="str">
        <f t="shared" si="164"/>
        <v>BR</v>
      </c>
      <c r="BF295" s="15" t="str">
        <f t="shared" si="165"/>
        <v/>
      </c>
      <c r="BG295" s="28"/>
      <c r="BH295" s="28"/>
      <c r="BI295" s="36" t="str">
        <f t="shared" si="166"/>
        <v>?adlid=nvl-nvs-imc-dsy-0820-10295&amp;adplt=___nvl-nvs-imc-dsy-0820-10295</v>
      </c>
    </row>
    <row r="296" spans="2:61" ht="15.75" customHeight="1" x14ac:dyDescent="0.25">
      <c r="B296" s="15"/>
      <c r="C296" s="15"/>
      <c r="D296" s="15"/>
      <c r="E296" s="22"/>
      <c r="F296" s="22"/>
      <c r="G296" s="15"/>
      <c r="H296" s="41"/>
      <c r="I296" s="15"/>
      <c r="J296" s="42"/>
      <c r="K296" s="42"/>
      <c r="L296" s="15"/>
      <c r="M296" s="15"/>
      <c r="N296" s="15"/>
      <c r="O296" s="15"/>
      <c r="P296" s="15"/>
      <c r="Q296" s="15"/>
      <c r="R296" s="15"/>
      <c r="S296" s="15"/>
      <c r="T296" s="46"/>
      <c r="U296" s="15"/>
      <c r="V296" s="15"/>
      <c r="W296" s="15"/>
      <c r="X296" s="15"/>
      <c r="Y296" s="46"/>
      <c r="Z296" s="15"/>
      <c r="AA296" s="15"/>
      <c r="AB296" s="15"/>
      <c r="AC296" s="15"/>
      <c r="AD296" s="15"/>
      <c r="AE296" s="15"/>
      <c r="AF296" s="15"/>
      <c r="AG296" s="15"/>
      <c r="AH296" s="15" t="e">
        <f t="shared" si="122"/>
        <v>#N/A</v>
      </c>
      <c r="AI296" s="21" t="str">
        <f t="shared" si="146"/>
        <v>___nvl-nvs-imc-dsy-0820-10296</v>
      </c>
      <c r="AJ296" s="40" t="str">
        <f t="shared" si="147"/>
        <v>___nvl-nvs-imc-dsy-0820-10296</v>
      </c>
      <c r="AK296" s="21" t="str">
        <f t="shared" si="148"/>
        <v>vw_nivus__-adserver</v>
      </c>
      <c r="AL296" s="21" t="str">
        <f t="shared" si="149"/>
        <v>?adlid=nvl-nvs-imc-dsy-0820-10296&amp;adplt=___nvl-nvs-imc-dsy-0820-10296</v>
      </c>
      <c r="AM296" s="21" t="str">
        <f t="shared" si="150"/>
        <v>TAG</v>
      </c>
      <c r="AN296" s="15">
        <f t="shared" si="151"/>
        <v>0</v>
      </c>
      <c r="AO296" s="15">
        <f t="shared" si="152"/>
        <v>0</v>
      </c>
      <c r="AP296" s="21" t="str">
        <f>Campanha!$B$3</f>
        <v>BR_IMC_DSY_LANCH_ND_NC_2020Q3AUG_NVS_Nivus-Launch-Consideracao-Orca</v>
      </c>
      <c r="AQ296" s="21" t="str">
        <f t="shared" si="153"/>
        <v>___nvl-nvs-imc-dsy-0820-10296</v>
      </c>
      <c r="AR296" s="15" t="s">
        <v>745</v>
      </c>
      <c r="AS296" s="21" t="str">
        <f t="shared" si="154"/>
        <v>?utm_source=0&amp;utm_medium=0&amp;utm_content=___nvl-nvs-imc-dsy-0820-10296&amp;utm_campaign=BR_IMC_DSY_LANCH_ND_NC_2020Q3AUG_NVS_Nivus-Launch-Consideracao-Orca&amp;utm_term=%epid!_%ecid!_%eaid!</v>
      </c>
      <c r="AT296" s="15" t="str">
        <f t="shared" si="155"/>
        <v/>
      </c>
      <c r="AU296" s="15" t="str">
        <f t="shared" si="156"/>
        <v>BR</v>
      </c>
      <c r="AV296" s="15" t="str">
        <f t="shared" si="157"/>
        <v/>
      </c>
      <c r="AW296" s="15" t="str">
        <f t="shared" si="158"/>
        <v/>
      </c>
      <c r="AX296" s="15" t="str">
        <f t="shared" si="159"/>
        <v>nivus-launch-consideracao-orca</v>
      </c>
      <c r="AY296" s="15" t="str">
        <f t="shared" si="160"/>
        <v>___nvl-nvs-imc-dsy-0820-10296</v>
      </c>
      <c r="AZ296" s="15" t="str">
        <f t="shared" si="161"/>
        <v/>
      </c>
      <c r="BA296" s="15" t="str">
        <f t="shared" si="162"/>
        <v/>
      </c>
      <c r="BB296" s="28" t="s">
        <v>798</v>
      </c>
      <c r="BC296" s="28" t="s">
        <v>798</v>
      </c>
      <c r="BD296" s="38" t="str">
        <f t="shared" si="163"/>
        <v>nvl-nvs-imc-dsy-0820-10296</v>
      </c>
      <c r="BE296" s="15" t="str">
        <f t="shared" si="164"/>
        <v>BR</v>
      </c>
      <c r="BF296" s="15" t="str">
        <f t="shared" si="165"/>
        <v/>
      </c>
      <c r="BG296" s="28"/>
      <c r="BH296" s="28"/>
      <c r="BI296" s="36" t="str">
        <f t="shared" si="166"/>
        <v>?adlid=nvl-nvs-imc-dsy-0820-10296&amp;adplt=___nvl-nvs-imc-dsy-0820-10296</v>
      </c>
    </row>
    <row r="297" spans="2:61" ht="15.75" customHeight="1" x14ac:dyDescent="0.25">
      <c r="B297" s="15"/>
      <c r="C297" s="15"/>
      <c r="D297" s="15"/>
      <c r="E297" s="22"/>
      <c r="F297" s="22"/>
      <c r="G297" s="15"/>
      <c r="H297" s="41"/>
      <c r="I297" s="15"/>
      <c r="J297" s="42"/>
      <c r="K297" s="42"/>
      <c r="L297" s="15"/>
      <c r="M297" s="15"/>
      <c r="N297" s="15"/>
      <c r="O297" s="15"/>
      <c r="P297" s="15"/>
      <c r="Q297" s="15"/>
      <c r="R297" s="15"/>
      <c r="S297" s="15"/>
      <c r="T297" s="46"/>
      <c r="U297" s="15"/>
      <c r="V297" s="15"/>
      <c r="W297" s="15"/>
      <c r="X297" s="15"/>
      <c r="Y297" s="46"/>
      <c r="Z297" s="15"/>
      <c r="AA297" s="15"/>
      <c r="AB297" s="15"/>
      <c r="AC297" s="15"/>
      <c r="AD297" s="15"/>
      <c r="AE297" s="15"/>
      <c r="AF297" s="15"/>
      <c r="AG297" s="15"/>
      <c r="AH297" s="15" t="e">
        <f t="shared" si="122"/>
        <v>#N/A</v>
      </c>
      <c r="AI297" s="21" t="str">
        <f t="shared" si="146"/>
        <v>___nvl-nvs-imc-dsy-0820-10297</v>
      </c>
      <c r="AJ297" s="40" t="str">
        <f t="shared" si="147"/>
        <v>___nvl-nvs-imc-dsy-0820-10297</v>
      </c>
      <c r="AK297" s="21" t="str">
        <f t="shared" si="148"/>
        <v>vw_nivus__-adserver</v>
      </c>
      <c r="AL297" s="21" t="str">
        <f t="shared" si="149"/>
        <v>?adlid=nvl-nvs-imc-dsy-0820-10297&amp;adplt=___nvl-nvs-imc-dsy-0820-10297</v>
      </c>
      <c r="AM297" s="21" t="str">
        <f t="shared" si="150"/>
        <v>TAG</v>
      </c>
      <c r="AN297" s="15">
        <f t="shared" si="151"/>
        <v>0</v>
      </c>
      <c r="AO297" s="15">
        <f t="shared" si="152"/>
        <v>0</v>
      </c>
      <c r="AP297" s="21" t="str">
        <f>Campanha!$B$3</f>
        <v>BR_IMC_DSY_LANCH_ND_NC_2020Q3AUG_NVS_Nivus-Launch-Consideracao-Orca</v>
      </c>
      <c r="AQ297" s="21" t="str">
        <f t="shared" si="153"/>
        <v>___nvl-nvs-imc-dsy-0820-10297</v>
      </c>
      <c r="AR297" s="15" t="s">
        <v>745</v>
      </c>
      <c r="AS297" s="21" t="str">
        <f t="shared" si="154"/>
        <v>?utm_source=0&amp;utm_medium=0&amp;utm_content=___nvl-nvs-imc-dsy-0820-10297&amp;utm_campaign=BR_IMC_DSY_LANCH_ND_NC_2020Q3AUG_NVS_Nivus-Launch-Consideracao-Orca&amp;utm_term=%epid!_%ecid!_%eaid!</v>
      </c>
      <c r="AT297" s="15" t="str">
        <f t="shared" si="155"/>
        <v/>
      </c>
      <c r="AU297" s="15" t="str">
        <f t="shared" si="156"/>
        <v>BR</v>
      </c>
      <c r="AV297" s="15" t="str">
        <f t="shared" si="157"/>
        <v/>
      </c>
      <c r="AW297" s="15" t="str">
        <f t="shared" si="158"/>
        <v/>
      </c>
      <c r="AX297" s="15" t="str">
        <f t="shared" si="159"/>
        <v>nivus-launch-consideracao-orca</v>
      </c>
      <c r="AY297" s="15" t="str">
        <f t="shared" si="160"/>
        <v>___nvl-nvs-imc-dsy-0820-10297</v>
      </c>
      <c r="AZ297" s="15" t="str">
        <f t="shared" si="161"/>
        <v/>
      </c>
      <c r="BA297" s="15" t="str">
        <f t="shared" si="162"/>
        <v/>
      </c>
      <c r="BB297" s="28" t="s">
        <v>798</v>
      </c>
      <c r="BC297" s="28" t="s">
        <v>798</v>
      </c>
      <c r="BD297" s="38" t="str">
        <f t="shared" si="163"/>
        <v>nvl-nvs-imc-dsy-0820-10297</v>
      </c>
      <c r="BE297" s="15" t="str">
        <f t="shared" si="164"/>
        <v>BR</v>
      </c>
      <c r="BF297" s="15" t="str">
        <f t="shared" si="165"/>
        <v/>
      </c>
      <c r="BG297" s="28"/>
      <c r="BH297" s="28"/>
      <c r="BI297" s="36" t="str">
        <f t="shared" si="166"/>
        <v>?adlid=nvl-nvs-imc-dsy-0820-10297&amp;adplt=___nvl-nvs-imc-dsy-0820-10297</v>
      </c>
    </row>
    <row r="298" spans="2:61" ht="15.75" customHeight="1" x14ac:dyDescent="0.25">
      <c r="B298" s="15"/>
      <c r="C298" s="15"/>
      <c r="D298" s="15"/>
      <c r="E298" s="22"/>
      <c r="F298" s="22"/>
      <c r="G298" s="15"/>
      <c r="H298" s="41"/>
      <c r="I298" s="15"/>
      <c r="J298" s="42"/>
      <c r="K298" s="42"/>
      <c r="L298" s="15"/>
      <c r="M298" s="15"/>
      <c r="N298" s="15"/>
      <c r="O298" s="15"/>
      <c r="P298" s="15"/>
      <c r="Q298" s="15"/>
      <c r="R298" s="15"/>
      <c r="S298" s="15"/>
      <c r="T298" s="46"/>
      <c r="U298" s="15"/>
      <c r="V298" s="15"/>
      <c r="W298" s="15"/>
      <c r="X298" s="15"/>
      <c r="Y298" s="46"/>
      <c r="Z298" s="15"/>
      <c r="AA298" s="15"/>
      <c r="AB298" s="15"/>
      <c r="AC298" s="15"/>
      <c r="AD298" s="15"/>
      <c r="AE298" s="15"/>
      <c r="AF298" s="15"/>
      <c r="AG298" s="15"/>
      <c r="AH298" s="15" t="e">
        <f t="shared" si="122"/>
        <v>#N/A</v>
      </c>
      <c r="AI298" s="21" t="str">
        <f t="shared" si="146"/>
        <v>___nvl-nvs-imc-dsy-0820-10298</v>
      </c>
      <c r="AJ298" s="40" t="str">
        <f t="shared" si="147"/>
        <v>___nvl-nvs-imc-dsy-0820-10298</v>
      </c>
      <c r="AK298" s="21" t="str">
        <f t="shared" si="148"/>
        <v>vw_nivus__-adserver</v>
      </c>
      <c r="AL298" s="21" t="str">
        <f t="shared" si="149"/>
        <v>?adlid=nvl-nvs-imc-dsy-0820-10298&amp;adplt=___nvl-nvs-imc-dsy-0820-10298</v>
      </c>
      <c r="AM298" s="21" t="str">
        <f t="shared" si="150"/>
        <v>TAG</v>
      </c>
      <c r="AN298" s="15">
        <f t="shared" si="151"/>
        <v>0</v>
      </c>
      <c r="AO298" s="15">
        <f t="shared" si="152"/>
        <v>0</v>
      </c>
      <c r="AP298" s="21" t="str">
        <f>Campanha!$B$3</f>
        <v>BR_IMC_DSY_LANCH_ND_NC_2020Q3AUG_NVS_Nivus-Launch-Consideracao-Orca</v>
      </c>
      <c r="AQ298" s="21" t="str">
        <f t="shared" si="153"/>
        <v>___nvl-nvs-imc-dsy-0820-10298</v>
      </c>
      <c r="AR298" s="15" t="s">
        <v>745</v>
      </c>
      <c r="AS298" s="21" t="str">
        <f t="shared" si="154"/>
        <v>?utm_source=0&amp;utm_medium=0&amp;utm_content=___nvl-nvs-imc-dsy-0820-10298&amp;utm_campaign=BR_IMC_DSY_LANCH_ND_NC_2020Q3AUG_NVS_Nivus-Launch-Consideracao-Orca&amp;utm_term=%epid!_%ecid!_%eaid!</v>
      </c>
      <c r="AT298" s="15" t="str">
        <f t="shared" si="155"/>
        <v/>
      </c>
      <c r="AU298" s="15" t="str">
        <f t="shared" si="156"/>
        <v>BR</v>
      </c>
      <c r="AV298" s="15" t="str">
        <f t="shared" si="157"/>
        <v/>
      </c>
      <c r="AW298" s="15" t="str">
        <f t="shared" si="158"/>
        <v/>
      </c>
      <c r="AX298" s="15" t="str">
        <f t="shared" si="159"/>
        <v>nivus-launch-consideracao-orca</v>
      </c>
      <c r="AY298" s="15" t="str">
        <f t="shared" si="160"/>
        <v>___nvl-nvs-imc-dsy-0820-10298</v>
      </c>
      <c r="AZ298" s="15" t="str">
        <f t="shared" si="161"/>
        <v/>
      </c>
      <c r="BA298" s="15" t="str">
        <f t="shared" si="162"/>
        <v/>
      </c>
      <c r="BB298" s="28" t="s">
        <v>798</v>
      </c>
      <c r="BC298" s="28" t="s">
        <v>798</v>
      </c>
      <c r="BD298" s="38" t="str">
        <f t="shared" si="163"/>
        <v>nvl-nvs-imc-dsy-0820-10298</v>
      </c>
      <c r="BE298" s="15" t="str">
        <f t="shared" si="164"/>
        <v>BR</v>
      </c>
      <c r="BF298" s="15" t="str">
        <f t="shared" si="165"/>
        <v/>
      </c>
      <c r="BG298" s="28"/>
      <c r="BH298" s="28"/>
      <c r="BI298" s="36" t="str">
        <f t="shared" si="166"/>
        <v>?adlid=nvl-nvs-imc-dsy-0820-10298&amp;adplt=___nvl-nvs-imc-dsy-0820-10298</v>
      </c>
    </row>
    <row r="299" spans="2:61" ht="15.75" customHeight="1" x14ac:dyDescent="0.25">
      <c r="B299" s="15"/>
      <c r="C299" s="15"/>
      <c r="D299" s="15"/>
      <c r="E299" s="22"/>
      <c r="F299" s="22"/>
      <c r="G299" s="15"/>
      <c r="H299" s="41"/>
      <c r="I299" s="15"/>
      <c r="J299" s="42"/>
      <c r="K299" s="42"/>
      <c r="L299" s="15"/>
      <c r="M299" s="15"/>
      <c r="N299" s="15"/>
      <c r="O299" s="15"/>
      <c r="P299" s="15"/>
      <c r="Q299" s="15"/>
      <c r="R299" s="15"/>
      <c r="S299" s="15"/>
      <c r="T299" s="46"/>
      <c r="U299" s="15"/>
      <c r="V299" s="15"/>
      <c r="W299" s="15"/>
      <c r="X299" s="15"/>
      <c r="Y299" s="46"/>
      <c r="Z299" s="15"/>
      <c r="AA299" s="15"/>
      <c r="AB299" s="15"/>
      <c r="AC299" s="15"/>
      <c r="AD299" s="15"/>
      <c r="AE299" s="15"/>
      <c r="AF299" s="15"/>
      <c r="AG299" s="15"/>
      <c r="AH299" s="15" t="e">
        <f t="shared" si="122"/>
        <v>#N/A</v>
      </c>
      <c r="AI299" s="21" t="str">
        <f t="shared" si="146"/>
        <v>___nvl-nvs-imc-dsy-0820-10299</v>
      </c>
      <c r="AJ299" s="40" t="str">
        <f t="shared" si="147"/>
        <v>___nvl-nvs-imc-dsy-0820-10299</v>
      </c>
      <c r="AK299" s="21" t="str">
        <f t="shared" si="148"/>
        <v>vw_nivus__-adserver</v>
      </c>
      <c r="AL299" s="21" t="str">
        <f t="shared" si="149"/>
        <v>?adlid=nvl-nvs-imc-dsy-0820-10299&amp;adplt=___nvl-nvs-imc-dsy-0820-10299</v>
      </c>
      <c r="AM299" s="21" t="str">
        <f t="shared" si="150"/>
        <v>TAG</v>
      </c>
      <c r="AN299" s="15">
        <f t="shared" si="151"/>
        <v>0</v>
      </c>
      <c r="AO299" s="15">
        <f t="shared" si="152"/>
        <v>0</v>
      </c>
      <c r="AP299" s="21" t="str">
        <f>Campanha!$B$3</f>
        <v>BR_IMC_DSY_LANCH_ND_NC_2020Q3AUG_NVS_Nivus-Launch-Consideracao-Orca</v>
      </c>
      <c r="AQ299" s="21" t="str">
        <f t="shared" si="153"/>
        <v>___nvl-nvs-imc-dsy-0820-10299</v>
      </c>
      <c r="AR299" s="15" t="s">
        <v>745</v>
      </c>
      <c r="AS299" s="21" t="str">
        <f t="shared" si="154"/>
        <v>?utm_source=0&amp;utm_medium=0&amp;utm_content=___nvl-nvs-imc-dsy-0820-10299&amp;utm_campaign=BR_IMC_DSY_LANCH_ND_NC_2020Q3AUG_NVS_Nivus-Launch-Consideracao-Orca&amp;utm_term=%epid!_%ecid!_%eaid!</v>
      </c>
      <c r="AT299" s="15" t="str">
        <f t="shared" si="155"/>
        <v/>
      </c>
      <c r="AU299" s="15" t="str">
        <f t="shared" si="156"/>
        <v>BR</v>
      </c>
      <c r="AV299" s="15" t="str">
        <f t="shared" si="157"/>
        <v/>
      </c>
      <c r="AW299" s="15" t="str">
        <f t="shared" si="158"/>
        <v/>
      </c>
      <c r="AX299" s="15" t="str">
        <f t="shared" si="159"/>
        <v>nivus-launch-consideracao-orca</v>
      </c>
      <c r="AY299" s="15" t="str">
        <f t="shared" si="160"/>
        <v>___nvl-nvs-imc-dsy-0820-10299</v>
      </c>
      <c r="AZ299" s="15" t="str">
        <f t="shared" si="161"/>
        <v/>
      </c>
      <c r="BA299" s="15" t="str">
        <f t="shared" si="162"/>
        <v/>
      </c>
      <c r="BB299" s="28" t="s">
        <v>798</v>
      </c>
      <c r="BC299" s="28" t="s">
        <v>798</v>
      </c>
      <c r="BD299" s="38" t="str">
        <f t="shared" si="163"/>
        <v>nvl-nvs-imc-dsy-0820-10299</v>
      </c>
      <c r="BE299" s="15" t="str">
        <f t="shared" si="164"/>
        <v>BR</v>
      </c>
      <c r="BF299" s="15" t="str">
        <f t="shared" si="165"/>
        <v/>
      </c>
      <c r="BG299" s="28"/>
      <c r="BH299" s="28"/>
      <c r="BI299" s="36" t="str">
        <f t="shared" si="166"/>
        <v>?adlid=nvl-nvs-imc-dsy-0820-10299&amp;adplt=___nvl-nvs-imc-dsy-0820-10299</v>
      </c>
    </row>
    <row r="300" spans="2:61" ht="15.75" customHeight="1" x14ac:dyDescent="0.25">
      <c r="B300" s="15"/>
      <c r="C300" s="15"/>
      <c r="D300" s="15"/>
      <c r="E300" s="22"/>
      <c r="F300" s="22"/>
      <c r="G300" s="15"/>
      <c r="H300" s="41"/>
      <c r="I300" s="15"/>
      <c r="J300" s="42"/>
      <c r="K300" s="42"/>
      <c r="L300" s="15"/>
      <c r="M300" s="15"/>
      <c r="N300" s="15"/>
      <c r="O300" s="15"/>
      <c r="P300" s="15"/>
      <c r="Q300" s="15"/>
      <c r="R300" s="15"/>
      <c r="S300" s="15"/>
      <c r="T300" s="46"/>
      <c r="U300" s="15"/>
      <c r="V300" s="15"/>
      <c r="W300" s="15"/>
      <c r="X300" s="15"/>
      <c r="Y300" s="46"/>
      <c r="Z300" s="15"/>
      <c r="AA300" s="15"/>
      <c r="AB300" s="15"/>
      <c r="AC300" s="15"/>
      <c r="AD300" s="15"/>
      <c r="AE300" s="15"/>
      <c r="AF300" s="15"/>
      <c r="AG300" s="15"/>
      <c r="AH300" s="15" t="e">
        <f t="shared" si="122"/>
        <v>#N/A</v>
      </c>
      <c r="AI300" s="21" t="str">
        <f t="shared" si="146"/>
        <v>___nvl-nvs-imc-dsy-0820-10300</v>
      </c>
      <c r="AJ300" s="40" t="str">
        <f t="shared" si="147"/>
        <v>___nvl-nvs-imc-dsy-0820-10300</v>
      </c>
      <c r="AK300" s="21" t="str">
        <f t="shared" si="148"/>
        <v>vw_nivus__-adserver</v>
      </c>
      <c r="AL300" s="21" t="str">
        <f t="shared" si="149"/>
        <v>?adlid=nvl-nvs-imc-dsy-0820-10300&amp;adplt=___nvl-nvs-imc-dsy-0820-10300</v>
      </c>
      <c r="AM300" s="21" t="str">
        <f t="shared" si="150"/>
        <v>TAG</v>
      </c>
      <c r="AN300" s="15">
        <f t="shared" si="151"/>
        <v>0</v>
      </c>
      <c r="AO300" s="15">
        <f t="shared" si="152"/>
        <v>0</v>
      </c>
      <c r="AP300" s="21" t="str">
        <f>Campanha!$B$3</f>
        <v>BR_IMC_DSY_LANCH_ND_NC_2020Q3AUG_NVS_Nivus-Launch-Consideracao-Orca</v>
      </c>
      <c r="AQ300" s="21" t="str">
        <f t="shared" si="153"/>
        <v>___nvl-nvs-imc-dsy-0820-10300</v>
      </c>
      <c r="AR300" s="15" t="s">
        <v>745</v>
      </c>
      <c r="AS300" s="21" t="str">
        <f t="shared" si="154"/>
        <v>?utm_source=0&amp;utm_medium=0&amp;utm_content=___nvl-nvs-imc-dsy-0820-10300&amp;utm_campaign=BR_IMC_DSY_LANCH_ND_NC_2020Q3AUG_NVS_Nivus-Launch-Consideracao-Orca&amp;utm_term=%epid!_%ecid!_%eaid!</v>
      </c>
      <c r="AT300" s="15" t="str">
        <f t="shared" si="155"/>
        <v/>
      </c>
      <c r="AU300" s="15" t="str">
        <f t="shared" si="156"/>
        <v>BR</v>
      </c>
      <c r="AV300" s="15" t="str">
        <f t="shared" si="157"/>
        <v/>
      </c>
      <c r="AW300" s="15" t="str">
        <f t="shared" si="158"/>
        <v/>
      </c>
      <c r="AX300" s="15" t="str">
        <f t="shared" si="159"/>
        <v>nivus-launch-consideracao-orca</v>
      </c>
      <c r="AY300" s="15" t="str">
        <f t="shared" si="160"/>
        <v>___nvl-nvs-imc-dsy-0820-10300</v>
      </c>
      <c r="AZ300" s="15" t="str">
        <f t="shared" si="161"/>
        <v/>
      </c>
      <c r="BA300" s="15" t="str">
        <f t="shared" si="162"/>
        <v/>
      </c>
      <c r="BB300" s="28" t="s">
        <v>798</v>
      </c>
      <c r="BC300" s="28" t="s">
        <v>798</v>
      </c>
      <c r="BD300" s="38" t="str">
        <f t="shared" si="163"/>
        <v>nvl-nvs-imc-dsy-0820-10300</v>
      </c>
      <c r="BE300" s="15" t="str">
        <f t="shared" si="164"/>
        <v>BR</v>
      </c>
      <c r="BF300" s="15" t="str">
        <f t="shared" si="165"/>
        <v/>
      </c>
      <c r="BG300" s="28"/>
      <c r="BH300" s="28"/>
      <c r="BI300" s="36" t="str">
        <f t="shared" si="166"/>
        <v>?adlid=nvl-nvs-imc-dsy-0820-10300&amp;adplt=___nvl-nvs-imc-dsy-0820-10300</v>
      </c>
    </row>
    <row r="301" spans="2:61" ht="15.75" customHeight="1" x14ac:dyDescent="0.25">
      <c r="H301" s="41"/>
      <c r="V301" s="15"/>
      <c r="W301" s="15"/>
      <c r="X301" s="15"/>
      <c r="AH301" s="15" t="e">
        <f t="shared" si="122"/>
        <v>#N/A</v>
      </c>
      <c r="AI301" s="21" t="str">
        <f t="shared" si="146"/>
        <v>___nvl-nvs-imc-dsy-0820-10301</v>
      </c>
      <c r="AJ301" s="40" t="str">
        <f t="shared" si="147"/>
        <v>___nvl-nvs-imc-dsy-0820-10301</v>
      </c>
      <c r="AK301" s="21" t="str">
        <f t="shared" si="148"/>
        <v>vw_nivus__-adserver</v>
      </c>
      <c r="AL301" s="21" t="str">
        <f t="shared" si="149"/>
        <v>?adlid=nvl-nvs-imc-dsy-0820-10301&amp;adplt=___nvl-nvs-imc-dsy-0820-10301</v>
      </c>
      <c r="AM301" s="21" t="str">
        <f t="shared" si="150"/>
        <v>TAG</v>
      </c>
      <c r="AN301" s="15">
        <f t="shared" si="151"/>
        <v>0</v>
      </c>
      <c r="AO301" s="15">
        <f t="shared" si="152"/>
        <v>0</v>
      </c>
      <c r="AP301" s="21" t="str">
        <f>Campanha!$B$3</f>
        <v>BR_IMC_DSY_LANCH_ND_NC_2020Q3AUG_NVS_Nivus-Launch-Consideracao-Orca</v>
      </c>
      <c r="AQ301" s="21" t="str">
        <f t="shared" si="153"/>
        <v>___nvl-nvs-imc-dsy-0820-10301</v>
      </c>
      <c r="AR301" s="15" t="s">
        <v>745</v>
      </c>
      <c r="AS301" s="21" t="str">
        <f t="shared" si="154"/>
        <v>?utm_source=0&amp;utm_medium=0&amp;utm_content=___nvl-nvs-imc-dsy-0820-10301&amp;utm_campaign=BR_IMC_DSY_LANCH_ND_NC_2020Q3AUG_NVS_Nivus-Launch-Consideracao-Orca&amp;utm_term=%epid!_%ecid!_%eaid!</v>
      </c>
      <c r="AT301" s="15" t="str">
        <f t="shared" si="155"/>
        <v/>
      </c>
      <c r="AU301" s="15" t="str">
        <f t="shared" si="156"/>
        <v>BR</v>
      </c>
      <c r="AV301" s="15" t="str">
        <f t="shared" si="157"/>
        <v/>
      </c>
      <c r="AW301" s="15" t="str">
        <f t="shared" si="158"/>
        <v/>
      </c>
      <c r="AX301" s="15" t="str">
        <f t="shared" si="159"/>
        <v>nivus-launch-consideracao-orca</v>
      </c>
      <c r="AY301" s="15" t="str">
        <f t="shared" si="160"/>
        <v>___nvl-nvs-imc-dsy-0820-10301</v>
      </c>
      <c r="AZ301" s="15" t="str">
        <f t="shared" si="161"/>
        <v/>
      </c>
      <c r="BA301" s="15" t="str">
        <f t="shared" si="162"/>
        <v/>
      </c>
      <c r="BB301" s="28" t="s">
        <v>798</v>
      </c>
      <c r="BC301" s="28" t="s">
        <v>798</v>
      </c>
      <c r="BD301" s="38" t="str">
        <f t="shared" si="163"/>
        <v>nvl-nvs-imc-dsy-0820-10301</v>
      </c>
      <c r="BE301" s="15" t="str">
        <f t="shared" si="164"/>
        <v>BR</v>
      </c>
      <c r="BF301" s="15" t="str">
        <f t="shared" si="165"/>
        <v/>
      </c>
      <c r="BG301" s="28"/>
      <c r="BH301" s="28"/>
      <c r="BI301" s="36" t="str">
        <f t="shared" si="166"/>
        <v>?adlid=nvl-nvs-imc-dsy-0820-10301&amp;adplt=___nvl-nvs-imc-dsy-0820-10301</v>
      </c>
    </row>
    <row r="302" spans="2:61" ht="15.75" customHeight="1" x14ac:dyDescent="0.25">
      <c r="H302" s="41"/>
      <c r="V302" s="15"/>
      <c r="W302" s="15"/>
      <c r="X302" s="15"/>
      <c r="AH302" s="15" t="e">
        <f t="shared" si="122"/>
        <v>#N/A</v>
      </c>
      <c r="AI302" s="21" t="str">
        <f t="shared" si="146"/>
        <v>___nvl-nvs-imc-dsy-0820-10302</v>
      </c>
      <c r="AJ302" s="40" t="str">
        <f t="shared" si="147"/>
        <v>___nvl-nvs-imc-dsy-0820-10302</v>
      </c>
      <c r="AK302" s="21" t="str">
        <f t="shared" si="148"/>
        <v>vw_nivus__-adserver</v>
      </c>
      <c r="AL302" s="21" t="str">
        <f t="shared" si="149"/>
        <v>?adlid=nvl-nvs-imc-dsy-0820-10302&amp;adplt=___nvl-nvs-imc-dsy-0820-10302</v>
      </c>
      <c r="AM302" s="21" t="str">
        <f t="shared" si="150"/>
        <v>TAG</v>
      </c>
      <c r="AN302" s="15">
        <f t="shared" si="151"/>
        <v>0</v>
      </c>
      <c r="AO302" s="15">
        <f t="shared" si="152"/>
        <v>0</v>
      </c>
      <c r="AP302" s="21" t="str">
        <f>Campanha!$B$3</f>
        <v>BR_IMC_DSY_LANCH_ND_NC_2020Q3AUG_NVS_Nivus-Launch-Consideracao-Orca</v>
      </c>
      <c r="AQ302" s="21" t="str">
        <f t="shared" si="153"/>
        <v>___nvl-nvs-imc-dsy-0820-10302</v>
      </c>
      <c r="AR302" s="15" t="s">
        <v>745</v>
      </c>
      <c r="AS302" s="21" t="str">
        <f t="shared" si="154"/>
        <v>?utm_source=0&amp;utm_medium=0&amp;utm_content=___nvl-nvs-imc-dsy-0820-10302&amp;utm_campaign=BR_IMC_DSY_LANCH_ND_NC_2020Q3AUG_NVS_Nivus-Launch-Consideracao-Orca&amp;utm_term=%epid!_%ecid!_%eaid!</v>
      </c>
      <c r="AT302" s="15" t="str">
        <f t="shared" si="155"/>
        <v/>
      </c>
      <c r="AU302" s="15" t="str">
        <f t="shared" si="156"/>
        <v>BR</v>
      </c>
      <c r="AV302" s="15" t="str">
        <f t="shared" si="157"/>
        <v/>
      </c>
      <c r="AW302" s="15" t="str">
        <f t="shared" si="158"/>
        <v/>
      </c>
      <c r="AX302" s="15" t="str">
        <f t="shared" si="159"/>
        <v>nivus-launch-consideracao-orca</v>
      </c>
      <c r="AY302" s="15" t="str">
        <f t="shared" si="160"/>
        <v>___nvl-nvs-imc-dsy-0820-10302</v>
      </c>
      <c r="AZ302" s="15" t="str">
        <f t="shared" si="161"/>
        <v/>
      </c>
      <c r="BA302" s="15" t="str">
        <f t="shared" si="162"/>
        <v/>
      </c>
      <c r="BB302" s="28" t="s">
        <v>798</v>
      </c>
      <c r="BC302" s="28" t="s">
        <v>798</v>
      </c>
      <c r="BD302" s="38" t="str">
        <f t="shared" si="163"/>
        <v>nvl-nvs-imc-dsy-0820-10302</v>
      </c>
      <c r="BE302" s="15" t="str">
        <f t="shared" si="164"/>
        <v>BR</v>
      </c>
      <c r="BF302" s="15" t="str">
        <f t="shared" si="165"/>
        <v/>
      </c>
      <c r="BG302" s="28"/>
      <c r="BH302" s="28"/>
      <c r="BI302" s="36" t="str">
        <f t="shared" si="166"/>
        <v>?adlid=nvl-nvs-imc-dsy-0820-10302&amp;adplt=___nvl-nvs-imc-dsy-0820-10302</v>
      </c>
    </row>
    <row r="303" spans="2:61" ht="15.75" customHeight="1" x14ac:dyDescent="0.25">
      <c r="H303" s="41"/>
      <c r="V303" s="15"/>
      <c r="W303" s="15"/>
      <c r="X303" s="15"/>
      <c r="AH303" s="15" t="e">
        <f t="shared" si="122"/>
        <v>#N/A</v>
      </c>
      <c r="AI303" s="21" t="str">
        <f t="shared" si="146"/>
        <v>___nvl-nvs-imc-dsy-0820-10303</v>
      </c>
      <c r="AJ303" s="40" t="str">
        <f t="shared" si="147"/>
        <v>___nvl-nvs-imc-dsy-0820-10303</v>
      </c>
      <c r="AK303" s="21" t="str">
        <f t="shared" si="148"/>
        <v>vw_nivus__-adserver</v>
      </c>
      <c r="AL303" s="21" t="str">
        <f t="shared" si="149"/>
        <v>?adlid=nvl-nvs-imc-dsy-0820-10303&amp;adplt=___nvl-nvs-imc-dsy-0820-10303</v>
      </c>
      <c r="AM303" s="21" t="str">
        <f t="shared" si="150"/>
        <v>TAG</v>
      </c>
      <c r="AN303" s="15">
        <f t="shared" si="151"/>
        <v>0</v>
      </c>
      <c r="AO303" s="15">
        <f t="shared" si="152"/>
        <v>0</v>
      </c>
      <c r="AP303" s="21" t="str">
        <f>Campanha!$B$3</f>
        <v>BR_IMC_DSY_LANCH_ND_NC_2020Q3AUG_NVS_Nivus-Launch-Consideracao-Orca</v>
      </c>
      <c r="AQ303" s="21" t="str">
        <f t="shared" si="153"/>
        <v>___nvl-nvs-imc-dsy-0820-10303</v>
      </c>
      <c r="AR303" s="15" t="s">
        <v>745</v>
      </c>
      <c r="AS303" s="21" t="str">
        <f t="shared" si="154"/>
        <v>?utm_source=0&amp;utm_medium=0&amp;utm_content=___nvl-nvs-imc-dsy-0820-10303&amp;utm_campaign=BR_IMC_DSY_LANCH_ND_NC_2020Q3AUG_NVS_Nivus-Launch-Consideracao-Orca&amp;utm_term=%epid!_%ecid!_%eaid!</v>
      </c>
      <c r="AT303" s="15" t="str">
        <f t="shared" si="155"/>
        <v/>
      </c>
      <c r="AU303" s="15" t="str">
        <f t="shared" si="156"/>
        <v>BR</v>
      </c>
      <c r="AV303" s="15" t="str">
        <f t="shared" si="157"/>
        <v/>
      </c>
      <c r="AW303" s="15" t="str">
        <f t="shared" si="158"/>
        <v/>
      </c>
      <c r="AX303" s="15" t="str">
        <f t="shared" si="159"/>
        <v>nivus-launch-consideracao-orca</v>
      </c>
      <c r="AY303" s="15" t="str">
        <f t="shared" si="160"/>
        <v>___nvl-nvs-imc-dsy-0820-10303</v>
      </c>
      <c r="AZ303" s="15" t="str">
        <f t="shared" si="161"/>
        <v/>
      </c>
      <c r="BA303" s="15" t="str">
        <f t="shared" si="162"/>
        <v/>
      </c>
      <c r="BB303" s="28" t="s">
        <v>798</v>
      </c>
      <c r="BC303" s="28" t="s">
        <v>798</v>
      </c>
      <c r="BD303" s="38" t="str">
        <f t="shared" si="163"/>
        <v>nvl-nvs-imc-dsy-0820-10303</v>
      </c>
      <c r="BE303" s="15" t="str">
        <f t="shared" si="164"/>
        <v>BR</v>
      </c>
      <c r="BF303" s="15" t="str">
        <f t="shared" si="165"/>
        <v/>
      </c>
      <c r="BG303" s="28"/>
      <c r="BH303" s="28"/>
      <c r="BI303" s="36" t="str">
        <f t="shared" si="166"/>
        <v>?adlid=nvl-nvs-imc-dsy-0820-10303&amp;adplt=___nvl-nvs-imc-dsy-0820-10303</v>
      </c>
    </row>
    <row r="304" spans="2:61" ht="15.75" customHeight="1" x14ac:dyDescent="0.25">
      <c r="H304" s="41"/>
      <c r="W304" s="15"/>
      <c r="X304" s="15"/>
      <c r="AH304" s="15" t="e">
        <f t="shared" si="122"/>
        <v>#N/A</v>
      </c>
      <c r="AI304" s="21" t="str">
        <f t="shared" si="146"/>
        <v>___nvl-nvs-imc-dsy-0820-10304</v>
      </c>
      <c r="AJ304" s="40" t="str">
        <f t="shared" si="147"/>
        <v>___nvl-nvs-imc-dsy-0820-10304</v>
      </c>
      <c r="AK304" s="21" t="str">
        <f t="shared" si="148"/>
        <v>vw_nivus__-adserver</v>
      </c>
      <c r="AL304" s="21" t="str">
        <f t="shared" si="149"/>
        <v>?adlid=nvl-nvs-imc-dsy-0820-10304&amp;adplt=___nvl-nvs-imc-dsy-0820-10304</v>
      </c>
      <c r="AM304" s="21" t="str">
        <f t="shared" si="150"/>
        <v>TAG</v>
      </c>
      <c r="AN304" s="15">
        <f t="shared" si="151"/>
        <v>0</v>
      </c>
      <c r="AO304" s="15">
        <f t="shared" si="152"/>
        <v>0</v>
      </c>
      <c r="AP304" s="21" t="str">
        <f>Campanha!$B$3</f>
        <v>BR_IMC_DSY_LANCH_ND_NC_2020Q3AUG_NVS_Nivus-Launch-Consideracao-Orca</v>
      </c>
      <c r="AQ304" s="21" t="str">
        <f t="shared" si="153"/>
        <v>___nvl-nvs-imc-dsy-0820-10304</v>
      </c>
      <c r="AR304" s="15" t="s">
        <v>745</v>
      </c>
      <c r="AS304" s="21" t="str">
        <f t="shared" si="154"/>
        <v>?utm_source=0&amp;utm_medium=0&amp;utm_content=___nvl-nvs-imc-dsy-0820-10304&amp;utm_campaign=BR_IMC_DSY_LANCH_ND_NC_2020Q3AUG_NVS_Nivus-Launch-Consideracao-Orca&amp;utm_term=%epid!_%ecid!_%eaid!</v>
      </c>
      <c r="AT304" s="15" t="str">
        <f t="shared" si="155"/>
        <v/>
      </c>
      <c r="AU304" s="15" t="str">
        <f t="shared" si="156"/>
        <v>BR</v>
      </c>
      <c r="AV304" s="15" t="str">
        <f t="shared" si="157"/>
        <v/>
      </c>
      <c r="AW304" s="15" t="str">
        <f t="shared" si="158"/>
        <v/>
      </c>
      <c r="AX304" s="15" t="str">
        <f t="shared" si="159"/>
        <v>nivus-launch-consideracao-orca</v>
      </c>
      <c r="AY304" s="15" t="str">
        <f t="shared" si="160"/>
        <v>___nvl-nvs-imc-dsy-0820-10304</v>
      </c>
      <c r="AZ304" s="15" t="str">
        <f t="shared" si="161"/>
        <v/>
      </c>
      <c r="BA304" s="15" t="str">
        <f t="shared" si="162"/>
        <v/>
      </c>
      <c r="BB304" s="28" t="s">
        <v>798</v>
      </c>
      <c r="BC304" s="28" t="s">
        <v>798</v>
      </c>
      <c r="BD304" s="38" t="str">
        <f t="shared" si="163"/>
        <v>nvl-nvs-imc-dsy-0820-10304</v>
      </c>
      <c r="BE304" s="15" t="str">
        <f t="shared" si="164"/>
        <v>BR</v>
      </c>
      <c r="BF304" s="15" t="str">
        <f t="shared" si="165"/>
        <v/>
      </c>
      <c r="BG304" s="28"/>
      <c r="BH304" s="28"/>
      <c r="BI304" s="36" t="str">
        <f t="shared" si="166"/>
        <v>?adlid=nvl-nvs-imc-dsy-0820-10304&amp;adplt=___nvl-nvs-imc-dsy-0820-10304</v>
      </c>
    </row>
    <row r="305" spans="8:61" ht="15.75" customHeight="1" x14ac:dyDescent="0.25">
      <c r="H305" s="41"/>
      <c r="W305" s="15"/>
      <c r="X305" s="15"/>
      <c r="AH305" s="15" t="e">
        <f t="shared" si="122"/>
        <v>#N/A</v>
      </c>
      <c r="AI305" s="21" t="str">
        <f t="shared" si="146"/>
        <v>___nvl-nvs-imc-dsy-0820-10305</v>
      </c>
      <c r="AJ305" s="40" t="str">
        <f t="shared" si="147"/>
        <v>___nvl-nvs-imc-dsy-0820-10305</v>
      </c>
      <c r="AK305" s="21" t="str">
        <f t="shared" si="148"/>
        <v>vw_nivus__-adserver</v>
      </c>
      <c r="AL305" s="21" t="str">
        <f t="shared" si="149"/>
        <v>?adlid=nvl-nvs-imc-dsy-0820-10305&amp;adplt=___nvl-nvs-imc-dsy-0820-10305</v>
      </c>
      <c r="AM305" s="21" t="str">
        <f t="shared" si="150"/>
        <v>TAG</v>
      </c>
      <c r="AN305" s="15">
        <f t="shared" si="151"/>
        <v>0</v>
      </c>
      <c r="AO305" s="15">
        <f t="shared" si="152"/>
        <v>0</v>
      </c>
      <c r="AP305" s="21" t="str">
        <f>Campanha!$B$3</f>
        <v>BR_IMC_DSY_LANCH_ND_NC_2020Q3AUG_NVS_Nivus-Launch-Consideracao-Orca</v>
      </c>
      <c r="AQ305" s="21" t="str">
        <f t="shared" si="153"/>
        <v>___nvl-nvs-imc-dsy-0820-10305</v>
      </c>
      <c r="AR305" s="15" t="s">
        <v>745</v>
      </c>
      <c r="AS305" s="21" t="str">
        <f t="shared" si="154"/>
        <v>?utm_source=0&amp;utm_medium=0&amp;utm_content=___nvl-nvs-imc-dsy-0820-10305&amp;utm_campaign=BR_IMC_DSY_LANCH_ND_NC_2020Q3AUG_NVS_Nivus-Launch-Consideracao-Orca&amp;utm_term=%epid!_%ecid!_%eaid!</v>
      </c>
      <c r="AT305" s="15" t="str">
        <f t="shared" si="155"/>
        <v/>
      </c>
      <c r="AU305" s="15" t="str">
        <f t="shared" si="156"/>
        <v>BR</v>
      </c>
      <c r="AV305" s="15" t="str">
        <f t="shared" si="157"/>
        <v/>
      </c>
      <c r="AW305" s="15" t="str">
        <f t="shared" si="158"/>
        <v/>
      </c>
      <c r="AX305" s="15" t="str">
        <f t="shared" si="159"/>
        <v>nivus-launch-consideracao-orca</v>
      </c>
      <c r="AY305" s="15" t="str">
        <f t="shared" si="160"/>
        <v>___nvl-nvs-imc-dsy-0820-10305</v>
      </c>
      <c r="AZ305" s="15" t="str">
        <f t="shared" si="161"/>
        <v/>
      </c>
      <c r="BA305" s="15" t="str">
        <f t="shared" si="162"/>
        <v/>
      </c>
      <c r="BB305" s="28" t="s">
        <v>798</v>
      </c>
      <c r="BC305" s="28" t="s">
        <v>798</v>
      </c>
      <c r="BD305" s="38" t="str">
        <f t="shared" si="163"/>
        <v>nvl-nvs-imc-dsy-0820-10305</v>
      </c>
      <c r="BE305" s="15" t="str">
        <f t="shared" si="164"/>
        <v>BR</v>
      </c>
      <c r="BF305" s="15" t="str">
        <f t="shared" si="165"/>
        <v/>
      </c>
      <c r="BG305" s="28"/>
      <c r="BH305" s="28"/>
      <c r="BI305" s="36" t="str">
        <f t="shared" si="166"/>
        <v>?adlid=nvl-nvs-imc-dsy-0820-10305&amp;adplt=___nvl-nvs-imc-dsy-0820-10305</v>
      </c>
    </row>
    <row r="306" spans="8:61" ht="15.75" customHeight="1" x14ac:dyDescent="0.25">
      <c r="H306" s="41"/>
      <c r="W306" s="15"/>
      <c r="X306" s="15"/>
      <c r="AH306" s="15" t="e">
        <f t="shared" si="122"/>
        <v>#N/A</v>
      </c>
      <c r="AI306" s="21" t="str">
        <f t="shared" si="146"/>
        <v>___nvl-nvs-imc-dsy-0820-10306</v>
      </c>
      <c r="AJ306" s="40" t="str">
        <f t="shared" si="147"/>
        <v>___nvl-nvs-imc-dsy-0820-10306</v>
      </c>
      <c r="AK306" s="21" t="str">
        <f t="shared" si="148"/>
        <v>vw_nivus__-adserver</v>
      </c>
      <c r="AL306" s="21" t="str">
        <f t="shared" si="149"/>
        <v>?adlid=nvl-nvs-imc-dsy-0820-10306&amp;adplt=___nvl-nvs-imc-dsy-0820-10306</v>
      </c>
      <c r="AM306" s="21" t="str">
        <f t="shared" si="150"/>
        <v>TAG</v>
      </c>
      <c r="AN306" s="15">
        <f t="shared" si="151"/>
        <v>0</v>
      </c>
      <c r="AO306" s="15">
        <f t="shared" si="152"/>
        <v>0</v>
      </c>
      <c r="AP306" s="21" t="str">
        <f>Campanha!$B$3</f>
        <v>BR_IMC_DSY_LANCH_ND_NC_2020Q3AUG_NVS_Nivus-Launch-Consideracao-Orca</v>
      </c>
      <c r="AQ306" s="21" t="str">
        <f t="shared" si="153"/>
        <v>___nvl-nvs-imc-dsy-0820-10306</v>
      </c>
      <c r="AR306" s="15" t="s">
        <v>745</v>
      </c>
      <c r="AS306" s="21" t="str">
        <f t="shared" si="154"/>
        <v>?utm_source=0&amp;utm_medium=0&amp;utm_content=___nvl-nvs-imc-dsy-0820-10306&amp;utm_campaign=BR_IMC_DSY_LANCH_ND_NC_2020Q3AUG_NVS_Nivus-Launch-Consideracao-Orca&amp;utm_term=%epid!_%ecid!_%eaid!</v>
      </c>
      <c r="AT306" s="15" t="str">
        <f t="shared" si="155"/>
        <v/>
      </c>
      <c r="AU306" s="15" t="str">
        <f t="shared" si="156"/>
        <v>BR</v>
      </c>
      <c r="AV306" s="15" t="str">
        <f t="shared" si="157"/>
        <v/>
      </c>
      <c r="AW306" s="15" t="str">
        <f t="shared" si="158"/>
        <v/>
      </c>
      <c r="AX306" s="15" t="str">
        <f t="shared" si="159"/>
        <v>nivus-launch-consideracao-orca</v>
      </c>
      <c r="AY306" s="15" t="str">
        <f t="shared" si="160"/>
        <v>___nvl-nvs-imc-dsy-0820-10306</v>
      </c>
      <c r="AZ306" s="15" t="str">
        <f t="shared" si="161"/>
        <v/>
      </c>
      <c r="BA306" s="15" t="str">
        <f t="shared" si="162"/>
        <v/>
      </c>
      <c r="BB306" s="28" t="s">
        <v>798</v>
      </c>
      <c r="BC306" s="28" t="s">
        <v>798</v>
      </c>
      <c r="BD306" s="38" t="str">
        <f t="shared" si="163"/>
        <v>nvl-nvs-imc-dsy-0820-10306</v>
      </c>
      <c r="BE306" s="15" t="str">
        <f t="shared" si="164"/>
        <v>BR</v>
      </c>
      <c r="BF306" s="15" t="str">
        <f t="shared" si="165"/>
        <v/>
      </c>
      <c r="BG306" s="28"/>
      <c r="BH306" s="28"/>
      <c r="BI306" s="36" t="str">
        <f t="shared" si="166"/>
        <v>?adlid=nvl-nvs-imc-dsy-0820-10306&amp;adplt=___nvl-nvs-imc-dsy-0820-10306</v>
      </c>
    </row>
    <row r="307" spans="8:61" ht="15.75" customHeight="1" x14ac:dyDescent="0.25">
      <c r="H307" s="41"/>
      <c r="W307" s="15"/>
      <c r="X307" s="15"/>
      <c r="AH307" s="15" t="e">
        <f t="shared" si="122"/>
        <v>#N/A</v>
      </c>
      <c r="AI307" s="21" t="str">
        <f t="shared" si="146"/>
        <v>___nvl-nvs-imc-dsy-0820-10307</v>
      </c>
      <c r="AJ307" s="40" t="str">
        <f t="shared" si="147"/>
        <v>___nvl-nvs-imc-dsy-0820-10307</v>
      </c>
      <c r="AK307" s="21" t="str">
        <f t="shared" si="148"/>
        <v>vw_nivus__-adserver</v>
      </c>
      <c r="AL307" s="21" t="str">
        <f t="shared" si="149"/>
        <v>?adlid=nvl-nvs-imc-dsy-0820-10307&amp;adplt=___nvl-nvs-imc-dsy-0820-10307</v>
      </c>
      <c r="AM307" s="21" t="str">
        <f t="shared" si="150"/>
        <v>TAG</v>
      </c>
      <c r="AN307" s="15">
        <f t="shared" si="151"/>
        <v>0</v>
      </c>
      <c r="AO307" s="15">
        <f t="shared" si="152"/>
        <v>0</v>
      </c>
      <c r="AP307" s="21" t="str">
        <f>Campanha!$B$3</f>
        <v>BR_IMC_DSY_LANCH_ND_NC_2020Q3AUG_NVS_Nivus-Launch-Consideracao-Orca</v>
      </c>
      <c r="AQ307" s="21" t="str">
        <f t="shared" si="153"/>
        <v>___nvl-nvs-imc-dsy-0820-10307</v>
      </c>
      <c r="AR307" s="15" t="s">
        <v>745</v>
      </c>
      <c r="AS307" s="21" t="str">
        <f t="shared" si="154"/>
        <v>?utm_source=0&amp;utm_medium=0&amp;utm_content=___nvl-nvs-imc-dsy-0820-10307&amp;utm_campaign=BR_IMC_DSY_LANCH_ND_NC_2020Q3AUG_NVS_Nivus-Launch-Consideracao-Orca&amp;utm_term=%epid!_%ecid!_%eaid!</v>
      </c>
      <c r="AT307" s="15" t="str">
        <f t="shared" si="155"/>
        <v/>
      </c>
      <c r="AU307" s="15" t="str">
        <f t="shared" si="156"/>
        <v>BR</v>
      </c>
      <c r="AV307" s="15" t="str">
        <f t="shared" si="157"/>
        <v/>
      </c>
      <c r="AW307" s="15" t="str">
        <f t="shared" si="158"/>
        <v/>
      </c>
      <c r="AX307" s="15" t="str">
        <f t="shared" si="159"/>
        <v>nivus-launch-consideracao-orca</v>
      </c>
      <c r="AY307" s="15" t="str">
        <f t="shared" si="160"/>
        <v>___nvl-nvs-imc-dsy-0820-10307</v>
      </c>
      <c r="AZ307" s="15" t="str">
        <f t="shared" si="161"/>
        <v/>
      </c>
      <c r="BA307" s="15" t="str">
        <f t="shared" si="162"/>
        <v/>
      </c>
      <c r="BB307" s="28" t="s">
        <v>798</v>
      </c>
      <c r="BC307" s="28" t="s">
        <v>798</v>
      </c>
      <c r="BD307" s="38" t="str">
        <f t="shared" si="163"/>
        <v>nvl-nvs-imc-dsy-0820-10307</v>
      </c>
      <c r="BE307" s="15" t="str">
        <f t="shared" si="164"/>
        <v>BR</v>
      </c>
      <c r="BF307" s="15" t="str">
        <f t="shared" si="165"/>
        <v/>
      </c>
      <c r="BG307" s="28"/>
      <c r="BH307" s="28"/>
      <c r="BI307" s="36" t="str">
        <f t="shared" si="166"/>
        <v>?adlid=nvl-nvs-imc-dsy-0820-10307&amp;adplt=___nvl-nvs-imc-dsy-0820-10307</v>
      </c>
    </row>
    <row r="308" spans="8:61" ht="15.75" customHeight="1" x14ac:dyDescent="0.25">
      <c r="H308" s="41"/>
      <c r="W308" s="15"/>
      <c r="X308" s="15"/>
      <c r="AH308" s="15" t="e">
        <f t="shared" si="122"/>
        <v>#N/A</v>
      </c>
      <c r="AI308" s="21" t="str">
        <f t="shared" si="146"/>
        <v>___nvl-nvs-imc-dsy-0820-10308</v>
      </c>
      <c r="AJ308" s="40" t="str">
        <f t="shared" si="147"/>
        <v>___nvl-nvs-imc-dsy-0820-10308</v>
      </c>
      <c r="AK308" s="21" t="str">
        <f t="shared" si="148"/>
        <v>vw_nivus__-adserver</v>
      </c>
      <c r="AL308" s="21" t="str">
        <f t="shared" si="149"/>
        <v>?adlid=nvl-nvs-imc-dsy-0820-10308&amp;adplt=___nvl-nvs-imc-dsy-0820-10308</v>
      </c>
      <c r="AM308" s="21" t="str">
        <f t="shared" si="150"/>
        <v>TAG</v>
      </c>
      <c r="AN308" s="15">
        <f t="shared" si="151"/>
        <v>0</v>
      </c>
      <c r="AO308" s="15">
        <f t="shared" si="152"/>
        <v>0</v>
      </c>
      <c r="AP308" s="21" t="str">
        <f>Campanha!$B$3</f>
        <v>BR_IMC_DSY_LANCH_ND_NC_2020Q3AUG_NVS_Nivus-Launch-Consideracao-Orca</v>
      </c>
      <c r="AQ308" s="21" t="str">
        <f t="shared" si="153"/>
        <v>___nvl-nvs-imc-dsy-0820-10308</v>
      </c>
      <c r="AR308" s="15" t="s">
        <v>745</v>
      </c>
      <c r="AS308" s="21" t="str">
        <f t="shared" si="154"/>
        <v>?utm_source=0&amp;utm_medium=0&amp;utm_content=___nvl-nvs-imc-dsy-0820-10308&amp;utm_campaign=BR_IMC_DSY_LANCH_ND_NC_2020Q3AUG_NVS_Nivus-Launch-Consideracao-Orca&amp;utm_term=%epid!_%ecid!_%eaid!</v>
      </c>
      <c r="AT308" s="15" t="str">
        <f t="shared" si="155"/>
        <v/>
      </c>
      <c r="AU308" s="15" t="str">
        <f t="shared" si="156"/>
        <v>BR</v>
      </c>
      <c r="AV308" s="15" t="str">
        <f t="shared" si="157"/>
        <v/>
      </c>
      <c r="AW308" s="15" t="str">
        <f t="shared" si="158"/>
        <v/>
      </c>
      <c r="AX308" s="15" t="str">
        <f t="shared" si="159"/>
        <v>nivus-launch-consideracao-orca</v>
      </c>
      <c r="AY308" s="15" t="str">
        <f t="shared" si="160"/>
        <v>___nvl-nvs-imc-dsy-0820-10308</v>
      </c>
      <c r="AZ308" s="15" t="str">
        <f t="shared" si="161"/>
        <v/>
      </c>
      <c r="BA308" s="15" t="str">
        <f t="shared" si="162"/>
        <v/>
      </c>
      <c r="BB308" s="28" t="s">
        <v>798</v>
      </c>
      <c r="BC308" s="28" t="s">
        <v>798</v>
      </c>
      <c r="BD308" s="38" t="str">
        <f t="shared" si="163"/>
        <v>nvl-nvs-imc-dsy-0820-10308</v>
      </c>
      <c r="BE308" s="15" t="str">
        <f t="shared" si="164"/>
        <v>BR</v>
      </c>
      <c r="BF308" s="15" t="str">
        <f t="shared" si="165"/>
        <v/>
      </c>
      <c r="BG308" s="28"/>
      <c r="BH308" s="28"/>
      <c r="BI308" s="36" t="str">
        <f t="shared" si="166"/>
        <v>?adlid=nvl-nvs-imc-dsy-0820-10308&amp;adplt=___nvl-nvs-imc-dsy-0820-10308</v>
      </c>
    </row>
    <row r="309" spans="8:61" ht="15.75" customHeight="1" x14ac:dyDescent="0.25">
      <c r="H309" s="41"/>
      <c r="W309" s="15"/>
      <c r="X309" s="15"/>
      <c r="AH309" s="15" t="e">
        <f t="shared" ref="AH309:AH359" si="167">VLOOKUP(AI309,id_placement,2,FALSE)</f>
        <v>#N/A</v>
      </c>
      <c r="AI309" s="21" t="str">
        <f t="shared" si="146"/>
        <v>___nvl-nvs-imc-dsy-0820-10309</v>
      </c>
      <c r="AJ309" s="40" t="str">
        <f t="shared" si="147"/>
        <v>___nvl-nvs-imc-dsy-0820-10309</v>
      </c>
      <c r="AK309" s="21" t="str">
        <f t="shared" ref="AK309:AK359" si="168">LOWER(faxineiro(CONCATENATE("VW","_",cel_modelvariant,"_",col_size,"_",col_localfreetype,"-",IF(col_servidopor="portal",col_supplier,"adserver"))))</f>
        <v>vw_nivus__-adserver</v>
      </c>
      <c r="AL309" s="21" t="str">
        <f t="shared" ref="AL309:AL359" si="169">IF(col_parametrizacao="GA",AS309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309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?adlid=nvl-nvs-imc-dsy-0820-10309&amp;adplt=___nvl-nvs-imc-dsy-0820-10309</v>
      </c>
      <c r="AM309" s="21" t="str">
        <f t="shared" ref="AM309:AM359" si="170">IFERROR(IF(col_servidopor="portal",VLOOKUP(col_placement,tab_contadores,2,FALSE),"TAG"),"Contador")</f>
        <v>TAG</v>
      </c>
      <c r="AN309" s="15">
        <f t="shared" ref="AN309:AN359" si="171">J309</f>
        <v>0</v>
      </c>
      <c r="AO309" s="15">
        <f t="shared" ref="AO309:AO359" si="172">L309</f>
        <v>0</v>
      </c>
      <c r="AP309" s="21" t="str">
        <f>Campanha!$B$3</f>
        <v>BR_IMC_DSY_LANCH_ND_NC_2020Q3AUG_NVS_Nivus-Launch-Consideracao-Orca</v>
      </c>
      <c r="AQ309" s="21" t="str">
        <f t="shared" ref="AQ309:AQ359" si="173">col_adname</f>
        <v>___nvl-nvs-imc-dsy-0820-10309</v>
      </c>
      <c r="AR309" s="15" t="s">
        <v>745</v>
      </c>
      <c r="AS309" s="21" t="str">
        <f t="shared" si="154"/>
        <v>?utm_source=0&amp;utm_medium=0&amp;utm_content=___nvl-nvs-imc-dsy-0820-10309&amp;utm_campaign=BR_IMC_DSY_LANCH_ND_NC_2020Q3AUG_NVS_Nivus-Launch-Consideracao-Orca&amp;utm_term=%epid!_%ecid!_%eaid!</v>
      </c>
      <c r="AT309" s="15" t="str">
        <f t="shared" ref="AT309:AT359" si="174">LOWER(Q309)</f>
        <v/>
      </c>
      <c r="AU309" s="15" t="str">
        <f t="shared" ref="AU309:AU359" si="175">VLOOKUP(cel_country,tab_country,2,FALSE)</f>
        <v>BR</v>
      </c>
      <c r="AV309" s="15" t="str">
        <f t="shared" ref="AV309:AV359" si="176">LOWER(K309)</f>
        <v/>
      </c>
      <c r="AW309" s="15" t="str">
        <f t="shared" ref="AW309:AW359" si="177">LOWER(J309)</f>
        <v/>
      </c>
      <c r="AX309" s="15" t="str">
        <f t="shared" ref="AX309:AX359" si="178">LOWER(cel_campaing)</f>
        <v>nivus-launch-consideracao-orca</v>
      </c>
      <c r="AY309" s="15" t="str">
        <f t="shared" si="160"/>
        <v>___nvl-nvs-imc-dsy-0820-10309</v>
      </c>
      <c r="AZ309" s="15" t="str">
        <f t="shared" si="161"/>
        <v/>
      </c>
      <c r="BA309" s="15" t="str">
        <f t="shared" ref="BA309:BA359" si="179">LOWER(T309)</f>
        <v/>
      </c>
      <c r="BB309" s="28" t="s">
        <v>798</v>
      </c>
      <c r="BC309" s="28" t="s">
        <v>798</v>
      </c>
      <c r="BD309" s="38" t="str">
        <f t="shared" ref="BD309:BD359" si="180">LOWER(CONCATENATE(cel_idcampaign,"-",SUM(10000+ROW(A309))))</f>
        <v>nvl-nvs-imc-dsy-0820-10309</v>
      </c>
      <c r="BE309" s="15" t="str">
        <f t="shared" si="164"/>
        <v>BR</v>
      </c>
      <c r="BF309" s="15" t="str">
        <f t="shared" si="165"/>
        <v/>
      </c>
      <c r="BG309" s="28"/>
      <c r="BH309" s="28"/>
      <c r="BI309" s="36" t="str">
        <f t="shared" ref="BI309:BI359" si="181">faxineiro(CONCATENATE(col_url,IF(ISNUMBER(FIND("?",col_url)),"&amp;","?"),CONCATENATE("adlid=",col_adlid,"&amp;adplt=",adplt)))</f>
        <v>?adlid=nvl-nvs-imc-dsy-0820-10309&amp;adplt=___nvl-nvs-imc-dsy-0820-10309</v>
      </c>
    </row>
    <row r="310" spans="8:61" ht="15.75" customHeight="1" x14ac:dyDescent="0.25">
      <c r="H310" s="41"/>
      <c r="W310" s="15"/>
      <c r="X310" s="15"/>
      <c r="AH310" s="15" t="e">
        <f t="shared" si="167"/>
        <v>#N/A</v>
      </c>
      <c r="AI310" s="21" t="str">
        <f t="shared" si="146"/>
        <v>___nvl-nvs-imc-dsy-0820-10310</v>
      </c>
      <c r="AJ310" s="40" t="str">
        <f t="shared" si="147"/>
        <v>___nvl-nvs-imc-dsy-0820-10310</v>
      </c>
      <c r="AK310" s="21" t="str">
        <f t="shared" si="168"/>
        <v>vw_nivus__-adserver</v>
      </c>
      <c r="AL310" s="21" t="str">
        <f t="shared" si="169"/>
        <v>?adlid=nvl-nvs-imc-dsy-0820-10310&amp;adplt=___nvl-nvs-imc-dsy-0820-10310</v>
      </c>
      <c r="AM310" s="21" t="str">
        <f t="shared" si="170"/>
        <v>TAG</v>
      </c>
      <c r="AN310" s="15">
        <f t="shared" si="171"/>
        <v>0</v>
      </c>
      <c r="AO310" s="15">
        <f t="shared" si="172"/>
        <v>0</v>
      </c>
      <c r="AP310" s="21" t="str">
        <f>Campanha!$B$3</f>
        <v>BR_IMC_DSY_LANCH_ND_NC_2020Q3AUG_NVS_Nivus-Launch-Consideracao-Orca</v>
      </c>
      <c r="AQ310" s="21" t="str">
        <f t="shared" si="173"/>
        <v>___nvl-nvs-imc-dsy-0820-10310</v>
      </c>
      <c r="AR310" s="15" t="s">
        <v>745</v>
      </c>
      <c r="AS310" s="21" t="str">
        <f t="shared" si="154"/>
        <v>?utm_source=0&amp;utm_medium=0&amp;utm_content=___nvl-nvs-imc-dsy-0820-10310&amp;utm_campaign=BR_IMC_DSY_LANCH_ND_NC_2020Q3AUG_NVS_Nivus-Launch-Consideracao-Orca&amp;utm_term=%epid!_%ecid!_%eaid!</v>
      </c>
      <c r="AT310" s="15" t="str">
        <f t="shared" si="174"/>
        <v/>
      </c>
      <c r="AU310" s="15" t="str">
        <f t="shared" si="175"/>
        <v>BR</v>
      </c>
      <c r="AV310" s="15" t="str">
        <f t="shared" si="176"/>
        <v/>
      </c>
      <c r="AW310" s="15" t="str">
        <f t="shared" si="177"/>
        <v/>
      </c>
      <c r="AX310" s="15" t="str">
        <f t="shared" si="178"/>
        <v>nivus-launch-consideracao-orca</v>
      </c>
      <c r="AY310" s="15" t="str">
        <f t="shared" si="160"/>
        <v>___nvl-nvs-imc-dsy-0820-10310</v>
      </c>
      <c r="AZ310" s="15" t="str">
        <f t="shared" si="161"/>
        <v/>
      </c>
      <c r="BA310" s="15" t="str">
        <f t="shared" si="179"/>
        <v/>
      </c>
      <c r="BB310" s="28" t="s">
        <v>798</v>
      </c>
      <c r="BC310" s="28" t="s">
        <v>798</v>
      </c>
      <c r="BD310" s="38" t="str">
        <f t="shared" si="180"/>
        <v>nvl-nvs-imc-dsy-0820-10310</v>
      </c>
      <c r="BE310" s="15" t="str">
        <f t="shared" si="164"/>
        <v>BR</v>
      </c>
      <c r="BF310" s="15" t="str">
        <f t="shared" si="165"/>
        <v/>
      </c>
      <c r="BG310" s="28"/>
      <c r="BH310" s="28"/>
      <c r="BI310" s="36" t="str">
        <f t="shared" si="181"/>
        <v>?adlid=nvl-nvs-imc-dsy-0820-10310&amp;adplt=___nvl-nvs-imc-dsy-0820-10310</v>
      </c>
    </row>
    <row r="311" spans="8:61" ht="15.75" customHeight="1" x14ac:dyDescent="0.25">
      <c r="H311" s="41"/>
      <c r="W311" s="15"/>
      <c r="X311" s="15"/>
      <c r="AH311" s="15" t="e">
        <f t="shared" si="167"/>
        <v>#N/A</v>
      </c>
      <c r="AI311" s="21" t="str">
        <f t="shared" si="146"/>
        <v>___nvl-nvs-imc-dsy-0820-10311</v>
      </c>
      <c r="AJ311" s="40" t="str">
        <f t="shared" si="147"/>
        <v>___nvl-nvs-imc-dsy-0820-10311</v>
      </c>
      <c r="AK311" s="21" t="str">
        <f t="shared" si="168"/>
        <v>vw_nivus__-adserver</v>
      </c>
      <c r="AL311" s="21" t="str">
        <f t="shared" si="169"/>
        <v>?adlid=nvl-nvs-imc-dsy-0820-10311&amp;adplt=___nvl-nvs-imc-dsy-0820-10311</v>
      </c>
      <c r="AM311" s="21" t="str">
        <f t="shared" si="170"/>
        <v>TAG</v>
      </c>
      <c r="AN311" s="15">
        <f t="shared" si="171"/>
        <v>0</v>
      </c>
      <c r="AO311" s="15">
        <f t="shared" si="172"/>
        <v>0</v>
      </c>
      <c r="AP311" s="21" t="str">
        <f>Campanha!$B$3</f>
        <v>BR_IMC_DSY_LANCH_ND_NC_2020Q3AUG_NVS_Nivus-Launch-Consideracao-Orca</v>
      </c>
      <c r="AQ311" s="21" t="str">
        <f t="shared" si="173"/>
        <v>___nvl-nvs-imc-dsy-0820-10311</v>
      </c>
      <c r="AR311" s="15" t="s">
        <v>745</v>
      </c>
      <c r="AS311" s="21" t="str">
        <f t="shared" si="154"/>
        <v>?utm_source=0&amp;utm_medium=0&amp;utm_content=___nvl-nvs-imc-dsy-0820-10311&amp;utm_campaign=BR_IMC_DSY_LANCH_ND_NC_2020Q3AUG_NVS_Nivus-Launch-Consideracao-Orca&amp;utm_term=%epid!_%ecid!_%eaid!</v>
      </c>
      <c r="AT311" s="15" t="str">
        <f t="shared" si="174"/>
        <v/>
      </c>
      <c r="AU311" s="15" t="str">
        <f t="shared" si="175"/>
        <v>BR</v>
      </c>
      <c r="AV311" s="15" t="str">
        <f t="shared" si="176"/>
        <v/>
      </c>
      <c r="AW311" s="15" t="str">
        <f t="shared" si="177"/>
        <v/>
      </c>
      <c r="AX311" s="15" t="str">
        <f t="shared" si="178"/>
        <v>nivus-launch-consideracao-orca</v>
      </c>
      <c r="AY311" s="15" t="str">
        <f t="shared" si="160"/>
        <v>___nvl-nvs-imc-dsy-0820-10311</v>
      </c>
      <c r="AZ311" s="15" t="str">
        <f t="shared" si="161"/>
        <v/>
      </c>
      <c r="BA311" s="15" t="str">
        <f t="shared" si="179"/>
        <v/>
      </c>
      <c r="BB311" s="28" t="s">
        <v>798</v>
      </c>
      <c r="BC311" s="28" t="s">
        <v>798</v>
      </c>
      <c r="BD311" s="38" t="str">
        <f t="shared" si="180"/>
        <v>nvl-nvs-imc-dsy-0820-10311</v>
      </c>
      <c r="BE311" s="15" t="str">
        <f t="shared" si="164"/>
        <v>BR</v>
      </c>
      <c r="BF311" s="15" t="str">
        <f t="shared" si="165"/>
        <v/>
      </c>
      <c r="BG311" s="28"/>
      <c r="BH311" s="28"/>
      <c r="BI311" s="36" t="str">
        <f t="shared" si="181"/>
        <v>?adlid=nvl-nvs-imc-dsy-0820-10311&amp;adplt=___nvl-nvs-imc-dsy-0820-10311</v>
      </c>
    </row>
    <row r="312" spans="8:61" ht="15.75" customHeight="1" x14ac:dyDescent="0.25">
      <c r="H312" s="41"/>
      <c r="W312" s="15"/>
      <c r="X312" s="15"/>
      <c r="AH312" s="15" t="e">
        <f t="shared" si="167"/>
        <v>#N/A</v>
      </c>
      <c r="AI312" s="21" t="str">
        <f t="shared" si="146"/>
        <v>___nvl-nvs-imc-dsy-0820-10312</v>
      </c>
      <c r="AJ312" s="40" t="str">
        <f t="shared" si="147"/>
        <v>___nvl-nvs-imc-dsy-0820-10312</v>
      </c>
      <c r="AK312" s="21" t="str">
        <f t="shared" si="168"/>
        <v>vw_nivus__-adserver</v>
      </c>
      <c r="AL312" s="21" t="str">
        <f t="shared" si="169"/>
        <v>?adlid=nvl-nvs-imc-dsy-0820-10312&amp;adplt=___nvl-nvs-imc-dsy-0820-10312</v>
      </c>
      <c r="AM312" s="21" t="str">
        <f t="shared" si="170"/>
        <v>TAG</v>
      </c>
      <c r="AN312" s="15">
        <f t="shared" si="171"/>
        <v>0</v>
      </c>
      <c r="AO312" s="15">
        <f t="shared" si="172"/>
        <v>0</v>
      </c>
      <c r="AP312" s="21" t="str">
        <f>Campanha!$B$3</f>
        <v>BR_IMC_DSY_LANCH_ND_NC_2020Q3AUG_NVS_Nivus-Launch-Consideracao-Orca</v>
      </c>
      <c r="AQ312" s="21" t="str">
        <f t="shared" si="173"/>
        <v>___nvl-nvs-imc-dsy-0820-10312</v>
      </c>
      <c r="AR312" s="15" t="s">
        <v>745</v>
      </c>
      <c r="AS312" s="21" t="str">
        <f t="shared" ref="AS312:AS359" si="182">faxineiro(CONCATENATE(col_url,IF(ISNUMBER(FIND("?",col_url)),"&amp;","?"),"utm_source=",col_utmsource,"&amp;utm_medium=",col_utmmedium,"&amp;utm_content=",col_utmcontent,"&amp;utm_campaign=",col_utmcampaign,"&amp;utm_term=",col_keyword))</f>
        <v>?utm_source=0&amp;utm_medium=0&amp;utm_content=___nvl-nvs-imc-dsy-0820-10312&amp;utm_campaign=BR_IMC_DSY_LANCH_ND_NC_2020Q3AUG_NVS_Nivus-Launch-Consideracao-Orca&amp;utm_term=%epid!_%ecid!_%eaid!</v>
      </c>
      <c r="AT312" s="15" t="str">
        <f t="shared" si="174"/>
        <v/>
      </c>
      <c r="AU312" s="15" t="str">
        <f t="shared" si="175"/>
        <v>BR</v>
      </c>
      <c r="AV312" s="15" t="str">
        <f t="shared" si="176"/>
        <v/>
      </c>
      <c r="AW312" s="15" t="str">
        <f t="shared" si="177"/>
        <v/>
      </c>
      <c r="AX312" s="15" t="str">
        <f t="shared" si="178"/>
        <v>nivus-launch-consideracao-orca</v>
      </c>
      <c r="AY312" s="15" t="str">
        <f t="shared" si="160"/>
        <v>___nvl-nvs-imc-dsy-0820-10312</v>
      </c>
      <c r="AZ312" s="15" t="str">
        <f t="shared" si="161"/>
        <v/>
      </c>
      <c r="BA312" s="15" t="str">
        <f t="shared" si="179"/>
        <v/>
      </c>
      <c r="BB312" s="28" t="s">
        <v>798</v>
      </c>
      <c r="BC312" s="28" t="s">
        <v>798</v>
      </c>
      <c r="BD312" s="38" t="str">
        <f t="shared" si="180"/>
        <v>nvl-nvs-imc-dsy-0820-10312</v>
      </c>
      <c r="BE312" s="15" t="str">
        <f t="shared" si="164"/>
        <v>BR</v>
      </c>
      <c r="BF312" s="15" t="str">
        <f t="shared" si="165"/>
        <v/>
      </c>
      <c r="BG312" s="28"/>
      <c r="BH312" s="28"/>
      <c r="BI312" s="36" t="str">
        <f t="shared" si="181"/>
        <v>?adlid=nvl-nvs-imc-dsy-0820-10312&amp;adplt=___nvl-nvs-imc-dsy-0820-10312</v>
      </c>
    </row>
    <row r="313" spans="8:61" ht="15.75" customHeight="1" x14ac:dyDescent="0.25">
      <c r="H313" s="41"/>
      <c r="W313" s="15"/>
      <c r="X313" s="15"/>
      <c r="AH313" s="15" t="e">
        <f t="shared" si="167"/>
        <v>#N/A</v>
      </c>
      <c r="AI313" s="21" t="str">
        <f t="shared" si="146"/>
        <v>___nvl-nvs-imc-dsy-0820-10313</v>
      </c>
      <c r="AJ313" s="40" t="str">
        <f t="shared" si="147"/>
        <v>___nvl-nvs-imc-dsy-0820-10313</v>
      </c>
      <c r="AK313" s="21" t="str">
        <f t="shared" si="168"/>
        <v>vw_nivus__-adserver</v>
      </c>
      <c r="AL313" s="21" t="str">
        <f t="shared" si="169"/>
        <v>?adlid=nvl-nvs-imc-dsy-0820-10313&amp;adplt=___nvl-nvs-imc-dsy-0820-10313</v>
      </c>
      <c r="AM313" s="21" t="str">
        <f t="shared" si="170"/>
        <v>TAG</v>
      </c>
      <c r="AN313" s="15">
        <f t="shared" si="171"/>
        <v>0</v>
      </c>
      <c r="AO313" s="15">
        <f t="shared" si="172"/>
        <v>0</v>
      </c>
      <c r="AP313" s="21" t="str">
        <f>Campanha!$B$3</f>
        <v>BR_IMC_DSY_LANCH_ND_NC_2020Q3AUG_NVS_Nivus-Launch-Consideracao-Orca</v>
      </c>
      <c r="AQ313" s="21" t="str">
        <f t="shared" si="173"/>
        <v>___nvl-nvs-imc-dsy-0820-10313</v>
      </c>
      <c r="AR313" s="15" t="s">
        <v>745</v>
      </c>
      <c r="AS313" s="21" t="str">
        <f t="shared" si="182"/>
        <v>?utm_source=0&amp;utm_medium=0&amp;utm_content=___nvl-nvs-imc-dsy-0820-10313&amp;utm_campaign=BR_IMC_DSY_LANCH_ND_NC_2020Q3AUG_NVS_Nivus-Launch-Consideracao-Orca&amp;utm_term=%epid!_%ecid!_%eaid!</v>
      </c>
      <c r="AT313" s="15" t="str">
        <f t="shared" si="174"/>
        <v/>
      </c>
      <c r="AU313" s="15" t="str">
        <f t="shared" si="175"/>
        <v>BR</v>
      </c>
      <c r="AV313" s="15" t="str">
        <f t="shared" si="176"/>
        <v/>
      </c>
      <c r="AW313" s="15" t="str">
        <f t="shared" si="177"/>
        <v/>
      </c>
      <c r="AX313" s="15" t="str">
        <f t="shared" si="178"/>
        <v>nivus-launch-consideracao-orca</v>
      </c>
      <c r="AY313" s="15" t="str">
        <f t="shared" si="160"/>
        <v>___nvl-nvs-imc-dsy-0820-10313</v>
      </c>
      <c r="AZ313" s="15" t="str">
        <f t="shared" si="161"/>
        <v/>
      </c>
      <c r="BA313" s="15" t="str">
        <f t="shared" si="179"/>
        <v/>
      </c>
      <c r="BB313" s="28" t="s">
        <v>798</v>
      </c>
      <c r="BC313" s="28" t="s">
        <v>798</v>
      </c>
      <c r="BD313" s="38" t="str">
        <f t="shared" si="180"/>
        <v>nvl-nvs-imc-dsy-0820-10313</v>
      </c>
      <c r="BE313" s="15" t="str">
        <f t="shared" si="164"/>
        <v>BR</v>
      </c>
      <c r="BF313" s="15" t="str">
        <f t="shared" si="165"/>
        <v/>
      </c>
      <c r="BG313" s="28"/>
      <c r="BH313" s="28"/>
      <c r="BI313" s="36" t="str">
        <f t="shared" si="181"/>
        <v>?adlid=nvl-nvs-imc-dsy-0820-10313&amp;adplt=___nvl-nvs-imc-dsy-0820-10313</v>
      </c>
    </row>
    <row r="314" spans="8:61" ht="15.75" customHeight="1" x14ac:dyDescent="0.25">
      <c r="H314" s="41"/>
      <c r="W314" s="15"/>
      <c r="X314" s="15"/>
      <c r="AH314" s="15" t="e">
        <f t="shared" si="167"/>
        <v>#N/A</v>
      </c>
      <c r="AI314" s="21" t="str">
        <f t="shared" si="146"/>
        <v>___nvl-nvs-imc-dsy-0820-10314</v>
      </c>
      <c r="AJ314" s="40" t="str">
        <f t="shared" si="147"/>
        <v>___nvl-nvs-imc-dsy-0820-10314</v>
      </c>
      <c r="AK314" s="21" t="str">
        <f t="shared" si="168"/>
        <v>vw_nivus__-adserver</v>
      </c>
      <c r="AL314" s="21" t="str">
        <f t="shared" si="169"/>
        <v>?adlid=nvl-nvs-imc-dsy-0820-10314&amp;adplt=___nvl-nvs-imc-dsy-0820-10314</v>
      </c>
      <c r="AM314" s="21" t="str">
        <f t="shared" si="170"/>
        <v>TAG</v>
      </c>
      <c r="AN314" s="15">
        <f t="shared" si="171"/>
        <v>0</v>
      </c>
      <c r="AO314" s="15">
        <f t="shared" si="172"/>
        <v>0</v>
      </c>
      <c r="AP314" s="21" t="str">
        <f>Campanha!$B$3</f>
        <v>BR_IMC_DSY_LANCH_ND_NC_2020Q3AUG_NVS_Nivus-Launch-Consideracao-Orca</v>
      </c>
      <c r="AQ314" s="21" t="str">
        <f t="shared" si="173"/>
        <v>___nvl-nvs-imc-dsy-0820-10314</v>
      </c>
      <c r="AR314" s="15" t="s">
        <v>745</v>
      </c>
      <c r="AS314" s="21" t="str">
        <f t="shared" si="182"/>
        <v>?utm_source=0&amp;utm_medium=0&amp;utm_content=___nvl-nvs-imc-dsy-0820-10314&amp;utm_campaign=BR_IMC_DSY_LANCH_ND_NC_2020Q3AUG_NVS_Nivus-Launch-Consideracao-Orca&amp;utm_term=%epid!_%ecid!_%eaid!</v>
      </c>
      <c r="AT314" s="15" t="str">
        <f t="shared" si="174"/>
        <v/>
      </c>
      <c r="AU314" s="15" t="str">
        <f t="shared" si="175"/>
        <v>BR</v>
      </c>
      <c r="AV314" s="15" t="str">
        <f t="shared" si="176"/>
        <v/>
      </c>
      <c r="AW314" s="15" t="str">
        <f t="shared" si="177"/>
        <v/>
      </c>
      <c r="AX314" s="15" t="str">
        <f t="shared" si="178"/>
        <v>nivus-launch-consideracao-orca</v>
      </c>
      <c r="AY314" s="15" t="str">
        <f t="shared" si="160"/>
        <v>___nvl-nvs-imc-dsy-0820-10314</v>
      </c>
      <c r="AZ314" s="15" t="str">
        <f t="shared" si="161"/>
        <v/>
      </c>
      <c r="BA314" s="15" t="str">
        <f t="shared" si="179"/>
        <v/>
      </c>
      <c r="BB314" s="28" t="s">
        <v>798</v>
      </c>
      <c r="BC314" s="28" t="s">
        <v>798</v>
      </c>
      <c r="BD314" s="38" t="str">
        <f t="shared" si="180"/>
        <v>nvl-nvs-imc-dsy-0820-10314</v>
      </c>
      <c r="BE314" s="15" t="str">
        <f t="shared" si="164"/>
        <v>BR</v>
      </c>
      <c r="BF314" s="15" t="str">
        <f t="shared" si="165"/>
        <v/>
      </c>
      <c r="BG314" s="28"/>
      <c r="BH314" s="28"/>
      <c r="BI314" s="36" t="str">
        <f t="shared" si="181"/>
        <v>?adlid=nvl-nvs-imc-dsy-0820-10314&amp;adplt=___nvl-nvs-imc-dsy-0820-10314</v>
      </c>
    </row>
    <row r="315" spans="8:61" ht="15.75" customHeight="1" x14ac:dyDescent="0.25">
      <c r="H315" s="41"/>
      <c r="W315" s="15"/>
      <c r="X315" s="15"/>
      <c r="AH315" s="15" t="e">
        <f t="shared" si="167"/>
        <v>#N/A</v>
      </c>
      <c r="AI315" s="21" t="str">
        <f t="shared" si="146"/>
        <v>___nvl-nvs-imc-dsy-0820-10315</v>
      </c>
      <c r="AJ315" s="40" t="str">
        <f t="shared" si="147"/>
        <v>___nvl-nvs-imc-dsy-0820-10315</v>
      </c>
      <c r="AK315" s="21" t="str">
        <f t="shared" si="168"/>
        <v>vw_nivus__-adserver</v>
      </c>
      <c r="AL315" s="21" t="str">
        <f t="shared" si="169"/>
        <v>?adlid=nvl-nvs-imc-dsy-0820-10315&amp;adplt=___nvl-nvs-imc-dsy-0820-10315</v>
      </c>
      <c r="AM315" s="21" t="str">
        <f t="shared" si="170"/>
        <v>TAG</v>
      </c>
      <c r="AN315" s="15">
        <f t="shared" si="171"/>
        <v>0</v>
      </c>
      <c r="AO315" s="15">
        <f t="shared" si="172"/>
        <v>0</v>
      </c>
      <c r="AP315" s="21" t="str">
        <f>Campanha!$B$3</f>
        <v>BR_IMC_DSY_LANCH_ND_NC_2020Q3AUG_NVS_Nivus-Launch-Consideracao-Orca</v>
      </c>
      <c r="AQ315" s="21" t="str">
        <f t="shared" si="173"/>
        <v>___nvl-nvs-imc-dsy-0820-10315</v>
      </c>
      <c r="AR315" s="15" t="s">
        <v>745</v>
      </c>
      <c r="AS315" s="21" t="str">
        <f t="shared" si="182"/>
        <v>?utm_source=0&amp;utm_medium=0&amp;utm_content=___nvl-nvs-imc-dsy-0820-10315&amp;utm_campaign=BR_IMC_DSY_LANCH_ND_NC_2020Q3AUG_NVS_Nivus-Launch-Consideracao-Orca&amp;utm_term=%epid!_%ecid!_%eaid!</v>
      </c>
      <c r="AT315" s="15" t="str">
        <f t="shared" si="174"/>
        <v/>
      </c>
      <c r="AU315" s="15" t="str">
        <f t="shared" si="175"/>
        <v>BR</v>
      </c>
      <c r="AV315" s="15" t="str">
        <f t="shared" si="176"/>
        <v/>
      </c>
      <c r="AW315" s="15" t="str">
        <f t="shared" si="177"/>
        <v/>
      </c>
      <c r="AX315" s="15" t="str">
        <f t="shared" si="178"/>
        <v>nivus-launch-consideracao-orca</v>
      </c>
      <c r="AY315" s="15" t="str">
        <f t="shared" si="160"/>
        <v>___nvl-nvs-imc-dsy-0820-10315</v>
      </c>
      <c r="AZ315" s="15" t="str">
        <f t="shared" si="161"/>
        <v/>
      </c>
      <c r="BA315" s="15" t="str">
        <f t="shared" si="179"/>
        <v/>
      </c>
      <c r="BB315" s="28" t="s">
        <v>798</v>
      </c>
      <c r="BC315" s="28" t="s">
        <v>798</v>
      </c>
      <c r="BD315" s="38" t="str">
        <f t="shared" si="180"/>
        <v>nvl-nvs-imc-dsy-0820-10315</v>
      </c>
      <c r="BE315" s="15" t="str">
        <f t="shared" si="164"/>
        <v>BR</v>
      </c>
      <c r="BF315" s="15" t="str">
        <f t="shared" si="165"/>
        <v/>
      </c>
      <c r="BG315" s="28"/>
      <c r="BH315" s="28"/>
      <c r="BI315" s="36" t="str">
        <f t="shared" si="181"/>
        <v>?adlid=nvl-nvs-imc-dsy-0820-10315&amp;adplt=___nvl-nvs-imc-dsy-0820-10315</v>
      </c>
    </row>
    <row r="316" spans="8:61" ht="15.75" customHeight="1" x14ac:dyDescent="0.25">
      <c r="H316" s="41"/>
      <c r="W316" s="15"/>
      <c r="X316" s="15"/>
      <c r="AH316" s="15" t="e">
        <f t="shared" si="167"/>
        <v>#N/A</v>
      </c>
      <c r="AI316" s="21" t="str">
        <f t="shared" si="146"/>
        <v>___nvl-nvs-imc-dsy-0820-10316</v>
      </c>
      <c r="AJ316" s="40" t="str">
        <f t="shared" si="147"/>
        <v>___nvl-nvs-imc-dsy-0820-10316</v>
      </c>
      <c r="AK316" s="21" t="str">
        <f t="shared" si="168"/>
        <v>vw_nivus__-adserver</v>
      </c>
      <c r="AL316" s="21" t="str">
        <f t="shared" si="169"/>
        <v>?adlid=nvl-nvs-imc-dsy-0820-10316&amp;adplt=___nvl-nvs-imc-dsy-0820-10316</v>
      </c>
      <c r="AM316" s="21" t="str">
        <f t="shared" si="170"/>
        <v>TAG</v>
      </c>
      <c r="AN316" s="15">
        <f t="shared" si="171"/>
        <v>0</v>
      </c>
      <c r="AO316" s="15">
        <f t="shared" si="172"/>
        <v>0</v>
      </c>
      <c r="AP316" s="21" t="str">
        <f>Campanha!$B$3</f>
        <v>BR_IMC_DSY_LANCH_ND_NC_2020Q3AUG_NVS_Nivus-Launch-Consideracao-Orca</v>
      </c>
      <c r="AQ316" s="21" t="str">
        <f t="shared" si="173"/>
        <v>___nvl-nvs-imc-dsy-0820-10316</v>
      </c>
      <c r="AR316" s="15" t="s">
        <v>745</v>
      </c>
      <c r="AS316" s="21" t="str">
        <f t="shared" si="182"/>
        <v>?utm_source=0&amp;utm_medium=0&amp;utm_content=___nvl-nvs-imc-dsy-0820-10316&amp;utm_campaign=BR_IMC_DSY_LANCH_ND_NC_2020Q3AUG_NVS_Nivus-Launch-Consideracao-Orca&amp;utm_term=%epid!_%ecid!_%eaid!</v>
      </c>
      <c r="AT316" s="15" t="str">
        <f t="shared" si="174"/>
        <v/>
      </c>
      <c r="AU316" s="15" t="str">
        <f t="shared" si="175"/>
        <v>BR</v>
      </c>
      <c r="AV316" s="15" t="str">
        <f t="shared" si="176"/>
        <v/>
      </c>
      <c r="AW316" s="15" t="str">
        <f t="shared" si="177"/>
        <v/>
      </c>
      <c r="AX316" s="15" t="str">
        <f t="shared" si="178"/>
        <v>nivus-launch-consideracao-orca</v>
      </c>
      <c r="AY316" s="15" t="str">
        <f t="shared" si="160"/>
        <v>___nvl-nvs-imc-dsy-0820-10316</v>
      </c>
      <c r="AZ316" s="15" t="str">
        <f t="shared" si="161"/>
        <v/>
      </c>
      <c r="BA316" s="15" t="str">
        <f t="shared" si="179"/>
        <v/>
      </c>
      <c r="BB316" s="28" t="s">
        <v>798</v>
      </c>
      <c r="BC316" s="28" t="s">
        <v>798</v>
      </c>
      <c r="BD316" s="38" t="str">
        <f t="shared" si="180"/>
        <v>nvl-nvs-imc-dsy-0820-10316</v>
      </c>
      <c r="BE316" s="15" t="str">
        <f t="shared" si="164"/>
        <v>BR</v>
      </c>
      <c r="BF316" s="15" t="str">
        <f t="shared" si="165"/>
        <v/>
      </c>
      <c r="BG316" s="28"/>
      <c r="BH316" s="28"/>
      <c r="BI316" s="36" t="str">
        <f t="shared" si="181"/>
        <v>?adlid=nvl-nvs-imc-dsy-0820-10316&amp;adplt=___nvl-nvs-imc-dsy-0820-10316</v>
      </c>
    </row>
    <row r="317" spans="8:61" ht="15.75" customHeight="1" x14ac:dyDescent="0.25">
      <c r="H317" s="41"/>
      <c r="W317" s="15"/>
      <c r="X317" s="15"/>
      <c r="AH317" s="15" t="e">
        <f t="shared" si="167"/>
        <v>#N/A</v>
      </c>
      <c r="AI317" s="21" t="str">
        <f t="shared" si="146"/>
        <v>___nvl-nvs-imc-dsy-0820-10317</v>
      </c>
      <c r="AJ317" s="40" t="str">
        <f t="shared" si="147"/>
        <v>___nvl-nvs-imc-dsy-0820-10317</v>
      </c>
      <c r="AK317" s="21" t="str">
        <f t="shared" si="168"/>
        <v>vw_nivus__-adserver</v>
      </c>
      <c r="AL317" s="21" t="str">
        <f t="shared" si="169"/>
        <v>?adlid=nvl-nvs-imc-dsy-0820-10317&amp;adplt=___nvl-nvs-imc-dsy-0820-10317</v>
      </c>
      <c r="AM317" s="21" t="str">
        <f t="shared" si="170"/>
        <v>TAG</v>
      </c>
      <c r="AN317" s="15">
        <f t="shared" si="171"/>
        <v>0</v>
      </c>
      <c r="AO317" s="15">
        <f t="shared" si="172"/>
        <v>0</v>
      </c>
      <c r="AP317" s="21" t="str">
        <f>Campanha!$B$3</f>
        <v>BR_IMC_DSY_LANCH_ND_NC_2020Q3AUG_NVS_Nivus-Launch-Consideracao-Orca</v>
      </c>
      <c r="AQ317" s="21" t="str">
        <f t="shared" si="173"/>
        <v>___nvl-nvs-imc-dsy-0820-10317</v>
      </c>
      <c r="AR317" s="15" t="s">
        <v>745</v>
      </c>
      <c r="AS317" s="21" t="str">
        <f t="shared" si="182"/>
        <v>?utm_source=0&amp;utm_medium=0&amp;utm_content=___nvl-nvs-imc-dsy-0820-10317&amp;utm_campaign=BR_IMC_DSY_LANCH_ND_NC_2020Q3AUG_NVS_Nivus-Launch-Consideracao-Orca&amp;utm_term=%epid!_%ecid!_%eaid!</v>
      </c>
      <c r="AT317" s="15" t="str">
        <f t="shared" si="174"/>
        <v/>
      </c>
      <c r="AU317" s="15" t="str">
        <f t="shared" si="175"/>
        <v>BR</v>
      </c>
      <c r="AV317" s="15" t="str">
        <f t="shared" si="176"/>
        <v/>
      </c>
      <c r="AW317" s="15" t="str">
        <f t="shared" si="177"/>
        <v/>
      </c>
      <c r="AX317" s="15" t="str">
        <f t="shared" si="178"/>
        <v>nivus-launch-consideracao-orca</v>
      </c>
      <c r="AY317" s="15" t="str">
        <f t="shared" si="160"/>
        <v>___nvl-nvs-imc-dsy-0820-10317</v>
      </c>
      <c r="AZ317" s="15" t="str">
        <f t="shared" si="161"/>
        <v/>
      </c>
      <c r="BA317" s="15" t="str">
        <f t="shared" si="179"/>
        <v/>
      </c>
      <c r="BB317" s="28" t="s">
        <v>798</v>
      </c>
      <c r="BC317" s="28" t="s">
        <v>798</v>
      </c>
      <c r="BD317" s="38" t="str">
        <f t="shared" si="180"/>
        <v>nvl-nvs-imc-dsy-0820-10317</v>
      </c>
      <c r="BE317" s="15" t="str">
        <f t="shared" si="164"/>
        <v>BR</v>
      </c>
      <c r="BF317" s="15" t="str">
        <f t="shared" si="165"/>
        <v/>
      </c>
      <c r="BG317" s="28"/>
      <c r="BH317" s="28"/>
      <c r="BI317" s="36" t="str">
        <f t="shared" si="181"/>
        <v>?adlid=nvl-nvs-imc-dsy-0820-10317&amp;adplt=___nvl-nvs-imc-dsy-0820-10317</v>
      </c>
    </row>
    <row r="318" spans="8:61" ht="15.75" customHeight="1" x14ac:dyDescent="0.25">
      <c r="H318" s="41"/>
      <c r="W318" s="15"/>
      <c r="X318" s="15"/>
      <c r="AH318" s="15" t="e">
        <f t="shared" si="167"/>
        <v>#N/A</v>
      </c>
      <c r="AI318" s="21" t="str">
        <f t="shared" si="146"/>
        <v>___nvl-nvs-imc-dsy-0820-10318</v>
      </c>
      <c r="AJ318" s="40" t="str">
        <f t="shared" si="147"/>
        <v>___nvl-nvs-imc-dsy-0820-10318</v>
      </c>
      <c r="AK318" s="21" t="str">
        <f t="shared" si="168"/>
        <v>vw_nivus__-adserver</v>
      </c>
      <c r="AL318" s="21" t="str">
        <f t="shared" si="169"/>
        <v>?adlid=nvl-nvs-imc-dsy-0820-10318&amp;adplt=___nvl-nvs-imc-dsy-0820-10318</v>
      </c>
      <c r="AM318" s="21" t="str">
        <f t="shared" si="170"/>
        <v>TAG</v>
      </c>
      <c r="AN318" s="15">
        <f t="shared" si="171"/>
        <v>0</v>
      </c>
      <c r="AO318" s="15">
        <f t="shared" si="172"/>
        <v>0</v>
      </c>
      <c r="AP318" s="21" t="str">
        <f>Campanha!$B$3</f>
        <v>BR_IMC_DSY_LANCH_ND_NC_2020Q3AUG_NVS_Nivus-Launch-Consideracao-Orca</v>
      </c>
      <c r="AQ318" s="21" t="str">
        <f t="shared" si="173"/>
        <v>___nvl-nvs-imc-dsy-0820-10318</v>
      </c>
      <c r="AR318" s="15" t="s">
        <v>745</v>
      </c>
      <c r="AS318" s="21" t="str">
        <f t="shared" si="182"/>
        <v>?utm_source=0&amp;utm_medium=0&amp;utm_content=___nvl-nvs-imc-dsy-0820-10318&amp;utm_campaign=BR_IMC_DSY_LANCH_ND_NC_2020Q3AUG_NVS_Nivus-Launch-Consideracao-Orca&amp;utm_term=%epid!_%ecid!_%eaid!</v>
      </c>
      <c r="AT318" s="15" t="str">
        <f t="shared" si="174"/>
        <v/>
      </c>
      <c r="AU318" s="15" t="str">
        <f t="shared" si="175"/>
        <v>BR</v>
      </c>
      <c r="AV318" s="15" t="str">
        <f t="shared" si="176"/>
        <v/>
      </c>
      <c r="AW318" s="15" t="str">
        <f t="shared" si="177"/>
        <v/>
      </c>
      <c r="AX318" s="15" t="str">
        <f t="shared" si="178"/>
        <v>nivus-launch-consideracao-orca</v>
      </c>
      <c r="AY318" s="15" t="str">
        <f t="shared" si="160"/>
        <v>___nvl-nvs-imc-dsy-0820-10318</v>
      </c>
      <c r="AZ318" s="15" t="str">
        <f t="shared" si="161"/>
        <v/>
      </c>
      <c r="BA318" s="15" t="str">
        <f t="shared" si="179"/>
        <v/>
      </c>
      <c r="BB318" s="28" t="s">
        <v>798</v>
      </c>
      <c r="BC318" s="28" t="s">
        <v>798</v>
      </c>
      <c r="BD318" s="38" t="str">
        <f t="shared" si="180"/>
        <v>nvl-nvs-imc-dsy-0820-10318</v>
      </c>
      <c r="BE318" s="15" t="str">
        <f t="shared" si="164"/>
        <v>BR</v>
      </c>
      <c r="BF318" s="15" t="str">
        <f t="shared" si="165"/>
        <v/>
      </c>
      <c r="BG318" s="28"/>
      <c r="BH318" s="28"/>
      <c r="BI318" s="36" t="str">
        <f t="shared" si="181"/>
        <v>?adlid=nvl-nvs-imc-dsy-0820-10318&amp;adplt=___nvl-nvs-imc-dsy-0820-10318</v>
      </c>
    </row>
    <row r="319" spans="8:61" ht="15.75" customHeight="1" x14ac:dyDescent="0.25">
      <c r="H319" s="41"/>
      <c r="W319" s="15"/>
      <c r="X319" s="15"/>
      <c r="AH319" s="15" t="e">
        <f t="shared" si="167"/>
        <v>#N/A</v>
      </c>
      <c r="AI319" s="21" t="str">
        <f t="shared" si="146"/>
        <v>___nvl-nvs-imc-dsy-0820-10319</v>
      </c>
      <c r="AJ319" s="40" t="str">
        <f t="shared" si="147"/>
        <v>___nvl-nvs-imc-dsy-0820-10319</v>
      </c>
      <c r="AK319" s="21" t="str">
        <f t="shared" si="168"/>
        <v>vw_nivus__-adserver</v>
      </c>
      <c r="AL319" s="21" t="str">
        <f t="shared" si="169"/>
        <v>?adlid=nvl-nvs-imc-dsy-0820-10319&amp;adplt=___nvl-nvs-imc-dsy-0820-10319</v>
      </c>
      <c r="AM319" s="21" t="str">
        <f t="shared" si="170"/>
        <v>TAG</v>
      </c>
      <c r="AN319" s="15">
        <f t="shared" si="171"/>
        <v>0</v>
      </c>
      <c r="AO319" s="15">
        <f t="shared" si="172"/>
        <v>0</v>
      </c>
      <c r="AP319" s="21" t="str">
        <f>Campanha!$B$3</f>
        <v>BR_IMC_DSY_LANCH_ND_NC_2020Q3AUG_NVS_Nivus-Launch-Consideracao-Orca</v>
      </c>
      <c r="AQ319" s="21" t="str">
        <f t="shared" si="173"/>
        <v>___nvl-nvs-imc-dsy-0820-10319</v>
      </c>
      <c r="AR319" s="15" t="s">
        <v>745</v>
      </c>
      <c r="AS319" s="21" t="str">
        <f t="shared" si="182"/>
        <v>?utm_source=0&amp;utm_medium=0&amp;utm_content=___nvl-nvs-imc-dsy-0820-10319&amp;utm_campaign=BR_IMC_DSY_LANCH_ND_NC_2020Q3AUG_NVS_Nivus-Launch-Consideracao-Orca&amp;utm_term=%epid!_%ecid!_%eaid!</v>
      </c>
      <c r="AT319" s="15" t="str">
        <f t="shared" si="174"/>
        <v/>
      </c>
      <c r="AU319" s="15" t="str">
        <f t="shared" si="175"/>
        <v>BR</v>
      </c>
      <c r="AV319" s="15" t="str">
        <f t="shared" si="176"/>
        <v/>
      </c>
      <c r="AW319" s="15" t="str">
        <f t="shared" si="177"/>
        <v/>
      </c>
      <c r="AX319" s="15" t="str">
        <f t="shared" si="178"/>
        <v>nivus-launch-consideracao-orca</v>
      </c>
      <c r="AY319" s="15" t="str">
        <f t="shared" si="160"/>
        <v>___nvl-nvs-imc-dsy-0820-10319</v>
      </c>
      <c r="AZ319" s="15" t="str">
        <f t="shared" si="161"/>
        <v/>
      </c>
      <c r="BA319" s="15" t="str">
        <f t="shared" si="179"/>
        <v/>
      </c>
      <c r="BB319" s="28" t="s">
        <v>798</v>
      </c>
      <c r="BC319" s="28" t="s">
        <v>798</v>
      </c>
      <c r="BD319" s="38" t="str">
        <f t="shared" si="180"/>
        <v>nvl-nvs-imc-dsy-0820-10319</v>
      </c>
      <c r="BE319" s="15" t="str">
        <f t="shared" si="164"/>
        <v>BR</v>
      </c>
      <c r="BF319" s="15" t="str">
        <f t="shared" si="165"/>
        <v/>
      </c>
      <c r="BG319" s="28"/>
      <c r="BH319" s="28"/>
      <c r="BI319" s="36" t="str">
        <f t="shared" si="181"/>
        <v>?adlid=nvl-nvs-imc-dsy-0820-10319&amp;adplt=___nvl-nvs-imc-dsy-0820-10319</v>
      </c>
    </row>
    <row r="320" spans="8:61" ht="15.75" customHeight="1" x14ac:dyDescent="0.25">
      <c r="H320" s="41"/>
      <c r="W320" s="15"/>
      <c r="X320" s="15"/>
      <c r="AH320" s="15" t="e">
        <f t="shared" si="167"/>
        <v>#N/A</v>
      </c>
      <c r="AI320" s="21" t="str">
        <f t="shared" si="146"/>
        <v>___nvl-nvs-imc-dsy-0820-10320</v>
      </c>
      <c r="AJ320" s="40" t="str">
        <f t="shared" si="147"/>
        <v>___nvl-nvs-imc-dsy-0820-10320</v>
      </c>
      <c r="AK320" s="21" t="str">
        <f t="shared" si="168"/>
        <v>vw_nivus__-adserver</v>
      </c>
      <c r="AL320" s="21" t="str">
        <f t="shared" si="169"/>
        <v>?adlid=nvl-nvs-imc-dsy-0820-10320&amp;adplt=___nvl-nvs-imc-dsy-0820-10320</v>
      </c>
      <c r="AM320" s="21" t="str">
        <f t="shared" si="170"/>
        <v>TAG</v>
      </c>
      <c r="AN320" s="15">
        <f t="shared" si="171"/>
        <v>0</v>
      </c>
      <c r="AO320" s="15">
        <f t="shared" si="172"/>
        <v>0</v>
      </c>
      <c r="AP320" s="21" t="str">
        <f>Campanha!$B$3</f>
        <v>BR_IMC_DSY_LANCH_ND_NC_2020Q3AUG_NVS_Nivus-Launch-Consideracao-Orca</v>
      </c>
      <c r="AQ320" s="21" t="str">
        <f t="shared" si="173"/>
        <v>___nvl-nvs-imc-dsy-0820-10320</v>
      </c>
      <c r="AR320" s="15" t="s">
        <v>745</v>
      </c>
      <c r="AS320" s="21" t="str">
        <f t="shared" si="182"/>
        <v>?utm_source=0&amp;utm_medium=0&amp;utm_content=___nvl-nvs-imc-dsy-0820-10320&amp;utm_campaign=BR_IMC_DSY_LANCH_ND_NC_2020Q3AUG_NVS_Nivus-Launch-Consideracao-Orca&amp;utm_term=%epid!_%ecid!_%eaid!</v>
      </c>
      <c r="AT320" s="15" t="str">
        <f t="shared" si="174"/>
        <v/>
      </c>
      <c r="AU320" s="15" t="str">
        <f t="shared" si="175"/>
        <v>BR</v>
      </c>
      <c r="AV320" s="15" t="str">
        <f t="shared" si="176"/>
        <v/>
      </c>
      <c r="AW320" s="15" t="str">
        <f t="shared" si="177"/>
        <v/>
      </c>
      <c r="AX320" s="15" t="str">
        <f t="shared" si="178"/>
        <v>nivus-launch-consideracao-orca</v>
      </c>
      <c r="AY320" s="15" t="str">
        <f t="shared" si="160"/>
        <v>___nvl-nvs-imc-dsy-0820-10320</v>
      </c>
      <c r="AZ320" s="15" t="str">
        <f t="shared" si="161"/>
        <v/>
      </c>
      <c r="BA320" s="15" t="str">
        <f t="shared" si="179"/>
        <v/>
      </c>
      <c r="BB320" s="28" t="s">
        <v>798</v>
      </c>
      <c r="BC320" s="28" t="s">
        <v>798</v>
      </c>
      <c r="BD320" s="38" t="str">
        <f t="shared" si="180"/>
        <v>nvl-nvs-imc-dsy-0820-10320</v>
      </c>
      <c r="BE320" s="15" t="str">
        <f t="shared" si="164"/>
        <v>BR</v>
      </c>
      <c r="BF320" s="15" t="str">
        <f t="shared" si="165"/>
        <v/>
      </c>
      <c r="BG320" s="28"/>
      <c r="BH320" s="28"/>
      <c r="BI320" s="36" t="str">
        <f t="shared" si="181"/>
        <v>?adlid=nvl-nvs-imc-dsy-0820-10320&amp;adplt=___nvl-nvs-imc-dsy-0820-10320</v>
      </c>
    </row>
    <row r="321" spans="8:61" ht="15.75" customHeight="1" x14ac:dyDescent="0.25">
      <c r="H321" s="41"/>
      <c r="W321" s="15"/>
      <c r="X321" s="15"/>
      <c r="AH321" s="15" t="e">
        <f t="shared" si="167"/>
        <v>#N/A</v>
      </c>
      <c r="AI321" s="21" t="str">
        <f t="shared" si="146"/>
        <v>___nvl-nvs-imc-dsy-0820-10321</v>
      </c>
      <c r="AJ321" s="40" t="str">
        <f t="shared" si="147"/>
        <v>___nvl-nvs-imc-dsy-0820-10321</v>
      </c>
      <c r="AK321" s="21" t="str">
        <f t="shared" si="168"/>
        <v>vw_nivus__-adserver</v>
      </c>
      <c r="AL321" s="21" t="str">
        <f t="shared" si="169"/>
        <v>?adlid=nvl-nvs-imc-dsy-0820-10321&amp;adplt=___nvl-nvs-imc-dsy-0820-10321</v>
      </c>
      <c r="AM321" s="21" t="str">
        <f t="shared" si="170"/>
        <v>TAG</v>
      </c>
      <c r="AN321" s="15">
        <f t="shared" si="171"/>
        <v>0</v>
      </c>
      <c r="AO321" s="15">
        <f t="shared" si="172"/>
        <v>0</v>
      </c>
      <c r="AP321" s="21" t="str">
        <f>Campanha!$B$3</f>
        <v>BR_IMC_DSY_LANCH_ND_NC_2020Q3AUG_NVS_Nivus-Launch-Consideracao-Orca</v>
      </c>
      <c r="AQ321" s="21" t="str">
        <f t="shared" si="173"/>
        <v>___nvl-nvs-imc-dsy-0820-10321</v>
      </c>
      <c r="AR321" s="15" t="s">
        <v>745</v>
      </c>
      <c r="AS321" s="21" t="str">
        <f t="shared" si="182"/>
        <v>?utm_source=0&amp;utm_medium=0&amp;utm_content=___nvl-nvs-imc-dsy-0820-10321&amp;utm_campaign=BR_IMC_DSY_LANCH_ND_NC_2020Q3AUG_NVS_Nivus-Launch-Consideracao-Orca&amp;utm_term=%epid!_%ecid!_%eaid!</v>
      </c>
      <c r="AT321" s="15" t="str">
        <f t="shared" si="174"/>
        <v/>
      </c>
      <c r="AU321" s="15" t="str">
        <f t="shared" si="175"/>
        <v>BR</v>
      </c>
      <c r="AV321" s="15" t="str">
        <f t="shared" si="176"/>
        <v/>
      </c>
      <c r="AW321" s="15" t="str">
        <f t="shared" si="177"/>
        <v/>
      </c>
      <c r="AX321" s="15" t="str">
        <f t="shared" si="178"/>
        <v>nivus-launch-consideracao-orca</v>
      </c>
      <c r="AY321" s="15" t="str">
        <f t="shared" si="160"/>
        <v>___nvl-nvs-imc-dsy-0820-10321</v>
      </c>
      <c r="AZ321" s="15" t="str">
        <f t="shared" si="161"/>
        <v/>
      </c>
      <c r="BA321" s="15" t="str">
        <f t="shared" si="179"/>
        <v/>
      </c>
      <c r="BB321" s="28" t="s">
        <v>798</v>
      </c>
      <c r="BC321" s="28" t="s">
        <v>798</v>
      </c>
      <c r="BD321" s="38" t="str">
        <f t="shared" si="180"/>
        <v>nvl-nvs-imc-dsy-0820-10321</v>
      </c>
      <c r="BE321" s="15" t="str">
        <f t="shared" si="164"/>
        <v>BR</v>
      </c>
      <c r="BF321" s="15" t="str">
        <f t="shared" si="165"/>
        <v/>
      </c>
      <c r="BG321" s="28"/>
      <c r="BH321" s="28"/>
      <c r="BI321" s="36" t="str">
        <f t="shared" si="181"/>
        <v>?adlid=nvl-nvs-imc-dsy-0820-10321&amp;adplt=___nvl-nvs-imc-dsy-0820-10321</v>
      </c>
    </row>
    <row r="322" spans="8:61" ht="15.75" customHeight="1" x14ac:dyDescent="0.25">
      <c r="H322" s="41"/>
      <c r="W322" s="15"/>
      <c r="X322" s="15"/>
      <c r="AH322" s="15" t="e">
        <f t="shared" si="167"/>
        <v>#N/A</v>
      </c>
      <c r="AI322" s="21" t="str">
        <f t="shared" si="146"/>
        <v>___nvl-nvs-imc-dsy-0820-10322</v>
      </c>
      <c r="AJ322" s="40" t="str">
        <f t="shared" si="147"/>
        <v>___nvl-nvs-imc-dsy-0820-10322</v>
      </c>
      <c r="AK322" s="21" t="str">
        <f t="shared" si="168"/>
        <v>vw_nivus__-adserver</v>
      </c>
      <c r="AL322" s="21" t="str">
        <f t="shared" si="169"/>
        <v>?adlid=nvl-nvs-imc-dsy-0820-10322&amp;adplt=___nvl-nvs-imc-dsy-0820-10322</v>
      </c>
      <c r="AM322" s="21" t="str">
        <f t="shared" si="170"/>
        <v>TAG</v>
      </c>
      <c r="AN322" s="15">
        <f t="shared" si="171"/>
        <v>0</v>
      </c>
      <c r="AO322" s="15">
        <f t="shared" si="172"/>
        <v>0</v>
      </c>
      <c r="AP322" s="21" t="str">
        <f>Campanha!$B$3</f>
        <v>BR_IMC_DSY_LANCH_ND_NC_2020Q3AUG_NVS_Nivus-Launch-Consideracao-Orca</v>
      </c>
      <c r="AQ322" s="21" t="str">
        <f t="shared" si="173"/>
        <v>___nvl-nvs-imc-dsy-0820-10322</v>
      </c>
      <c r="AR322" s="15" t="s">
        <v>745</v>
      </c>
      <c r="AS322" s="21" t="str">
        <f t="shared" si="182"/>
        <v>?utm_source=0&amp;utm_medium=0&amp;utm_content=___nvl-nvs-imc-dsy-0820-10322&amp;utm_campaign=BR_IMC_DSY_LANCH_ND_NC_2020Q3AUG_NVS_Nivus-Launch-Consideracao-Orca&amp;utm_term=%epid!_%ecid!_%eaid!</v>
      </c>
      <c r="AT322" s="15" t="str">
        <f t="shared" si="174"/>
        <v/>
      </c>
      <c r="AU322" s="15" t="str">
        <f t="shared" si="175"/>
        <v>BR</v>
      </c>
      <c r="AV322" s="15" t="str">
        <f t="shared" si="176"/>
        <v/>
      </c>
      <c r="AW322" s="15" t="str">
        <f t="shared" si="177"/>
        <v/>
      </c>
      <c r="AX322" s="15" t="str">
        <f t="shared" si="178"/>
        <v>nivus-launch-consideracao-orca</v>
      </c>
      <c r="AY322" s="15" t="str">
        <f t="shared" si="160"/>
        <v>___nvl-nvs-imc-dsy-0820-10322</v>
      </c>
      <c r="AZ322" s="15" t="str">
        <f t="shared" si="161"/>
        <v/>
      </c>
      <c r="BA322" s="15" t="str">
        <f t="shared" si="179"/>
        <v/>
      </c>
      <c r="BB322" s="28" t="s">
        <v>798</v>
      </c>
      <c r="BC322" s="28" t="s">
        <v>798</v>
      </c>
      <c r="BD322" s="38" t="str">
        <f t="shared" si="180"/>
        <v>nvl-nvs-imc-dsy-0820-10322</v>
      </c>
      <c r="BE322" s="15" t="str">
        <f t="shared" si="164"/>
        <v>BR</v>
      </c>
      <c r="BF322" s="15" t="str">
        <f t="shared" si="165"/>
        <v/>
      </c>
      <c r="BG322" s="28"/>
      <c r="BH322" s="28"/>
      <c r="BI322" s="36" t="str">
        <f t="shared" si="181"/>
        <v>?adlid=nvl-nvs-imc-dsy-0820-10322&amp;adplt=___nvl-nvs-imc-dsy-0820-10322</v>
      </c>
    </row>
    <row r="323" spans="8:61" ht="15.75" customHeight="1" x14ac:dyDescent="0.25">
      <c r="H323" s="41"/>
      <c r="W323" s="15"/>
      <c r="X323" s="15"/>
      <c r="AH323" s="15" t="e">
        <f t="shared" si="167"/>
        <v>#N/A</v>
      </c>
      <c r="AI323" s="21" t="str">
        <f t="shared" si="146"/>
        <v>___nvl-nvs-imc-dsy-0820-10323</v>
      </c>
      <c r="AJ323" s="40" t="str">
        <f t="shared" si="147"/>
        <v>___nvl-nvs-imc-dsy-0820-10323</v>
      </c>
      <c r="AK323" s="21" t="str">
        <f t="shared" si="168"/>
        <v>vw_nivus__-adserver</v>
      </c>
      <c r="AL323" s="21" t="str">
        <f t="shared" si="169"/>
        <v>?adlid=nvl-nvs-imc-dsy-0820-10323&amp;adplt=___nvl-nvs-imc-dsy-0820-10323</v>
      </c>
      <c r="AM323" s="21" t="str">
        <f t="shared" si="170"/>
        <v>TAG</v>
      </c>
      <c r="AN323" s="15">
        <f t="shared" si="171"/>
        <v>0</v>
      </c>
      <c r="AO323" s="15">
        <f t="shared" si="172"/>
        <v>0</v>
      </c>
      <c r="AP323" s="21" t="str">
        <f>Campanha!$B$3</f>
        <v>BR_IMC_DSY_LANCH_ND_NC_2020Q3AUG_NVS_Nivus-Launch-Consideracao-Orca</v>
      </c>
      <c r="AQ323" s="21" t="str">
        <f t="shared" si="173"/>
        <v>___nvl-nvs-imc-dsy-0820-10323</v>
      </c>
      <c r="AR323" s="15" t="s">
        <v>745</v>
      </c>
      <c r="AS323" s="21" t="str">
        <f t="shared" si="182"/>
        <v>?utm_source=0&amp;utm_medium=0&amp;utm_content=___nvl-nvs-imc-dsy-0820-10323&amp;utm_campaign=BR_IMC_DSY_LANCH_ND_NC_2020Q3AUG_NVS_Nivus-Launch-Consideracao-Orca&amp;utm_term=%epid!_%ecid!_%eaid!</v>
      </c>
      <c r="AT323" s="15" t="str">
        <f t="shared" si="174"/>
        <v/>
      </c>
      <c r="AU323" s="15" t="str">
        <f t="shared" si="175"/>
        <v>BR</v>
      </c>
      <c r="AV323" s="15" t="str">
        <f t="shared" si="176"/>
        <v/>
      </c>
      <c r="AW323" s="15" t="str">
        <f t="shared" si="177"/>
        <v/>
      </c>
      <c r="AX323" s="15" t="str">
        <f t="shared" si="178"/>
        <v>nivus-launch-consideracao-orca</v>
      </c>
      <c r="AY323" s="15" t="str">
        <f t="shared" si="160"/>
        <v>___nvl-nvs-imc-dsy-0820-10323</v>
      </c>
      <c r="AZ323" s="15" t="str">
        <f t="shared" si="161"/>
        <v/>
      </c>
      <c r="BA323" s="15" t="str">
        <f t="shared" si="179"/>
        <v/>
      </c>
      <c r="BB323" s="28" t="s">
        <v>798</v>
      </c>
      <c r="BC323" s="28" t="s">
        <v>798</v>
      </c>
      <c r="BD323" s="38" t="str">
        <f t="shared" si="180"/>
        <v>nvl-nvs-imc-dsy-0820-10323</v>
      </c>
      <c r="BE323" s="15" t="str">
        <f t="shared" si="164"/>
        <v>BR</v>
      </c>
      <c r="BF323" s="15" t="str">
        <f t="shared" si="165"/>
        <v/>
      </c>
      <c r="BG323" s="28"/>
      <c r="BH323" s="28"/>
      <c r="BI323" s="36" t="str">
        <f t="shared" si="181"/>
        <v>?adlid=nvl-nvs-imc-dsy-0820-10323&amp;adplt=___nvl-nvs-imc-dsy-0820-10323</v>
      </c>
    </row>
    <row r="324" spans="8:61" ht="15.75" customHeight="1" x14ac:dyDescent="0.25">
      <c r="H324" s="41"/>
      <c r="W324" s="15"/>
      <c r="X324" s="15"/>
      <c r="AH324" s="15" t="e">
        <f t="shared" si="167"/>
        <v>#N/A</v>
      </c>
      <c r="AI324" s="21" t="str">
        <f t="shared" si="146"/>
        <v>___nvl-nvs-imc-dsy-0820-10324</v>
      </c>
      <c r="AJ324" s="40" t="str">
        <f t="shared" si="147"/>
        <v>___nvl-nvs-imc-dsy-0820-10324</v>
      </c>
      <c r="AK324" s="21" t="str">
        <f t="shared" si="168"/>
        <v>vw_nivus__-adserver</v>
      </c>
      <c r="AL324" s="21" t="str">
        <f t="shared" si="169"/>
        <v>?adlid=nvl-nvs-imc-dsy-0820-10324&amp;adplt=___nvl-nvs-imc-dsy-0820-10324</v>
      </c>
      <c r="AM324" s="21" t="str">
        <f t="shared" si="170"/>
        <v>TAG</v>
      </c>
      <c r="AN324" s="15">
        <f t="shared" si="171"/>
        <v>0</v>
      </c>
      <c r="AO324" s="15">
        <f t="shared" si="172"/>
        <v>0</v>
      </c>
      <c r="AP324" s="21" t="str">
        <f>Campanha!$B$3</f>
        <v>BR_IMC_DSY_LANCH_ND_NC_2020Q3AUG_NVS_Nivus-Launch-Consideracao-Orca</v>
      </c>
      <c r="AQ324" s="21" t="str">
        <f t="shared" si="173"/>
        <v>___nvl-nvs-imc-dsy-0820-10324</v>
      </c>
      <c r="AR324" s="15" t="s">
        <v>745</v>
      </c>
      <c r="AS324" s="21" t="str">
        <f t="shared" si="182"/>
        <v>?utm_source=0&amp;utm_medium=0&amp;utm_content=___nvl-nvs-imc-dsy-0820-10324&amp;utm_campaign=BR_IMC_DSY_LANCH_ND_NC_2020Q3AUG_NVS_Nivus-Launch-Consideracao-Orca&amp;utm_term=%epid!_%ecid!_%eaid!</v>
      </c>
      <c r="AT324" s="15" t="str">
        <f t="shared" si="174"/>
        <v/>
      </c>
      <c r="AU324" s="15" t="str">
        <f t="shared" si="175"/>
        <v>BR</v>
      </c>
      <c r="AV324" s="15" t="str">
        <f t="shared" si="176"/>
        <v/>
      </c>
      <c r="AW324" s="15" t="str">
        <f t="shared" si="177"/>
        <v/>
      </c>
      <c r="AX324" s="15" t="str">
        <f t="shared" si="178"/>
        <v>nivus-launch-consideracao-orca</v>
      </c>
      <c r="AY324" s="15" t="str">
        <f t="shared" si="160"/>
        <v>___nvl-nvs-imc-dsy-0820-10324</v>
      </c>
      <c r="AZ324" s="15" t="str">
        <f t="shared" si="161"/>
        <v/>
      </c>
      <c r="BA324" s="15" t="str">
        <f t="shared" si="179"/>
        <v/>
      </c>
      <c r="BB324" s="28" t="s">
        <v>798</v>
      </c>
      <c r="BC324" s="28" t="s">
        <v>798</v>
      </c>
      <c r="BD324" s="38" t="str">
        <f t="shared" si="180"/>
        <v>nvl-nvs-imc-dsy-0820-10324</v>
      </c>
      <c r="BE324" s="15" t="str">
        <f t="shared" si="164"/>
        <v>BR</v>
      </c>
      <c r="BF324" s="15" t="str">
        <f t="shared" si="165"/>
        <v/>
      </c>
      <c r="BG324" s="28"/>
      <c r="BH324" s="28"/>
      <c r="BI324" s="36" t="str">
        <f t="shared" si="181"/>
        <v>?adlid=nvl-nvs-imc-dsy-0820-10324&amp;adplt=___nvl-nvs-imc-dsy-0820-10324</v>
      </c>
    </row>
    <row r="325" spans="8:61" ht="15.75" customHeight="1" x14ac:dyDescent="0.25">
      <c r="H325" s="41"/>
      <c r="W325" s="15"/>
      <c r="X325" s="15"/>
      <c r="AH325" s="15" t="e">
        <f t="shared" si="167"/>
        <v>#N/A</v>
      </c>
      <c r="AI325" s="21" t="str">
        <f t="shared" si="146"/>
        <v>___nvl-nvs-imc-dsy-0820-10325</v>
      </c>
      <c r="AJ325" s="40" t="str">
        <f t="shared" si="147"/>
        <v>___nvl-nvs-imc-dsy-0820-10325</v>
      </c>
      <c r="AK325" s="21" t="str">
        <f t="shared" si="168"/>
        <v>vw_nivus__-adserver</v>
      </c>
      <c r="AL325" s="21" t="str">
        <f t="shared" si="169"/>
        <v>?adlid=nvl-nvs-imc-dsy-0820-10325&amp;adplt=___nvl-nvs-imc-dsy-0820-10325</v>
      </c>
      <c r="AM325" s="21" t="str">
        <f t="shared" si="170"/>
        <v>TAG</v>
      </c>
      <c r="AN325" s="15">
        <f t="shared" si="171"/>
        <v>0</v>
      </c>
      <c r="AO325" s="15">
        <f t="shared" si="172"/>
        <v>0</v>
      </c>
      <c r="AP325" s="21" t="str">
        <f>Campanha!$B$3</f>
        <v>BR_IMC_DSY_LANCH_ND_NC_2020Q3AUG_NVS_Nivus-Launch-Consideracao-Orca</v>
      </c>
      <c r="AQ325" s="21" t="str">
        <f t="shared" si="173"/>
        <v>___nvl-nvs-imc-dsy-0820-10325</v>
      </c>
      <c r="AR325" s="15" t="s">
        <v>745</v>
      </c>
      <c r="AS325" s="21" t="str">
        <f t="shared" si="182"/>
        <v>?utm_source=0&amp;utm_medium=0&amp;utm_content=___nvl-nvs-imc-dsy-0820-10325&amp;utm_campaign=BR_IMC_DSY_LANCH_ND_NC_2020Q3AUG_NVS_Nivus-Launch-Consideracao-Orca&amp;utm_term=%epid!_%ecid!_%eaid!</v>
      </c>
      <c r="AT325" s="15" t="str">
        <f t="shared" si="174"/>
        <v/>
      </c>
      <c r="AU325" s="15" t="str">
        <f t="shared" si="175"/>
        <v>BR</v>
      </c>
      <c r="AV325" s="15" t="str">
        <f t="shared" si="176"/>
        <v/>
      </c>
      <c r="AW325" s="15" t="str">
        <f t="shared" si="177"/>
        <v/>
      </c>
      <c r="AX325" s="15" t="str">
        <f t="shared" si="178"/>
        <v>nivus-launch-consideracao-orca</v>
      </c>
      <c r="AY325" s="15" t="str">
        <f t="shared" si="160"/>
        <v>___nvl-nvs-imc-dsy-0820-10325</v>
      </c>
      <c r="AZ325" s="15" t="str">
        <f t="shared" si="161"/>
        <v/>
      </c>
      <c r="BA325" s="15" t="str">
        <f t="shared" si="179"/>
        <v/>
      </c>
      <c r="BB325" s="28" t="s">
        <v>798</v>
      </c>
      <c r="BC325" s="28" t="s">
        <v>798</v>
      </c>
      <c r="BD325" s="38" t="str">
        <f t="shared" si="180"/>
        <v>nvl-nvs-imc-dsy-0820-10325</v>
      </c>
      <c r="BE325" s="15" t="str">
        <f t="shared" si="164"/>
        <v>BR</v>
      </c>
      <c r="BF325" s="15" t="str">
        <f t="shared" si="165"/>
        <v/>
      </c>
      <c r="BG325" s="28"/>
      <c r="BH325" s="28"/>
      <c r="BI325" s="36" t="str">
        <f t="shared" si="181"/>
        <v>?adlid=nvl-nvs-imc-dsy-0820-10325&amp;adplt=___nvl-nvs-imc-dsy-0820-10325</v>
      </c>
    </row>
    <row r="326" spans="8:61" ht="15.75" customHeight="1" x14ac:dyDescent="0.25">
      <c r="H326" s="41"/>
      <c r="W326" s="15"/>
      <c r="X326" s="15"/>
      <c r="AH326" s="15" t="e">
        <f t="shared" si="167"/>
        <v>#N/A</v>
      </c>
      <c r="AI326" s="21" t="str">
        <f t="shared" si="146"/>
        <v>___nvl-nvs-imc-dsy-0820-10326</v>
      </c>
      <c r="AJ326" s="40" t="str">
        <f t="shared" si="147"/>
        <v>___nvl-nvs-imc-dsy-0820-10326</v>
      </c>
      <c r="AK326" s="21" t="str">
        <f t="shared" si="168"/>
        <v>vw_nivus__-adserver</v>
      </c>
      <c r="AL326" s="21" t="str">
        <f t="shared" si="169"/>
        <v>?adlid=nvl-nvs-imc-dsy-0820-10326&amp;adplt=___nvl-nvs-imc-dsy-0820-10326</v>
      </c>
      <c r="AM326" s="21" t="str">
        <f t="shared" si="170"/>
        <v>TAG</v>
      </c>
      <c r="AN326" s="15">
        <f t="shared" si="171"/>
        <v>0</v>
      </c>
      <c r="AO326" s="15">
        <f t="shared" si="172"/>
        <v>0</v>
      </c>
      <c r="AP326" s="21" t="str">
        <f>Campanha!$B$3</f>
        <v>BR_IMC_DSY_LANCH_ND_NC_2020Q3AUG_NVS_Nivus-Launch-Consideracao-Orca</v>
      </c>
      <c r="AQ326" s="21" t="str">
        <f t="shared" si="173"/>
        <v>___nvl-nvs-imc-dsy-0820-10326</v>
      </c>
      <c r="AR326" s="15" t="s">
        <v>745</v>
      </c>
      <c r="AS326" s="21" t="str">
        <f t="shared" si="182"/>
        <v>?utm_source=0&amp;utm_medium=0&amp;utm_content=___nvl-nvs-imc-dsy-0820-10326&amp;utm_campaign=BR_IMC_DSY_LANCH_ND_NC_2020Q3AUG_NVS_Nivus-Launch-Consideracao-Orca&amp;utm_term=%epid!_%ecid!_%eaid!</v>
      </c>
      <c r="AT326" s="15" t="str">
        <f t="shared" si="174"/>
        <v/>
      </c>
      <c r="AU326" s="15" t="str">
        <f t="shared" si="175"/>
        <v>BR</v>
      </c>
      <c r="AV326" s="15" t="str">
        <f t="shared" si="176"/>
        <v/>
      </c>
      <c r="AW326" s="15" t="str">
        <f t="shared" si="177"/>
        <v/>
      </c>
      <c r="AX326" s="15" t="str">
        <f t="shared" si="178"/>
        <v>nivus-launch-consideracao-orca</v>
      </c>
      <c r="AY326" s="15" t="str">
        <f t="shared" ref="AY326:AY359" si="183">LOWER(AI326)</f>
        <v>___nvl-nvs-imc-dsy-0820-10326</v>
      </c>
      <c r="AZ326" s="15" t="str">
        <f t="shared" ref="AZ326:AZ359" si="184">LOWER(Y326)</f>
        <v/>
      </c>
      <c r="BA326" s="15" t="str">
        <f t="shared" si="179"/>
        <v/>
      </c>
      <c r="BB326" s="28" t="s">
        <v>798</v>
      </c>
      <c r="BC326" s="28" t="s">
        <v>798</v>
      </c>
      <c r="BD326" s="38" t="str">
        <f t="shared" si="180"/>
        <v>nvl-nvs-imc-dsy-0820-10326</v>
      </c>
      <c r="BE326" s="15" t="str">
        <f t="shared" ref="BE326:BE359" si="185">AU326</f>
        <v>BR</v>
      </c>
      <c r="BF326" s="15" t="str">
        <f t="shared" ref="BF326:BF359" si="186">LOWER(X326)</f>
        <v/>
      </c>
      <c r="BG326" s="28"/>
      <c r="BH326" s="28"/>
      <c r="BI326" s="36" t="str">
        <f t="shared" si="181"/>
        <v>?adlid=nvl-nvs-imc-dsy-0820-10326&amp;adplt=___nvl-nvs-imc-dsy-0820-10326</v>
      </c>
    </row>
    <row r="327" spans="8:61" ht="15.75" customHeight="1" x14ac:dyDescent="0.25">
      <c r="H327" s="41"/>
      <c r="W327" s="15"/>
      <c r="X327" s="15"/>
      <c r="AH327" s="15" t="e">
        <f t="shared" si="167"/>
        <v>#N/A</v>
      </c>
      <c r="AI327" s="21" t="str">
        <f t="shared" ref="AI327:AI359" si="187">LOWER(CONCATENATE(col_campanhaanunciante,"_",col_grupoanunciante,"_",col_localfreetype,"_",col_adlid))</f>
        <v>___nvl-nvs-imc-dsy-0820-10327</v>
      </c>
      <c r="AJ327" s="40" t="str">
        <f t="shared" ref="AJ327:AJ359" si="188">LOWER(CONCATENATE(col_campanhaanunciante,"_",col_grupoanunciante,"_",col_localfreetype,"_",col_adlid))</f>
        <v>___nvl-nvs-imc-dsy-0820-10327</v>
      </c>
      <c r="AK327" s="21" t="str">
        <f t="shared" si="168"/>
        <v>vw_nivus__-adserver</v>
      </c>
      <c r="AL327" s="21" t="str">
        <f t="shared" si="169"/>
        <v>?adlid=nvl-nvs-imc-dsy-0820-10327&amp;adplt=___nvl-nvs-imc-dsy-0820-10327</v>
      </c>
      <c r="AM327" s="21" t="str">
        <f t="shared" si="170"/>
        <v>TAG</v>
      </c>
      <c r="AN327" s="15">
        <f t="shared" si="171"/>
        <v>0</v>
      </c>
      <c r="AO327" s="15">
        <f t="shared" si="172"/>
        <v>0</v>
      </c>
      <c r="AP327" s="21" t="str">
        <f>Campanha!$B$3</f>
        <v>BR_IMC_DSY_LANCH_ND_NC_2020Q3AUG_NVS_Nivus-Launch-Consideracao-Orca</v>
      </c>
      <c r="AQ327" s="21" t="str">
        <f t="shared" si="173"/>
        <v>___nvl-nvs-imc-dsy-0820-10327</v>
      </c>
      <c r="AR327" s="15" t="s">
        <v>745</v>
      </c>
      <c r="AS327" s="21" t="str">
        <f t="shared" si="182"/>
        <v>?utm_source=0&amp;utm_medium=0&amp;utm_content=___nvl-nvs-imc-dsy-0820-10327&amp;utm_campaign=BR_IMC_DSY_LANCH_ND_NC_2020Q3AUG_NVS_Nivus-Launch-Consideracao-Orca&amp;utm_term=%epid!_%ecid!_%eaid!</v>
      </c>
      <c r="AT327" s="15" t="str">
        <f t="shared" si="174"/>
        <v/>
      </c>
      <c r="AU327" s="15" t="str">
        <f t="shared" si="175"/>
        <v>BR</v>
      </c>
      <c r="AV327" s="15" t="str">
        <f t="shared" si="176"/>
        <v/>
      </c>
      <c r="AW327" s="15" t="str">
        <f t="shared" si="177"/>
        <v/>
      </c>
      <c r="AX327" s="15" t="str">
        <f t="shared" si="178"/>
        <v>nivus-launch-consideracao-orca</v>
      </c>
      <c r="AY327" s="15" t="str">
        <f t="shared" si="183"/>
        <v>___nvl-nvs-imc-dsy-0820-10327</v>
      </c>
      <c r="AZ327" s="15" t="str">
        <f t="shared" si="184"/>
        <v/>
      </c>
      <c r="BA327" s="15" t="str">
        <f t="shared" si="179"/>
        <v/>
      </c>
      <c r="BB327" s="28" t="s">
        <v>798</v>
      </c>
      <c r="BC327" s="28" t="s">
        <v>798</v>
      </c>
      <c r="BD327" s="38" t="str">
        <f t="shared" si="180"/>
        <v>nvl-nvs-imc-dsy-0820-10327</v>
      </c>
      <c r="BE327" s="15" t="str">
        <f t="shared" si="185"/>
        <v>BR</v>
      </c>
      <c r="BF327" s="15" t="str">
        <f t="shared" si="186"/>
        <v/>
      </c>
      <c r="BG327" s="28"/>
      <c r="BH327" s="28"/>
      <c r="BI327" s="36" t="str">
        <f t="shared" si="181"/>
        <v>?adlid=nvl-nvs-imc-dsy-0820-10327&amp;adplt=___nvl-nvs-imc-dsy-0820-10327</v>
      </c>
    </row>
    <row r="328" spans="8:61" ht="15.75" customHeight="1" x14ac:dyDescent="0.25">
      <c r="H328" s="41"/>
      <c r="W328" s="15"/>
      <c r="X328" s="15"/>
      <c r="AH328" s="15" t="e">
        <f t="shared" si="167"/>
        <v>#N/A</v>
      </c>
      <c r="AI328" s="21" t="str">
        <f t="shared" si="187"/>
        <v>___nvl-nvs-imc-dsy-0820-10328</v>
      </c>
      <c r="AJ328" s="40" t="str">
        <f t="shared" si="188"/>
        <v>___nvl-nvs-imc-dsy-0820-10328</v>
      </c>
      <c r="AK328" s="21" t="str">
        <f t="shared" si="168"/>
        <v>vw_nivus__-adserver</v>
      </c>
      <c r="AL328" s="21" t="str">
        <f t="shared" si="169"/>
        <v>?adlid=nvl-nvs-imc-dsy-0820-10328&amp;adplt=___nvl-nvs-imc-dsy-0820-10328</v>
      </c>
      <c r="AM328" s="21" t="str">
        <f t="shared" si="170"/>
        <v>TAG</v>
      </c>
      <c r="AN328" s="15">
        <f t="shared" si="171"/>
        <v>0</v>
      </c>
      <c r="AO328" s="15">
        <f t="shared" si="172"/>
        <v>0</v>
      </c>
      <c r="AP328" s="21" t="str">
        <f>Campanha!$B$3</f>
        <v>BR_IMC_DSY_LANCH_ND_NC_2020Q3AUG_NVS_Nivus-Launch-Consideracao-Orca</v>
      </c>
      <c r="AQ328" s="21" t="str">
        <f t="shared" si="173"/>
        <v>___nvl-nvs-imc-dsy-0820-10328</v>
      </c>
      <c r="AR328" s="15" t="s">
        <v>745</v>
      </c>
      <c r="AS328" s="21" t="str">
        <f t="shared" si="182"/>
        <v>?utm_source=0&amp;utm_medium=0&amp;utm_content=___nvl-nvs-imc-dsy-0820-10328&amp;utm_campaign=BR_IMC_DSY_LANCH_ND_NC_2020Q3AUG_NVS_Nivus-Launch-Consideracao-Orca&amp;utm_term=%epid!_%ecid!_%eaid!</v>
      </c>
      <c r="AT328" s="15" t="str">
        <f t="shared" si="174"/>
        <v/>
      </c>
      <c r="AU328" s="15" t="str">
        <f t="shared" si="175"/>
        <v>BR</v>
      </c>
      <c r="AV328" s="15" t="str">
        <f t="shared" si="176"/>
        <v/>
      </c>
      <c r="AW328" s="15" t="str">
        <f t="shared" si="177"/>
        <v/>
      </c>
      <c r="AX328" s="15" t="str">
        <f t="shared" si="178"/>
        <v>nivus-launch-consideracao-orca</v>
      </c>
      <c r="AY328" s="15" t="str">
        <f t="shared" si="183"/>
        <v>___nvl-nvs-imc-dsy-0820-10328</v>
      </c>
      <c r="AZ328" s="15" t="str">
        <f t="shared" si="184"/>
        <v/>
      </c>
      <c r="BA328" s="15" t="str">
        <f t="shared" si="179"/>
        <v/>
      </c>
      <c r="BB328" s="28" t="s">
        <v>798</v>
      </c>
      <c r="BC328" s="28" t="s">
        <v>798</v>
      </c>
      <c r="BD328" s="38" t="str">
        <f t="shared" si="180"/>
        <v>nvl-nvs-imc-dsy-0820-10328</v>
      </c>
      <c r="BE328" s="15" t="str">
        <f t="shared" si="185"/>
        <v>BR</v>
      </c>
      <c r="BF328" s="15" t="str">
        <f t="shared" si="186"/>
        <v/>
      </c>
      <c r="BG328" s="28"/>
      <c r="BH328" s="28"/>
      <c r="BI328" s="36" t="str">
        <f t="shared" si="181"/>
        <v>?adlid=nvl-nvs-imc-dsy-0820-10328&amp;adplt=___nvl-nvs-imc-dsy-0820-10328</v>
      </c>
    </row>
    <row r="329" spans="8:61" ht="15.75" customHeight="1" x14ac:dyDescent="0.25">
      <c r="H329" s="41"/>
      <c r="W329" s="15"/>
      <c r="X329" s="15"/>
      <c r="AH329" s="15" t="e">
        <f t="shared" si="167"/>
        <v>#N/A</v>
      </c>
      <c r="AI329" s="21" t="str">
        <f t="shared" si="187"/>
        <v>___nvl-nvs-imc-dsy-0820-10329</v>
      </c>
      <c r="AJ329" s="40" t="str">
        <f t="shared" si="188"/>
        <v>___nvl-nvs-imc-dsy-0820-10329</v>
      </c>
      <c r="AK329" s="21" t="str">
        <f t="shared" si="168"/>
        <v>vw_nivus__-adserver</v>
      </c>
      <c r="AL329" s="21" t="str">
        <f t="shared" si="169"/>
        <v>?adlid=nvl-nvs-imc-dsy-0820-10329&amp;adplt=___nvl-nvs-imc-dsy-0820-10329</v>
      </c>
      <c r="AM329" s="21" t="str">
        <f t="shared" si="170"/>
        <v>TAG</v>
      </c>
      <c r="AN329" s="15">
        <f t="shared" si="171"/>
        <v>0</v>
      </c>
      <c r="AO329" s="15">
        <f t="shared" si="172"/>
        <v>0</v>
      </c>
      <c r="AP329" s="21" t="str">
        <f>Campanha!$B$3</f>
        <v>BR_IMC_DSY_LANCH_ND_NC_2020Q3AUG_NVS_Nivus-Launch-Consideracao-Orca</v>
      </c>
      <c r="AQ329" s="21" t="str">
        <f t="shared" si="173"/>
        <v>___nvl-nvs-imc-dsy-0820-10329</v>
      </c>
      <c r="AR329" s="15" t="s">
        <v>745</v>
      </c>
      <c r="AS329" s="21" t="str">
        <f t="shared" si="182"/>
        <v>?utm_source=0&amp;utm_medium=0&amp;utm_content=___nvl-nvs-imc-dsy-0820-10329&amp;utm_campaign=BR_IMC_DSY_LANCH_ND_NC_2020Q3AUG_NVS_Nivus-Launch-Consideracao-Orca&amp;utm_term=%epid!_%ecid!_%eaid!</v>
      </c>
      <c r="AT329" s="15" t="str">
        <f t="shared" si="174"/>
        <v/>
      </c>
      <c r="AU329" s="15" t="str">
        <f t="shared" si="175"/>
        <v>BR</v>
      </c>
      <c r="AV329" s="15" t="str">
        <f t="shared" si="176"/>
        <v/>
      </c>
      <c r="AW329" s="15" t="str">
        <f t="shared" si="177"/>
        <v/>
      </c>
      <c r="AX329" s="15" t="str">
        <f t="shared" si="178"/>
        <v>nivus-launch-consideracao-orca</v>
      </c>
      <c r="AY329" s="15" t="str">
        <f t="shared" si="183"/>
        <v>___nvl-nvs-imc-dsy-0820-10329</v>
      </c>
      <c r="AZ329" s="15" t="str">
        <f t="shared" si="184"/>
        <v/>
      </c>
      <c r="BA329" s="15" t="str">
        <f t="shared" si="179"/>
        <v/>
      </c>
      <c r="BB329" s="28" t="s">
        <v>798</v>
      </c>
      <c r="BC329" s="28" t="s">
        <v>798</v>
      </c>
      <c r="BD329" s="38" t="str">
        <f t="shared" si="180"/>
        <v>nvl-nvs-imc-dsy-0820-10329</v>
      </c>
      <c r="BE329" s="15" t="str">
        <f t="shared" si="185"/>
        <v>BR</v>
      </c>
      <c r="BF329" s="15" t="str">
        <f t="shared" si="186"/>
        <v/>
      </c>
      <c r="BG329" s="28"/>
      <c r="BH329" s="28"/>
      <c r="BI329" s="36" t="str">
        <f t="shared" si="181"/>
        <v>?adlid=nvl-nvs-imc-dsy-0820-10329&amp;adplt=___nvl-nvs-imc-dsy-0820-10329</v>
      </c>
    </row>
    <row r="330" spans="8:61" ht="15.75" customHeight="1" x14ac:dyDescent="0.25">
      <c r="H330" s="41"/>
      <c r="W330" s="15"/>
      <c r="X330" s="15"/>
      <c r="AH330" s="15" t="e">
        <f t="shared" si="167"/>
        <v>#N/A</v>
      </c>
      <c r="AI330" s="21" t="str">
        <f t="shared" si="187"/>
        <v>___nvl-nvs-imc-dsy-0820-10330</v>
      </c>
      <c r="AJ330" s="40" t="str">
        <f t="shared" si="188"/>
        <v>___nvl-nvs-imc-dsy-0820-10330</v>
      </c>
      <c r="AK330" s="21" t="str">
        <f t="shared" si="168"/>
        <v>vw_nivus__-adserver</v>
      </c>
      <c r="AL330" s="21" t="str">
        <f t="shared" si="169"/>
        <v>?adlid=nvl-nvs-imc-dsy-0820-10330&amp;adplt=___nvl-nvs-imc-dsy-0820-10330</v>
      </c>
      <c r="AM330" s="21" t="str">
        <f t="shared" si="170"/>
        <v>TAG</v>
      </c>
      <c r="AN330" s="15">
        <f t="shared" si="171"/>
        <v>0</v>
      </c>
      <c r="AO330" s="15">
        <f t="shared" si="172"/>
        <v>0</v>
      </c>
      <c r="AP330" s="21" t="str">
        <f>Campanha!$B$3</f>
        <v>BR_IMC_DSY_LANCH_ND_NC_2020Q3AUG_NVS_Nivus-Launch-Consideracao-Orca</v>
      </c>
      <c r="AQ330" s="21" t="str">
        <f t="shared" si="173"/>
        <v>___nvl-nvs-imc-dsy-0820-10330</v>
      </c>
      <c r="AR330" s="15" t="s">
        <v>745</v>
      </c>
      <c r="AS330" s="21" t="str">
        <f t="shared" si="182"/>
        <v>?utm_source=0&amp;utm_medium=0&amp;utm_content=___nvl-nvs-imc-dsy-0820-10330&amp;utm_campaign=BR_IMC_DSY_LANCH_ND_NC_2020Q3AUG_NVS_Nivus-Launch-Consideracao-Orca&amp;utm_term=%epid!_%ecid!_%eaid!</v>
      </c>
      <c r="AT330" s="15" t="str">
        <f t="shared" si="174"/>
        <v/>
      </c>
      <c r="AU330" s="15" t="str">
        <f t="shared" si="175"/>
        <v>BR</v>
      </c>
      <c r="AV330" s="15" t="str">
        <f t="shared" si="176"/>
        <v/>
      </c>
      <c r="AW330" s="15" t="str">
        <f t="shared" si="177"/>
        <v/>
      </c>
      <c r="AX330" s="15" t="str">
        <f t="shared" si="178"/>
        <v>nivus-launch-consideracao-orca</v>
      </c>
      <c r="AY330" s="15" t="str">
        <f t="shared" si="183"/>
        <v>___nvl-nvs-imc-dsy-0820-10330</v>
      </c>
      <c r="AZ330" s="15" t="str">
        <f t="shared" si="184"/>
        <v/>
      </c>
      <c r="BA330" s="15" t="str">
        <f t="shared" si="179"/>
        <v/>
      </c>
      <c r="BB330" s="28" t="s">
        <v>798</v>
      </c>
      <c r="BC330" s="28" t="s">
        <v>798</v>
      </c>
      <c r="BD330" s="38" t="str">
        <f t="shared" si="180"/>
        <v>nvl-nvs-imc-dsy-0820-10330</v>
      </c>
      <c r="BE330" s="15" t="str">
        <f t="shared" si="185"/>
        <v>BR</v>
      </c>
      <c r="BF330" s="15" t="str">
        <f t="shared" si="186"/>
        <v/>
      </c>
      <c r="BG330" s="28"/>
      <c r="BH330" s="28"/>
      <c r="BI330" s="36" t="str">
        <f t="shared" si="181"/>
        <v>?adlid=nvl-nvs-imc-dsy-0820-10330&amp;adplt=___nvl-nvs-imc-dsy-0820-10330</v>
      </c>
    </row>
    <row r="331" spans="8:61" ht="15.75" customHeight="1" x14ac:dyDescent="0.25">
      <c r="H331" s="41"/>
      <c r="W331" s="15"/>
      <c r="X331" s="15"/>
      <c r="AH331" s="15" t="e">
        <f t="shared" si="167"/>
        <v>#N/A</v>
      </c>
      <c r="AI331" s="21" t="str">
        <f t="shared" si="187"/>
        <v>___nvl-nvs-imc-dsy-0820-10331</v>
      </c>
      <c r="AJ331" s="40" t="str">
        <f t="shared" si="188"/>
        <v>___nvl-nvs-imc-dsy-0820-10331</v>
      </c>
      <c r="AK331" s="21" t="str">
        <f t="shared" si="168"/>
        <v>vw_nivus__-adserver</v>
      </c>
      <c r="AL331" s="21" t="str">
        <f t="shared" si="169"/>
        <v>?adlid=nvl-nvs-imc-dsy-0820-10331&amp;adplt=___nvl-nvs-imc-dsy-0820-10331</v>
      </c>
      <c r="AM331" s="21" t="str">
        <f t="shared" si="170"/>
        <v>TAG</v>
      </c>
      <c r="AN331" s="15">
        <f t="shared" si="171"/>
        <v>0</v>
      </c>
      <c r="AO331" s="15">
        <f t="shared" si="172"/>
        <v>0</v>
      </c>
      <c r="AP331" s="21" t="str">
        <f>Campanha!$B$3</f>
        <v>BR_IMC_DSY_LANCH_ND_NC_2020Q3AUG_NVS_Nivus-Launch-Consideracao-Orca</v>
      </c>
      <c r="AQ331" s="21" t="str">
        <f t="shared" si="173"/>
        <v>___nvl-nvs-imc-dsy-0820-10331</v>
      </c>
      <c r="AR331" s="15" t="s">
        <v>745</v>
      </c>
      <c r="AS331" s="21" t="str">
        <f t="shared" si="182"/>
        <v>?utm_source=0&amp;utm_medium=0&amp;utm_content=___nvl-nvs-imc-dsy-0820-10331&amp;utm_campaign=BR_IMC_DSY_LANCH_ND_NC_2020Q3AUG_NVS_Nivus-Launch-Consideracao-Orca&amp;utm_term=%epid!_%ecid!_%eaid!</v>
      </c>
      <c r="AT331" s="15" t="str">
        <f t="shared" si="174"/>
        <v/>
      </c>
      <c r="AU331" s="15" t="str">
        <f t="shared" si="175"/>
        <v>BR</v>
      </c>
      <c r="AV331" s="15" t="str">
        <f t="shared" si="176"/>
        <v/>
      </c>
      <c r="AW331" s="15" t="str">
        <f t="shared" si="177"/>
        <v/>
      </c>
      <c r="AX331" s="15" t="str">
        <f t="shared" si="178"/>
        <v>nivus-launch-consideracao-orca</v>
      </c>
      <c r="AY331" s="15" t="str">
        <f t="shared" si="183"/>
        <v>___nvl-nvs-imc-dsy-0820-10331</v>
      </c>
      <c r="AZ331" s="15" t="str">
        <f t="shared" si="184"/>
        <v/>
      </c>
      <c r="BA331" s="15" t="str">
        <f t="shared" si="179"/>
        <v/>
      </c>
      <c r="BB331" s="28" t="s">
        <v>798</v>
      </c>
      <c r="BC331" s="28" t="s">
        <v>798</v>
      </c>
      <c r="BD331" s="38" t="str">
        <f t="shared" si="180"/>
        <v>nvl-nvs-imc-dsy-0820-10331</v>
      </c>
      <c r="BE331" s="15" t="str">
        <f t="shared" si="185"/>
        <v>BR</v>
      </c>
      <c r="BF331" s="15" t="str">
        <f t="shared" si="186"/>
        <v/>
      </c>
      <c r="BG331" s="28"/>
      <c r="BH331" s="28"/>
      <c r="BI331" s="36" t="str">
        <f t="shared" si="181"/>
        <v>?adlid=nvl-nvs-imc-dsy-0820-10331&amp;adplt=___nvl-nvs-imc-dsy-0820-10331</v>
      </c>
    </row>
    <row r="332" spans="8:61" ht="15.75" customHeight="1" x14ac:dyDescent="0.25">
      <c r="H332" s="41"/>
      <c r="W332" s="15"/>
      <c r="X332" s="15"/>
      <c r="AH332" s="15" t="e">
        <f t="shared" si="167"/>
        <v>#N/A</v>
      </c>
      <c r="AI332" s="21" t="str">
        <f t="shared" si="187"/>
        <v>___nvl-nvs-imc-dsy-0820-10332</v>
      </c>
      <c r="AJ332" s="40" t="str">
        <f t="shared" si="188"/>
        <v>___nvl-nvs-imc-dsy-0820-10332</v>
      </c>
      <c r="AK332" s="21" t="str">
        <f t="shared" si="168"/>
        <v>vw_nivus__-adserver</v>
      </c>
      <c r="AL332" s="21" t="str">
        <f t="shared" si="169"/>
        <v>?adlid=nvl-nvs-imc-dsy-0820-10332&amp;adplt=___nvl-nvs-imc-dsy-0820-10332</v>
      </c>
      <c r="AM332" s="21" t="str">
        <f t="shared" si="170"/>
        <v>TAG</v>
      </c>
      <c r="AN332" s="15">
        <f t="shared" si="171"/>
        <v>0</v>
      </c>
      <c r="AO332" s="15">
        <f t="shared" si="172"/>
        <v>0</v>
      </c>
      <c r="AP332" s="21" t="str">
        <f>Campanha!$B$3</f>
        <v>BR_IMC_DSY_LANCH_ND_NC_2020Q3AUG_NVS_Nivus-Launch-Consideracao-Orca</v>
      </c>
      <c r="AQ332" s="21" t="str">
        <f t="shared" si="173"/>
        <v>___nvl-nvs-imc-dsy-0820-10332</v>
      </c>
      <c r="AR332" s="15" t="s">
        <v>745</v>
      </c>
      <c r="AS332" s="21" t="str">
        <f t="shared" si="182"/>
        <v>?utm_source=0&amp;utm_medium=0&amp;utm_content=___nvl-nvs-imc-dsy-0820-10332&amp;utm_campaign=BR_IMC_DSY_LANCH_ND_NC_2020Q3AUG_NVS_Nivus-Launch-Consideracao-Orca&amp;utm_term=%epid!_%ecid!_%eaid!</v>
      </c>
      <c r="AT332" s="15" t="str">
        <f t="shared" si="174"/>
        <v/>
      </c>
      <c r="AU332" s="15" t="str">
        <f t="shared" si="175"/>
        <v>BR</v>
      </c>
      <c r="AV332" s="15" t="str">
        <f t="shared" si="176"/>
        <v/>
      </c>
      <c r="AW332" s="15" t="str">
        <f t="shared" si="177"/>
        <v/>
      </c>
      <c r="AX332" s="15" t="str">
        <f t="shared" si="178"/>
        <v>nivus-launch-consideracao-orca</v>
      </c>
      <c r="AY332" s="15" t="str">
        <f t="shared" si="183"/>
        <v>___nvl-nvs-imc-dsy-0820-10332</v>
      </c>
      <c r="AZ332" s="15" t="str">
        <f t="shared" si="184"/>
        <v/>
      </c>
      <c r="BA332" s="15" t="str">
        <f t="shared" si="179"/>
        <v/>
      </c>
      <c r="BB332" s="28" t="s">
        <v>798</v>
      </c>
      <c r="BC332" s="28" t="s">
        <v>798</v>
      </c>
      <c r="BD332" s="38" t="str">
        <f t="shared" si="180"/>
        <v>nvl-nvs-imc-dsy-0820-10332</v>
      </c>
      <c r="BE332" s="15" t="str">
        <f t="shared" si="185"/>
        <v>BR</v>
      </c>
      <c r="BF332" s="15" t="str">
        <f t="shared" si="186"/>
        <v/>
      </c>
      <c r="BG332" s="28"/>
      <c r="BH332" s="28"/>
      <c r="BI332" s="36" t="str">
        <f t="shared" si="181"/>
        <v>?adlid=nvl-nvs-imc-dsy-0820-10332&amp;adplt=___nvl-nvs-imc-dsy-0820-10332</v>
      </c>
    </row>
    <row r="333" spans="8:61" ht="15.75" customHeight="1" x14ac:dyDescent="0.25">
      <c r="H333" s="41"/>
      <c r="W333" s="15"/>
      <c r="X333" s="15"/>
      <c r="AH333" s="15" t="e">
        <f t="shared" si="167"/>
        <v>#N/A</v>
      </c>
      <c r="AI333" s="21" t="str">
        <f t="shared" si="187"/>
        <v>___nvl-nvs-imc-dsy-0820-10333</v>
      </c>
      <c r="AJ333" s="40" t="str">
        <f t="shared" si="188"/>
        <v>___nvl-nvs-imc-dsy-0820-10333</v>
      </c>
      <c r="AK333" s="21" t="str">
        <f t="shared" si="168"/>
        <v>vw_nivus__-adserver</v>
      </c>
      <c r="AL333" s="21" t="str">
        <f t="shared" si="169"/>
        <v>?adlid=nvl-nvs-imc-dsy-0820-10333&amp;adplt=___nvl-nvs-imc-dsy-0820-10333</v>
      </c>
      <c r="AM333" s="21" t="str">
        <f t="shared" si="170"/>
        <v>TAG</v>
      </c>
      <c r="AN333" s="15">
        <f t="shared" si="171"/>
        <v>0</v>
      </c>
      <c r="AO333" s="15">
        <f t="shared" si="172"/>
        <v>0</v>
      </c>
      <c r="AP333" s="21" t="str">
        <f>Campanha!$B$3</f>
        <v>BR_IMC_DSY_LANCH_ND_NC_2020Q3AUG_NVS_Nivus-Launch-Consideracao-Orca</v>
      </c>
      <c r="AQ333" s="21" t="str">
        <f t="shared" si="173"/>
        <v>___nvl-nvs-imc-dsy-0820-10333</v>
      </c>
      <c r="AR333" s="15" t="s">
        <v>745</v>
      </c>
      <c r="AS333" s="21" t="str">
        <f t="shared" si="182"/>
        <v>?utm_source=0&amp;utm_medium=0&amp;utm_content=___nvl-nvs-imc-dsy-0820-10333&amp;utm_campaign=BR_IMC_DSY_LANCH_ND_NC_2020Q3AUG_NVS_Nivus-Launch-Consideracao-Orca&amp;utm_term=%epid!_%ecid!_%eaid!</v>
      </c>
      <c r="AT333" s="15" t="str">
        <f t="shared" si="174"/>
        <v/>
      </c>
      <c r="AU333" s="15" t="str">
        <f t="shared" si="175"/>
        <v>BR</v>
      </c>
      <c r="AV333" s="15" t="str">
        <f t="shared" si="176"/>
        <v/>
      </c>
      <c r="AW333" s="15" t="str">
        <f t="shared" si="177"/>
        <v/>
      </c>
      <c r="AX333" s="15" t="str">
        <f t="shared" si="178"/>
        <v>nivus-launch-consideracao-orca</v>
      </c>
      <c r="AY333" s="15" t="str">
        <f t="shared" si="183"/>
        <v>___nvl-nvs-imc-dsy-0820-10333</v>
      </c>
      <c r="AZ333" s="15" t="str">
        <f t="shared" si="184"/>
        <v/>
      </c>
      <c r="BA333" s="15" t="str">
        <f t="shared" si="179"/>
        <v/>
      </c>
      <c r="BB333" s="28" t="s">
        <v>798</v>
      </c>
      <c r="BC333" s="28" t="s">
        <v>798</v>
      </c>
      <c r="BD333" s="38" t="str">
        <f t="shared" si="180"/>
        <v>nvl-nvs-imc-dsy-0820-10333</v>
      </c>
      <c r="BE333" s="15" t="str">
        <f t="shared" si="185"/>
        <v>BR</v>
      </c>
      <c r="BF333" s="15" t="str">
        <f t="shared" si="186"/>
        <v/>
      </c>
      <c r="BG333" s="28"/>
      <c r="BH333" s="28"/>
      <c r="BI333" s="36" t="str">
        <f t="shared" si="181"/>
        <v>?adlid=nvl-nvs-imc-dsy-0820-10333&amp;adplt=___nvl-nvs-imc-dsy-0820-10333</v>
      </c>
    </row>
    <row r="334" spans="8:61" ht="15.75" customHeight="1" x14ac:dyDescent="0.25">
      <c r="H334" s="41"/>
      <c r="W334" s="15"/>
      <c r="X334" s="15"/>
      <c r="AH334" s="15" t="e">
        <f t="shared" si="167"/>
        <v>#N/A</v>
      </c>
      <c r="AI334" s="21" t="str">
        <f t="shared" si="187"/>
        <v>___nvl-nvs-imc-dsy-0820-10334</v>
      </c>
      <c r="AJ334" s="40" t="str">
        <f t="shared" si="188"/>
        <v>___nvl-nvs-imc-dsy-0820-10334</v>
      </c>
      <c r="AK334" s="21" t="str">
        <f t="shared" si="168"/>
        <v>vw_nivus__-adserver</v>
      </c>
      <c r="AL334" s="21" t="str">
        <f t="shared" si="169"/>
        <v>?adlid=nvl-nvs-imc-dsy-0820-10334&amp;adplt=___nvl-nvs-imc-dsy-0820-10334</v>
      </c>
      <c r="AM334" s="21" t="str">
        <f t="shared" si="170"/>
        <v>TAG</v>
      </c>
      <c r="AN334" s="15">
        <f t="shared" si="171"/>
        <v>0</v>
      </c>
      <c r="AO334" s="15">
        <f t="shared" si="172"/>
        <v>0</v>
      </c>
      <c r="AP334" s="21" t="str">
        <f>Campanha!$B$3</f>
        <v>BR_IMC_DSY_LANCH_ND_NC_2020Q3AUG_NVS_Nivus-Launch-Consideracao-Orca</v>
      </c>
      <c r="AQ334" s="21" t="str">
        <f t="shared" si="173"/>
        <v>___nvl-nvs-imc-dsy-0820-10334</v>
      </c>
      <c r="AR334" s="15" t="s">
        <v>745</v>
      </c>
      <c r="AS334" s="21" t="str">
        <f t="shared" si="182"/>
        <v>?utm_source=0&amp;utm_medium=0&amp;utm_content=___nvl-nvs-imc-dsy-0820-10334&amp;utm_campaign=BR_IMC_DSY_LANCH_ND_NC_2020Q3AUG_NVS_Nivus-Launch-Consideracao-Orca&amp;utm_term=%epid!_%ecid!_%eaid!</v>
      </c>
      <c r="AT334" s="15" t="str">
        <f t="shared" si="174"/>
        <v/>
      </c>
      <c r="AU334" s="15" t="str">
        <f t="shared" si="175"/>
        <v>BR</v>
      </c>
      <c r="AV334" s="15" t="str">
        <f t="shared" si="176"/>
        <v/>
      </c>
      <c r="AW334" s="15" t="str">
        <f t="shared" si="177"/>
        <v/>
      </c>
      <c r="AX334" s="15" t="str">
        <f t="shared" si="178"/>
        <v>nivus-launch-consideracao-orca</v>
      </c>
      <c r="AY334" s="15" t="str">
        <f t="shared" si="183"/>
        <v>___nvl-nvs-imc-dsy-0820-10334</v>
      </c>
      <c r="AZ334" s="15" t="str">
        <f t="shared" si="184"/>
        <v/>
      </c>
      <c r="BA334" s="15" t="str">
        <f t="shared" si="179"/>
        <v/>
      </c>
      <c r="BB334" s="28" t="s">
        <v>798</v>
      </c>
      <c r="BC334" s="28" t="s">
        <v>798</v>
      </c>
      <c r="BD334" s="38" t="str">
        <f t="shared" si="180"/>
        <v>nvl-nvs-imc-dsy-0820-10334</v>
      </c>
      <c r="BE334" s="15" t="str">
        <f t="shared" si="185"/>
        <v>BR</v>
      </c>
      <c r="BF334" s="15" t="str">
        <f t="shared" si="186"/>
        <v/>
      </c>
      <c r="BG334" s="28"/>
      <c r="BH334" s="28"/>
      <c r="BI334" s="36" t="str">
        <f t="shared" si="181"/>
        <v>?adlid=nvl-nvs-imc-dsy-0820-10334&amp;adplt=___nvl-nvs-imc-dsy-0820-10334</v>
      </c>
    </row>
    <row r="335" spans="8:61" ht="15.75" customHeight="1" x14ac:dyDescent="0.25">
      <c r="H335" s="41"/>
      <c r="W335" s="15"/>
      <c r="X335" s="15"/>
      <c r="AH335" s="15" t="e">
        <f t="shared" si="167"/>
        <v>#N/A</v>
      </c>
      <c r="AI335" s="21" t="str">
        <f t="shared" si="187"/>
        <v>___nvl-nvs-imc-dsy-0820-10335</v>
      </c>
      <c r="AJ335" s="40" t="str">
        <f t="shared" si="188"/>
        <v>___nvl-nvs-imc-dsy-0820-10335</v>
      </c>
      <c r="AK335" s="21" t="str">
        <f t="shared" si="168"/>
        <v>vw_nivus__-adserver</v>
      </c>
      <c r="AL335" s="21" t="str">
        <f t="shared" si="169"/>
        <v>?adlid=nvl-nvs-imc-dsy-0820-10335&amp;adplt=___nvl-nvs-imc-dsy-0820-10335</v>
      </c>
      <c r="AM335" s="21" t="str">
        <f t="shared" si="170"/>
        <v>TAG</v>
      </c>
      <c r="AN335" s="15">
        <f t="shared" si="171"/>
        <v>0</v>
      </c>
      <c r="AO335" s="15">
        <f t="shared" si="172"/>
        <v>0</v>
      </c>
      <c r="AP335" s="21" t="str">
        <f>Campanha!$B$3</f>
        <v>BR_IMC_DSY_LANCH_ND_NC_2020Q3AUG_NVS_Nivus-Launch-Consideracao-Orca</v>
      </c>
      <c r="AQ335" s="21" t="str">
        <f t="shared" si="173"/>
        <v>___nvl-nvs-imc-dsy-0820-10335</v>
      </c>
      <c r="AR335" s="15" t="s">
        <v>745</v>
      </c>
      <c r="AS335" s="21" t="str">
        <f t="shared" si="182"/>
        <v>?utm_source=0&amp;utm_medium=0&amp;utm_content=___nvl-nvs-imc-dsy-0820-10335&amp;utm_campaign=BR_IMC_DSY_LANCH_ND_NC_2020Q3AUG_NVS_Nivus-Launch-Consideracao-Orca&amp;utm_term=%epid!_%ecid!_%eaid!</v>
      </c>
      <c r="AT335" s="15" t="str">
        <f t="shared" si="174"/>
        <v/>
      </c>
      <c r="AU335" s="15" t="str">
        <f t="shared" si="175"/>
        <v>BR</v>
      </c>
      <c r="AV335" s="15" t="str">
        <f t="shared" si="176"/>
        <v/>
      </c>
      <c r="AW335" s="15" t="str">
        <f t="shared" si="177"/>
        <v/>
      </c>
      <c r="AX335" s="15" t="str">
        <f t="shared" si="178"/>
        <v>nivus-launch-consideracao-orca</v>
      </c>
      <c r="AY335" s="15" t="str">
        <f t="shared" si="183"/>
        <v>___nvl-nvs-imc-dsy-0820-10335</v>
      </c>
      <c r="AZ335" s="15" t="str">
        <f t="shared" si="184"/>
        <v/>
      </c>
      <c r="BA335" s="15" t="str">
        <f t="shared" si="179"/>
        <v/>
      </c>
      <c r="BB335" s="28" t="s">
        <v>798</v>
      </c>
      <c r="BC335" s="28" t="s">
        <v>798</v>
      </c>
      <c r="BD335" s="38" t="str">
        <f t="shared" si="180"/>
        <v>nvl-nvs-imc-dsy-0820-10335</v>
      </c>
      <c r="BE335" s="15" t="str">
        <f t="shared" si="185"/>
        <v>BR</v>
      </c>
      <c r="BF335" s="15" t="str">
        <f t="shared" si="186"/>
        <v/>
      </c>
      <c r="BG335" s="28"/>
      <c r="BH335" s="28"/>
      <c r="BI335" s="36" t="str">
        <f t="shared" si="181"/>
        <v>?adlid=nvl-nvs-imc-dsy-0820-10335&amp;adplt=___nvl-nvs-imc-dsy-0820-10335</v>
      </c>
    </row>
    <row r="336" spans="8:61" ht="15.75" customHeight="1" x14ac:dyDescent="0.25">
      <c r="H336" s="41"/>
      <c r="W336" s="15"/>
      <c r="X336" s="15"/>
      <c r="AH336" s="15" t="e">
        <f t="shared" si="167"/>
        <v>#N/A</v>
      </c>
      <c r="AI336" s="21" t="str">
        <f t="shared" si="187"/>
        <v>___nvl-nvs-imc-dsy-0820-10336</v>
      </c>
      <c r="AJ336" s="40" t="str">
        <f t="shared" si="188"/>
        <v>___nvl-nvs-imc-dsy-0820-10336</v>
      </c>
      <c r="AK336" s="21" t="str">
        <f t="shared" si="168"/>
        <v>vw_nivus__-adserver</v>
      </c>
      <c r="AL336" s="21" t="str">
        <f t="shared" si="169"/>
        <v>?adlid=nvl-nvs-imc-dsy-0820-10336&amp;adplt=___nvl-nvs-imc-dsy-0820-10336</v>
      </c>
      <c r="AM336" s="21" t="str">
        <f t="shared" si="170"/>
        <v>TAG</v>
      </c>
      <c r="AN336" s="15">
        <f t="shared" si="171"/>
        <v>0</v>
      </c>
      <c r="AO336" s="15">
        <f t="shared" si="172"/>
        <v>0</v>
      </c>
      <c r="AP336" s="21" t="str">
        <f>Campanha!$B$3</f>
        <v>BR_IMC_DSY_LANCH_ND_NC_2020Q3AUG_NVS_Nivus-Launch-Consideracao-Orca</v>
      </c>
      <c r="AQ336" s="21" t="str">
        <f t="shared" si="173"/>
        <v>___nvl-nvs-imc-dsy-0820-10336</v>
      </c>
      <c r="AR336" s="15" t="s">
        <v>745</v>
      </c>
      <c r="AS336" s="21" t="str">
        <f t="shared" si="182"/>
        <v>?utm_source=0&amp;utm_medium=0&amp;utm_content=___nvl-nvs-imc-dsy-0820-10336&amp;utm_campaign=BR_IMC_DSY_LANCH_ND_NC_2020Q3AUG_NVS_Nivus-Launch-Consideracao-Orca&amp;utm_term=%epid!_%ecid!_%eaid!</v>
      </c>
      <c r="AT336" s="15" t="str">
        <f t="shared" si="174"/>
        <v/>
      </c>
      <c r="AU336" s="15" t="str">
        <f t="shared" si="175"/>
        <v>BR</v>
      </c>
      <c r="AV336" s="15" t="str">
        <f t="shared" si="176"/>
        <v/>
      </c>
      <c r="AW336" s="15" t="str">
        <f t="shared" si="177"/>
        <v/>
      </c>
      <c r="AX336" s="15" t="str">
        <f t="shared" si="178"/>
        <v>nivus-launch-consideracao-orca</v>
      </c>
      <c r="AY336" s="15" t="str">
        <f t="shared" si="183"/>
        <v>___nvl-nvs-imc-dsy-0820-10336</v>
      </c>
      <c r="AZ336" s="15" t="str">
        <f t="shared" si="184"/>
        <v/>
      </c>
      <c r="BA336" s="15" t="str">
        <f t="shared" si="179"/>
        <v/>
      </c>
      <c r="BB336" s="28" t="s">
        <v>798</v>
      </c>
      <c r="BC336" s="28" t="s">
        <v>798</v>
      </c>
      <c r="BD336" s="38" t="str">
        <f t="shared" si="180"/>
        <v>nvl-nvs-imc-dsy-0820-10336</v>
      </c>
      <c r="BE336" s="15" t="str">
        <f t="shared" si="185"/>
        <v>BR</v>
      </c>
      <c r="BF336" s="15" t="str">
        <f t="shared" si="186"/>
        <v/>
      </c>
      <c r="BG336" s="28"/>
      <c r="BH336" s="28"/>
      <c r="BI336" s="36" t="str">
        <f t="shared" si="181"/>
        <v>?adlid=nvl-nvs-imc-dsy-0820-10336&amp;adplt=___nvl-nvs-imc-dsy-0820-10336</v>
      </c>
    </row>
    <row r="337" spans="8:61" ht="15.75" customHeight="1" x14ac:dyDescent="0.25">
      <c r="H337" s="41"/>
      <c r="W337" s="15"/>
      <c r="X337" s="15"/>
      <c r="AH337" s="15" t="e">
        <f t="shared" si="167"/>
        <v>#N/A</v>
      </c>
      <c r="AI337" s="21" t="str">
        <f t="shared" si="187"/>
        <v>___nvl-nvs-imc-dsy-0820-10337</v>
      </c>
      <c r="AJ337" s="40" t="str">
        <f t="shared" si="188"/>
        <v>___nvl-nvs-imc-dsy-0820-10337</v>
      </c>
      <c r="AK337" s="21" t="str">
        <f t="shared" si="168"/>
        <v>vw_nivus__-adserver</v>
      </c>
      <c r="AL337" s="21" t="str">
        <f t="shared" si="169"/>
        <v>?adlid=nvl-nvs-imc-dsy-0820-10337&amp;adplt=___nvl-nvs-imc-dsy-0820-10337</v>
      </c>
      <c r="AM337" s="21" t="str">
        <f t="shared" si="170"/>
        <v>TAG</v>
      </c>
      <c r="AN337" s="15">
        <f t="shared" si="171"/>
        <v>0</v>
      </c>
      <c r="AO337" s="15">
        <f t="shared" si="172"/>
        <v>0</v>
      </c>
      <c r="AP337" s="21" t="str">
        <f>Campanha!$B$3</f>
        <v>BR_IMC_DSY_LANCH_ND_NC_2020Q3AUG_NVS_Nivus-Launch-Consideracao-Orca</v>
      </c>
      <c r="AQ337" s="21" t="str">
        <f t="shared" si="173"/>
        <v>___nvl-nvs-imc-dsy-0820-10337</v>
      </c>
      <c r="AR337" s="15" t="s">
        <v>745</v>
      </c>
      <c r="AS337" s="21" t="str">
        <f t="shared" si="182"/>
        <v>?utm_source=0&amp;utm_medium=0&amp;utm_content=___nvl-nvs-imc-dsy-0820-10337&amp;utm_campaign=BR_IMC_DSY_LANCH_ND_NC_2020Q3AUG_NVS_Nivus-Launch-Consideracao-Orca&amp;utm_term=%epid!_%ecid!_%eaid!</v>
      </c>
      <c r="AT337" s="15" t="str">
        <f t="shared" si="174"/>
        <v/>
      </c>
      <c r="AU337" s="15" t="str">
        <f t="shared" si="175"/>
        <v>BR</v>
      </c>
      <c r="AV337" s="15" t="str">
        <f t="shared" si="176"/>
        <v/>
      </c>
      <c r="AW337" s="15" t="str">
        <f t="shared" si="177"/>
        <v/>
      </c>
      <c r="AX337" s="15" t="str">
        <f t="shared" si="178"/>
        <v>nivus-launch-consideracao-orca</v>
      </c>
      <c r="AY337" s="15" t="str">
        <f t="shared" si="183"/>
        <v>___nvl-nvs-imc-dsy-0820-10337</v>
      </c>
      <c r="AZ337" s="15" t="str">
        <f t="shared" si="184"/>
        <v/>
      </c>
      <c r="BA337" s="15" t="str">
        <f t="shared" si="179"/>
        <v/>
      </c>
      <c r="BB337" s="28" t="s">
        <v>798</v>
      </c>
      <c r="BC337" s="28" t="s">
        <v>798</v>
      </c>
      <c r="BD337" s="38" t="str">
        <f t="shared" si="180"/>
        <v>nvl-nvs-imc-dsy-0820-10337</v>
      </c>
      <c r="BE337" s="15" t="str">
        <f t="shared" si="185"/>
        <v>BR</v>
      </c>
      <c r="BF337" s="15" t="str">
        <f t="shared" si="186"/>
        <v/>
      </c>
      <c r="BG337" s="28"/>
      <c r="BH337" s="28"/>
      <c r="BI337" s="36" t="str">
        <f t="shared" si="181"/>
        <v>?adlid=nvl-nvs-imc-dsy-0820-10337&amp;adplt=___nvl-nvs-imc-dsy-0820-10337</v>
      </c>
    </row>
    <row r="338" spans="8:61" ht="15.75" customHeight="1" x14ac:dyDescent="0.25">
      <c r="H338" s="41"/>
      <c r="W338" s="15"/>
      <c r="X338" s="15"/>
      <c r="AH338" s="15" t="e">
        <f t="shared" si="167"/>
        <v>#N/A</v>
      </c>
      <c r="AI338" s="21" t="str">
        <f t="shared" si="187"/>
        <v>___nvl-nvs-imc-dsy-0820-10338</v>
      </c>
      <c r="AJ338" s="40" t="str">
        <f t="shared" si="188"/>
        <v>___nvl-nvs-imc-dsy-0820-10338</v>
      </c>
      <c r="AK338" s="21" t="str">
        <f t="shared" si="168"/>
        <v>vw_nivus__-adserver</v>
      </c>
      <c r="AL338" s="21" t="str">
        <f t="shared" si="169"/>
        <v>?adlid=nvl-nvs-imc-dsy-0820-10338&amp;adplt=___nvl-nvs-imc-dsy-0820-10338</v>
      </c>
      <c r="AM338" s="21" t="str">
        <f t="shared" si="170"/>
        <v>TAG</v>
      </c>
      <c r="AN338" s="15">
        <f t="shared" si="171"/>
        <v>0</v>
      </c>
      <c r="AO338" s="15">
        <f t="shared" si="172"/>
        <v>0</v>
      </c>
      <c r="AP338" s="21" t="str">
        <f>Campanha!$B$3</f>
        <v>BR_IMC_DSY_LANCH_ND_NC_2020Q3AUG_NVS_Nivus-Launch-Consideracao-Orca</v>
      </c>
      <c r="AQ338" s="21" t="str">
        <f t="shared" si="173"/>
        <v>___nvl-nvs-imc-dsy-0820-10338</v>
      </c>
      <c r="AR338" s="15" t="s">
        <v>745</v>
      </c>
      <c r="AS338" s="21" t="str">
        <f t="shared" si="182"/>
        <v>?utm_source=0&amp;utm_medium=0&amp;utm_content=___nvl-nvs-imc-dsy-0820-10338&amp;utm_campaign=BR_IMC_DSY_LANCH_ND_NC_2020Q3AUG_NVS_Nivus-Launch-Consideracao-Orca&amp;utm_term=%epid!_%ecid!_%eaid!</v>
      </c>
      <c r="AT338" s="15" t="str">
        <f t="shared" si="174"/>
        <v/>
      </c>
      <c r="AU338" s="15" t="str">
        <f t="shared" si="175"/>
        <v>BR</v>
      </c>
      <c r="AV338" s="15" t="str">
        <f t="shared" si="176"/>
        <v/>
      </c>
      <c r="AW338" s="15" t="str">
        <f t="shared" si="177"/>
        <v/>
      </c>
      <c r="AX338" s="15" t="str">
        <f t="shared" si="178"/>
        <v>nivus-launch-consideracao-orca</v>
      </c>
      <c r="AY338" s="15" t="str">
        <f t="shared" si="183"/>
        <v>___nvl-nvs-imc-dsy-0820-10338</v>
      </c>
      <c r="AZ338" s="15" t="str">
        <f t="shared" si="184"/>
        <v/>
      </c>
      <c r="BA338" s="15" t="str">
        <f t="shared" si="179"/>
        <v/>
      </c>
      <c r="BB338" s="28" t="s">
        <v>798</v>
      </c>
      <c r="BC338" s="28" t="s">
        <v>798</v>
      </c>
      <c r="BD338" s="38" t="str">
        <f t="shared" si="180"/>
        <v>nvl-nvs-imc-dsy-0820-10338</v>
      </c>
      <c r="BE338" s="15" t="str">
        <f t="shared" si="185"/>
        <v>BR</v>
      </c>
      <c r="BF338" s="15" t="str">
        <f t="shared" si="186"/>
        <v/>
      </c>
      <c r="BG338" s="28"/>
      <c r="BH338" s="28"/>
      <c r="BI338" s="36" t="str">
        <f t="shared" si="181"/>
        <v>?adlid=nvl-nvs-imc-dsy-0820-10338&amp;adplt=___nvl-nvs-imc-dsy-0820-10338</v>
      </c>
    </row>
    <row r="339" spans="8:61" ht="15.75" customHeight="1" x14ac:dyDescent="0.25">
      <c r="H339" s="41"/>
      <c r="W339" s="15"/>
      <c r="X339" s="15"/>
      <c r="AH339" s="15" t="e">
        <f t="shared" si="167"/>
        <v>#N/A</v>
      </c>
      <c r="AI339" s="21" t="str">
        <f t="shared" si="187"/>
        <v>___nvl-nvs-imc-dsy-0820-10339</v>
      </c>
      <c r="AJ339" s="40" t="str">
        <f t="shared" si="188"/>
        <v>___nvl-nvs-imc-dsy-0820-10339</v>
      </c>
      <c r="AK339" s="21" t="str">
        <f t="shared" si="168"/>
        <v>vw_nivus__-adserver</v>
      </c>
      <c r="AL339" s="21" t="str">
        <f t="shared" si="169"/>
        <v>?adlid=nvl-nvs-imc-dsy-0820-10339&amp;adplt=___nvl-nvs-imc-dsy-0820-10339</v>
      </c>
      <c r="AM339" s="21" t="str">
        <f t="shared" si="170"/>
        <v>TAG</v>
      </c>
      <c r="AN339" s="15">
        <f t="shared" si="171"/>
        <v>0</v>
      </c>
      <c r="AO339" s="15">
        <f t="shared" si="172"/>
        <v>0</v>
      </c>
      <c r="AP339" s="21" t="str">
        <f>Campanha!$B$3</f>
        <v>BR_IMC_DSY_LANCH_ND_NC_2020Q3AUG_NVS_Nivus-Launch-Consideracao-Orca</v>
      </c>
      <c r="AQ339" s="21" t="str">
        <f t="shared" si="173"/>
        <v>___nvl-nvs-imc-dsy-0820-10339</v>
      </c>
      <c r="AR339" s="15" t="s">
        <v>745</v>
      </c>
      <c r="AS339" s="21" t="str">
        <f t="shared" si="182"/>
        <v>?utm_source=0&amp;utm_medium=0&amp;utm_content=___nvl-nvs-imc-dsy-0820-10339&amp;utm_campaign=BR_IMC_DSY_LANCH_ND_NC_2020Q3AUG_NVS_Nivus-Launch-Consideracao-Orca&amp;utm_term=%epid!_%ecid!_%eaid!</v>
      </c>
      <c r="AT339" s="15" t="str">
        <f t="shared" si="174"/>
        <v/>
      </c>
      <c r="AU339" s="15" t="str">
        <f t="shared" si="175"/>
        <v>BR</v>
      </c>
      <c r="AV339" s="15" t="str">
        <f t="shared" si="176"/>
        <v/>
      </c>
      <c r="AW339" s="15" t="str">
        <f t="shared" si="177"/>
        <v/>
      </c>
      <c r="AX339" s="15" t="str">
        <f t="shared" si="178"/>
        <v>nivus-launch-consideracao-orca</v>
      </c>
      <c r="AY339" s="15" t="str">
        <f t="shared" si="183"/>
        <v>___nvl-nvs-imc-dsy-0820-10339</v>
      </c>
      <c r="AZ339" s="15" t="str">
        <f t="shared" si="184"/>
        <v/>
      </c>
      <c r="BA339" s="15" t="str">
        <f t="shared" si="179"/>
        <v/>
      </c>
      <c r="BB339" s="28" t="s">
        <v>798</v>
      </c>
      <c r="BC339" s="28" t="s">
        <v>798</v>
      </c>
      <c r="BD339" s="38" t="str">
        <f t="shared" si="180"/>
        <v>nvl-nvs-imc-dsy-0820-10339</v>
      </c>
      <c r="BE339" s="15" t="str">
        <f t="shared" si="185"/>
        <v>BR</v>
      </c>
      <c r="BF339" s="15" t="str">
        <f t="shared" si="186"/>
        <v/>
      </c>
      <c r="BG339" s="28"/>
      <c r="BH339" s="28"/>
      <c r="BI339" s="36" t="str">
        <f t="shared" si="181"/>
        <v>?adlid=nvl-nvs-imc-dsy-0820-10339&amp;adplt=___nvl-nvs-imc-dsy-0820-10339</v>
      </c>
    </row>
    <row r="340" spans="8:61" ht="15.75" customHeight="1" x14ac:dyDescent="0.25">
      <c r="H340" s="41"/>
      <c r="W340" s="15"/>
      <c r="X340" s="15"/>
      <c r="AH340" s="15" t="e">
        <f t="shared" si="167"/>
        <v>#N/A</v>
      </c>
      <c r="AI340" s="21" t="str">
        <f t="shared" si="187"/>
        <v>___nvl-nvs-imc-dsy-0820-10340</v>
      </c>
      <c r="AJ340" s="40" t="str">
        <f t="shared" si="188"/>
        <v>___nvl-nvs-imc-dsy-0820-10340</v>
      </c>
      <c r="AK340" s="21" t="str">
        <f t="shared" si="168"/>
        <v>vw_nivus__-adserver</v>
      </c>
      <c r="AL340" s="21" t="str">
        <f t="shared" si="169"/>
        <v>?adlid=nvl-nvs-imc-dsy-0820-10340&amp;adplt=___nvl-nvs-imc-dsy-0820-10340</v>
      </c>
      <c r="AM340" s="21" t="str">
        <f t="shared" si="170"/>
        <v>TAG</v>
      </c>
      <c r="AN340" s="15">
        <f t="shared" si="171"/>
        <v>0</v>
      </c>
      <c r="AO340" s="15">
        <f t="shared" si="172"/>
        <v>0</v>
      </c>
      <c r="AP340" s="21" t="str">
        <f>Campanha!$B$3</f>
        <v>BR_IMC_DSY_LANCH_ND_NC_2020Q3AUG_NVS_Nivus-Launch-Consideracao-Orca</v>
      </c>
      <c r="AQ340" s="21" t="str">
        <f t="shared" si="173"/>
        <v>___nvl-nvs-imc-dsy-0820-10340</v>
      </c>
      <c r="AR340" s="15" t="s">
        <v>745</v>
      </c>
      <c r="AS340" s="21" t="str">
        <f t="shared" si="182"/>
        <v>?utm_source=0&amp;utm_medium=0&amp;utm_content=___nvl-nvs-imc-dsy-0820-10340&amp;utm_campaign=BR_IMC_DSY_LANCH_ND_NC_2020Q3AUG_NVS_Nivus-Launch-Consideracao-Orca&amp;utm_term=%epid!_%ecid!_%eaid!</v>
      </c>
      <c r="AT340" s="15" t="str">
        <f t="shared" si="174"/>
        <v/>
      </c>
      <c r="AU340" s="15" t="str">
        <f t="shared" si="175"/>
        <v>BR</v>
      </c>
      <c r="AV340" s="15" t="str">
        <f t="shared" si="176"/>
        <v/>
      </c>
      <c r="AW340" s="15" t="str">
        <f t="shared" si="177"/>
        <v/>
      </c>
      <c r="AX340" s="15" t="str">
        <f t="shared" si="178"/>
        <v>nivus-launch-consideracao-orca</v>
      </c>
      <c r="AY340" s="15" t="str">
        <f t="shared" si="183"/>
        <v>___nvl-nvs-imc-dsy-0820-10340</v>
      </c>
      <c r="AZ340" s="15" t="str">
        <f t="shared" si="184"/>
        <v/>
      </c>
      <c r="BA340" s="15" t="str">
        <f t="shared" si="179"/>
        <v/>
      </c>
      <c r="BB340" s="28" t="s">
        <v>798</v>
      </c>
      <c r="BC340" s="28" t="s">
        <v>798</v>
      </c>
      <c r="BD340" s="38" t="str">
        <f t="shared" si="180"/>
        <v>nvl-nvs-imc-dsy-0820-10340</v>
      </c>
      <c r="BE340" s="15" t="str">
        <f t="shared" si="185"/>
        <v>BR</v>
      </c>
      <c r="BF340" s="15" t="str">
        <f t="shared" si="186"/>
        <v/>
      </c>
      <c r="BG340" s="28"/>
      <c r="BH340" s="28"/>
      <c r="BI340" s="36" t="str">
        <f t="shared" si="181"/>
        <v>?adlid=nvl-nvs-imc-dsy-0820-10340&amp;adplt=___nvl-nvs-imc-dsy-0820-10340</v>
      </c>
    </row>
    <row r="341" spans="8:61" ht="15.75" customHeight="1" x14ac:dyDescent="0.25">
      <c r="H341" s="41"/>
      <c r="W341" s="15"/>
      <c r="X341" s="15"/>
      <c r="AH341" s="15" t="e">
        <f t="shared" si="167"/>
        <v>#N/A</v>
      </c>
      <c r="AI341" s="21" t="str">
        <f t="shared" si="187"/>
        <v>___nvl-nvs-imc-dsy-0820-10341</v>
      </c>
      <c r="AJ341" s="40" t="str">
        <f t="shared" si="188"/>
        <v>___nvl-nvs-imc-dsy-0820-10341</v>
      </c>
      <c r="AK341" s="21" t="str">
        <f t="shared" si="168"/>
        <v>vw_nivus__-adserver</v>
      </c>
      <c r="AL341" s="21" t="str">
        <f t="shared" si="169"/>
        <v>?adlid=nvl-nvs-imc-dsy-0820-10341&amp;adplt=___nvl-nvs-imc-dsy-0820-10341</v>
      </c>
      <c r="AM341" s="21" t="str">
        <f t="shared" si="170"/>
        <v>TAG</v>
      </c>
      <c r="AN341" s="15">
        <f t="shared" si="171"/>
        <v>0</v>
      </c>
      <c r="AO341" s="15">
        <f t="shared" si="172"/>
        <v>0</v>
      </c>
      <c r="AP341" s="21" t="str">
        <f>Campanha!$B$3</f>
        <v>BR_IMC_DSY_LANCH_ND_NC_2020Q3AUG_NVS_Nivus-Launch-Consideracao-Orca</v>
      </c>
      <c r="AQ341" s="21" t="str">
        <f t="shared" si="173"/>
        <v>___nvl-nvs-imc-dsy-0820-10341</v>
      </c>
      <c r="AR341" s="15" t="s">
        <v>745</v>
      </c>
      <c r="AS341" s="21" t="str">
        <f t="shared" si="182"/>
        <v>?utm_source=0&amp;utm_medium=0&amp;utm_content=___nvl-nvs-imc-dsy-0820-10341&amp;utm_campaign=BR_IMC_DSY_LANCH_ND_NC_2020Q3AUG_NVS_Nivus-Launch-Consideracao-Orca&amp;utm_term=%epid!_%ecid!_%eaid!</v>
      </c>
      <c r="AT341" s="15" t="str">
        <f t="shared" si="174"/>
        <v/>
      </c>
      <c r="AU341" s="15" t="str">
        <f t="shared" si="175"/>
        <v>BR</v>
      </c>
      <c r="AV341" s="15" t="str">
        <f t="shared" si="176"/>
        <v/>
      </c>
      <c r="AW341" s="15" t="str">
        <f t="shared" si="177"/>
        <v/>
      </c>
      <c r="AX341" s="15" t="str">
        <f t="shared" si="178"/>
        <v>nivus-launch-consideracao-orca</v>
      </c>
      <c r="AY341" s="15" t="str">
        <f t="shared" si="183"/>
        <v>___nvl-nvs-imc-dsy-0820-10341</v>
      </c>
      <c r="AZ341" s="15" t="str">
        <f t="shared" si="184"/>
        <v/>
      </c>
      <c r="BA341" s="15" t="str">
        <f t="shared" si="179"/>
        <v/>
      </c>
      <c r="BB341" s="28" t="s">
        <v>798</v>
      </c>
      <c r="BC341" s="28" t="s">
        <v>798</v>
      </c>
      <c r="BD341" s="38" t="str">
        <f t="shared" si="180"/>
        <v>nvl-nvs-imc-dsy-0820-10341</v>
      </c>
      <c r="BE341" s="15" t="str">
        <f t="shared" si="185"/>
        <v>BR</v>
      </c>
      <c r="BF341" s="15" t="str">
        <f t="shared" si="186"/>
        <v/>
      </c>
      <c r="BG341" s="28"/>
      <c r="BH341" s="28"/>
      <c r="BI341" s="36" t="str">
        <f t="shared" si="181"/>
        <v>?adlid=nvl-nvs-imc-dsy-0820-10341&amp;adplt=___nvl-nvs-imc-dsy-0820-10341</v>
      </c>
    </row>
    <row r="342" spans="8:61" ht="15.75" customHeight="1" x14ac:dyDescent="0.25">
      <c r="H342" s="41"/>
      <c r="W342" s="15"/>
      <c r="X342" s="15"/>
      <c r="AH342" s="15" t="e">
        <f t="shared" si="167"/>
        <v>#N/A</v>
      </c>
      <c r="AI342" s="21" t="str">
        <f t="shared" si="187"/>
        <v>___nvl-nvs-imc-dsy-0820-10342</v>
      </c>
      <c r="AJ342" s="40" t="str">
        <f t="shared" si="188"/>
        <v>___nvl-nvs-imc-dsy-0820-10342</v>
      </c>
      <c r="AK342" s="21" t="str">
        <f t="shared" si="168"/>
        <v>vw_nivus__-adserver</v>
      </c>
      <c r="AL342" s="21" t="str">
        <f t="shared" si="169"/>
        <v>?adlid=nvl-nvs-imc-dsy-0820-10342&amp;adplt=___nvl-nvs-imc-dsy-0820-10342</v>
      </c>
      <c r="AM342" s="21" t="str">
        <f t="shared" si="170"/>
        <v>TAG</v>
      </c>
      <c r="AN342" s="15">
        <f t="shared" si="171"/>
        <v>0</v>
      </c>
      <c r="AO342" s="15">
        <f t="shared" si="172"/>
        <v>0</v>
      </c>
      <c r="AP342" s="21" t="str">
        <f>Campanha!$B$3</f>
        <v>BR_IMC_DSY_LANCH_ND_NC_2020Q3AUG_NVS_Nivus-Launch-Consideracao-Orca</v>
      </c>
      <c r="AQ342" s="21" t="str">
        <f t="shared" si="173"/>
        <v>___nvl-nvs-imc-dsy-0820-10342</v>
      </c>
      <c r="AR342" s="15" t="s">
        <v>745</v>
      </c>
      <c r="AS342" s="21" t="str">
        <f t="shared" si="182"/>
        <v>?utm_source=0&amp;utm_medium=0&amp;utm_content=___nvl-nvs-imc-dsy-0820-10342&amp;utm_campaign=BR_IMC_DSY_LANCH_ND_NC_2020Q3AUG_NVS_Nivus-Launch-Consideracao-Orca&amp;utm_term=%epid!_%ecid!_%eaid!</v>
      </c>
      <c r="AT342" s="15" t="str">
        <f t="shared" si="174"/>
        <v/>
      </c>
      <c r="AU342" s="15" t="str">
        <f t="shared" si="175"/>
        <v>BR</v>
      </c>
      <c r="AV342" s="15" t="str">
        <f t="shared" si="176"/>
        <v/>
      </c>
      <c r="AW342" s="15" t="str">
        <f t="shared" si="177"/>
        <v/>
      </c>
      <c r="AX342" s="15" t="str">
        <f t="shared" si="178"/>
        <v>nivus-launch-consideracao-orca</v>
      </c>
      <c r="AY342" s="15" t="str">
        <f t="shared" si="183"/>
        <v>___nvl-nvs-imc-dsy-0820-10342</v>
      </c>
      <c r="AZ342" s="15" t="str">
        <f t="shared" si="184"/>
        <v/>
      </c>
      <c r="BA342" s="15" t="str">
        <f t="shared" si="179"/>
        <v/>
      </c>
      <c r="BB342" s="28" t="s">
        <v>798</v>
      </c>
      <c r="BC342" s="28" t="s">
        <v>798</v>
      </c>
      <c r="BD342" s="38" t="str">
        <f t="shared" si="180"/>
        <v>nvl-nvs-imc-dsy-0820-10342</v>
      </c>
      <c r="BE342" s="15" t="str">
        <f t="shared" si="185"/>
        <v>BR</v>
      </c>
      <c r="BF342" s="15" t="str">
        <f t="shared" si="186"/>
        <v/>
      </c>
      <c r="BG342" s="28"/>
      <c r="BH342" s="28"/>
      <c r="BI342" s="36" t="str">
        <f t="shared" si="181"/>
        <v>?adlid=nvl-nvs-imc-dsy-0820-10342&amp;adplt=___nvl-nvs-imc-dsy-0820-10342</v>
      </c>
    </row>
    <row r="343" spans="8:61" ht="15.75" customHeight="1" x14ac:dyDescent="0.25">
      <c r="H343" s="41"/>
      <c r="W343" s="15"/>
      <c r="X343" s="15"/>
      <c r="AH343" s="15" t="e">
        <f t="shared" si="167"/>
        <v>#N/A</v>
      </c>
      <c r="AI343" s="21" t="str">
        <f t="shared" si="187"/>
        <v>___nvl-nvs-imc-dsy-0820-10343</v>
      </c>
      <c r="AJ343" s="40" t="str">
        <f t="shared" si="188"/>
        <v>___nvl-nvs-imc-dsy-0820-10343</v>
      </c>
      <c r="AK343" s="21" t="str">
        <f t="shared" si="168"/>
        <v>vw_nivus__-adserver</v>
      </c>
      <c r="AL343" s="21" t="str">
        <f t="shared" si="169"/>
        <v>?adlid=nvl-nvs-imc-dsy-0820-10343&amp;adplt=___nvl-nvs-imc-dsy-0820-10343</v>
      </c>
      <c r="AM343" s="21" t="str">
        <f t="shared" si="170"/>
        <v>TAG</v>
      </c>
      <c r="AN343" s="15">
        <f t="shared" si="171"/>
        <v>0</v>
      </c>
      <c r="AO343" s="15">
        <f t="shared" si="172"/>
        <v>0</v>
      </c>
      <c r="AP343" s="21" t="str">
        <f>Campanha!$B$3</f>
        <v>BR_IMC_DSY_LANCH_ND_NC_2020Q3AUG_NVS_Nivus-Launch-Consideracao-Orca</v>
      </c>
      <c r="AQ343" s="21" t="str">
        <f t="shared" si="173"/>
        <v>___nvl-nvs-imc-dsy-0820-10343</v>
      </c>
      <c r="AR343" s="15" t="s">
        <v>745</v>
      </c>
      <c r="AS343" s="21" t="str">
        <f t="shared" si="182"/>
        <v>?utm_source=0&amp;utm_medium=0&amp;utm_content=___nvl-nvs-imc-dsy-0820-10343&amp;utm_campaign=BR_IMC_DSY_LANCH_ND_NC_2020Q3AUG_NVS_Nivus-Launch-Consideracao-Orca&amp;utm_term=%epid!_%ecid!_%eaid!</v>
      </c>
      <c r="AT343" s="15" t="str">
        <f t="shared" si="174"/>
        <v/>
      </c>
      <c r="AU343" s="15" t="str">
        <f t="shared" si="175"/>
        <v>BR</v>
      </c>
      <c r="AV343" s="15" t="str">
        <f t="shared" si="176"/>
        <v/>
      </c>
      <c r="AW343" s="15" t="str">
        <f t="shared" si="177"/>
        <v/>
      </c>
      <c r="AX343" s="15" t="str">
        <f t="shared" si="178"/>
        <v>nivus-launch-consideracao-orca</v>
      </c>
      <c r="AY343" s="15" t="str">
        <f t="shared" si="183"/>
        <v>___nvl-nvs-imc-dsy-0820-10343</v>
      </c>
      <c r="AZ343" s="15" t="str">
        <f t="shared" si="184"/>
        <v/>
      </c>
      <c r="BA343" s="15" t="str">
        <f t="shared" si="179"/>
        <v/>
      </c>
      <c r="BB343" s="28" t="s">
        <v>798</v>
      </c>
      <c r="BC343" s="28" t="s">
        <v>798</v>
      </c>
      <c r="BD343" s="38" t="str">
        <f t="shared" si="180"/>
        <v>nvl-nvs-imc-dsy-0820-10343</v>
      </c>
      <c r="BE343" s="15" t="str">
        <f t="shared" si="185"/>
        <v>BR</v>
      </c>
      <c r="BF343" s="15" t="str">
        <f t="shared" si="186"/>
        <v/>
      </c>
      <c r="BG343" s="28"/>
      <c r="BH343" s="28"/>
      <c r="BI343" s="36" t="str">
        <f t="shared" si="181"/>
        <v>?adlid=nvl-nvs-imc-dsy-0820-10343&amp;adplt=___nvl-nvs-imc-dsy-0820-10343</v>
      </c>
    </row>
    <row r="344" spans="8:61" ht="15.75" customHeight="1" x14ac:dyDescent="0.25">
      <c r="H344" s="41"/>
      <c r="W344" s="15"/>
      <c r="X344" s="15"/>
      <c r="AH344" s="15" t="e">
        <f t="shared" si="167"/>
        <v>#N/A</v>
      </c>
      <c r="AI344" s="21" t="str">
        <f t="shared" si="187"/>
        <v>___nvl-nvs-imc-dsy-0820-10344</v>
      </c>
      <c r="AJ344" s="40" t="str">
        <f t="shared" si="188"/>
        <v>___nvl-nvs-imc-dsy-0820-10344</v>
      </c>
      <c r="AK344" s="21" t="str">
        <f t="shared" si="168"/>
        <v>vw_nivus__-adserver</v>
      </c>
      <c r="AL344" s="21" t="str">
        <f t="shared" si="169"/>
        <v>?adlid=nvl-nvs-imc-dsy-0820-10344&amp;adplt=___nvl-nvs-imc-dsy-0820-10344</v>
      </c>
      <c r="AM344" s="21" t="str">
        <f t="shared" si="170"/>
        <v>TAG</v>
      </c>
      <c r="AN344" s="15">
        <f t="shared" si="171"/>
        <v>0</v>
      </c>
      <c r="AO344" s="15">
        <f t="shared" si="172"/>
        <v>0</v>
      </c>
      <c r="AP344" s="21" t="str">
        <f>Campanha!$B$3</f>
        <v>BR_IMC_DSY_LANCH_ND_NC_2020Q3AUG_NVS_Nivus-Launch-Consideracao-Orca</v>
      </c>
      <c r="AQ344" s="21" t="str">
        <f t="shared" si="173"/>
        <v>___nvl-nvs-imc-dsy-0820-10344</v>
      </c>
      <c r="AR344" s="15" t="s">
        <v>745</v>
      </c>
      <c r="AS344" s="21" t="str">
        <f t="shared" si="182"/>
        <v>?utm_source=0&amp;utm_medium=0&amp;utm_content=___nvl-nvs-imc-dsy-0820-10344&amp;utm_campaign=BR_IMC_DSY_LANCH_ND_NC_2020Q3AUG_NVS_Nivus-Launch-Consideracao-Orca&amp;utm_term=%epid!_%ecid!_%eaid!</v>
      </c>
      <c r="AT344" s="15" t="str">
        <f t="shared" si="174"/>
        <v/>
      </c>
      <c r="AU344" s="15" t="str">
        <f t="shared" si="175"/>
        <v>BR</v>
      </c>
      <c r="AV344" s="15" t="str">
        <f t="shared" si="176"/>
        <v/>
      </c>
      <c r="AW344" s="15" t="str">
        <f t="shared" si="177"/>
        <v/>
      </c>
      <c r="AX344" s="15" t="str">
        <f t="shared" si="178"/>
        <v>nivus-launch-consideracao-orca</v>
      </c>
      <c r="AY344" s="15" t="str">
        <f t="shared" si="183"/>
        <v>___nvl-nvs-imc-dsy-0820-10344</v>
      </c>
      <c r="AZ344" s="15" t="str">
        <f t="shared" si="184"/>
        <v/>
      </c>
      <c r="BA344" s="15" t="str">
        <f t="shared" si="179"/>
        <v/>
      </c>
      <c r="BB344" s="28" t="s">
        <v>798</v>
      </c>
      <c r="BC344" s="28" t="s">
        <v>798</v>
      </c>
      <c r="BD344" s="38" t="str">
        <f t="shared" si="180"/>
        <v>nvl-nvs-imc-dsy-0820-10344</v>
      </c>
      <c r="BE344" s="15" t="str">
        <f t="shared" si="185"/>
        <v>BR</v>
      </c>
      <c r="BF344" s="15" t="str">
        <f t="shared" si="186"/>
        <v/>
      </c>
      <c r="BG344" s="28"/>
      <c r="BH344" s="28"/>
      <c r="BI344" s="36" t="str">
        <f t="shared" si="181"/>
        <v>?adlid=nvl-nvs-imc-dsy-0820-10344&amp;adplt=___nvl-nvs-imc-dsy-0820-10344</v>
      </c>
    </row>
    <row r="345" spans="8:61" ht="15.75" customHeight="1" x14ac:dyDescent="0.25">
      <c r="H345" s="41"/>
      <c r="W345" s="15"/>
      <c r="X345" s="15"/>
      <c r="AH345" s="15" t="e">
        <f t="shared" si="167"/>
        <v>#N/A</v>
      </c>
      <c r="AI345" s="21" t="str">
        <f t="shared" si="187"/>
        <v>___nvl-nvs-imc-dsy-0820-10345</v>
      </c>
      <c r="AJ345" s="40" t="str">
        <f t="shared" si="188"/>
        <v>___nvl-nvs-imc-dsy-0820-10345</v>
      </c>
      <c r="AK345" s="21" t="str">
        <f t="shared" si="168"/>
        <v>vw_nivus__-adserver</v>
      </c>
      <c r="AL345" s="21" t="str">
        <f t="shared" si="169"/>
        <v>?adlid=nvl-nvs-imc-dsy-0820-10345&amp;adplt=___nvl-nvs-imc-dsy-0820-10345</v>
      </c>
      <c r="AM345" s="21" t="str">
        <f t="shared" si="170"/>
        <v>TAG</v>
      </c>
      <c r="AN345" s="15">
        <f t="shared" si="171"/>
        <v>0</v>
      </c>
      <c r="AO345" s="15">
        <f t="shared" si="172"/>
        <v>0</v>
      </c>
      <c r="AP345" s="21" t="str">
        <f>Campanha!$B$3</f>
        <v>BR_IMC_DSY_LANCH_ND_NC_2020Q3AUG_NVS_Nivus-Launch-Consideracao-Orca</v>
      </c>
      <c r="AQ345" s="21" t="str">
        <f t="shared" si="173"/>
        <v>___nvl-nvs-imc-dsy-0820-10345</v>
      </c>
      <c r="AR345" s="15" t="s">
        <v>745</v>
      </c>
      <c r="AS345" s="21" t="str">
        <f t="shared" si="182"/>
        <v>?utm_source=0&amp;utm_medium=0&amp;utm_content=___nvl-nvs-imc-dsy-0820-10345&amp;utm_campaign=BR_IMC_DSY_LANCH_ND_NC_2020Q3AUG_NVS_Nivus-Launch-Consideracao-Orca&amp;utm_term=%epid!_%ecid!_%eaid!</v>
      </c>
      <c r="AT345" s="15" t="str">
        <f t="shared" si="174"/>
        <v/>
      </c>
      <c r="AU345" s="15" t="str">
        <f t="shared" si="175"/>
        <v>BR</v>
      </c>
      <c r="AV345" s="15" t="str">
        <f t="shared" si="176"/>
        <v/>
      </c>
      <c r="AW345" s="15" t="str">
        <f t="shared" si="177"/>
        <v/>
      </c>
      <c r="AX345" s="15" t="str">
        <f t="shared" si="178"/>
        <v>nivus-launch-consideracao-orca</v>
      </c>
      <c r="AY345" s="15" t="str">
        <f t="shared" si="183"/>
        <v>___nvl-nvs-imc-dsy-0820-10345</v>
      </c>
      <c r="AZ345" s="15" t="str">
        <f t="shared" si="184"/>
        <v/>
      </c>
      <c r="BA345" s="15" t="str">
        <f t="shared" si="179"/>
        <v/>
      </c>
      <c r="BB345" s="28" t="s">
        <v>798</v>
      </c>
      <c r="BC345" s="28" t="s">
        <v>798</v>
      </c>
      <c r="BD345" s="38" t="str">
        <f t="shared" si="180"/>
        <v>nvl-nvs-imc-dsy-0820-10345</v>
      </c>
      <c r="BE345" s="15" t="str">
        <f t="shared" si="185"/>
        <v>BR</v>
      </c>
      <c r="BF345" s="15" t="str">
        <f t="shared" si="186"/>
        <v/>
      </c>
      <c r="BG345" s="28"/>
      <c r="BH345" s="28"/>
      <c r="BI345" s="36" t="str">
        <f t="shared" si="181"/>
        <v>?adlid=nvl-nvs-imc-dsy-0820-10345&amp;adplt=___nvl-nvs-imc-dsy-0820-10345</v>
      </c>
    </row>
    <row r="346" spans="8:61" ht="15.75" customHeight="1" x14ac:dyDescent="0.25">
      <c r="H346" s="41"/>
      <c r="W346" s="15"/>
      <c r="X346" s="15"/>
      <c r="AH346" s="15" t="e">
        <f t="shared" si="167"/>
        <v>#N/A</v>
      </c>
      <c r="AI346" s="21" t="str">
        <f t="shared" si="187"/>
        <v>___nvl-nvs-imc-dsy-0820-10346</v>
      </c>
      <c r="AJ346" s="40" t="str">
        <f t="shared" si="188"/>
        <v>___nvl-nvs-imc-dsy-0820-10346</v>
      </c>
      <c r="AK346" s="21" t="str">
        <f t="shared" si="168"/>
        <v>vw_nivus__-adserver</v>
      </c>
      <c r="AL346" s="21" t="str">
        <f t="shared" si="169"/>
        <v>?adlid=nvl-nvs-imc-dsy-0820-10346&amp;adplt=___nvl-nvs-imc-dsy-0820-10346</v>
      </c>
      <c r="AM346" s="21" t="str">
        <f t="shared" si="170"/>
        <v>TAG</v>
      </c>
      <c r="AN346" s="15">
        <f t="shared" si="171"/>
        <v>0</v>
      </c>
      <c r="AO346" s="15">
        <f t="shared" si="172"/>
        <v>0</v>
      </c>
      <c r="AP346" s="21" t="str">
        <f>Campanha!$B$3</f>
        <v>BR_IMC_DSY_LANCH_ND_NC_2020Q3AUG_NVS_Nivus-Launch-Consideracao-Orca</v>
      </c>
      <c r="AQ346" s="21" t="str">
        <f t="shared" si="173"/>
        <v>___nvl-nvs-imc-dsy-0820-10346</v>
      </c>
      <c r="AR346" s="15" t="s">
        <v>745</v>
      </c>
      <c r="AS346" s="21" t="str">
        <f t="shared" si="182"/>
        <v>?utm_source=0&amp;utm_medium=0&amp;utm_content=___nvl-nvs-imc-dsy-0820-10346&amp;utm_campaign=BR_IMC_DSY_LANCH_ND_NC_2020Q3AUG_NVS_Nivus-Launch-Consideracao-Orca&amp;utm_term=%epid!_%ecid!_%eaid!</v>
      </c>
      <c r="AT346" s="15" t="str">
        <f t="shared" si="174"/>
        <v/>
      </c>
      <c r="AU346" s="15" t="str">
        <f t="shared" si="175"/>
        <v>BR</v>
      </c>
      <c r="AV346" s="15" t="str">
        <f t="shared" si="176"/>
        <v/>
      </c>
      <c r="AW346" s="15" t="str">
        <f t="shared" si="177"/>
        <v/>
      </c>
      <c r="AX346" s="15" t="str">
        <f t="shared" si="178"/>
        <v>nivus-launch-consideracao-orca</v>
      </c>
      <c r="AY346" s="15" t="str">
        <f t="shared" si="183"/>
        <v>___nvl-nvs-imc-dsy-0820-10346</v>
      </c>
      <c r="AZ346" s="15" t="str">
        <f t="shared" si="184"/>
        <v/>
      </c>
      <c r="BA346" s="15" t="str">
        <f t="shared" si="179"/>
        <v/>
      </c>
      <c r="BB346" s="28" t="s">
        <v>798</v>
      </c>
      <c r="BC346" s="28" t="s">
        <v>798</v>
      </c>
      <c r="BD346" s="38" t="str">
        <f t="shared" si="180"/>
        <v>nvl-nvs-imc-dsy-0820-10346</v>
      </c>
      <c r="BE346" s="15" t="str">
        <f t="shared" si="185"/>
        <v>BR</v>
      </c>
      <c r="BF346" s="15" t="str">
        <f t="shared" si="186"/>
        <v/>
      </c>
      <c r="BG346" s="28"/>
      <c r="BH346" s="28"/>
      <c r="BI346" s="36" t="str">
        <f t="shared" si="181"/>
        <v>?adlid=nvl-nvs-imc-dsy-0820-10346&amp;adplt=___nvl-nvs-imc-dsy-0820-10346</v>
      </c>
    </row>
    <row r="347" spans="8:61" ht="15.75" customHeight="1" x14ac:dyDescent="0.25">
      <c r="H347" s="41"/>
      <c r="W347" s="15"/>
      <c r="X347" s="15"/>
      <c r="AH347" s="15" t="e">
        <f t="shared" si="167"/>
        <v>#N/A</v>
      </c>
      <c r="AI347" s="21" t="str">
        <f t="shared" si="187"/>
        <v>___nvl-nvs-imc-dsy-0820-10347</v>
      </c>
      <c r="AJ347" s="40" t="str">
        <f t="shared" si="188"/>
        <v>___nvl-nvs-imc-dsy-0820-10347</v>
      </c>
      <c r="AK347" s="21" t="str">
        <f t="shared" si="168"/>
        <v>vw_nivus__-adserver</v>
      </c>
      <c r="AL347" s="21" t="str">
        <f t="shared" si="169"/>
        <v>?adlid=nvl-nvs-imc-dsy-0820-10347&amp;adplt=___nvl-nvs-imc-dsy-0820-10347</v>
      </c>
      <c r="AM347" s="21" t="str">
        <f t="shared" si="170"/>
        <v>TAG</v>
      </c>
      <c r="AN347" s="15">
        <f t="shared" si="171"/>
        <v>0</v>
      </c>
      <c r="AO347" s="15">
        <f t="shared" si="172"/>
        <v>0</v>
      </c>
      <c r="AP347" s="21" t="str">
        <f>Campanha!$B$3</f>
        <v>BR_IMC_DSY_LANCH_ND_NC_2020Q3AUG_NVS_Nivus-Launch-Consideracao-Orca</v>
      </c>
      <c r="AQ347" s="21" t="str">
        <f t="shared" si="173"/>
        <v>___nvl-nvs-imc-dsy-0820-10347</v>
      </c>
      <c r="AR347" s="15" t="s">
        <v>745</v>
      </c>
      <c r="AS347" s="21" t="str">
        <f t="shared" si="182"/>
        <v>?utm_source=0&amp;utm_medium=0&amp;utm_content=___nvl-nvs-imc-dsy-0820-10347&amp;utm_campaign=BR_IMC_DSY_LANCH_ND_NC_2020Q3AUG_NVS_Nivus-Launch-Consideracao-Orca&amp;utm_term=%epid!_%ecid!_%eaid!</v>
      </c>
      <c r="AT347" s="15" t="str">
        <f t="shared" si="174"/>
        <v/>
      </c>
      <c r="AU347" s="15" t="str">
        <f t="shared" si="175"/>
        <v>BR</v>
      </c>
      <c r="AV347" s="15" t="str">
        <f t="shared" si="176"/>
        <v/>
      </c>
      <c r="AW347" s="15" t="str">
        <f t="shared" si="177"/>
        <v/>
      </c>
      <c r="AX347" s="15" t="str">
        <f t="shared" si="178"/>
        <v>nivus-launch-consideracao-orca</v>
      </c>
      <c r="AY347" s="15" t="str">
        <f t="shared" si="183"/>
        <v>___nvl-nvs-imc-dsy-0820-10347</v>
      </c>
      <c r="AZ347" s="15" t="str">
        <f t="shared" si="184"/>
        <v/>
      </c>
      <c r="BA347" s="15" t="str">
        <f t="shared" si="179"/>
        <v/>
      </c>
      <c r="BB347" s="28" t="s">
        <v>798</v>
      </c>
      <c r="BC347" s="28" t="s">
        <v>798</v>
      </c>
      <c r="BD347" s="38" t="str">
        <f t="shared" si="180"/>
        <v>nvl-nvs-imc-dsy-0820-10347</v>
      </c>
      <c r="BE347" s="15" t="str">
        <f t="shared" si="185"/>
        <v>BR</v>
      </c>
      <c r="BF347" s="15" t="str">
        <f t="shared" si="186"/>
        <v/>
      </c>
      <c r="BG347" s="28"/>
      <c r="BH347" s="28"/>
      <c r="BI347" s="36" t="str">
        <f t="shared" si="181"/>
        <v>?adlid=nvl-nvs-imc-dsy-0820-10347&amp;adplt=___nvl-nvs-imc-dsy-0820-10347</v>
      </c>
    </row>
    <row r="348" spans="8:61" ht="15.75" customHeight="1" x14ac:dyDescent="0.25">
      <c r="H348" s="41"/>
      <c r="W348" s="15"/>
      <c r="X348" s="15"/>
      <c r="AH348" s="15" t="e">
        <f t="shared" si="167"/>
        <v>#N/A</v>
      </c>
      <c r="AI348" s="21" t="str">
        <f t="shared" si="187"/>
        <v>___nvl-nvs-imc-dsy-0820-10348</v>
      </c>
      <c r="AJ348" s="40" t="str">
        <f t="shared" si="188"/>
        <v>___nvl-nvs-imc-dsy-0820-10348</v>
      </c>
      <c r="AK348" s="21" t="str">
        <f t="shared" si="168"/>
        <v>vw_nivus__-adserver</v>
      </c>
      <c r="AL348" s="21" t="str">
        <f t="shared" si="169"/>
        <v>?adlid=nvl-nvs-imc-dsy-0820-10348&amp;adplt=___nvl-nvs-imc-dsy-0820-10348</v>
      </c>
      <c r="AM348" s="21" t="str">
        <f t="shared" si="170"/>
        <v>TAG</v>
      </c>
      <c r="AN348" s="15">
        <f t="shared" si="171"/>
        <v>0</v>
      </c>
      <c r="AO348" s="15">
        <f t="shared" si="172"/>
        <v>0</v>
      </c>
      <c r="AP348" s="21" t="str">
        <f>Campanha!$B$3</f>
        <v>BR_IMC_DSY_LANCH_ND_NC_2020Q3AUG_NVS_Nivus-Launch-Consideracao-Orca</v>
      </c>
      <c r="AQ348" s="21" t="str">
        <f t="shared" si="173"/>
        <v>___nvl-nvs-imc-dsy-0820-10348</v>
      </c>
      <c r="AR348" s="15" t="s">
        <v>745</v>
      </c>
      <c r="AS348" s="21" t="str">
        <f t="shared" si="182"/>
        <v>?utm_source=0&amp;utm_medium=0&amp;utm_content=___nvl-nvs-imc-dsy-0820-10348&amp;utm_campaign=BR_IMC_DSY_LANCH_ND_NC_2020Q3AUG_NVS_Nivus-Launch-Consideracao-Orca&amp;utm_term=%epid!_%ecid!_%eaid!</v>
      </c>
      <c r="AT348" s="15" t="str">
        <f t="shared" si="174"/>
        <v/>
      </c>
      <c r="AU348" s="15" t="str">
        <f t="shared" si="175"/>
        <v>BR</v>
      </c>
      <c r="AV348" s="15" t="str">
        <f t="shared" si="176"/>
        <v/>
      </c>
      <c r="AW348" s="15" t="str">
        <f t="shared" si="177"/>
        <v/>
      </c>
      <c r="AX348" s="15" t="str">
        <f t="shared" si="178"/>
        <v>nivus-launch-consideracao-orca</v>
      </c>
      <c r="AY348" s="15" t="str">
        <f t="shared" si="183"/>
        <v>___nvl-nvs-imc-dsy-0820-10348</v>
      </c>
      <c r="AZ348" s="15" t="str">
        <f t="shared" si="184"/>
        <v/>
      </c>
      <c r="BA348" s="15" t="str">
        <f t="shared" si="179"/>
        <v/>
      </c>
      <c r="BB348" s="28" t="s">
        <v>798</v>
      </c>
      <c r="BC348" s="28" t="s">
        <v>798</v>
      </c>
      <c r="BD348" s="38" t="str">
        <f t="shared" si="180"/>
        <v>nvl-nvs-imc-dsy-0820-10348</v>
      </c>
      <c r="BE348" s="15" t="str">
        <f t="shared" si="185"/>
        <v>BR</v>
      </c>
      <c r="BF348" s="15" t="str">
        <f t="shared" si="186"/>
        <v/>
      </c>
      <c r="BG348" s="28"/>
      <c r="BH348" s="28"/>
      <c r="BI348" s="36" t="str">
        <f t="shared" si="181"/>
        <v>?adlid=nvl-nvs-imc-dsy-0820-10348&amp;adplt=___nvl-nvs-imc-dsy-0820-10348</v>
      </c>
    </row>
    <row r="349" spans="8:61" ht="15.75" customHeight="1" x14ac:dyDescent="0.25">
      <c r="H349" s="41"/>
      <c r="W349" s="15"/>
      <c r="X349" s="15"/>
      <c r="AH349" s="15" t="e">
        <f t="shared" si="167"/>
        <v>#N/A</v>
      </c>
      <c r="AI349" s="21" t="str">
        <f t="shared" si="187"/>
        <v>___nvl-nvs-imc-dsy-0820-10349</v>
      </c>
      <c r="AJ349" s="40" t="str">
        <f t="shared" si="188"/>
        <v>___nvl-nvs-imc-dsy-0820-10349</v>
      </c>
      <c r="AK349" s="21" t="str">
        <f t="shared" si="168"/>
        <v>vw_nivus__-adserver</v>
      </c>
      <c r="AL349" s="21" t="str">
        <f t="shared" si="169"/>
        <v>?adlid=nvl-nvs-imc-dsy-0820-10349&amp;adplt=___nvl-nvs-imc-dsy-0820-10349</v>
      </c>
      <c r="AM349" s="21" t="str">
        <f t="shared" si="170"/>
        <v>TAG</v>
      </c>
      <c r="AN349" s="15">
        <f t="shared" si="171"/>
        <v>0</v>
      </c>
      <c r="AO349" s="15">
        <f t="shared" si="172"/>
        <v>0</v>
      </c>
      <c r="AP349" s="21" t="str">
        <f>Campanha!$B$3</f>
        <v>BR_IMC_DSY_LANCH_ND_NC_2020Q3AUG_NVS_Nivus-Launch-Consideracao-Orca</v>
      </c>
      <c r="AQ349" s="21" t="str">
        <f t="shared" si="173"/>
        <v>___nvl-nvs-imc-dsy-0820-10349</v>
      </c>
      <c r="AR349" s="15" t="s">
        <v>745</v>
      </c>
      <c r="AS349" s="21" t="str">
        <f t="shared" si="182"/>
        <v>?utm_source=0&amp;utm_medium=0&amp;utm_content=___nvl-nvs-imc-dsy-0820-10349&amp;utm_campaign=BR_IMC_DSY_LANCH_ND_NC_2020Q3AUG_NVS_Nivus-Launch-Consideracao-Orca&amp;utm_term=%epid!_%ecid!_%eaid!</v>
      </c>
      <c r="AT349" s="15" t="str">
        <f t="shared" si="174"/>
        <v/>
      </c>
      <c r="AU349" s="15" t="str">
        <f t="shared" si="175"/>
        <v>BR</v>
      </c>
      <c r="AV349" s="15" t="str">
        <f t="shared" si="176"/>
        <v/>
      </c>
      <c r="AW349" s="15" t="str">
        <f t="shared" si="177"/>
        <v/>
      </c>
      <c r="AX349" s="15" t="str">
        <f t="shared" si="178"/>
        <v>nivus-launch-consideracao-orca</v>
      </c>
      <c r="AY349" s="15" t="str">
        <f t="shared" si="183"/>
        <v>___nvl-nvs-imc-dsy-0820-10349</v>
      </c>
      <c r="AZ349" s="15" t="str">
        <f t="shared" si="184"/>
        <v/>
      </c>
      <c r="BA349" s="15" t="str">
        <f t="shared" si="179"/>
        <v/>
      </c>
      <c r="BB349" s="28" t="s">
        <v>798</v>
      </c>
      <c r="BC349" s="28" t="s">
        <v>798</v>
      </c>
      <c r="BD349" s="38" t="str">
        <f t="shared" si="180"/>
        <v>nvl-nvs-imc-dsy-0820-10349</v>
      </c>
      <c r="BE349" s="15" t="str">
        <f t="shared" si="185"/>
        <v>BR</v>
      </c>
      <c r="BF349" s="15" t="str">
        <f t="shared" si="186"/>
        <v/>
      </c>
      <c r="BG349" s="28"/>
      <c r="BH349" s="28"/>
      <c r="BI349" s="36" t="str">
        <f t="shared" si="181"/>
        <v>?adlid=nvl-nvs-imc-dsy-0820-10349&amp;adplt=___nvl-nvs-imc-dsy-0820-10349</v>
      </c>
    </row>
    <row r="350" spans="8:61" ht="15.75" customHeight="1" x14ac:dyDescent="0.25">
      <c r="H350" s="41"/>
      <c r="W350" s="15"/>
      <c r="X350" s="15"/>
      <c r="AH350" s="15" t="e">
        <f t="shared" si="167"/>
        <v>#N/A</v>
      </c>
      <c r="AI350" s="21" t="str">
        <f t="shared" si="187"/>
        <v>___nvl-nvs-imc-dsy-0820-10350</v>
      </c>
      <c r="AJ350" s="40" t="str">
        <f t="shared" si="188"/>
        <v>___nvl-nvs-imc-dsy-0820-10350</v>
      </c>
      <c r="AK350" s="21" t="str">
        <f t="shared" si="168"/>
        <v>vw_nivus__-adserver</v>
      </c>
      <c r="AL350" s="21" t="str">
        <f t="shared" si="169"/>
        <v>?adlid=nvl-nvs-imc-dsy-0820-10350&amp;adplt=___nvl-nvs-imc-dsy-0820-10350</v>
      </c>
      <c r="AM350" s="21" t="str">
        <f t="shared" si="170"/>
        <v>TAG</v>
      </c>
      <c r="AN350" s="15">
        <f t="shared" si="171"/>
        <v>0</v>
      </c>
      <c r="AO350" s="15">
        <f t="shared" si="172"/>
        <v>0</v>
      </c>
      <c r="AP350" s="21" t="str">
        <f>Campanha!$B$3</f>
        <v>BR_IMC_DSY_LANCH_ND_NC_2020Q3AUG_NVS_Nivus-Launch-Consideracao-Orca</v>
      </c>
      <c r="AQ350" s="21" t="str">
        <f t="shared" si="173"/>
        <v>___nvl-nvs-imc-dsy-0820-10350</v>
      </c>
      <c r="AR350" s="15" t="s">
        <v>745</v>
      </c>
      <c r="AS350" s="21" t="str">
        <f t="shared" si="182"/>
        <v>?utm_source=0&amp;utm_medium=0&amp;utm_content=___nvl-nvs-imc-dsy-0820-10350&amp;utm_campaign=BR_IMC_DSY_LANCH_ND_NC_2020Q3AUG_NVS_Nivus-Launch-Consideracao-Orca&amp;utm_term=%epid!_%ecid!_%eaid!</v>
      </c>
      <c r="AT350" s="15" t="str">
        <f t="shared" si="174"/>
        <v/>
      </c>
      <c r="AU350" s="15" t="str">
        <f t="shared" si="175"/>
        <v>BR</v>
      </c>
      <c r="AV350" s="15" t="str">
        <f t="shared" si="176"/>
        <v/>
      </c>
      <c r="AW350" s="15" t="str">
        <f t="shared" si="177"/>
        <v/>
      </c>
      <c r="AX350" s="15" t="str">
        <f t="shared" si="178"/>
        <v>nivus-launch-consideracao-orca</v>
      </c>
      <c r="AY350" s="15" t="str">
        <f t="shared" si="183"/>
        <v>___nvl-nvs-imc-dsy-0820-10350</v>
      </c>
      <c r="AZ350" s="15" t="str">
        <f t="shared" si="184"/>
        <v/>
      </c>
      <c r="BA350" s="15" t="str">
        <f t="shared" si="179"/>
        <v/>
      </c>
      <c r="BB350" s="28" t="s">
        <v>798</v>
      </c>
      <c r="BC350" s="28" t="s">
        <v>798</v>
      </c>
      <c r="BD350" s="38" t="str">
        <f t="shared" si="180"/>
        <v>nvl-nvs-imc-dsy-0820-10350</v>
      </c>
      <c r="BE350" s="15" t="str">
        <f t="shared" si="185"/>
        <v>BR</v>
      </c>
      <c r="BF350" s="15" t="str">
        <f t="shared" si="186"/>
        <v/>
      </c>
      <c r="BG350" s="28"/>
      <c r="BH350" s="28"/>
      <c r="BI350" s="36" t="str">
        <f t="shared" si="181"/>
        <v>?adlid=nvl-nvs-imc-dsy-0820-10350&amp;adplt=___nvl-nvs-imc-dsy-0820-10350</v>
      </c>
    </row>
    <row r="351" spans="8:61" ht="15.75" customHeight="1" x14ac:dyDescent="0.25">
      <c r="H351" s="41"/>
      <c r="W351" s="15"/>
      <c r="X351" s="15"/>
      <c r="AH351" s="15" t="e">
        <f t="shared" si="167"/>
        <v>#N/A</v>
      </c>
      <c r="AI351" s="21" t="str">
        <f t="shared" si="187"/>
        <v>___nvl-nvs-imc-dsy-0820-10351</v>
      </c>
      <c r="AJ351" s="40" t="str">
        <f t="shared" si="188"/>
        <v>___nvl-nvs-imc-dsy-0820-10351</v>
      </c>
      <c r="AK351" s="21" t="str">
        <f t="shared" si="168"/>
        <v>vw_nivus__-adserver</v>
      </c>
      <c r="AL351" s="21" t="str">
        <f t="shared" si="169"/>
        <v>?adlid=nvl-nvs-imc-dsy-0820-10351&amp;adplt=___nvl-nvs-imc-dsy-0820-10351</v>
      </c>
      <c r="AM351" s="21" t="str">
        <f t="shared" si="170"/>
        <v>TAG</v>
      </c>
      <c r="AN351" s="15">
        <f t="shared" si="171"/>
        <v>0</v>
      </c>
      <c r="AO351" s="15">
        <f t="shared" si="172"/>
        <v>0</v>
      </c>
      <c r="AP351" s="21" t="str">
        <f>Campanha!$B$3</f>
        <v>BR_IMC_DSY_LANCH_ND_NC_2020Q3AUG_NVS_Nivus-Launch-Consideracao-Orca</v>
      </c>
      <c r="AQ351" s="21" t="str">
        <f t="shared" si="173"/>
        <v>___nvl-nvs-imc-dsy-0820-10351</v>
      </c>
      <c r="AR351" s="15" t="s">
        <v>745</v>
      </c>
      <c r="AS351" s="21" t="str">
        <f t="shared" si="182"/>
        <v>?utm_source=0&amp;utm_medium=0&amp;utm_content=___nvl-nvs-imc-dsy-0820-10351&amp;utm_campaign=BR_IMC_DSY_LANCH_ND_NC_2020Q3AUG_NVS_Nivus-Launch-Consideracao-Orca&amp;utm_term=%epid!_%ecid!_%eaid!</v>
      </c>
      <c r="AT351" s="15" t="str">
        <f t="shared" si="174"/>
        <v/>
      </c>
      <c r="AU351" s="15" t="str">
        <f t="shared" si="175"/>
        <v>BR</v>
      </c>
      <c r="AV351" s="15" t="str">
        <f t="shared" si="176"/>
        <v/>
      </c>
      <c r="AW351" s="15" t="str">
        <f t="shared" si="177"/>
        <v/>
      </c>
      <c r="AX351" s="15" t="str">
        <f t="shared" si="178"/>
        <v>nivus-launch-consideracao-orca</v>
      </c>
      <c r="AY351" s="15" t="str">
        <f t="shared" si="183"/>
        <v>___nvl-nvs-imc-dsy-0820-10351</v>
      </c>
      <c r="AZ351" s="15" t="str">
        <f t="shared" si="184"/>
        <v/>
      </c>
      <c r="BA351" s="15" t="str">
        <f t="shared" si="179"/>
        <v/>
      </c>
      <c r="BB351" s="28" t="s">
        <v>798</v>
      </c>
      <c r="BC351" s="28" t="s">
        <v>798</v>
      </c>
      <c r="BD351" s="38" t="str">
        <f t="shared" si="180"/>
        <v>nvl-nvs-imc-dsy-0820-10351</v>
      </c>
      <c r="BE351" s="15" t="str">
        <f t="shared" si="185"/>
        <v>BR</v>
      </c>
      <c r="BF351" s="15" t="str">
        <f t="shared" si="186"/>
        <v/>
      </c>
      <c r="BG351" s="28"/>
      <c r="BH351" s="28"/>
      <c r="BI351" s="36" t="str">
        <f t="shared" si="181"/>
        <v>?adlid=nvl-nvs-imc-dsy-0820-10351&amp;adplt=___nvl-nvs-imc-dsy-0820-10351</v>
      </c>
    </row>
    <row r="352" spans="8:61" ht="15.75" customHeight="1" x14ac:dyDescent="0.25">
      <c r="H352" s="41"/>
      <c r="W352" s="15"/>
      <c r="X352" s="15"/>
      <c r="AH352" s="15" t="e">
        <f t="shared" si="167"/>
        <v>#N/A</v>
      </c>
      <c r="AI352" s="21" t="str">
        <f t="shared" si="187"/>
        <v>___nvl-nvs-imc-dsy-0820-10352</v>
      </c>
      <c r="AJ352" s="40" t="str">
        <f t="shared" si="188"/>
        <v>___nvl-nvs-imc-dsy-0820-10352</v>
      </c>
      <c r="AK352" s="21" t="str">
        <f t="shared" si="168"/>
        <v>vw_nivus__-adserver</v>
      </c>
      <c r="AL352" s="21" t="str">
        <f t="shared" si="169"/>
        <v>?adlid=nvl-nvs-imc-dsy-0820-10352&amp;adplt=___nvl-nvs-imc-dsy-0820-10352</v>
      </c>
      <c r="AM352" s="21" t="str">
        <f t="shared" si="170"/>
        <v>TAG</v>
      </c>
      <c r="AN352" s="15">
        <f t="shared" si="171"/>
        <v>0</v>
      </c>
      <c r="AO352" s="15">
        <f t="shared" si="172"/>
        <v>0</v>
      </c>
      <c r="AP352" s="21" t="str">
        <f>Campanha!$B$3</f>
        <v>BR_IMC_DSY_LANCH_ND_NC_2020Q3AUG_NVS_Nivus-Launch-Consideracao-Orca</v>
      </c>
      <c r="AQ352" s="21" t="str">
        <f t="shared" si="173"/>
        <v>___nvl-nvs-imc-dsy-0820-10352</v>
      </c>
      <c r="AR352" s="15" t="s">
        <v>745</v>
      </c>
      <c r="AS352" s="21" t="str">
        <f t="shared" si="182"/>
        <v>?utm_source=0&amp;utm_medium=0&amp;utm_content=___nvl-nvs-imc-dsy-0820-10352&amp;utm_campaign=BR_IMC_DSY_LANCH_ND_NC_2020Q3AUG_NVS_Nivus-Launch-Consideracao-Orca&amp;utm_term=%epid!_%ecid!_%eaid!</v>
      </c>
      <c r="AT352" s="15" t="str">
        <f t="shared" si="174"/>
        <v/>
      </c>
      <c r="AU352" s="15" t="str">
        <f t="shared" si="175"/>
        <v>BR</v>
      </c>
      <c r="AV352" s="15" t="str">
        <f t="shared" si="176"/>
        <v/>
      </c>
      <c r="AW352" s="15" t="str">
        <f t="shared" si="177"/>
        <v/>
      </c>
      <c r="AX352" s="15" t="str">
        <f t="shared" si="178"/>
        <v>nivus-launch-consideracao-orca</v>
      </c>
      <c r="AY352" s="15" t="str">
        <f t="shared" si="183"/>
        <v>___nvl-nvs-imc-dsy-0820-10352</v>
      </c>
      <c r="AZ352" s="15" t="str">
        <f t="shared" si="184"/>
        <v/>
      </c>
      <c r="BA352" s="15" t="str">
        <f t="shared" si="179"/>
        <v/>
      </c>
      <c r="BB352" s="28" t="s">
        <v>798</v>
      </c>
      <c r="BC352" s="28" t="s">
        <v>798</v>
      </c>
      <c r="BD352" s="38" t="str">
        <f t="shared" si="180"/>
        <v>nvl-nvs-imc-dsy-0820-10352</v>
      </c>
      <c r="BE352" s="15" t="str">
        <f t="shared" si="185"/>
        <v>BR</v>
      </c>
      <c r="BF352" s="15" t="str">
        <f t="shared" si="186"/>
        <v/>
      </c>
      <c r="BG352" s="28"/>
      <c r="BH352" s="28"/>
      <c r="BI352" s="36" t="str">
        <f t="shared" si="181"/>
        <v>?adlid=nvl-nvs-imc-dsy-0820-10352&amp;adplt=___nvl-nvs-imc-dsy-0820-10352</v>
      </c>
    </row>
    <row r="353" spans="8:61" ht="15.75" customHeight="1" x14ac:dyDescent="0.25">
      <c r="H353" s="41"/>
      <c r="W353" s="15"/>
      <c r="X353" s="15"/>
      <c r="AH353" s="15" t="e">
        <f t="shared" si="167"/>
        <v>#N/A</v>
      </c>
      <c r="AI353" s="21" t="str">
        <f t="shared" si="187"/>
        <v>___nvl-nvs-imc-dsy-0820-10353</v>
      </c>
      <c r="AJ353" s="40" t="str">
        <f t="shared" si="188"/>
        <v>___nvl-nvs-imc-dsy-0820-10353</v>
      </c>
      <c r="AK353" s="21" t="str">
        <f t="shared" si="168"/>
        <v>vw_nivus__-adserver</v>
      </c>
      <c r="AL353" s="21" t="str">
        <f t="shared" si="169"/>
        <v>?adlid=nvl-nvs-imc-dsy-0820-10353&amp;adplt=___nvl-nvs-imc-dsy-0820-10353</v>
      </c>
      <c r="AM353" s="21" t="str">
        <f t="shared" si="170"/>
        <v>TAG</v>
      </c>
      <c r="AN353" s="15">
        <f t="shared" si="171"/>
        <v>0</v>
      </c>
      <c r="AO353" s="15">
        <f t="shared" si="172"/>
        <v>0</v>
      </c>
      <c r="AP353" s="21" t="str">
        <f>Campanha!$B$3</f>
        <v>BR_IMC_DSY_LANCH_ND_NC_2020Q3AUG_NVS_Nivus-Launch-Consideracao-Orca</v>
      </c>
      <c r="AQ353" s="21" t="str">
        <f t="shared" si="173"/>
        <v>___nvl-nvs-imc-dsy-0820-10353</v>
      </c>
      <c r="AR353" s="15" t="s">
        <v>745</v>
      </c>
      <c r="AS353" s="21" t="str">
        <f t="shared" si="182"/>
        <v>?utm_source=0&amp;utm_medium=0&amp;utm_content=___nvl-nvs-imc-dsy-0820-10353&amp;utm_campaign=BR_IMC_DSY_LANCH_ND_NC_2020Q3AUG_NVS_Nivus-Launch-Consideracao-Orca&amp;utm_term=%epid!_%ecid!_%eaid!</v>
      </c>
      <c r="AT353" s="15" t="str">
        <f t="shared" si="174"/>
        <v/>
      </c>
      <c r="AU353" s="15" t="str">
        <f t="shared" si="175"/>
        <v>BR</v>
      </c>
      <c r="AV353" s="15" t="str">
        <f t="shared" si="176"/>
        <v/>
      </c>
      <c r="AW353" s="15" t="str">
        <f t="shared" si="177"/>
        <v/>
      </c>
      <c r="AX353" s="15" t="str">
        <f t="shared" si="178"/>
        <v>nivus-launch-consideracao-orca</v>
      </c>
      <c r="AY353" s="15" t="str">
        <f t="shared" si="183"/>
        <v>___nvl-nvs-imc-dsy-0820-10353</v>
      </c>
      <c r="AZ353" s="15" t="str">
        <f t="shared" si="184"/>
        <v/>
      </c>
      <c r="BA353" s="15" t="str">
        <f t="shared" si="179"/>
        <v/>
      </c>
      <c r="BB353" s="28" t="s">
        <v>798</v>
      </c>
      <c r="BC353" s="28" t="s">
        <v>798</v>
      </c>
      <c r="BD353" s="38" t="str">
        <f t="shared" si="180"/>
        <v>nvl-nvs-imc-dsy-0820-10353</v>
      </c>
      <c r="BE353" s="15" t="str">
        <f t="shared" si="185"/>
        <v>BR</v>
      </c>
      <c r="BF353" s="15" t="str">
        <f t="shared" si="186"/>
        <v/>
      </c>
      <c r="BG353" s="28"/>
      <c r="BH353" s="28"/>
      <c r="BI353" s="36" t="str">
        <f t="shared" si="181"/>
        <v>?adlid=nvl-nvs-imc-dsy-0820-10353&amp;adplt=___nvl-nvs-imc-dsy-0820-10353</v>
      </c>
    </row>
    <row r="354" spans="8:61" ht="15.75" customHeight="1" x14ac:dyDescent="0.25">
      <c r="H354" s="41"/>
      <c r="W354" s="15"/>
      <c r="X354" s="15"/>
      <c r="AH354" s="15" t="e">
        <f t="shared" si="167"/>
        <v>#N/A</v>
      </c>
      <c r="AI354" s="21" t="str">
        <f t="shared" si="187"/>
        <v>___nvl-nvs-imc-dsy-0820-10354</v>
      </c>
      <c r="AJ354" s="40" t="str">
        <f t="shared" si="188"/>
        <v>___nvl-nvs-imc-dsy-0820-10354</v>
      </c>
      <c r="AK354" s="21" t="str">
        <f t="shared" si="168"/>
        <v>vw_nivus__-adserver</v>
      </c>
      <c r="AL354" s="21" t="str">
        <f t="shared" si="169"/>
        <v>?adlid=nvl-nvs-imc-dsy-0820-10354&amp;adplt=___nvl-nvs-imc-dsy-0820-10354</v>
      </c>
      <c r="AM354" s="21" t="str">
        <f t="shared" si="170"/>
        <v>TAG</v>
      </c>
      <c r="AN354" s="15">
        <f t="shared" si="171"/>
        <v>0</v>
      </c>
      <c r="AO354" s="15">
        <f t="shared" si="172"/>
        <v>0</v>
      </c>
      <c r="AP354" s="21" t="str">
        <f>Campanha!$B$3</f>
        <v>BR_IMC_DSY_LANCH_ND_NC_2020Q3AUG_NVS_Nivus-Launch-Consideracao-Orca</v>
      </c>
      <c r="AQ354" s="21" t="str">
        <f t="shared" si="173"/>
        <v>___nvl-nvs-imc-dsy-0820-10354</v>
      </c>
      <c r="AR354" s="15" t="s">
        <v>745</v>
      </c>
      <c r="AS354" s="21" t="str">
        <f t="shared" si="182"/>
        <v>?utm_source=0&amp;utm_medium=0&amp;utm_content=___nvl-nvs-imc-dsy-0820-10354&amp;utm_campaign=BR_IMC_DSY_LANCH_ND_NC_2020Q3AUG_NVS_Nivus-Launch-Consideracao-Orca&amp;utm_term=%epid!_%ecid!_%eaid!</v>
      </c>
      <c r="AT354" s="15" t="str">
        <f t="shared" si="174"/>
        <v/>
      </c>
      <c r="AU354" s="15" t="str">
        <f t="shared" si="175"/>
        <v>BR</v>
      </c>
      <c r="AV354" s="15" t="str">
        <f t="shared" si="176"/>
        <v/>
      </c>
      <c r="AW354" s="15" t="str">
        <f t="shared" si="177"/>
        <v/>
      </c>
      <c r="AX354" s="15" t="str">
        <f t="shared" si="178"/>
        <v>nivus-launch-consideracao-orca</v>
      </c>
      <c r="AY354" s="15" t="str">
        <f t="shared" si="183"/>
        <v>___nvl-nvs-imc-dsy-0820-10354</v>
      </c>
      <c r="AZ354" s="15" t="str">
        <f t="shared" si="184"/>
        <v/>
      </c>
      <c r="BA354" s="15" t="str">
        <f t="shared" si="179"/>
        <v/>
      </c>
      <c r="BB354" s="28" t="s">
        <v>798</v>
      </c>
      <c r="BC354" s="28" t="s">
        <v>798</v>
      </c>
      <c r="BD354" s="38" t="str">
        <f t="shared" si="180"/>
        <v>nvl-nvs-imc-dsy-0820-10354</v>
      </c>
      <c r="BE354" s="15" t="str">
        <f t="shared" si="185"/>
        <v>BR</v>
      </c>
      <c r="BF354" s="15" t="str">
        <f t="shared" si="186"/>
        <v/>
      </c>
      <c r="BG354" s="28"/>
      <c r="BH354" s="28"/>
      <c r="BI354" s="36" t="str">
        <f t="shared" si="181"/>
        <v>?adlid=nvl-nvs-imc-dsy-0820-10354&amp;adplt=___nvl-nvs-imc-dsy-0820-10354</v>
      </c>
    </row>
    <row r="355" spans="8:61" ht="15.75" customHeight="1" x14ac:dyDescent="0.25">
      <c r="H355" s="41"/>
      <c r="W355" s="15"/>
      <c r="X355" s="15"/>
      <c r="AH355" s="15" t="e">
        <f t="shared" si="167"/>
        <v>#N/A</v>
      </c>
      <c r="AI355" s="21" t="str">
        <f t="shared" si="187"/>
        <v>___nvl-nvs-imc-dsy-0820-10355</v>
      </c>
      <c r="AJ355" s="40" t="str">
        <f t="shared" si="188"/>
        <v>___nvl-nvs-imc-dsy-0820-10355</v>
      </c>
      <c r="AK355" s="21" t="str">
        <f t="shared" si="168"/>
        <v>vw_nivus__-adserver</v>
      </c>
      <c r="AL355" s="21" t="str">
        <f t="shared" si="169"/>
        <v>?adlid=nvl-nvs-imc-dsy-0820-10355&amp;adplt=___nvl-nvs-imc-dsy-0820-10355</v>
      </c>
      <c r="AM355" s="21" t="str">
        <f t="shared" si="170"/>
        <v>TAG</v>
      </c>
      <c r="AN355" s="15">
        <f t="shared" si="171"/>
        <v>0</v>
      </c>
      <c r="AO355" s="15">
        <f t="shared" si="172"/>
        <v>0</v>
      </c>
      <c r="AP355" s="21" t="str">
        <f>Campanha!$B$3</f>
        <v>BR_IMC_DSY_LANCH_ND_NC_2020Q3AUG_NVS_Nivus-Launch-Consideracao-Orca</v>
      </c>
      <c r="AQ355" s="21" t="str">
        <f t="shared" si="173"/>
        <v>___nvl-nvs-imc-dsy-0820-10355</v>
      </c>
      <c r="AR355" s="15" t="s">
        <v>745</v>
      </c>
      <c r="AS355" s="21" t="str">
        <f t="shared" si="182"/>
        <v>?utm_source=0&amp;utm_medium=0&amp;utm_content=___nvl-nvs-imc-dsy-0820-10355&amp;utm_campaign=BR_IMC_DSY_LANCH_ND_NC_2020Q3AUG_NVS_Nivus-Launch-Consideracao-Orca&amp;utm_term=%epid!_%ecid!_%eaid!</v>
      </c>
      <c r="AT355" s="15" t="str">
        <f t="shared" si="174"/>
        <v/>
      </c>
      <c r="AU355" s="15" t="str">
        <f t="shared" si="175"/>
        <v>BR</v>
      </c>
      <c r="AV355" s="15" t="str">
        <f t="shared" si="176"/>
        <v/>
      </c>
      <c r="AW355" s="15" t="str">
        <f t="shared" si="177"/>
        <v/>
      </c>
      <c r="AX355" s="15" t="str">
        <f t="shared" si="178"/>
        <v>nivus-launch-consideracao-orca</v>
      </c>
      <c r="AY355" s="15" t="str">
        <f t="shared" si="183"/>
        <v>___nvl-nvs-imc-dsy-0820-10355</v>
      </c>
      <c r="AZ355" s="15" t="str">
        <f t="shared" si="184"/>
        <v/>
      </c>
      <c r="BA355" s="15" t="str">
        <f t="shared" si="179"/>
        <v/>
      </c>
      <c r="BB355" s="28" t="s">
        <v>798</v>
      </c>
      <c r="BC355" s="28" t="s">
        <v>798</v>
      </c>
      <c r="BD355" s="38" t="str">
        <f t="shared" si="180"/>
        <v>nvl-nvs-imc-dsy-0820-10355</v>
      </c>
      <c r="BE355" s="15" t="str">
        <f t="shared" si="185"/>
        <v>BR</v>
      </c>
      <c r="BF355" s="15" t="str">
        <f t="shared" si="186"/>
        <v/>
      </c>
      <c r="BG355" s="28"/>
      <c r="BH355" s="28"/>
      <c r="BI355" s="36" t="str">
        <f t="shared" si="181"/>
        <v>?adlid=nvl-nvs-imc-dsy-0820-10355&amp;adplt=___nvl-nvs-imc-dsy-0820-10355</v>
      </c>
    </row>
    <row r="356" spans="8:61" ht="15.75" customHeight="1" x14ac:dyDescent="0.25">
      <c r="H356" s="41"/>
      <c r="W356" s="15"/>
      <c r="X356" s="15"/>
      <c r="AH356" s="15" t="e">
        <f t="shared" si="167"/>
        <v>#N/A</v>
      </c>
      <c r="AI356" s="21" t="str">
        <f t="shared" si="187"/>
        <v>___nvl-nvs-imc-dsy-0820-10356</v>
      </c>
      <c r="AJ356" s="40" t="str">
        <f t="shared" si="188"/>
        <v>___nvl-nvs-imc-dsy-0820-10356</v>
      </c>
      <c r="AK356" s="21" t="str">
        <f t="shared" si="168"/>
        <v>vw_nivus__-adserver</v>
      </c>
      <c r="AL356" s="21" t="str">
        <f t="shared" si="169"/>
        <v>?adlid=nvl-nvs-imc-dsy-0820-10356&amp;adplt=___nvl-nvs-imc-dsy-0820-10356</v>
      </c>
      <c r="AM356" s="21" t="str">
        <f t="shared" si="170"/>
        <v>TAG</v>
      </c>
      <c r="AN356" s="15">
        <f t="shared" si="171"/>
        <v>0</v>
      </c>
      <c r="AO356" s="15">
        <f t="shared" si="172"/>
        <v>0</v>
      </c>
      <c r="AP356" s="21" t="str">
        <f>Campanha!$B$3</f>
        <v>BR_IMC_DSY_LANCH_ND_NC_2020Q3AUG_NVS_Nivus-Launch-Consideracao-Orca</v>
      </c>
      <c r="AQ356" s="21" t="str">
        <f t="shared" si="173"/>
        <v>___nvl-nvs-imc-dsy-0820-10356</v>
      </c>
      <c r="AR356" s="15" t="s">
        <v>745</v>
      </c>
      <c r="AS356" s="21" t="str">
        <f t="shared" si="182"/>
        <v>?utm_source=0&amp;utm_medium=0&amp;utm_content=___nvl-nvs-imc-dsy-0820-10356&amp;utm_campaign=BR_IMC_DSY_LANCH_ND_NC_2020Q3AUG_NVS_Nivus-Launch-Consideracao-Orca&amp;utm_term=%epid!_%ecid!_%eaid!</v>
      </c>
      <c r="AT356" s="15" t="str">
        <f t="shared" si="174"/>
        <v/>
      </c>
      <c r="AU356" s="15" t="str">
        <f t="shared" si="175"/>
        <v>BR</v>
      </c>
      <c r="AV356" s="15" t="str">
        <f t="shared" si="176"/>
        <v/>
      </c>
      <c r="AW356" s="15" t="str">
        <f t="shared" si="177"/>
        <v/>
      </c>
      <c r="AX356" s="15" t="str">
        <f t="shared" si="178"/>
        <v>nivus-launch-consideracao-orca</v>
      </c>
      <c r="AY356" s="15" t="str">
        <f t="shared" si="183"/>
        <v>___nvl-nvs-imc-dsy-0820-10356</v>
      </c>
      <c r="AZ356" s="15" t="str">
        <f t="shared" si="184"/>
        <v/>
      </c>
      <c r="BA356" s="15" t="str">
        <f t="shared" si="179"/>
        <v/>
      </c>
      <c r="BB356" s="28" t="s">
        <v>798</v>
      </c>
      <c r="BC356" s="28" t="s">
        <v>798</v>
      </c>
      <c r="BD356" s="38" t="str">
        <f t="shared" si="180"/>
        <v>nvl-nvs-imc-dsy-0820-10356</v>
      </c>
      <c r="BE356" s="15" t="str">
        <f t="shared" si="185"/>
        <v>BR</v>
      </c>
      <c r="BF356" s="15" t="str">
        <f t="shared" si="186"/>
        <v/>
      </c>
      <c r="BG356" s="28"/>
      <c r="BH356" s="28"/>
      <c r="BI356" s="36" t="str">
        <f t="shared" si="181"/>
        <v>?adlid=nvl-nvs-imc-dsy-0820-10356&amp;adplt=___nvl-nvs-imc-dsy-0820-10356</v>
      </c>
    </row>
    <row r="357" spans="8:61" ht="15.75" customHeight="1" x14ac:dyDescent="0.25">
      <c r="H357" s="41"/>
      <c r="W357" s="15"/>
      <c r="X357" s="15"/>
      <c r="AH357" s="15" t="e">
        <f t="shared" si="167"/>
        <v>#N/A</v>
      </c>
      <c r="AI357" s="21" t="str">
        <f t="shared" si="187"/>
        <v>___nvl-nvs-imc-dsy-0820-10357</v>
      </c>
      <c r="AJ357" s="40" t="str">
        <f t="shared" si="188"/>
        <v>___nvl-nvs-imc-dsy-0820-10357</v>
      </c>
      <c r="AK357" s="21" t="str">
        <f t="shared" si="168"/>
        <v>vw_nivus__-adserver</v>
      </c>
      <c r="AL357" s="21" t="str">
        <f t="shared" si="169"/>
        <v>?adlid=nvl-nvs-imc-dsy-0820-10357&amp;adplt=___nvl-nvs-imc-dsy-0820-10357</v>
      </c>
      <c r="AM357" s="21" t="str">
        <f t="shared" si="170"/>
        <v>TAG</v>
      </c>
      <c r="AN357" s="15">
        <f t="shared" si="171"/>
        <v>0</v>
      </c>
      <c r="AO357" s="15">
        <f t="shared" si="172"/>
        <v>0</v>
      </c>
      <c r="AP357" s="21" t="str">
        <f>Campanha!$B$3</f>
        <v>BR_IMC_DSY_LANCH_ND_NC_2020Q3AUG_NVS_Nivus-Launch-Consideracao-Orca</v>
      </c>
      <c r="AQ357" s="21" t="str">
        <f t="shared" si="173"/>
        <v>___nvl-nvs-imc-dsy-0820-10357</v>
      </c>
      <c r="AR357" s="15" t="s">
        <v>745</v>
      </c>
      <c r="AS357" s="21" t="str">
        <f t="shared" si="182"/>
        <v>?utm_source=0&amp;utm_medium=0&amp;utm_content=___nvl-nvs-imc-dsy-0820-10357&amp;utm_campaign=BR_IMC_DSY_LANCH_ND_NC_2020Q3AUG_NVS_Nivus-Launch-Consideracao-Orca&amp;utm_term=%epid!_%ecid!_%eaid!</v>
      </c>
      <c r="AT357" s="15" t="str">
        <f t="shared" si="174"/>
        <v/>
      </c>
      <c r="AU357" s="15" t="str">
        <f t="shared" si="175"/>
        <v>BR</v>
      </c>
      <c r="AV357" s="15" t="str">
        <f t="shared" si="176"/>
        <v/>
      </c>
      <c r="AW357" s="15" t="str">
        <f t="shared" si="177"/>
        <v/>
      </c>
      <c r="AX357" s="15" t="str">
        <f t="shared" si="178"/>
        <v>nivus-launch-consideracao-orca</v>
      </c>
      <c r="AY357" s="15" t="str">
        <f t="shared" si="183"/>
        <v>___nvl-nvs-imc-dsy-0820-10357</v>
      </c>
      <c r="AZ357" s="15" t="str">
        <f t="shared" si="184"/>
        <v/>
      </c>
      <c r="BA357" s="15" t="str">
        <f t="shared" si="179"/>
        <v/>
      </c>
      <c r="BB357" s="28" t="s">
        <v>798</v>
      </c>
      <c r="BC357" s="28" t="s">
        <v>798</v>
      </c>
      <c r="BD357" s="38" t="str">
        <f t="shared" si="180"/>
        <v>nvl-nvs-imc-dsy-0820-10357</v>
      </c>
      <c r="BE357" s="15" t="str">
        <f t="shared" si="185"/>
        <v>BR</v>
      </c>
      <c r="BF357" s="15" t="str">
        <f t="shared" si="186"/>
        <v/>
      </c>
      <c r="BG357" s="28"/>
      <c r="BH357" s="28"/>
      <c r="BI357" s="36" t="str">
        <f t="shared" si="181"/>
        <v>?adlid=nvl-nvs-imc-dsy-0820-10357&amp;adplt=___nvl-nvs-imc-dsy-0820-10357</v>
      </c>
    </row>
    <row r="358" spans="8:61" ht="15.75" customHeight="1" x14ac:dyDescent="0.25">
      <c r="H358" s="41"/>
      <c r="W358" s="15"/>
      <c r="X358" s="15"/>
      <c r="AH358" s="15" t="e">
        <f t="shared" si="167"/>
        <v>#N/A</v>
      </c>
      <c r="AI358" s="21" t="str">
        <f t="shared" si="187"/>
        <v>___nvl-nvs-imc-dsy-0820-10358</v>
      </c>
      <c r="AJ358" s="40" t="str">
        <f t="shared" si="188"/>
        <v>___nvl-nvs-imc-dsy-0820-10358</v>
      </c>
      <c r="AK358" s="21" t="str">
        <f t="shared" si="168"/>
        <v>vw_nivus__-adserver</v>
      </c>
      <c r="AL358" s="21" t="str">
        <f t="shared" si="169"/>
        <v>?adlid=nvl-nvs-imc-dsy-0820-10358&amp;adplt=___nvl-nvs-imc-dsy-0820-10358</v>
      </c>
      <c r="AM358" s="21" t="str">
        <f t="shared" si="170"/>
        <v>TAG</v>
      </c>
      <c r="AN358" s="15">
        <f t="shared" si="171"/>
        <v>0</v>
      </c>
      <c r="AO358" s="15">
        <f t="shared" si="172"/>
        <v>0</v>
      </c>
      <c r="AP358" s="21" t="str">
        <f>Campanha!$B$3</f>
        <v>BR_IMC_DSY_LANCH_ND_NC_2020Q3AUG_NVS_Nivus-Launch-Consideracao-Orca</v>
      </c>
      <c r="AQ358" s="21" t="str">
        <f t="shared" si="173"/>
        <v>___nvl-nvs-imc-dsy-0820-10358</v>
      </c>
      <c r="AR358" s="15" t="s">
        <v>745</v>
      </c>
      <c r="AS358" s="21" t="str">
        <f t="shared" si="182"/>
        <v>?utm_source=0&amp;utm_medium=0&amp;utm_content=___nvl-nvs-imc-dsy-0820-10358&amp;utm_campaign=BR_IMC_DSY_LANCH_ND_NC_2020Q3AUG_NVS_Nivus-Launch-Consideracao-Orca&amp;utm_term=%epid!_%ecid!_%eaid!</v>
      </c>
      <c r="AT358" s="15" t="str">
        <f t="shared" si="174"/>
        <v/>
      </c>
      <c r="AU358" s="15" t="str">
        <f t="shared" si="175"/>
        <v>BR</v>
      </c>
      <c r="AV358" s="15" t="str">
        <f t="shared" si="176"/>
        <v/>
      </c>
      <c r="AW358" s="15" t="str">
        <f t="shared" si="177"/>
        <v/>
      </c>
      <c r="AX358" s="15" t="str">
        <f t="shared" si="178"/>
        <v>nivus-launch-consideracao-orca</v>
      </c>
      <c r="AY358" s="15" t="str">
        <f t="shared" si="183"/>
        <v>___nvl-nvs-imc-dsy-0820-10358</v>
      </c>
      <c r="AZ358" s="15" t="str">
        <f t="shared" si="184"/>
        <v/>
      </c>
      <c r="BA358" s="15" t="str">
        <f t="shared" si="179"/>
        <v/>
      </c>
      <c r="BB358" s="28" t="s">
        <v>798</v>
      </c>
      <c r="BC358" s="28" t="s">
        <v>798</v>
      </c>
      <c r="BD358" s="38" t="str">
        <f t="shared" si="180"/>
        <v>nvl-nvs-imc-dsy-0820-10358</v>
      </c>
      <c r="BE358" s="15" t="str">
        <f t="shared" si="185"/>
        <v>BR</v>
      </c>
      <c r="BF358" s="15" t="str">
        <f t="shared" si="186"/>
        <v/>
      </c>
      <c r="BG358" s="28"/>
      <c r="BH358" s="28"/>
      <c r="BI358" s="36" t="str">
        <f t="shared" si="181"/>
        <v>?adlid=nvl-nvs-imc-dsy-0820-10358&amp;adplt=___nvl-nvs-imc-dsy-0820-10358</v>
      </c>
    </row>
    <row r="359" spans="8:61" ht="15.75" customHeight="1" x14ac:dyDescent="0.25">
      <c r="H359" s="41"/>
      <c r="W359" s="15"/>
      <c r="X359" s="15"/>
      <c r="AH359" s="15" t="e">
        <f t="shared" si="167"/>
        <v>#N/A</v>
      </c>
      <c r="AI359" s="21" t="str">
        <f t="shared" si="187"/>
        <v>___nvl-nvs-imc-dsy-0820-10359</v>
      </c>
      <c r="AJ359" s="40" t="str">
        <f t="shared" si="188"/>
        <v>___nvl-nvs-imc-dsy-0820-10359</v>
      </c>
      <c r="AK359" s="21" t="str">
        <f t="shared" si="168"/>
        <v>vw_nivus__-adserver</v>
      </c>
      <c r="AL359" s="21" t="str">
        <f t="shared" si="169"/>
        <v>?adlid=nvl-nvs-imc-dsy-0820-10359&amp;adplt=___nvl-nvs-imc-dsy-0820-10359</v>
      </c>
      <c r="AM359" s="21" t="str">
        <f t="shared" si="170"/>
        <v>TAG</v>
      </c>
      <c r="AN359" s="15">
        <f t="shared" si="171"/>
        <v>0</v>
      </c>
      <c r="AO359" s="15">
        <f t="shared" si="172"/>
        <v>0</v>
      </c>
      <c r="AP359" s="21" t="str">
        <f>Campanha!$B$3</f>
        <v>BR_IMC_DSY_LANCH_ND_NC_2020Q3AUG_NVS_Nivus-Launch-Consideracao-Orca</v>
      </c>
      <c r="AQ359" s="21" t="str">
        <f t="shared" si="173"/>
        <v>___nvl-nvs-imc-dsy-0820-10359</v>
      </c>
      <c r="AR359" s="15" t="s">
        <v>745</v>
      </c>
      <c r="AS359" s="21" t="str">
        <f t="shared" si="182"/>
        <v>?utm_source=0&amp;utm_medium=0&amp;utm_content=___nvl-nvs-imc-dsy-0820-10359&amp;utm_campaign=BR_IMC_DSY_LANCH_ND_NC_2020Q3AUG_NVS_Nivus-Launch-Consideracao-Orca&amp;utm_term=%epid!_%ecid!_%eaid!</v>
      </c>
      <c r="AT359" s="15" t="str">
        <f t="shared" si="174"/>
        <v/>
      </c>
      <c r="AU359" s="15" t="str">
        <f t="shared" si="175"/>
        <v>BR</v>
      </c>
      <c r="AV359" s="15" t="str">
        <f t="shared" si="176"/>
        <v/>
      </c>
      <c r="AW359" s="15" t="str">
        <f t="shared" si="177"/>
        <v/>
      </c>
      <c r="AX359" s="15" t="str">
        <f t="shared" si="178"/>
        <v>nivus-launch-consideracao-orca</v>
      </c>
      <c r="AY359" s="15" t="str">
        <f t="shared" si="183"/>
        <v>___nvl-nvs-imc-dsy-0820-10359</v>
      </c>
      <c r="AZ359" s="15" t="str">
        <f t="shared" si="184"/>
        <v/>
      </c>
      <c r="BA359" s="15" t="str">
        <f t="shared" si="179"/>
        <v/>
      </c>
      <c r="BB359" s="28" t="s">
        <v>798</v>
      </c>
      <c r="BC359" s="28" t="s">
        <v>798</v>
      </c>
      <c r="BD359" s="38" t="str">
        <f t="shared" si="180"/>
        <v>nvl-nvs-imc-dsy-0820-10359</v>
      </c>
      <c r="BE359" s="15" t="str">
        <f t="shared" si="185"/>
        <v>BR</v>
      </c>
      <c r="BF359" s="15" t="str">
        <f t="shared" si="186"/>
        <v/>
      </c>
      <c r="BG359" s="28"/>
      <c r="BH359" s="28"/>
      <c r="BI359" s="36" t="str">
        <f t="shared" si="181"/>
        <v>?adlid=nvl-nvs-imc-dsy-0820-10359&amp;adplt=___nvl-nvs-imc-dsy-0820-10359</v>
      </c>
    </row>
    <row r="1048399" spans="24:24" ht="15.75" customHeight="1" x14ac:dyDescent="0.25">
      <c r="X1048399" s="15"/>
    </row>
    <row r="1048402" spans="6:7" ht="15.75" customHeight="1" x14ac:dyDescent="0.25">
      <c r="F1048402" s="22"/>
      <c r="G1048402" s="15"/>
    </row>
  </sheetData>
  <autoFilter ref="B4:BI359" xr:uid="{C4832F31-FBB3-4BE9-BE2D-E7D4F9D323BA}"/>
  <conditionalFormatting sqref="B1:B4 B301:B1048576">
    <cfRule type="containsText" dxfId="21" priority="269" operator="containsText" text="Reenviar">
      <formula>NOT(ISERROR(SEARCH("Reenviar",B1)))</formula>
    </cfRule>
    <cfRule type="containsText" dxfId="20" priority="365" operator="containsText" text="Inserir">
      <formula>NOT(ISERROR(SEARCH("Inserir",B1)))</formula>
    </cfRule>
  </conditionalFormatting>
  <conditionalFormatting sqref="E301:E1048576 E1:E4">
    <cfRule type="colorScale" priority="336">
      <colorScale>
        <cfvo type="min"/>
        <cfvo type="max"/>
        <color rgb="FFFFEF9C"/>
        <color rgb="FF63BE7B"/>
      </colorScale>
    </cfRule>
  </conditionalFormatting>
  <conditionalFormatting sqref="E301:E1048576">
    <cfRule type="colorScale" priority="281">
      <colorScale>
        <cfvo type="min"/>
        <cfvo type="max"/>
        <color rgb="FFFFEF9C"/>
        <color rgb="FF63BE7B"/>
      </colorScale>
    </cfRule>
  </conditionalFormatting>
  <conditionalFormatting sqref="E15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E22 E40 E42:E43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0:E5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7:E58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9:E67"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4:E49 E56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51">
    <cfRule type="containsText" dxfId="19" priority="101" operator="containsText" text="Reenviar">
      <formula>NOT(ISERROR(SEARCH("Reenviar",B5)))</formula>
    </cfRule>
    <cfRule type="containsText" dxfId="18" priority="102" operator="containsText" text="Inserir">
      <formula>NOT(ISERROR(SEARCH("Inserir",B5)))</formula>
    </cfRule>
  </conditionalFormatting>
  <conditionalFormatting sqref="E23:E25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:E31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51">
    <cfRule type="containsText" dxfId="17" priority="103" operator="containsText" text="Reenviar">
      <formula>NOT(ISERROR(SEARCH("Reenviar",B5)))</formula>
    </cfRule>
    <cfRule type="containsText" dxfId="16" priority="104" operator="containsText" text="Inserir">
      <formula>NOT(ISERROR(SEARCH("Inserir",B5)))</formula>
    </cfRule>
  </conditionalFormatting>
  <conditionalFormatting sqref="E6:E1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0:E8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3:E8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6:E8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7:E7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8:E70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1:E73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4:E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:E34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5:E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9:E95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51">
    <cfRule type="containsText" dxfId="15" priority="51" operator="containsText" text="Reenviar">
      <formula>NOT(ISERROR(SEARCH("Reenviar",B5)))</formula>
    </cfRule>
    <cfRule type="containsText" dxfId="14" priority="52" operator="containsText" text="Inserir">
      <formula>NOT(ISERROR(SEARCH("Inserir",B5)))</formula>
    </cfRule>
  </conditionalFormatting>
  <conditionalFormatting sqref="B5:B151">
    <cfRule type="containsText" dxfId="13" priority="53" operator="containsText" text="Reenviar">
      <formula>NOT(ISERROR(SEARCH("Reenviar",B5)))</formula>
    </cfRule>
    <cfRule type="containsText" dxfId="12" priority="54" operator="containsText" text="Inserir">
      <formula>NOT(ISERROR(SEARCH("Inserir",B5)))</formula>
    </cfRule>
  </conditionalFormatting>
  <conditionalFormatting sqref="E96:E10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3:E10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0:E11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7:E12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4:E1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1:E1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8:E14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0:B300">
    <cfRule type="containsText" dxfId="11" priority="12" operator="containsText" text="Reenviar">
      <formula>NOT(ISERROR(SEARCH("Reenviar",B250)))</formula>
    </cfRule>
    <cfRule type="containsText" dxfId="10" priority="13" operator="containsText" text="Inserir">
      <formula>NOT(ISERROR(SEARCH("Inserir",B250)))</formula>
    </cfRule>
  </conditionalFormatting>
  <conditionalFormatting sqref="B250:B300">
    <cfRule type="containsText" dxfId="9" priority="14" operator="containsText" text="Reenviar">
      <formula>NOT(ISERROR(SEARCH("Reenviar",B250)))</formula>
    </cfRule>
    <cfRule type="containsText" dxfId="8" priority="15" operator="containsText" text="Inserir">
      <formula>NOT(ISERROR(SEARCH("Inserir",B250)))</formula>
    </cfRule>
  </conditionalFormatting>
  <conditionalFormatting sqref="E250:E30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2:E1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2:B249">
    <cfRule type="containsText" dxfId="7" priority="5" operator="containsText" text="Reenviar">
      <formula>NOT(ISERROR(SEARCH("Reenviar",B152)))</formula>
    </cfRule>
    <cfRule type="containsText" dxfId="6" priority="6" operator="containsText" text="Inserir">
      <formula>NOT(ISERROR(SEARCH("Inserir",B152)))</formula>
    </cfRule>
  </conditionalFormatting>
  <conditionalFormatting sqref="B152:B249">
    <cfRule type="containsText" dxfId="5" priority="7" operator="containsText" text="Reenviar">
      <formula>NOT(ISERROR(SEARCH("Reenviar",B152)))</formula>
    </cfRule>
    <cfRule type="containsText" dxfId="4" priority="8" operator="containsText" text="Inserir">
      <formula>NOT(ISERROR(SEARCH("Inserir",B152)))</formula>
    </cfRule>
  </conditionalFormatting>
  <conditionalFormatting sqref="E145:E151 E159:E249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3">
    <dataValidation type="list" allowBlank="1" showInputMessage="1" showErrorMessage="1" sqref="X1048399:X1048576 X5:X359" xr:uid="{1B400641-824A-4EF4-A4E5-8C1E8BE3F96F}">
      <formula1>list_paidvsav</formula1>
    </dataValidation>
    <dataValidation type="list" allowBlank="1" showInputMessage="1" showErrorMessage="1" sqref="G1048402:I1048576 G5:G249 H5:H359" xr:uid="{F3EDD462-CAB6-4096-9138-038E80268201}">
      <formula1>list_servidopor</formula1>
    </dataValidation>
    <dataValidation type="list" allowBlank="1" showInputMessage="1" showErrorMessage="1" sqref="B5:B249" xr:uid="{29AC5E17-7D1C-4382-9932-53ADE6558719}">
      <formula1>"Inativar,Aguardando Material,Aguardando Correção,Manter / No Ar,Inserir,Ativar,Reenviar,Alterar Tipo de Compra, Substituir Criativo,Pausado, Atualizar"</formula1>
    </dataValidation>
    <dataValidation type="list" allowBlank="1" showInputMessage="1" showErrorMessage="1" sqref="J5:K249" xr:uid="{CF454DFB-91F9-4401-89F8-8D01E2DD81B9}">
      <formula1>list_site</formula1>
    </dataValidation>
    <dataValidation type="list" allowBlank="1" showInputMessage="1" showErrorMessage="1" sqref="L5:L249" xr:uid="{D74FCCF6-C02A-4CF9-93D1-A149F74353EA}">
      <formula1>list_submediachannel</formula1>
    </dataValidation>
    <dataValidation type="list" allowBlank="1" showInputMessage="1" showErrorMessage="1" sqref="M5:M249" xr:uid="{C2664176-F527-4B55-B433-1E2C6205AFC7}">
      <formula1>list_buyingtype</formula1>
    </dataValidation>
    <dataValidation type="list" allowBlank="1" showInputMessage="1" showErrorMessage="1" sqref="N5:N249" xr:uid="{7CAA80E5-BFB3-4DD1-BE9D-22192E29910F}">
      <formula1>list_buyingmetric</formula1>
    </dataValidation>
    <dataValidation type="list" allowBlank="1" showInputMessage="1" showErrorMessage="1" sqref="O5:O249" xr:uid="{D4EEE80F-2CD8-4552-9944-26A69F28393E}">
      <formula1>list_trackingtype</formula1>
    </dataValidation>
    <dataValidation type="list" allowBlank="1" showInputMessage="1" showErrorMessage="1" sqref="Q5:Q249" xr:uid="{4B1F7BED-A7E2-445C-807C-9324117A8B28}">
      <formula1>list_sitesection</formula1>
    </dataValidation>
    <dataValidation type="list" allowBlank="1" showInputMessage="1" showErrorMessage="1" sqref="R5:R249" xr:uid="{1D225AAC-DC24-41D6-A800-49B61341B485}">
      <formula1>list_device</formula1>
    </dataValidation>
    <dataValidation type="list" allowBlank="1" showInputMessage="1" showErrorMessage="1" sqref="Y5:Y249" xr:uid="{3301075B-550E-4907-A856-AE7FBFA68862}">
      <formula1>list_size</formula1>
    </dataValidation>
    <dataValidation type="list" allowBlank="1" showInputMessage="1" showErrorMessage="1" sqref="I5:I249" xr:uid="{CA29CFD4-61A7-4F24-A26C-485CD545B4BA}">
      <formula1>tab_parametrizacao</formula1>
    </dataValidation>
    <dataValidation type="list" allowBlank="1" showInputMessage="1" showErrorMessage="1" sqref="S5:S249" xr:uid="{5E5A7DD8-3A99-44CD-9618-C25F476C9E8A}">
      <formula1>tab_objetivo</formula1>
    </dataValidation>
  </dataValidations>
  <hyperlinks>
    <hyperlink ref="H5" r:id="rId1" xr:uid="{4890125B-1DFB-480B-804C-96B8C579C88B}"/>
  </hyperlinks>
  <pageMargins left="0.511811024" right="0.511811024" top="0.78740157499999996" bottom="0.78740157499999996" header="0.31496062000000002" footer="0.31496062000000002"/>
  <pageSetup paperSize="9" scale="1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B3F4-D4B0-4F9A-BBC5-F9706AC74868}">
  <sheetPr codeName="Planilha4"/>
  <dimension ref="A1:B253"/>
  <sheetViews>
    <sheetView showGridLines="0" workbookViewId="0">
      <pane ySplit="1" topLeftCell="A194" activePane="bottomLeft" state="frozen"/>
      <selection pane="bottomLeft"/>
    </sheetView>
  </sheetViews>
  <sheetFormatPr defaultRowHeight="15" x14ac:dyDescent="0.25"/>
  <cols>
    <col min="1" max="1" width="215.28515625" bestFit="1" customWidth="1"/>
    <col min="2" max="2" width="10" bestFit="1" customWidth="1"/>
  </cols>
  <sheetData>
    <row r="1" spans="1:2" x14ac:dyDescent="0.25">
      <c r="A1" s="33" t="s">
        <v>324</v>
      </c>
      <c r="B1" s="33" t="s">
        <v>804</v>
      </c>
    </row>
    <row r="2" spans="1:2" x14ac:dyDescent="0.25">
      <c r="A2" s="44" t="s">
        <v>898</v>
      </c>
      <c r="B2" s="44" t="s">
        <v>989</v>
      </c>
    </row>
    <row r="3" spans="1:2" x14ac:dyDescent="0.25">
      <c r="A3" s="44" t="s">
        <v>899</v>
      </c>
      <c r="B3" s="44" t="s">
        <v>990</v>
      </c>
    </row>
    <row r="4" spans="1:2" x14ac:dyDescent="0.25">
      <c r="A4" s="44" t="s">
        <v>900</v>
      </c>
      <c r="B4" s="44" t="s">
        <v>991</v>
      </c>
    </row>
    <row r="5" spans="1:2" x14ac:dyDescent="0.25">
      <c r="A5" s="44" t="s">
        <v>901</v>
      </c>
      <c r="B5" s="44" t="s">
        <v>992</v>
      </c>
    </row>
    <row r="6" spans="1:2" x14ac:dyDescent="0.25">
      <c r="A6" s="44" t="s">
        <v>902</v>
      </c>
      <c r="B6" s="44" t="s">
        <v>993</v>
      </c>
    </row>
    <row r="7" spans="1:2" x14ac:dyDescent="0.25">
      <c r="A7" s="44" t="s">
        <v>903</v>
      </c>
      <c r="B7" s="44" t="s">
        <v>994</v>
      </c>
    </row>
    <row r="8" spans="1:2" x14ac:dyDescent="0.25">
      <c r="A8" s="44" t="s">
        <v>904</v>
      </c>
      <c r="B8" s="44" t="s">
        <v>995</v>
      </c>
    </row>
    <row r="9" spans="1:2" x14ac:dyDescent="0.25">
      <c r="A9" s="44" t="s">
        <v>905</v>
      </c>
      <c r="B9" s="44" t="s">
        <v>996</v>
      </c>
    </row>
    <row r="10" spans="1:2" x14ac:dyDescent="0.25">
      <c r="A10" s="44" t="s">
        <v>906</v>
      </c>
      <c r="B10" s="44" t="s">
        <v>997</v>
      </c>
    </row>
    <row r="11" spans="1:2" x14ac:dyDescent="0.25">
      <c r="A11" s="44" t="s">
        <v>907</v>
      </c>
      <c r="B11" s="44" t="s">
        <v>998</v>
      </c>
    </row>
    <row r="12" spans="1:2" x14ac:dyDescent="0.25">
      <c r="A12" s="44" t="s">
        <v>908</v>
      </c>
      <c r="B12" s="44" t="s">
        <v>999</v>
      </c>
    </row>
    <row r="13" spans="1:2" x14ac:dyDescent="0.25">
      <c r="A13" s="44" t="s">
        <v>909</v>
      </c>
      <c r="B13" s="44" t="s">
        <v>1000</v>
      </c>
    </row>
    <row r="14" spans="1:2" x14ac:dyDescent="0.25">
      <c r="A14" s="44" t="s">
        <v>910</v>
      </c>
      <c r="B14" s="44" t="s">
        <v>1001</v>
      </c>
    </row>
    <row r="15" spans="1:2" x14ac:dyDescent="0.25">
      <c r="A15" s="44" t="s">
        <v>911</v>
      </c>
      <c r="B15" s="44" t="s">
        <v>1002</v>
      </c>
    </row>
    <row r="16" spans="1:2" x14ac:dyDescent="0.25">
      <c r="A16" s="44" t="s">
        <v>912</v>
      </c>
      <c r="B16" s="44" t="s">
        <v>1003</v>
      </c>
    </row>
    <row r="17" spans="1:2" x14ac:dyDescent="0.25">
      <c r="A17" s="44" t="s">
        <v>913</v>
      </c>
      <c r="B17" s="44" t="s">
        <v>1004</v>
      </c>
    </row>
    <row r="18" spans="1:2" x14ac:dyDescent="0.25">
      <c r="A18" s="44" t="s">
        <v>914</v>
      </c>
      <c r="B18" s="44" t="s">
        <v>1005</v>
      </c>
    </row>
    <row r="19" spans="1:2" x14ac:dyDescent="0.25">
      <c r="A19" s="44" t="s">
        <v>915</v>
      </c>
      <c r="B19" s="44" t="s">
        <v>1006</v>
      </c>
    </row>
    <row r="20" spans="1:2" x14ac:dyDescent="0.25">
      <c r="A20" s="44" t="s">
        <v>916</v>
      </c>
      <c r="B20" s="44" t="s">
        <v>1007</v>
      </c>
    </row>
    <row r="21" spans="1:2" x14ac:dyDescent="0.25">
      <c r="A21" s="44" t="s">
        <v>917</v>
      </c>
      <c r="B21" s="44" t="s">
        <v>1008</v>
      </c>
    </row>
    <row r="22" spans="1:2" x14ac:dyDescent="0.25">
      <c r="A22" s="44" t="s">
        <v>918</v>
      </c>
      <c r="B22" s="44" t="s">
        <v>1009</v>
      </c>
    </row>
    <row r="23" spans="1:2" x14ac:dyDescent="0.25">
      <c r="A23" s="44" t="s">
        <v>919</v>
      </c>
      <c r="B23" s="44" t="s">
        <v>1010</v>
      </c>
    </row>
    <row r="24" spans="1:2" x14ac:dyDescent="0.25">
      <c r="A24" s="44" t="s">
        <v>920</v>
      </c>
      <c r="B24" s="44" t="s">
        <v>1011</v>
      </c>
    </row>
    <row r="25" spans="1:2" x14ac:dyDescent="0.25">
      <c r="A25" s="44" t="s">
        <v>921</v>
      </c>
      <c r="B25" s="44" t="s">
        <v>1012</v>
      </c>
    </row>
    <row r="26" spans="1:2" x14ac:dyDescent="0.25">
      <c r="A26" s="44" t="s">
        <v>922</v>
      </c>
      <c r="B26" s="44" t="s">
        <v>1013</v>
      </c>
    </row>
    <row r="27" spans="1:2" x14ac:dyDescent="0.25">
      <c r="A27" s="44" t="s">
        <v>923</v>
      </c>
      <c r="B27" s="44" t="s">
        <v>1014</v>
      </c>
    </row>
    <row r="28" spans="1:2" x14ac:dyDescent="0.25">
      <c r="A28" s="44" t="s">
        <v>924</v>
      </c>
      <c r="B28" s="44" t="s">
        <v>1015</v>
      </c>
    </row>
    <row r="29" spans="1:2" x14ac:dyDescent="0.25">
      <c r="A29" s="44" t="s">
        <v>925</v>
      </c>
      <c r="B29" s="44" t="s">
        <v>1016</v>
      </c>
    </row>
    <row r="30" spans="1:2" x14ac:dyDescent="0.25">
      <c r="A30" s="44" t="s">
        <v>926</v>
      </c>
      <c r="B30" s="44" t="s">
        <v>1017</v>
      </c>
    </row>
    <row r="31" spans="1:2" x14ac:dyDescent="0.25">
      <c r="A31" s="44" t="s">
        <v>927</v>
      </c>
      <c r="B31" s="44" t="s">
        <v>1018</v>
      </c>
    </row>
    <row r="32" spans="1:2" x14ac:dyDescent="0.25">
      <c r="A32" s="44" t="s">
        <v>928</v>
      </c>
      <c r="B32" s="44" t="s">
        <v>1019</v>
      </c>
    </row>
    <row r="33" spans="1:2" x14ac:dyDescent="0.25">
      <c r="A33" s="44" t="s">
        <v>929</v>
      </c>
      <c r="B33" s="44" t="s">
        <v>1020</v>
      </c>
    </row>
    <row r="34" spans="1:2" x14ac:dyDescent="0.25">
      <c r="A34" s="44" t="s">
        <v>930</v>
      </c>
      <c r="B34" s="44" t="s">
        <v>1021</v>
      </c>
    </row>
    <row r="35" spans="1:2" x14ac:dyDescent="0.25">
      <c r="A35" s="44" t="s">
        <v>931</v>
      </c>
      <c r="B35" s="44" t="s">
        <v>1022</v>
      </c>
    </row>
    <row r="36" spans="1:2" x14ac:dyDescent="0.25">
      <c r="A36" s="44" t="s">
        <v>932</v>
      </c>
      <c r="B36" s="44" t="s">
        <v>1023</v>
      </c>
    </row>
    <row r="37" spans="1:2" x14ac:dyDescent="0.25">
      <c r="A37" s="44" t="s">
        <v>933</v>
      </c>
      <c r="B37" s="44" t="s">
        <v>1024</v>
      </c>
    </row>
    <row r="38" spans="1:2" x14ac:dyDescent="0.25">
      <c r="A38" s="44" t="s">
        <v>934</v>
      </c>
      <c r="B38" s="44" t="s">
        <v>1025</v>
      </c>
    </row>
    <row r="39" spans="1:2" x14ac:dyDescent="0.25">
      <c r="A39" s="44" t="s">
        <v>935</v>
      </c>
      <c r="B39" s="44" t="s">
        <v>1026</v>
      </c>
    </row>
    <row r="40" spans="1:2" x14ac:dyDescent="0.25">
      <c r="A40" s="44" t="s">
        <v>936</v>
      </c>
      <c r="B40" s="44" t="s">
        <v>1027</v>
      </c>
    </row>
    <row r="41" spans="1:2" x14ac:dyDescent="0.25">
      <c r="A41" s="44" t="s">
        <v>937</v>
      </c>
      <c r="B41" s="44" t="s">
        <v>1028</v>
      </c>
    </row>
    <row r="42" spans="1:2" x14ac:dyDescent="0.25">
      <c r="A42" s="44" t="s">
        <v>938</v>
      </c>
      <c r="B42" s="44" t="s">
        <v>1029</v>
      </c>
    </row>
    <row r="43" spans="1:2" x14ac:dyDescent="0.25">
      <c r="A43" s="44" t="s">
        <v>939</v>
      </c>
      <c r="B43" s="44" t="s">
        <v>1030</v>
      </c>
    </row>
    <row r="44" spans="1:2" x14ac:dyDescent="0.25">
      <c r="A44" s="44" t="s">
        <v>940</v>
      </c>
      <c r="B44" s="44" t="s">
        <v>1031</v>
      </c>
    </row>
    <row r="45" spans="1:2" x14ac:dyDescent="0.25">
      <c r="A45" s="44" t="s">
        <v>941</v>
      </c>
      <c r="B45" s="44" t="s">
        <v>1032</v>
      </c>
    </row>
    <row r="46" spans="1:2" x14ac:dyDescent="0.25">
      <c r="A46" s="44" t="s">
        <v>942</v>
      </c>
      <c r="B46" s="44" t="s">
        <v>1033</v>
      </c>
    </row>
    <row r="47" spans="1:2" x14ac:dyDescent="0.25">
      <c r="A47" s="44" t="s">
        <v>943</v>
      </c>
      <c r="B47" s="44" t="s">
        <v>1034</v>
      </c>
    </row>
    <row r="48" spans="1:2" x14ac:dyDescent="0.25">
      <c r="A48" s="44" t="s">
        <v>944</v>
      </c>
      <c r="B48" s="44" t="s">
        <v>1035</v>
      </c>
    </row>
    <row r="49" spans="1:2" x14ac:dyDescent="0.25">
      <c r="A49" s="44" t="s">
        <v>945</v>
      </c>
      <c r="B49" s="44" t="s">
        <v>1036</v>
      </c>
    </row>
    <row r="50" spans="1:2" x14ac:dyDescent="0.25">
      <c r="A50" s="44" t="s">
        <v>946</v>
      </c>
      <c r="B50" s="44" t="s">
        <v>1037</v>
      </c>
    </row>
    <row r="51" spans="1:2" x14ac:dyDescent="0.25">
      <c r="A51" s="44" t="s">
        <v>947</v>
      </c>
      <c r="B51" s="44" t="s">
        <v>1038</v>
      </c>
    </row>
    <row r="52" spans="1:2" x14ac:dyDescent="0.25">
      <c r="A52" s="44" t="s">
        <v>948</v>
      </c>
      <c r="B52" s="44" t="s">
        <v>1039</v>
      </c>
    </row>
    <row r="53" spans="1:2" x14ac:dyDescent="0.25">
      <c r="A53" s="44" t="s">
        <v>949</v>
      </c>
      <c r="B53" s="44" t="s">
        <v>1040</v>
      </c>
    </row>
    <row r="54" spans="1:2" x14ac:dyDescent="0.25">
      <c r="A54" s="44" t="s">
        <v>950</v>
      </c>
      <c r="B54" s="44" t="s">
        <v>1041</v>
      </c>
    </row>
    <row r="55" spans="1:2" x14ac:dyDescent="0.25">
      <c r="A55" s="44" t="s">
        <v>951</v>
      </c>
      <c r="B55" s="44" t="s">
        <v>1042</v>
      </c>
    </row>
    <row r="56" spans="1:2" x14ac:dyDescent="0.25">
      <c r="A56" s="44" t="s">
        <v>952</v>
      </c>
      <c r="B56" s="44" t="s">
        <v>1043</v>
      </c>
    </row>
    <row r="57" spans="1:2" x14ac:dyDescent="0.25">
      <c r="A57" s="44" t="s">
        <v>953</v>
      </c>
      <c r="B57" s="44" t="s">
        <v>1044</v>
      </c>
    </row>
    <row r="58" spans="1:2" x14ac:dyDescent="0.25">
      <c r="A58" s="44" t="s">
        <v>954</v>
      </c>
      <c r="B58" s="44" t="s">
        <v>1045</v>
      </c>
    </row>
    <row r="59" spans="1:2" x14ac:dyDescent="0.25">
      <c r="A59" s="44" t="s">
        <v>955</v>
      </c>
      <c r="B59" s="44" t="s">
        <v>1046</v>
      </c>
    </row>
    <row r="60" spans="1:2" x14ac:dyDescent="0.25">
      <c r="A60" s="44" t="s">
        <v>956</v>
      </c>
      <c r="B60" s="44" t="s">
        <v>1047</v>
      </c>
    </row>
    <row r="61" spans="1:2" x14ac:dyDescent="0.25">
      <c r="A61" s="44" t="s">
        <v>957</v>
      </c>
      <c r="B61" s="44" t="s">
        <v>1048</v>
      </c>
    </row>
    <row r="62" spans="1:2" x14ac:dyDescent="0.25">
      <c r="A62" s="44" t="s">
        <v>958</v>
      </c>
      <c r="B62" s="44" t="s">
        <v>1049</v>
      </c>
    </row>
    <row r="63" spans="1:2" x14ac:dyDescent="0.25">
      <c r="A63" s="44" t="s">
        <v>959</v>
      </c>
      <c r="B63" s="44" t="s">
        <v>1050</v>
      </c>
    </row>
    <row r="64" spans="1:2" x14ac:dyDescent="0.25">
      <c r="A64" s="44" t="s">
        <v>960</v>
      </c>
      <c r="B64" s="44" t="s">
        <v>1051</v>
      </c>
    </row>
    <row r="65" spans="1:2" x14ac:dyDescent="0.25">
      <c r="A65" s="44" t="s">
        <v>961</v>
      </c>
      <c r="B65" s="44" t="s">
        <v>1052</v>
      </c>
    </row>
    <row r="66" spans="1:2" x14ac:dyDescent="0.25">
      <c r="A66" s="44" t="s">
        <v>962</v>
      </c>
      <c r="B66" s="44" t="s">
        <v>1053</v>
      </c>
    </row>
    <row r="67" spans="1:2" x14ac:dyDescent="0.25">
      <c r="A67" s="44" t="s">
        <v>963</v>
      </c>
      <c r="B67" s="44" t="s">
        <v>1054</v>
      </c>
    </row>
    <row r="68" spans="1:2" x14ac:dyDescent="0.25">
      <c r="A68" s="44" t="s">
        <v>964</v>
      </c>
      <c r="B68" s="44" t="s">
        <v>1055</v>
      </c>
    </row>
    <row r="69" spans="1:2" x14ac:dyDescent="0.25">
      <c r="A69" s="44" t="s">
        <v>965</v>
      </c>
      <c r="B69" s="44" t="s">
        <v>1056</v>
      </c>
    </row>
    <row r="70" spans="1:2" x14ac:dyDescent="0.25">
      <c r="A70" s="44" t="s">
        <v>966</v>
      </c>
      <c r="B70" s="44" t="s">
        <v>1057</v>
      </c>
    </row>
    <row r="71" spans="1:2" x14ac:dyDescent="0.25">
      <c r="A71" s="44" t="s">
        <v>967</v>
      </c>
      <c r="B71" s="44" t="s">
        <v>1058</v>
      </c>
    </row>
    <row r="72" spans="1:2" x14ac:dyDescent="0.25">
      <c r="A72" s="44" t="s">
        <v>968</v>
      </c>
      <c r="B72" s="44" t="s">
        <v>1059</v>
      </c>
    </row>
    <row r="73" spans="1:2" x14ac:dyDescent="0.25">
      <c r="A73" s="44" t="s">
        <v>969</v>
      </c>
      <c r="B73" s="44" t="s">
        <v>1060</v>
      </c>
    </row>
    <row r="74" spans="1:2" x14ac:dyDescent="0.25">
      <c r="A74" s="44" t="s">
        <v>970</v>
      </c>
      <c r="B74" s="44" t="s">
        <v>1061</v>
      </c>
    </row>
    <row r="75" spans="1:2" x14ac:dyDescent="0.25">
      <c r="A75" s="44" t="s">
        <v>971</v>
      </c>
      <c r="B75" s="44" t="s">
        <v>1062</v>
      </c>
    </row>
    <row r="76" spans="1:2" x14ac:dyDescent="0.25">
      <c r="A76" s="44" t="s">
        <v>972</v>
      </c>
      <c r="B76" s="44" t="s">
        <v>1063</v>
      </c>
    </row>
    <row r="77" spans="1:2" x14ac:dyDescent="0.25">
      <c r="A77" s="44" t="s">
        <v>973</v>
      </c>
      <c r="B77" s="44" t="s">
        <v>1064</v>
      </c>
    </row>
    <row r="78" spans="1:2" x14ac:dyDescent="0.25">
      <c r="A78" s="44" t="s">
        <v>974</v>
      </c>
      <c r="B78" s="44" t="s">
        <v>1065</v>
      </c>
    </row>
    <row r="79" spans="1:2" x14ac:dyDescent="0.25">
      <c r="A79" s="44" t="s">
        <v>975</v>
      </c>
      <c r="B79" s="44" t="s">
        <v>1066</v>
      </c>
    </row>
    <row r="80" spans="1:2" x14ac:dyDescent="0.25">
      <c r="A80" s="44" t="s">
        <v>976</v>
      </c>
      <c r="B80" s="44" t="s">
        <v>1067</v>
      </c>
    </row>
    <row r="81" spans="1:2" x14ac:dyDescent="0.25">
      <c r="A81" s="44" t="s">
        <v>977</v>
      </c>
      <c r="B81" s="44" t="s">
        <v>1068</v>
      </c>
    </row>
    <row r="82" spans="1:2" x14ac:dyDescent="0.25">
      <c r="A82" s="44" t="s">
        <v>978</v>
      </c>
      <c r="B82" s="44" t="s">
        <v>1069</v>
      </c>
    </row>
    <row r="83" spans="1:2" x14ac:dyDescent="0.25">
      <c r="A83" s="44" t="s">
        <v>979</v>
      </c>
      <c r="B83" s="44" t="s">
        <v>1070</v>
      </c>
    </row>
    <row r="84" spans="1:2" x14ac:dyDescent="0.25">
      <c r="A84" s="44" t="s">
        <v>980</v>
      </c>
      <c r="B84" s="44" t="s">
        <v>1071</v>
      </c>
    </row>
    <row r="85" spans="1:2" x14ac:dyDescent="0.25">
      <c r="A85" s="44" t="s">
        <v>981</v>
      </c>
      <c r="B85" s="44" t="s">
        <v>1072</v>
      </c>
    </row>
    <row r="86" spans="1:2" x14ac:dyDescent="0.25">
      <c r="A86" s="44" t="s">
        <v>982</v>
      </c>
      <c r="B86" s="44" t="s">
        <v>1073</v>
      </c>
    </row>
    <row r="87" spans="1:2" x14ac:dyDescent="0.25">
      <c r="A87" s="44" t="s">
        <v>983</v>
      </c>
      <c r="B87" s="44" t="s">
        <v>1074</v>
      </c>
    </row>
    <row r="88" spans="1:2" x14ac:dyDescent="0.25">
      <c r="A88" s="44" t="s">
        <v>984</v>
      </c>
      <c r="B88" s="44" t="s">
        <v>1075</v>
      </c>
    </row>
    <row r="89" spans="1:2" x14ac:dyDescent="0.25">
      <c r="A89" s="44" t="s">
        <v>985</v>
      </c>
      <c r="B89" s="44" t="s">
        <v>1076</v>
      </c>
    </row>
    <row r="90" spans="1:2" x14ac:dyDescent="0.25">
      <c r="A90" s="44" t="s">
        <v>986</v>
      </c>
      <c r="B90" s="44" t="s">
        <v>1077</v>
      </c>
    </row>
    <row r="91" spans="1:2" x14ac:dyDescent="0.25">
      <c r="A91" s="44" t="s">
        <v>987</v>
      </c>
      <c r="B91" s="44" t="s">
        <v>1078</v>
      </c>
    </row>
    <row r="92" spans="1:2" x14ac:dyDescent="0.25">
      <c r="A92" s="44" t="s">
        <v>988</v>
      </c>
      <c r="B92" s="44" t="s">
        <v>1079</v>
      </c>
    </row>
    <row r="93" spans="1:2" x14ac:dyDescent="0.25">
      <c r="A93" s="44" t="s">
        <v>1145</v>
      </c>
      <c r="B93" s="44" t="s">
        <v>1089</v>
      </c>
    </row>
    <row r="94" spans="1:2" x14ac:dyDescent="0.25">
      <c r="A94" s="44" t="s">
        <v>1146</v>
      </c>
      <c r="B94" s="44" t="s">
        <v>1090</v>
      </c>
    </row>
    <row r="95" spans="1:2" x14ac:dyDescent="0.25">
      <c r="A95" s="44" t="s">
        <v>1147</v>
      </c>
      <c r="B95" s="44" t="s">
        <v>1091</v>
      </c>
    </row>
    <row r="96" spans="1:2" x14ac:dyDescent="0.25">
      <c r="A96" s="44" t="s">
        <v>1148</v>
      </c>
      <c r="B96" s="44" t="s">
        <v>1092</v>
      </c>
    </row>
    <row r="97" spans="1:2" x14ac:dyDescent="0.25">
      <c r="A97" s="44" t="s">
        <v>1149</v>
      </c>
      <c r="B97" s="44" t="s">
        <v>1093</v>
      </c>
    </row>
    <row r="98" spans="1:2" x14ac:dyDescent="0.25">
      <c r="A98" s="44" t="s">
        <v>1150</v>
      </c>
      <c r="B98" s="44" t="s">
        <v>1094</v>
      </c>
    </row>
    <row r="99" spans="1:2" x14ac:dyDescent="0.25">
      <c r="A99" s="44" t="s">
        <v>1151</v>
      </c>
      <c r="B99" s="44" t="s">
        <v>1095</v>
      </c>
    </row>
    <row r="100" spans="1:2" x14ac:dyDescent="0.25">
      <c r="A100" s="44" t="s">
        <v>1152</v>
      </c>
      <c r="B100" s="44" t="s">
        <v>1096</v>
      </c>
    </row>
    <row r="101" spans="1:2" x14ac:dyDescent="0.25">
      <c r="A101" s="44" t="s">
        <v>1153</v>
      </c>
      <c r="B101" s="44" t="s">
        <v>1097</v>
      </c>
    </row>
    <row r="102" spans="1:2" x14ac:dyDescent="0.25">
      <c r="A102" s="44" t="s">
        <v>1154</v>
      </c>
      <c r="B102" s="44" t="s">
        <v>1098</v>
      </c>
    </row>
    <row r="103" spans="1:2" x14ac:dyDescent="0.25">
      <c r="A103" s="44" t="s">
        <v>1155</v>
      </c>
      <c r="B103" s="44" t="s">
        <v>1099</v>
      </c>
    </row>
    <row r="104" spans="1:2" x14ac:dyDescent="0.25">
      <c r="A104" s="44" t="s">
        <v>1156</v>
      </c>
      <c r="B104" s="44" t="s">
        <v>1100</v>
      </c>
    </row>
    <row r="105" spans="1:2" x14ac:dyDescent="0.25">
      <c r="A105" s="44" t="s">
        <v>1157</v>
      </c>
      <c r="B105" s="44" t="s">
        <v>1101</v>
      </c>
    </row>
    <row r="106" spans="1:2" x14ac:dyDescent="0.25">
      <c r="A106" s="44" t="s">
        <v>1158</v>
      </c>
      <c r="B106" s="44" t="s">
        <v>1102</v>
      </c>
    </row>
    <row r="107" spans="1:2" x14ac:dyDescent="0.25">
      <c r="A107" s="44" t="s">
        <v>1159</v>
      </c>
      <c r="B107" s="44" t="s">
        <v>1103</v>
      </c>
    </row>
    <row r="108" spans="1:2" x14ac:dyDescent="0.25">
      <c r="A108" s="44" t="s">
        <v>1160</v>
      </c>
      <c r="B108" s="44" t="s">
        <v>1104</v>
      </c>
    </row>
    <row r="109" spans="1:2" x14ac:dyDescent="0.25">
      <c r="A109" s="44" t="s">
        <v>1161</v>
      </c>
      <c r="B109" s="44" t="s">
        <v>1105</v>
      </c>
    </row>
    <row r="110" spans="1:2" x14ac:dyDescent="0.25">
      <c r="A110" s="44" t="s">
        <v>1162</v>
      </c>
      <c r="B110" s="44" t="s">
        <v>1106</v>
      </c>
    </row>
    <row r="111" spans="1:2" x14ac:dyDescent="0.25">
      <c r="A111" s="44" t="s">
        <v>1163</v>
      </c>
      <c r="B111" s="44" t="s">
        <v>1107</v>
      </c>
    </row>
    <row r="112" spans="1:2" x14ac:dyDescent="0.25">
      <c r="A112" s="44" t="s">
        <v>1164</v>
      </c>
      <c r="B112" s="44" t="s">
        <v>1108</v>
      </c>
    </row>
    <row r="113" spans="1:2" x14ac:dyDescent="0.25">
      <c r="A113" s="44" t="s">
        <v>1165</v>
      </c>
      <c r="B113" s="44" t="s">
        <v>1109</v>
      </c>
    </row>
    <row r="114" spans="1:2" x14ac:dyDescent="0.25">
      <c r="A114" s="44" t="s">
        <v>1166</v>
      </c>
      <c r="B114" s="44" t="s">
        <v>1110</v>
      </c>
    </row>
    <row r="115" spans="1:2" x14ac:dyDescent="0.25">
      <c r="A115" s="44" t="s">
        <v>1167</v>
      </c>
      <c r="B115" s="44" t="s">
        <v>1111</v>
      </c>
    </row>
    <row r="116" spans="1:2" x14ac:dyDescent="0.25">
      <c r="A116" s="44" t="s">
        <v>1168</v>
      </c>
      <c r="B116" s="44" t="s">
        <v>1112</v>
      </c>
    </row>
    <row r="117" spans="1:2" x14ac:dyDescent="0.25">
      <c r="A117" s="44" t="s">
        <v>1169</v>
      </c>
      <c r="B117" s="44" t="s">
        <v>1113</v>
      </c>
    </row>
    <row r="118" spans="1:2" x14ac:dyDescent="0.25">
      <c r="A118" s="44" t="s">
        <v>1170</v>
      </c>
      <c r="B118" s="44" t="s">
        <v>1114</v>
      </c>
    </row>
    <row r="119" spans="1:2" x14ac:dyDescent="0.25">
      <c r="A119" s="44" t="s">
        <v>1171</v>
      </c>
      <c r="B119" s="44" t="s">
        <v>1115</v>
      </c>
    </row>
    <row r="120" spans="1:2" x14ac:dyDescent="0.25">
      <c r="A120" s="44" t="s">
        <v>1172</v>
      </c>
      <c r="B120" s="44" t="s">
        <v>1116</v>
      </c>
    </row>
    <row r="121" spans="1:2" x14ac:dyDescent="0.25">
      <c r="A121" s="44" t="s">
        <v>1173</v>
      </c>
      <c r="B121" s="44" t="s">
        <v>1117</v>
      </c>
    </row>
    <row r="122" spans="1:2" x14ac:dyDescent="0.25">
      <c r="A122" s="44" t="s">
        <v>1174</v>
      </c>
      <c r="B122" s="44" t="s">
        <v>1118</v>
      </c>
    </row>
    <row r="123" spans="1:2" x14ac:dyDescent="0.25">
      <c r="A123" s="44" t="s">
        <v>1175</v>
      </c>
      <c r="B123" s="44" t="s">
        <v>1119</v>
      </c>
    </row>
    <row r="124" spans="1:2" x14ac:dyDescent="0.25">
      <c r="A124" s="44" t="s">
        <v>1176</v>
      </c>
      <c r="B124" s="44" t="s">
        <v>1120</v>
      </c>
    </row>
    <row r="125" spans="1:2" x14ac:dyDescent="0.25">
      <c r="A125" s="44" t="s">
        <v>1177</v>
      </c>
      <c r="B125" s="44" t="s">
        <v>1121</v>
      </c>
    </row>
    <row r="126" spans="1:2" x14ac:dyDescent="0.25">
      <c r="A126" s="44" t="s">
        <v>1178</v>
      </c>
      <c r="B126" s="44" t="s">
        <v>1122</v>
      </c>
    </row>
    <row r="127" spans="1:2" x14ac:dyDescent="0.25">
      <c r="A127" s="44" t="s">
        <v>1179</v>
      </c>
      <c r="B127" s="44" t="s">
        <v>1123</v>
      </c>
    </row>
    <row r="128" spans="1:2" x14ac:dyDescent="0.25">
      <c r="A128" s="44" t="s">
        <v>1180</v>
      </c>
      <c r="B128" s="44" t="s">
        <v>1124</v>
      </c>
    </row>
    <row r="129" spans="1:2" x14ac:dyDescent="0.25">
      <c r="A129" s="44" t="s">
        <v>1181</v>
      </c>
      <c r="B129" s="44" t="s">
        <v>1125</v>
      </c>
    </row>
    <row r="130" spans="1:2" x14ac:dyDescent="0.25">
      <c r="A130" s="44" t="s">
        <v>1182</v>
      </c>
      <c r="B130" s="44" t="s">
        <v>1126</v>
      </c>
    </row>
    <row r="131" spans="1:2" x14ac:dyDescent="0.25">
      <c r="A131" s="44" t="s">
        <v>1183</v>
      </c>
      <c r="B131" s="44" t="s">
        <v>1127</v>
      </c>
    </row>
    <row r="132" spans="1:2" x14ac:dyDescent="0.25">
      <c r="A132" s="44" t="s">
        <v>1184</v>
      </c>
      <c r="B132" s="44" t="s">
        <v>1128</v>
      </c>
    </row>
    <row r="133" spans="1:2" x14ac:dyDescent="0.25">
      <c r="A133" s="44" t="s">
        <v>1185</v>
      </c>
      <c r="B133" s="44" t="s">
        <v>1129</v>
      </c>
    </row>
    <row r="134" spans="1:2" x14ac:dyDescent="0.25">
      <c r="A134" s="44" t="s">
        <v>1186</v>
      </c>
      <c r="B134" s="44" t="s">
        <v>1130</v>
      </c>
    </row>
    <row r="135" spans="1:2" x14ac:dyDescent="0.25">
      <c r="A135" s="44" t="s">
        <v>1187</v>
      </c>
      <c r="B135" s="44" t="s">
        <v>1131</v>
      </c>
    </row>
    <row r="136" spans="1:2" x14ac:dyDescent="0.25">
      <c r="A136" s="44" t="s">
        <v>1188</v>
      </c>
      <c r="B136" s="44" t="s">
        <v>1132</v>
      </c>
    </row>
    <row r="137" spans="1:2" x14ac:dyDescent="0.25">
      <c r="A137" s="44" t="s">
        <v>1189</v>
      </c>
      <c r="B137" s="44" t="s">
        <v>1133</v>
      </c>
    </row>
    <row r="138" spans="1:2" x14ac:dyDescent="0.25">
      <c r="A138" s="44" t="s">
        <v>1190</v>
      </c>
      <c r="B138" s="44" t="s">
        <v>1134</v>
      </c>
    </row>
    <row r="139" spans="1:2" x14ac:dyDescent="0.25">
      <c r="A139" s="44" t="s">
        <v>1191</v>
      </c>
      <c r="B139" s="44" t="s">
        <v>1135</v>
      </c>
    </row>
    <row r="140" spans="1:2" x14ac:dyDescent="0.25">
      <c r="A140" s="44" t="s">
        <v>1192</v>
      </c>
      <c r="B140" s="44" t="s">
        <v>1136</v>
      </c>
    </row>
    <row r="141" spans="1:2" x14ac:dyDescent="0.25">
      <c r="A141" s="44" t="s">
        <v>1193</v>
      </c>
      <c r="B141" s="44" t="s">
        <v>1137</v>
      </c>
    </row>
    <row r="142" spans="1:2" x14ac:dyDescent="0.25">
      <c r="A142" s="44" t="s">
        <v>1194</v>
      </c>
      <c r="B142" s="44" t="s">
        <v>1138</v>
      </c>
    </row>
    <row r="143" spans="1:2" x14ac:dyDescent="0.25">
      <c r="A143" s="44" t="s">
        <v>1195</v>
      </c>
      <c r="B143" s="44" t="s">
        <v>1139</v>
      </c>
    </row>
    <row r="144" spans="1:2" x14ac:dyDescent="0.25">
      <c r="A144" s="44" t="s">
        <v>1196</v>
      </c>
      <c r="B144" s="44" t="s">
        <v>1140</v>
      </c>
    </row>
    <row r="145" spans="1:2" x14ac:dyDescent="0.25">
      <c r="A145" s="44" t="s">
        <v>1197</v>
      </c>
      <c r="B145" s="44" t="s">
        <v>1141</v>
      </c>
    </row>
    <row r="146" spans="1:2" x14ac:dyDescent="0.25">
      <c r="A146" s="44" t="s">
        <v>1198</v>
      </c>
      <c r="B146" s="44" t="s">
        <v>1142</v>
      </c>
    </row>
    <row r="147" spans="1:2" x14ac:dyDescent="0.25">
      <c r="A147" s="44" t="s">
        <v>1199</v>
      </c>
      <c r="B147" s="44" t="s">
        <v>1143</v>
      </c>
    </row>
    <row r="148" spans="1:2" x14ac:dyDescent="0.25">
      <c r="A148" s="44" t="s">
        <v>1200</v>
      </c>
      <c r="B148" s="44" t="s">
        <v>1144</v>
      </c>
    </row>
    <row r="149" spans="1:2" x14ac:dyDescent="0.25">
      <c r="A149" s="44" t="s">
        <v>1201</v>
      </c>
      <c r="B149" s="44" t="s">
        <v>990</v>
      </c>
    </row>
    <row r="150" spans="1:2" x14ac:dyDescent="0.25">
      <c r="A150" s="44" t="s">
        <v>1202</v>
      </c>
      <c r="B150" s="44" t="s">
        <v>991</v>
      </c>
    </row>
    <row r="151" spans="1:2" x14ac:dyDescent="0.25">
      <c r="A151" s="44" t="s">
        <v>1203</v>
      </c>
      <c r="B151" s="44" t="s">
        <v>992</v>
      </c>
    </row>
    <row r="152" spans="1:2" x14ac:dyDescent="0.25">
      <c r="A152" s="44" t="s">
        <v>1204</v>
      </c>
      <c r="B152" s="44" t="s">
        <v>1076</v>
      </c>
    </row>
    <row r="153" spans="1:2" x14ac:dyDescent="0.25">
      <c r="A153" s="44" t="s">
        <v>1205</v>
      </c>
      <c r="B153" s="44" t="s">
        <v>1077</v>
      </c>
    </row>
    <row r="154" spans="1:2" x14ac:dyDescent="0.25">
      <c r="A154" s="44" t="s">
        <v>1206</v>
      </c>
      <c r="B154" s="44" t="s">
        <v>1078</v>
      </c>
    </row>
    <row r="155" spans="1:2" x14ac:dyDescent="0.25">
      <c r="A155" s="44" t="s">
        <v>1207</v>
      </c>
      <c r="B155" s="44" t="s">
        <v>1079</v>
      </c>
    </row>
    <row r="156" spans="1:2" x14ac:dyDescent="0.25">
      <c r="A156" s="44" t="s">
        <v>1277</v>
      </c>
      <c r="B156" s="44" t="s">
        <v>1284</v>
      </c>
    </row>
    <row r="157" spans="1:2" x14ac:dyDescent="0.25">
      <c r="A157" s="44" t="s">
        <v>1278</v>
      </c>
      <c r="B157" s="44" t="s">
        <v>1285</v>
      </c>
    </row>
    <row r="158" spans="1:2" x14ac:dyDescent="0.25">
      <c r="A158" s="44" t="s">
        <v>1279</v>
      </c>
      <c r="B158" s="44" t="s">
        <v>1286</v>
      </c>
    </row>
    <row r="159" spans="1:2" x14ac:dyDescent="0.25">
      <c r="A159" s="44" t="s">
        <v>1280</v>
      </c>
      <c r="B159" s="44" t="s">
        <v>1287</v>
      </c>
    </row>
    <row r="160" spans="1:2" x14ac:dyDescent="0.25">
      <c r="A160" s="44" t="s">
        <v>1281</v>
      </c>
      <c r="B160" s="44" t="s">
        <v>1288</v>
      </c>
    </row>
    <row r="161" spans="1:2" x14ac:dyDescent="0.25">
      <c r="A161" s="44" t="s">
        <v>1282</v>
      </c>
      <c r="B161" s="44" t="s">
        <v>1289</v>
      </c>
    </row>
    <row r="162" spans="1:2" x14ac:dyDescent="0.25">
      <c r="A162" s="44" t="s">
        <v>1283</v>
      </c>
      <c r="B162" s="44" t="s">
        <v>1290</v>
      </c>
    </row>
    <row r="163" spans="1:2" x14ac:dyDescent="0.25">
      <c r="A163" s="44" t="s">
        <v>1295</v>
      </c>
      <c r="B163" s="44" t="s">
        <v>1386</v>
      </c>
    </row>
    <row r="164" spans="1:2" x14ac:dyDescent="0.25">
      <c r="A164" s="44" t="s">
        <v>1296</v>
      </c>
      <c r="B164" s="44" t="s">
        <v>1387</v>
      </c>
    </row>
    <row r="165" spans="1:2" x14ac:dyDescent="0.25">
      <c r="A165" s="44" t="s">
        <v>1297</v>
      </c>
      <c r="B165" s="44" t="s">
        <v>1388</v>
      </c>
    </row>
    <row r="166" spans="1:2" x14ac:dyDescent="0.25">
      <c r="A166" s="44" t="s">
        <v>1298</v>
      </c>
      <c r="B166" s="44" t="s">
        <v>1389</v>
      </c>
    </row>
    <row r="167" spans="1:2" x14ac:dyDescent="0.25">
      <c r="A167" s="44" t="s">
        <v>1299</v>
      </c>
      <c r="B167" s="44" t="s">
        <v>1390</v>
      </c>
    </row>
    <row r="168" spans="1:2" x14ac:dyDescent="0.25">
      <c r="A168" s="44" t="s">
        <v>1300</v>
      </c>
      <c r="B168" s="44" t="s">
        <v>1391</v>
      </c>
    </row>
    <row r="169" spans="1:2" x14ac:dyDescent="0.25">
      <c r="A169" s="44" t="s">
        <v>1301</v>
      </c>
      <c r="B169" s="44" t="s">
        <v>1392</v>
      </c>
    </row>
    <row r="170" spans="1:2" x14ac:dyDescent="0.25">
      <c r="A170" s="44" t="s">
        <v>1302</v>
      </c>
      <c r="B170" s="44" t="s">
        <v>1393</v>
      </c>
    </row>
    <row r="171" spans="1:2" x14ac:dyDescent="0.25">
      <c r="A171" s="44" t="s">
        <v>1303</v>
      </c>
      <c r="B171" s="44" t="s">
        <v>1394</v>
      </c>
    </row>
    <row r="172" spans="1:2" x14ac:dyDescent="0.25">
      <c r="A172" s="44" t="s">
        <v>1304</v>
      </c>
      <c r="B172" s="44" t="s">
        <v>1395</v>
      </c>
    </row>
    <row r="173" spans="1:2" x14ac:dyDescent="0.25">
      <c r="A173" s="44" t="s">
        <v>1305</v>
      </c>
      <c r="B173" s="44" t="s">
        <v>1396</v>
      </c>
    </row>
    <row r="174" spans="1:2" x14ac:dyDescent="0.25">
      <c r="A174" s="44" t="s">
        <v>1306</v>
      </c>
      <c r="B174" s="44" t="s">
        <v>1397</v>
      </c>
    </row>
    <row r="175" spans="1:2" x14ac:dyDescent="0.25">
      <c r="A175" s="44" t="s">
        <v>1307</v>
      </c>
      <c r="B175" s="44" t="s">
        <v>1398</v>
      </c>
    </row>
    <row r="176" spans="1:2" x14ac:dyDescent="0.25">
      <c r="A176" s="44" t="s">
        <v>1308</v>
      </c>
      <c r="B176" s="44" t="s">
        <v>1399</v>
      </c>
    </row>
    <row r="177" spans="1:2" x14ac:dyDescent="0.25">
      <c r="A177" s="44" t="s">
        <v>1309</v>
      </c>
      <c r="B177" s="44" t="s">
        <v>1400</v>
      </c>
    </row>
    <row r="178" spans="1:2" x14ac:dyDescent="0.25">
      <c r="A178" s="44" t="s">
        <v>1310</v>
      </c>
      <c r="B178" s="44" t="s">
        <v>1401</v>
      </c>
    </row>
    <row r="179" spans="1:2" x14ac:dyDescent="0.25">
      <c r="A179" s="44" t="s">
        <v>1311</v>
      </c>
      <c r="B179" s="44" t="s">
        <v>1402</v>
      </c>
    </row>
    <row r="180" spans="1:2" x14ac:dyDescent="0.25">
      <c r="A180" s="44" t="s">
        <v>1312</v>
      </c>
      <c r="B180" s="44" t="s">
        <v>1403</v>
      </c>
    </row>
    <row r="181" spans="1:2" x14ac:dyDescent="0.25">
      <c r="A181" s="44" t="s">
        <v>1313</v>
      </c>
      <c r="B181" s="44" t="s">
        <v>1404</v>
      </c>
    </row>
    <row r="182" spans="1:2" x14ac:dyDescent="0.25">
      <c r="A182" s="44" t="s">
        <v>1314</v>
      </c>
      <c r="B182" s="44" t="s">
        <v>1405</v>
      </c>
    </row>
    <row r="183" spans="1:2" x14ac:dyDescent="0.25">
      <c r="A183" s="44" t="s">
        <v>1315</v>
      </c>
      <c r="B183" s="44" t="s">
        <v>1406</v>
      </c>
    </row>
    <row r="184" spans="1:2" x14ac:dyDescent="0.25">
      <c r="A184" s="44" t="s">
        <v>1316</v>
      </c>
      <c r="B184" s="44" t="s">
        <v>1407</v>
      </c>
    </row>
    <row r="185" spans="1:2" x14ac:dyDescent="0.25">
      <c r="A185" s="44" t="s">
        <v>1317</v>
      </c>
      <c r="B185" s="44" t="s">
        <v>1408</v>
      </c>
    </row>
    <row r="186" spans="1:2" x14ac:dyDescent="0.25">
      <c r="A186" s="44" t="s">
        <v>1318</v>
      </c>
      <c r="B186" s="44" t="s">
        <v>1409</v>
      </c>
    </row>
    <row r="187" spans="1:2" x14ac:dyDescent="0.25">
      <c r="A187" s="44" t="s">
        <v>1319</v>
      </c>
      <c r="B187" s="44" t="s">
        <v>1410</v>
      </c>
    </row>
    <row r="188" spans="1:2" x14ac:dyDescent="0.25">
      <c r="A188" s="44" t="s">
        <v>1320</v>
      </c>
      <c r="B188" s="44" t="s">
        <v>1411</v>
      </c>
    </row>
    <row r="189" spans="1:2" x14ac:dyDescent="0.25">
      <c r="A189" s="44" t="s">
        <v>1321</v>
      </c>
      <c r="B189" s="44" t="s">
        <v>1412</v>
      </c>
    </row>
    <row r="190" spans="1:2" x14ac:dyDescent="0.25">
      <c r="A190" s="44" t="s">
        <v>1322</v>
      </c>
      <c r="B190" s="44" t="s">
        <v>1413</v>
      </c>
    </row>
    <row r="191" spans="1:2" x14ac:dyDescent="0.25">
      <c r="A191" s="44" t="s">
        <v>1323</v>
      </c>
      <c r="B191" s="44" t="s">
        <v>1414</v>
      </c>
    </row>
    <row r="192" spans="1:2" x14ac:dyDescent="0.25">
      <c r="A192" s="44" t="s">
        <v>1324</v>
      </c>
      <c r="B192" s="44" t="s">
        <v>1415</v>
      </c>
    </row>
    <row r="193" spans="1:2" x14ac:dyDescent="0.25">
      <c r="A193" s="44" t="s">
        <v>1325</v>
      </c>
      <c r="B193" s="44" t="s">
        <v>1416</v>
      </c>
    </row>
    <row r="194" spans="1:2" x14ac:dyDescent="0.25">
      <c r="A194" s="44" t="s">
        <v>1326</v>
      </c>
      <c r="B194" s="44" t="s">
        <v>1417</v>
      </c>
    </row>
    <row r="195" spans="1:2" x14ac:dyDescent="0.25">
      <c r="A195" s="44" t="s">
        <v>1327</v>
      </c>
      <c r="B195" s="44" t="s">
        <v>1418</v>
      </c>
    </row>
    <row r="196" spans="1:2" x14ac:dyDescent="0.25">
      <c r="A196" s="44" t="s">
        <v>1328</v>
      </c>
      <c r="B196" s="44" t="s">
        <v>1419</v>
      </c>
    </row>
    <row r="197" spans="1:2" x14ac:dyDescent="0.25">
      <c r="A197" s="44" t="s">
        <v>1329</v>
      </c>
      <c r="B197" s="44" t="s">
        <v>1420</v>
      </c>
    </row>
    <row r="198" spans="1:2" x14ac:dyDescent="0.25">
      <c r="A198" s="44" t="s">
        <v>1330</v>
      </c>
      <c r="B198" s="44" t="s">
        <v>1421</v>
      </c>
    </row>
    <row r="199" spans="1:2" x14ac:dyDescent="0.25">
      <c r="A199" s="44" t="s">
        <v>1331</v>
      </c>
      <c r="B199" s="44" t="s">
        <v>1422</v>
      </c>
    </row>
    <row r="200" spans="1:2" x14ac:dyDescent="0.25">
      <c r="A200" s="44" t="s">
        <v>1332</v>
      </c>
      <c r="B200" s="44" t="s">
        <v>1423</v>
      </c>
    </row>
    <row r="201" spans="1:2" x14ac:dyDescent="0.25">
      <c r="A201" s="44" t="s">
        <v>1333</v>
      </c>
      <c r="B201" s="44" t="s">
        <v>1424</v>
      </c>
    </row>
    <row r="202" spans="1:2" x14ac:dyDescent="0.25">
      <c r="A202" s="44" t="s">
        <v>1334</v>
      </c>
      <c r="B202" s="44" t="s">
        <v>1425</v>
      </c>
    </row>
    <row r="203" spans="1:2" x14ac:dyDescent="0.25">
      <c r="A203" s="44" t="s">
        <v>1335</v>
      </c>
      <c r="B203" s="44" t="s">
        <v>1426</v>
      </c>
    </row>
    <row r="204" spans="1:2" x14ac:dyDescent="0.25">
      <c r="A204" s="44" t="s">
        <v>1336</v>
      </c>
      <c r="B204" s="44" t="s">
        <v>1427</v>
      </c>
    </row>
    <row r="205" spans="1:2" x14ac:dyDescent="0.25">
      <c r="A205" s="44" t="s">
        <v>1337</v>
      </c>
      <c r="B205" s="44" t="s">
        <v>1428</v>
      </c>
    </row>
    <row r="206" spans="1:2" x14ac:dyDescent="0.25">
      <c r="A206" s="44" t="s">
        <v>1338</v>
      </c>
      <c r="B206" s="44" t="s">
        <v>1429</v>
      </c>
    </row>
    <row r="207" spans="1:2" x14ac:dyDescent="0.25">
      <c r="A207" s="44" t="s">
        <v>1339</v>
      </c>
      <c r="B207" s="44" t="s">
        <v>1430</v>
      </c>
    </row>
    <row r="208" spans="1:2" x14ac:dyDescent="0.25">
      <c r="A208" s="44" t="s">
        <v>1340</v>
      </c>
      <c r="B208" s="44" t="s">
        <v>1431</v>
      </c>
    </row>
    <row r="209" spans="1:2" x14ac:dyDescent="0.25">
      <c r="A209" s="44" t="s">
        <v>1341</v>
      </c>
      <c r="B209" s="44" t="s">
        <v>1432</v>
      </c>
    </row>
    <row r="210" spans="1:2" x14ac:dyDescent="0.25">
      <c r="A210" s="44" t="s">
        <v>1342</v>
      </c>
      <c r="B210" s="44" t="s">
        <v>1433</v>
      </c>
    </row>
    <row r="211" spans="1:2" x14ac:dyDescent="0.25">
      <c r="A211" s="44" t="s">
        <v>1343</v>
      </c>
      <c r="B211" s="44" t="s">
        <v>1434</v>
      </c>
    </row>
    <row r="212" spans="1:2" x14ac:dyDescent="0.25">
      <c r="A212" s="44" t="s">
        <v>1344</v>
      </c>
      <c r="B212" s="44" t="s">
        <v>1435</v>
      </c>
    </row>
    <row r="213" spans="1:2" x14ac:dyDescent="0.25">
      <c r="A213" s="44" t="s">
        <v>1345</v>
      </c>
      <c r="B213" s="44" t="s">
        <v>1436</v>
      </c>
    </row>
    <row r="214" spans="1:2" x14ac:dyDescent="0.25">
      <c r="A214" s="44" t="s">
        <v>1346</v>
      </c>
      <c r="B214" s="44" t="s">
        <v>1437</v>
      </c>
    </row>
    <row r="215" spans="1:2" x14ac:dyDescent="0.25">
      <c r="A215" s="44" t="s">
        <v>1347</v>
      </c>
      <c r="B215" s="44" t="s">
        <v>1438</v>
      </c>
    </row>
    <row r="216" spans="1:2" x14ac:dyDescent="0.25">
      <c r="A216" s="44" t="s">
        <v>1348</v>
      </c>
      <c r="B216" s="44" t="s">
        <v>1439</v>
      </c>
    </row>
    <row r="217" spans="1:2" x14ac:dyDescent="0.25">
      <c r="A217" s="44" t="s">
        <v>1349</v>
      </c>
      <c r="B217" s="44" t="s">
        <v>1440</v>
      </c>
    </row>
    <row r="218" spans="1:2" x14ac:dyDescent="0.25">
      <c r="A218" s="44" t="s">
        <v>1350</v>
      </c>
      <c r="B218" s="44" t="s">
        <v>1441</v>
      </c>
    </row>
    <row r="219" spans="1:2" x14ac:dyDescent="0.25">
      <c r="A219" s="44" t="s">
        <v>1351</v>
      </c>
      <c r="B219" s="44" t="s">
        <v>1442</v>
      </c>
    </row>
    <row r="220" spans="1:2" x14ac:dyDescent="0.25">
      <c r="A220" s="44" t="s">
        <v>1352</v>
      </c>
      <c r="B220" s="44" t="s">
        <v>1443</v>
      </c>
    </row>
    <row r="221" spans="1:2" x14ac:dyDescent="0.25">
      <c r="A221" s="44" t="s">
        <v>1353</v>
      </c>
      <c r="B221" s="44" t="s">
        <v>1444</v>
      </c>
    </row>
    <row r="222" spans="1:2" x14ac:dyDescent="0.25">
      <c r="A222" s="44" t="s">
        <v>1354</v>
      </c>
      <c r="B222" s="44" t="s">
        <v>1445</v>
      </c>
    </row>
    <row r="223" spans="1:2" x14ac:dyDescent="0.25">
      <c r="A223" s="44" t="s">
        <v>1355</v>
      </c>
      <c r="B223" s="44" t="s">
        <v>1446</v>
      </c>
    </row>
    <row r="224" spans="1:2" x14ac:dyDescent="0.25">
      <c r="A224" s="44" t="s">
        <v>1356</v>
      </c>
      <c r="B224" s="44" t="s">
        <v>1447</v>
      </c>
    </row>
    <row r="225" spans="1:2" x14ac:dyDescent="0.25">
      <c r="A225" s="44" t="s">
        <v>1357</v>
      </c>
      <c r="B225" s="44" t="s">
        <v>1448</v>
      </c>
    </row>
    <row r="226" spans="1:2" x14ac:dyDescent="0.25">
      <c r="A226" s="44" t="s">
        <v>1358</v>
      </c>
      <c r="B226" s="44" t="s">
        <v>1449</v>
      </c>
    </row>
    <row r="227" spans="1:2" x14ac:dyDescent="0.25">
      <c r="A227" s="44" t="s">
        <v>1359</v>
      </c>
      <c r="B227" s="44" t="s">
        <v>1450</v>
      </c>
    </row>
    <row r="228" spans="1:2" x14ac:dyDescent="0.25">
      <c r="A228" s="44" t="s">
        <v>1360</v>
      </c>
      <c r="B228" s="44" t="s">
        <v>1451</v>
      </c>
    </row>
    <row r="229" spans="1:2" x14ac:dyDescent="0.25">
      <c r="A229" s="44" t="s">
        <v>1361</v>
      </c>
      <c r="B229" s="44" t="s">
        <v>1452</v>
      </c>
    </row>
    <row r="230" spans="1:2" x14ac:dyDescent="0.25">
      <c r="A230" s="44" t="s">
        <v>1362</v>
      </c>
      <c r="B230" s="44" t="s">
        <v>1453</v>
      </c>
    </row>
    <row r="231" spans="1:2" x14ac:dyDescent="0.25">
      <c r="A231" s="44" t="s">
        <v>1363</v>
      </c>
      <c r="B231" s="44" t="s">
        <v>1454</v>
      </c>
    </row>
    <row r="232" spans="1:2" x14ac:dyDescent="0.25">
      <c r="A232" s="44" t="s">
        <v>1364</v>
      </c>
      <c r="B232" s="44" t="s">
        <v>1455</v>
      </c>
    </row>
    <row r="233" spans="1:2" x14ac:dyDescent="0.25">
      <c r="A233" s="44" t="s">
        <v>1365</v>
      </c>
      <c r="B233" s="44" t="s">
        <v>1456</v>
      </c>
    </row>
    <row r="234" spans="1:2" x14ac:dyDescent="0.25">
      <c r="A234" s="44" t="s">
        <v>1366</v>
      </c>
      <c r="B234" s="44" t="s">
        <v>1457</v>
      </c>
    </row>
    <row r="235" spans="1:2" x14ac:dyDescent="0.25">
      <c r="A235" s="44" t="s">
        <v>1367</v>
      </c>
      <c r="B235" s="44" t="s">
        <v>1458</v>
      </c>
    </row>
    <row r="236" spans="1:2" x14ac:dyDescent="0.25">
      <c r="A236" s="44" t="s">
        <v>1368</v>
      </c>
      <c r="B236" s="44" t="s">
        <v>1459</v>
      </c>
    </row>
    <row r="237" spans="1:2" x14ac:dyDescent="0.25">
      <c r="A237" s="44" t="s">
        <v>1369</v>
      </c>
      <c r="B237" s="44" t="s">
        <v>1460</v>
      </c>
    </row>
    <row r="238" spans="1:2" x14ac:dyDescent="0.25">
      <c r="A238" s="44" t="s">
        <v>1370</v>
      </c>
      <c r="B238" s="44" t="s">
        <v>1461</v>
      </c>
    </row>
    <row r="239" spans="1:2" x14ac:dyDescent="0.25">
      <c r="A239" s="44" t="s">
        <v>1371</v>
      </c>
      <c r="B239" s="44" t="s">
        <v>1462</v>
      </c>
    </row>
    <row r="240" spans="1:2" x14ac:dyDescent="0.25">
      <c r="A240" s="44" t="s">
        <v>1372</v>
      </c>
      <c r="B240" s="44" t="s">
        <v>1463</v>
      </c>
    </row>
    <row r="241" spans="1:2" x14ac:dyDescent="0.25">
      <c r="A241" s="44" t="s">
        <v>1373</v>
      </c>
      <c r="B241" s="44" t="s">
        <v>1464</v>
      </c>
    </row>
    <row r="242" spans="1:2" x14ac:dyDescent="0.25">
      <c r="A242" s="44" t="s">
        <v>1374</v>
      </c>
      <c r="B242" s="44" t="s">
        <v>1465</v>
      </c>
    </row>
    <row r="243" spans="1:2" x14ac:dyDescent="0.25">
      <c r="A243" s="44" t="s">
        <v>1375</v>
      </c>
      <c r="B243" s="44" t="s">
        <v>1466</v>
      </c>
    </row>
    <row r="244" spans="1:2" x14ac:dyDescent="0.25">
      <c r="A244" s="44" t="s">
        <v>1376</v>
      </c>
      <c r="B244" s="44" t="s">
        <v>1467</v>
      </c>
    </row>
    <row r="245" spans="1:2" x14ac:dyDescent="0.25">
      <c r="A245" s="44" t="s">
        <v>1377</v>
      </c>
      <c r="B245" s="44" t="s">
        <v>1468</v>
      </c>
    </row>
    <row r="246" spans="1:2" x14ac:dyDescent="0.25">
      <c r="A246" s="44" t="s">
        <v>1378</v>
      </c>
      <c r="B246" s="44" t="s">
        <v>1469</v>
      </c>
    </row>
    <row r="247" spans="1:2" x14ac:dyDescent="0.25">
      <c r="A247" s="44" t="s">
        <v>1379</v>
      </c>
      <c r="B247" s="44" t="s">
        <v>1470</v>
      </c>
    </row>
    <row r="248" spans="1:2" x14ac:dyDescent="0.25">
      <c r="A248" s="44" t="s">
        <v>1380</v>
      </c>
      <c r="B248" s="44" t="s">
        <v>1471</v>
      </c>
    </row>
    <row r="249" spans="1:2" x14ac:dyDescent="0.25">
      <c r="A249" s="44" t="s">
        <v>1381</v>
      </c>
      <c r="B249" s="44" t="s">
        <v>1472</v>
      </c>
    </row>
    <row r="250" spans="1:2" x14ac:dyDescent="0.25">
      <c r="A250" s="44" t="s">
        <v>1382</v>
      </c>
      <c r="B250" s="44" t="s">
        <v>1473</v>
      </c>
    </row>
    <row r="251" spans="1:2" x14ac:dyDescent="0.25">
      <c r="A251" s="44" t="s">
        <v>1383</v>
      </c>
      <c r="B251" s="44" t="s">
        <v>1474</v>
      </c>
    </row>
    <row r="252" spans="1:2" x14ac:dyDescent="0.25">
      <c r="A252" s="44" t="s">
        <v>1384</v>
      </c>
      <c r="B252" s="44" t="s">
        <v>1475</v>
      </c>
    </row>
    <row r="253" spans="1:2" x14ac:dyDescent="0.25">
      <c r="A253" s="44" t="s">
        <v>1385</v>
      </c>
      <c r="B253" s="44" t="s">
        <v>1476</v>
      </c>
    </row>
  </sheetData>
  <autoFilter ref="A1:B148" xr:uid="{0AE3F5B7-D8C6-4C44-AF77-14A7E664A626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993C-CAA6-442B-8D41-ECF6A499FBAE}">
  <sheetPr codeName="Planilha5"/>
  <dimension ref="A1:B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98.7109375" customWidth="1"/>
  </cols>
  <sheetData>
    <row r="1" spans="1:2" x14ac:dyDescent="0.25">
      <c r="A1" s="33" t="s">
        <v>324</v>
      </c>
      <c r="B1" s="33" t="s">
        <v>746</v>
      </c>
    </row>
    <row r="2" spans="1:2" x14ac:dyDescent="0.25">
      <c r="A2" s="44"/>
      <c r="B2" s="44"/>
    </row>
  </sheetData>
  <autoFilter ref="A1:B1" xr:uid="{0AE3F5B7-D8C6-4C44-AF77-14A7E664A626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ACF48-C95C-4CBC-A17F-364DFD37B8D9}">
  <sheetPr codeName="Planilha3"/>
  <dimension ref="B1:CB271"/>
  <sheetViews>
    <sheetView showGridLines="0" topLeftCell="AQ241" workbookViewId="0">
      <selection activeCell="BF271" sqref="BF271"/>
    </sheetView>
  </sheetViews>
  <sheetFormatPr defaultRowHeight="15" x14ac:dyDescent="0.25"/>
  <cols>
    <col min="1" max="1" width="3.42578125" customWidth="1"/>
    <col min="2" max="2" width="11.7109375" bestFit="1" customWidth="1"/>
    <col min="3" max="3" width="4.140625" bestFit="1" customWidth="1"/>
    <col min="4" max="4" width="5" customWidth="1"/>
    <col min="5" max="5" width="13.42578125" bestFit="1" customWidth="1"/>
    <col min="6" max="6" width="5" bestFit="1" customWidth="1"/>
    <col min="7" max="7" width="4.140625" customWidth="1"/>
    <col min="8" max="8" width="13.42578125" bestFit="1" customWidth="1"/>
    <col min="9" max="9" width="6" bestFit="1" customWidth="1"/>
    <col min="10" max="10" width="4.85546875" customWidth="1"/>
    <col min="11" max="11" width="13.5703125" customWidth="1"/>
    <col min="12" max="12" width="8" customWidth="1"/>
    <col min="13" max="13" width="2" bestFit="1" customWidth="1"/>
    <col min="14" max="14" width="6.140625" customWidth="1"/>
    <col min="15" max="15" width="14.5703125" bestFit="1" customWidth="1"/>
    <col min="16" max="16" width="7.5703125" bestFit="1" customWidth="1"/>
    <col min="17" max="17" width="5.85546875" customWidth="1"/>
    <col min="18" max="18" width="15.42578125" bestFit="1" customWidth="1"/>
    <col min="19" max="19" width="3.85546875" bestFit="1" customWidth="1"/>
    <col min="20" max="20" width="5.7109375" customWidth="1"/>
    <col min="21" max="22" width="11.5703125" bestFit="1" customWidth="1"/>
    <col min="23" max="23" width="5" bestFit="1" customWidth="1"/>
    <col min="24" max="24" width="4.85546875" customWidth="1"/>
    <col min="25" max="25" width="12" bestFit="1" customWidth="1"/>
    <col min="26" max="26" width="5.28515625" bestFit="1" customWidth="1"/>
    <col min="27" max="27" width="2.5703125" style="29" customWidth="1"/>
    <col min="28" max="28" width="15.5703125" customWidth="1"/>
    <col min="29" max="29" width="4" customWidth="1"/>
    <col min="30" max="30" width="14.5703125" bestFit="1" customWidth="1"/>
    <col min="31" max="31" width="8.28515625" bestFit="1" customWidth="1"/>
    <col min="32" max="32" width="2" bestFit="1" customWidth="1"/>
    <col min="33" max="33" width="5.140625" customWidth="1"/>
    <col min="34" max="34" width="21.85546875" bestFit="1" customWidth="1"/>
    <col min="35" max="35" width="5.42578125" bestFit="1" customWidth="1"/>
    <col min="36" max="36" width="5.42578125" customWidth="1"/>
    <col min="37" max="37" width="6.7109375" customWidth="1"/>
    <col min="38" max="38" width="16.28515625" customWidth="1"/>
    <col min="39" max="40" width="8" customWidth="1"/>
    <col min="41" max="41" width="6.140625" customWidth="1"/>
    <col min="42" max="42" width="15.5703125" bestFit="1" customWidth="1"/>
    <col min="43" max="43" width="4" bestFit="1" customWidth="1"/>
    <col min="44" max="44" width="6.140625" customWidth="1"/>
    <col min="45" max="45" width="23" bestFit="1" customWidth="1"/>
    <col min="46" max="46" width="4.5703125" bestFit="1" customWidth="1"/>
    <col min="47" max="48" width="4.5703125" customWidth="1"/>
    <col min="49" max="49" width="7.42578125" customWidth="1"/>
    <col min="50" max="50" width="5.140625" customWidth="1"/>
    <col min="51" max="51" width="4.5703125" customWidth="1"/>
    <col min="52" max="52" width="8.85546875" customWidth="1"/>
    <col min="53" max="53" width="6" customWidth="1"/>
    <col min="54" max="54" width="5.85546875" customWidth="1"/>
    <col min="55" max="55" width="19.42578125" bestFit="1" customWidth="1"/>
    <col min="56" max="56" width="5" bestFit="1" customWidth="1"/>
    <col min="57" max="57" width="5" customWidth="1"/>
    <col min="58" max="58" width="19.42578125" bestFit="1" customWidth="1"/>
    <col min="59" max="59" width="11.7109375" customWidth="1"/>
    <col min="60" max="60" width="5.140625" customWidth="1"/>
    <col min="61" max="61" width="20.7109375" bestFit="1" customWidth="1"/>
    <col min="62" max="62" width="8.28515625" bestFit="1" customWidth="1"/>
    <col min="63" max="63" width="8.28515625" customWidth="1"/>
    <col min="64" max="64" width="3.140625" customWidth="1"/>
    <col min="65" max="65" width="14.42578125" bestFit="1" customWidth="1"/>
    <col min="66" max="66" width="5.28515625" bestFit="1" customWidth="1"/>
    <col min="67" max="67" width="5.28515625" customWidth="1"/>
    <col min="68" max="68" width="5.140625" customWidth="1"/>
    <col min="69" max="69" width="21.140625" bestFit="1" customWidth="1"/>
    <col min="70" max="70" width="4.5703125" bestFit="1" customWidth="1"/>
    <col min="71" max="71" width="3" customWidth="1"/>
    <col min="72" max="72" width="11.7109375" customWidth="1"/>
    <col min="73" max="73" width="3.7109375" bestFit="1" customWidth="1"/>
    <col min="74" max="74" width="3.7109375" customWidth="1"/>
    <col min="75" max="75" width="4.42578125" customWidth="1"/>
    <col min="76" max="76" width="18.7109375" bestFit="1" customWidth="1"/>
    <col min="77" max="77" width="5.5703125" bestFit="1" customWidth="1"/>
    <col min="78" max="78" width="5.140625" customWidth="1"/>
    <col min="79" max="79" width="11.5703125" customWidth="1"/>
    <col min="80" max="80" width="6.42578125" customWidth="1"/>
  </cols>
  <sheetData>
    <row r="1" spans="2:80" ht="17.25" customHeight="1" thickBot="1" x14ac:dyDescent="0.3"/>
    <row r="2" spans="2:80" s="6" customFormat="1" ht="38.25" customHeight="1" thickBot="1" x14ac:dyDescent="0.3">
      <c r="B2" s="67" t="s">
        <v>270</v>
      </c>
      <c r="C2" s="68"/>
      <c r="E2" s="67" t="s">
        <v>655</v>
      </c>
      <c r="F2" s="68"/>
      <c r="H2" s="67" t="s">
        <v>656</v>
      </c>
      <c r="I2" s="68"/>
      <c r="K2" s="69" t="s">
        <v>657</v>
      </c>
      <c r="L2" s="70"/>
      <c r="M2" s="70"/>
      <c r="O2" s="67" t="s">
        <v>658</v>
      </c>
      <c r="P2" s="68"/>
      <c r="R2" s="67" t="s">
        <v>7</v>
      </c>
      <c r="S2" s="68"/>
      <c r="U2" s="69" t="s">
        <v>3</v>
      </c>
      <c r="V2" s="70"/>
      <c r="W2" s="70"/>
      <c r="Y2" s="67" t="s">
        <v>259</v>
      </c>
      <c r="Z2" s="68"/>
      <c r="AA2" s="30"/>
      <c r="AB2" s="24" t="s">
        <v>799</v>
      </c>
      <c r="AD2" s="69" t="s">
        <v>659</v>
      </c>
      <c r="AE2" s="70"/>
      <c r="AF2" s="70"/>
      <c r="AH2" s="69" t="s">
        <v>271</v>
      </c>
      <c r="AI2" s="70"/>
      <c r="AJ2" s="70"/>
      <c r="AL2" s="69" t="s">
        <v>660</v>
      </c>
      <c r="AM2" s="70"/>
      <c r="AN2" s="70"/>
      <c r="AP2" s="67" t="s">
        <v>661</v>
      </c>
      <c r="AQ2" s="68"/>
      <c r="AS2" s="69" t="s">
        <v>662</v>
      </c>
      <c r="AT2" s="70"/>
      <c r="AU2" s="70"/>
      <c r="AW2" s="70" t="s">
        <v>663</v>
      </c>
      <c r="AX2" s="70"/>
      <c r="AZ2" s="70" t="s">
        <v>325</v>
      </c>
      <c r="BA2" s="70"/>
      <c r="BC2" s="67" t="s">
        <v>664</v>
      </c>
      <c r="BD2" s="68"/>
      <c r="BF2" s="18" t="s">
        <v>260</v>
      </c>
      <c r="BG2" s="18" t="s">
        <v>6</v>
      </c>
      <c r="BH2" s="17" t="s">
        <v>6</v>
      </c>
      <c r="BI2" s="67" t="s">
        <v>665</v>
      </c>
      <c r="BJ2" s="68"/>
      <c r="BK2" s="35"/>
      <c r="BM2" s="67" t="s">
        <v>666</v>
      </c>
      <c r="BN2" s="68"/>
      <c r="BO2" s="35"/>
      <c r="BQ2" s="67" t="s">
        <v>667</v>
      </c>
      <c r="BR2" s="68"/>
      <c r="BT2" s="67" t="s">
        <v>1</v>
      </c>
      <c r="BU2" s="68"/>
      <c r="BV2" s="35"/>
      <c r="BX2" s="67" t="s">
        <v>668</v>
      </c>
      <c r="BY2" s="68"/>
      <c r="CA2" s="67" t="s">
        <v>863</v>
      </c>
      <c r="CB2" s="68"/>
    </row>
    <row r="3" spans="2:80" x14ac:dyDescent="0.25">
      <c r="B3" t="s">
        <v>273</v>
      </c>
      <c r="C3" t="s">
        <v>272</v>
      </c>
      <c r="E3" t="s">
        <v>274</v>
      </c>
      <c r="F3" t="s">
        <v>274</v>
      </c>
      <c r="H3" t="s">
        <v>276</v>
      </c>
      <c r="I3" t="s">
        <v>275</v>
      </c>
      <c r="K3" t="s">
        <v>669</v>
      </c>
      <c r="L3" t="s">
        <v>17</v>
      </c>
      <c r="M3">
        <v>1</v>
      </c>
      <c r="O3" t="s">
        <v>278</v>
      </c>
      <c r="P3" t="s">
        <v>277</v>
      </c>
      <c r="R3" t="s">
        <v>10</v>
      </c>
      <c r="S3" t="s">
        <v>9</v>
      </c>
      <c r="U3" t="s">
        <v>758</v>
      </c>
      <c r="V3" t="s">
        <v>759</v>
      </c>
      <c r="W3" s="37" t="s">
        <v>832</v>
      </c>
      <c r="Y3" t="s">
        <v>277</v>
      </c>
      <c r="Z3" t="s">
        <v>277</v>
      </c>
      <c r="AB3" t="s">
        <v>800</v>
      </c>
      <c r="AD3" t="s">
        <v>13</v>
      </c>
      <c r="AE3" t="s">
        <v>12</v>
      </c>
      <c r="AF3">
        <v>1</v>
      </c>
      <c r="AH3" t="s">
        <v>669</v>
      </c>
      <c r="AI3" t="s">
        <v>18</v>
      </c>
      <c r="AJ3">
        <v>1</v>
      </c>
      <c r="AL3" t="s">
        <v>669</v>
      </c>
      <c r="AM3" t="s">
        <v>18</v>
      </c>
      <c r="AN3">
        <v>1</v>
      </c>
      <c r="AP3" t="s">
        <v>670</v>
      </c>
      <c r="AQ3" t="s">
        <v>279</v>
      </c>
      <c r="AS3" t="s">
        <v>653</v>
      </c>
      <c r="AT3" t="s">
        <v>11</v>
      </c>
      <c r="AU3">
        <v>1</v>
      </c>
      <c r="AW3" t="s">
        <v>649</v>
      </c>
      <c r="AZ3" t="s">
        <v>326</v>
      </c>
      <c r="BC3" t="s">
        <v>671</v>
      </c>
      <c r="BD3" t="s">
        <v>280</v>
      </c>
      <c r="BF3" t="s">
        <v>400</v>
      </c>
      <c r="BG3" t="s">
        <v>284</v>
      </c>
      <c r="BI3" t="s">
        <v>672</v>
      </c>
      <c r="BJ3" t="s">
        <v>14</v>
      </c>
      <c r="BK3">
        <v>1</v>
      </c>
      <c r="BM3" t="s">
        <v>673</v>
      </c>
      <c r="BN3" t="s">
        <v>281</v>
      </c>
      <c r="BO3">
        <v>1</v>
      </c>
      <c r="BQ3" t="s">
        <v>282</v>
      </c>
      <c r="BR3" t="s">
        <v>282</v>
      </c>
      <c r="BT3" t="s">
        <v>16</v>
      </c>
      <c r="BU3" t="s">
        <v>15</v>
      </c>
      <c r="BV3">
        <v>1</v>
      </c>
      <c r="BX3" t="s">
        <v>284</v>
      </c>
      <c r="BY3" t="s">
        <v>283</v>
      </c>
      <c r="CA3" t="s">
        <v>872</v>
      </c>
    </row>
    <row r="4" spans="2:80" x14ac:dyDescent="0.25">
      <c r="E4" t="s">
        <v>285</v>
      </c>
      <c r="F4" t="s">
        <v>285</v>
      </c>
      <c r="H4" t="s">
        <v>287</v>
      </c>
      <c r="I4" t="s">
        <v>286</v>
      </c>
      <c r="K4" t="s">
        <v>16</v>
      </c>
      <c r="L4" t="s">
        <v>15</v>
      </c>
      <c r="M4">
        <v>2</v>
      </c>
      <c r="O4" t="s">
        <v>270</v>
      </c>
      <c r="P4" t="s">
        <v>288</v>
      </c>
      <c r="R4" t="s">
        <v>20</v>
      </c>
      <c r="S4" t="s">
        <v>19</v>
      </c>
      <c r="U4" t="s">
        <v>760</v>
      </c>
      <c r="V4" t="s">
        <v>761</v>
      </c>
      <c r="W4" s="37" t="s">
        <v>833</v>
      </c>
      <c r="Y4" t="s">
        <v>289</v>
      </c>
      <c r="Z4" t="s">
        <v>289</v>
      </c>
      <c r="AB4" t="s">
        <v>801</v>
      </c>
      <c r="AD4" t="s">
        <v>23</v>
      </c>
      <c r="AE4" t="s">
        <v>22</v>
      </c>
      <c r="AF4">
        <v>2</v>
      </c>
      <c r="AH4" t="s">
        <v>29</v>
      </c>
      <c r="AI4" t="s">
        <v>28</v>
      </c>
      <c r="AJ4">
        <v>2</v>
      </c>
      <c r="AL4" t="s">
        <v>29</v>
      </c>
      <c r="AM4" t="s">
        <v>28</v>
      </c>
      <c r="AN4">
        <v>2</v>
      </c>
      <c r="AP4" t="s">
        <v>674</v>
      </c>
      <c r="AQ4" t="s">
        <v>290</v>
      </c>
      <c r="AS4" t="s">
        <v>675</v>
      </c>
      <c r="AT4" t="s">
        <v>21</v>
      </c>
      <c r="AU4">
        <v>2</v>
      </c>
      <c r="AW4" t="s">
        <v>650</v>
      </c>
      <c r="AZ4" t="s">
        <v>327</v>
      </c>
      <c r="BC4" t="s">
        <v>179</v>
      </c>
      <c r="BD4" t="s">
        <v>291</v>
      </c>
      <c r="BF4" t="s">
        <v>402</v>
      </c>
      <c r="BG4" t="s">
        <v>284</v>
      </c>
      <c r="BI4" t="s">
        <v>25</v>
      </c>
      <c r="BJ4" t="s">
        <v>24</v>
      </c>
      <c r="BK4">
        <v>2</v>
      </c>
      <c r="BM4" t="s">
        <v>676</v>
      </c>
      <c r="BN4" t="s">
        <v>292</v>
      </c>
      <c r="BO4">
        <v>2</v>
      </c>
      <c r="BQ4" t="s">
        <v>677</v>
      </c>
      <c r="BR4" t="s">
        <v>293</v>
      </c>
      <c r="BT4" t="s">
        <v>27</v>
      </c>
      <c r="BU4" t="s">
        <v>26</v>
      </c>
      <c r="BV4">
        <v>2</v>
      </c>
      <c r="BX4" t="s">
        <v>678</v>
      </c>
      <c r="BY4" t="s">
        <v>294</v>
      </c>
      <c r="CA4" t="s">
        <v>864</v>
      </c>
    </row>
    <row r="5" spans="2:80" x14ac:dyDescent="0.25">
      <c r="E5" t="s">
        <v>295</v>
      </c>
      <c r="F5" t="s">
        <v>295</v>
      </c>
      <c r="K5" t="s">
        <v>679</v>
      </c>
      <c r="L5" t="s">
        <v>36</v>
      </c>
      <c r="M5">
        <v>3</v>
      </c>
      <c r="O5" t="s">
        <v>297</v>
      </c>
      <c r="P5" t="s">
        <v>296</v>
      </c>
      <c r="R5" t="s">
        <v>31</v>
      </c>
      <c r="S5" t="s">
        <v>30</v>
      </c>
      <c r="U5" t="s">
        <v>762</v>
      </c>
      <c r="V5" t="s">
        <v>763</v>
      </c>
      <c r="W5" s="37" t="s">
        <v>834</v>
      </c>
      <c r="Y5" t="s">
        <v>298</v>
      </c>
      <c r="Z5" t="s">
        <v>298</v>
      </c>
      <c r="AD5" t="s">
        <v>34</v>
      </c>
      <c r="AE5" t="s">
        <v>33</v>
      </c>
      <c r="AF5">
        <v>3</v>
      </c>
      <c r="AH5" t="s">
        <v>46</v>
      </c>
      <c r="AI5" t="s">
        <v>45</v>
      </c>
      <c r="AJ5">
        <v>3</v>
      </c>
      <c r="AL5" t="s">
        <v>38</v>
      </c>
      <c r="AM5" t="s">
        <v>37</v>
      </c>
      <c r="AN5">
        <v>3</v>
      </c>
      <c r="AP5" t="s">
        <v>680</v>
      </c>
      <c r="AQ5" t="s">
        <v>299</v>
      </c>
      <c r="AS5" t="s">
        <v>654</v>
      </c>
      <c r="AT5" t="s">
        <v>32</v>
      </c>
      <c r="AU5">
        <v>3</v>
      </c>
      <c r="AW5" t="s">
        <v>651</v>
      </c>
      <c r="AZ5" t="s">
        <v>328</v>
      </c>
      <c r="BC5" t="s">
        <v>681</v>
      </c>
      <c r="BD5" t="s">
        <v>300</v>
      </c>
      <c r="BF5" t="s">
        <v>403</v>
      </c>
      <c r="BG5" t="s">
        <v>284</v>
      </c>
      <c r="BI5" t="s">
        <v>682</v>
      </c>
      <c r="BJ5" t="s">
        <v>35</v>
      </c>
      <c r="BK5">
        <v>3</v>
      </c>
      <c r="BM5" t="s">
        <v>683</v>
      </c>
      <c r="BN5" t="s">
        <v>298</v>
      </c>
      <c r="BO5">
        <v>3</v>
      </c>
      <c r="BQ5" t="s">
        <v>302</v>
      </c>
      <c r="BR5" t="s">
        <v>301</v>
      </c>
      <c r="BX5" t="s">
        <v>684</v>
      </c>
      <c r="BY5" t="s">
        <v>303</v>
      </c>
      <c r="CA5" t="s">
        <v>865</v>
      </c>
    </row>
    <row r="6" spans="2:80" x14ac:dyDescent="0.25">
      <c r="E6" t="s">
        <v>304</v>
      </c>
      <c r="F6" t="s">
        <v>304</v>
      </c>
      <c r="K6" t="s">
        <v>685</v>
      </c>
      <c r="L6" t="s">
        <v>44</v>
      </c>
      <c r="M6">
        <v>4</v>
      </c>
      <c r="R6" t="s">
        <v>40</v>
      </c>
      <c r="S6" t="s">
        <v>39</v>
      </c>
      <c r="U6" t="s">
        <v>764</v>
      </c>
      <c r="V6" t="s">
        <v>765</v>
      </c>
      <c r="W6" s="37" t="s">
        <v>835</v>
      </c>
      <c r="Y6" t="s">
        <v>305</v>
      </c>
      <c r="Z6" t="s">
        <v>305</v>
      </c>
      <c r="AD6" t="s">
        <v>42</v>
      </c>
      <c r="AE6" t="s">
        <v>41</v>
      </c>
      <c r="AF6">
        <v>4</v>
      </c>
      <c r="AH6" t="s">
        <v>53</v>
      </c>
      <c r="AI6" t="s">
        <v>52</v>
      </c>
      <c r="AJ6">
        <v>4</v>
      </c>
      <c r="AL6" t="s">
        <v>46</v>
      </c>
      <c r="AM6" t="s">
        <v>45</v>
      </c>
      <c r="AN6">
        <v>4</v>
      </c>
      <c r="AP6" t="s">
        <v>307</v>
      </c>
      <c r="AQ6" t="s">
        <v>306</v>
      </c>
      <c r="AW6" t="s">
        <v>652</v>
      </c>
      <c r="AZ6" t="s">
        <v>329</v>
      </c>
      <c r="BC6" t="s">
        <v>686</v>
      </c>
      <c r="BD6" t="s">
        <v>308</v>
      </c>
      <c r="BF6" t="s">
        <v>404</v>
      </c>
      <c r="BG6" t="s">
        <v>311</v>
      </c>
      <c r="BI6" t="s">
        <v>687</v>
      </c>
      <c r="BJ6" t="s">
        <v>43</v>
      </c>
      <c r="BK6">
        <v>4</v>
      </c>
      <c r="BM6" t="s">
        <v>688</v>
      </c>
      <c r="BN6" t="s">
        <v>291</v>
      </c>
      <c r="BO6">
        <v>4</v>
      </c>
      <c r="BQ6" t="s">
        <v>310</v>
      </c>
      <c r="BR6" t="s">
        <v>309</v>
      </c>
      <c r="BX6" t="s">
        <v>311</v>
      </c>
      <c r="BY6" t="s">
        <v>311</v>
      </c>
      <c r="CA6" t="s">
        <v>866</v>
      </c>
    </row>
    <row r="7" spans="2:80" x14ac:dyDescent="0.25">
      <c r="E7" t="s">
        <v>179</v>
      </c>
      <c r="F7" t="s">
        <v>291</v>
      </c>
      <c r="R7" t="s">
        <v>48</v>
      </c>
      <c r="S7" t="s">
        <v>47</v>
      </c>
      <c r="U7" t="s">
        <v>766</v>
      </c>
      <c r="V7" t="s">
        <v>767</v>
      </c>
      <c r="W7" s="37" t="s">
        <v>836</v>
      </c>
      <c r="AD7" t="s">
        <v>50</v>
      </c>
      <c r="AE7" t="s">
        <v>49</v>
      </c>
      <c r="AF7">
        <v>5</v>
      </c>
      <c r="AH7" t="s">
        <v>63</v>
      </c>
      <c r="AI7" t="s">
        <v>62</v>
      </c>
      <c r="AJ7">
        <v>5</v>
      </c>
      <c r="AL7" t="s">
        <v>53</v>
      </c>
      <c r="AM7" t="s">
        <v>52</v>
      </c>
      <c r="AN7">
        <v>5</v>
      </c>
      <c r="AZ7" t="s">
        <v>330</v>
      </c>
      <c r="BF7" t="s">
        <v>405</v>
      </c>
      <c r="BG7" t="s">
        <v>311</v>
      </c>
      <c r="BI7" t="s">
        <v>689</v>
      </c>
      <c r="BJ7" t="s">
        <v>51</v>
      </c>
      <c r="BK7">
        <v>5</v>
      </c>
      <c r="BM7" t="s">
        <v>690</v>
      </c>
      <c r="BN7" t="s">
        <v>33</v>
      </c>
      <c r="BO7">
        <v>5</v>
      </c>
      <c r="BQ7" t="s">
        <v>179</v>
      </c>
      <c r="BR7" t="s">
        <v>291</v>
      </c>
      <c r="BX7" t="s">
        <v>313</v>
      </c>
      <c r="BY7" t="s">
        <v>312</v>
      </c>
      <c r="CA7" t="s">
        <v>867</v>
      </c>
    </row>
    <row r="8" spans="2:80" x14ac:dyDescent="0.25">
      <c r="E8" t="s">
        <v>315</v>
      </c>
      <c r="F8" t="s">
        <v>314</v>
      </c>
      <c r="R8" t="s">
        <v>55</v>
      </c>
      <c r="S8" t="s">
        <v>54</v>
      </c>
      <c r="U8" t="s">
        <v>768</v>
      </c>
      <c r="V8" t="s">
        <v>769</v>
      </c>
      <c r="W8" s="37" t="s">
        <v>837</v>
      </c>
      <c r="AH8" t="s">
        <v>69</v>
      </c>
      <c r="AI8" t="s">
        <v>68</v>
      </c>
      <c r="AJ8">
        <v>6</v>
      </c>
      <c r="AL8" t="s">
        <v>691</v>
      </c>
      <c r="AM8" t="s">
        <v>58</v>
      </c>
      <c r="AN8">
        <v>6</v>
      </c>
      <c r="AZ8" t="s">
        <v>331</v>
      </c>
      <c r="BF8" t="s">
        <v>406</v>
      </c>
      <c r="BG8" t="s">
        <v>311</v>
      </c>
      <c r="BI8" t="s">
        <v>57</v>
      </c>
      <c r="BJ8" t="s">
        <v>56</v>
      </c>
      <c r="BK8">
        <v>6</v>
      </c>
      <c r="BM8" t="s">
        <v>692</v>
      </c>
      <c r="BN8" t="s">
        <v>41</v>
      </c>
      <c r="BO8">
        <v>6</v>
      </c>
      <c r="BQ8" t="s">
        <v>317</v>
      </c>
      <c r="BR8" t="s">
        <v>316</v>
      </c>
      <c r="BX8" t="s">
        <v>319</v>
      </c>
      <c r="BY8" t="s">
        <v>318</v>
      </c>
      <c r="CA8" t="s">
        <v>868</v>
      </c>
    </row>
    <row r="9" spans="2:80" x14ac:dyDescent="0.25">
      <c r="R9" t="s">
        <v>60</v>
      </c>
      <c r="S9" t="s">
        <v>59</v>
      </c>
      <c r="U9" t="s">
        <v>770</v>
      </c>
      <c r="V9" t="s">
        <v>771</v>
      </c>
      <c r="W9" s="37" t="s">
        <v>838</v>
      </c>
      <c r="AH9" t="s">
        <v>87</v>
      </c>
      <c r="AI9" t="s">
        <v>86</v>
      </c>
      <c r="AJ9">
        <v>7</v>
      </c>
      <c r="AL9" t="s">
        <v>63</v>
      </c>
      <c r="AM9" t="s">
        <v>62</v>
      </c>
      <c r="AN9">
        <v>7</v>
      </c>
      <c r="AZ9" t="s">
        <v>332</v>
      </c>
      <c r="BF9" t="s">
        <v>407</v>
      </c>
      <c r="BG9" t="s">
        <v>284</v>
      </c>
      <c r="BI9" t="s">
        <v>693</v>
      </c>
      <c r="BJ9" t="s">
        <v>61</v>
      </c>
      <c r="BK9">
        <v>7</v>
      </c>
      <c r="BM9" t="s">
        <v>50</v>
      </c>
      <c r="BN9" t="s">
        <v>49</v>
      </c>
      <c r="BO9">
        <v>7</v>
      </c>
      <c r="BQ9" t="s">
        <v>694</v>
      </c>
      <c r="BR9" t="s">
        <v>320</v>
      </c>
      <c r="BX9" t="s">
        <v>695</v>
      </c>
      <c r="BY9" t="s">
        <v>321</v>
      </c>
      <c r="CA9" t="s">
        <v>869</v>
      </c>
    </row>
    <row r="10" spans="2:80" x14ac:dyDescent="0.25">
      <c r="R10" t="s">
        <v>65</v>
      </c>
      <c r="S10" t="s">
        <v>64</v>
      </c>
      <c r="U10" t="s">
        <v>772</v>
      </c>
      <c r="V10" t="s">
        <v>773</v>
      </c>
      <c r="W10" s="37" t="s">
        <v>839</v>
      </c>
      <c r="AH10" t="s">
        <v>90</v>
      </c>
      <c r="AI10" t="s">
        <v>89</v>
      </c>
      <c r="AJ10">
        <v>8</v>
      </c>
      <c r="AL10" t="s">
        <v>69</v>
      </c>
      <c r="AM10" t="s">
        <v>68</v>
      </c>
      <c r="AN10">
        <v>8</v>
      </c>
      <c r="AZ10" t="s">
        <v>333</v>
      </c>
      <c r="BF10" t="s">
        <v>408</v>
      </c>
      <c r="BG10" t="s">
        <v>284</v>
      </c>
      <c r="BI10" t="s">
        <v>67</v>
      </c>
      <c r="BJ10" t="s">
        <v>66</v>
      </c>
      <c r="BK10">
        <v>8</v>
      </c>
      <c r="CA10" t="s">
        <v>870</v>
      </c>
    </row>
    <row r="11" spans="2:80" x14ac:dyDescent="0.25">
      <c r="R11" t="s">
        <v>71</v>
      </c>
      <c r="S11" t="s">
        <v>70</v>
      </c>
      <c r="U11" t="s">
        <v>774</v>
      </c>
      <c r="V11" t="s">
        <v>775</v>
      </c>
      <c r="W11" s="37" t="s">
        <v>840</v>
      </c>
      <c r="AH11" t="s">
        <v>94</v>
      </c>
      <c r="AI11" t="s">
        <v>93</v>
      </c>
      <c r="AJ11">
        <v>9</v>
      </c>
      <c r="AL11" t="s">
        <v>696</v>
      </c>
      <c r="AM11" t="s">
        <v>72</v>
      </c>
      <c r="AN11">
        <v>9</v>
      </c>
      <c r="AZ11" t="s">
        <v>334</v>
      </c>
      <c r="BF11" t="s">
        <v>409</v>
      </c>
      <c r="BG11" t="s">
        <v>695</v>
      </c>
      <c r="CA11" t="s">
        <v>871</v>
      </c>
    </row>
    <row r="12" spans="2:80" x14ac:dyDescent="0.25">
      <c r="R12" t="s">
        <v>74</v>
      </c>
      <c r="S12" t="s">
        <v>73</v>
      </c>
      <c r="U12" t="s">
        <v>776</v>
      </c>
      <c r="V12" t="s">
        <v>777</v>
      </c>
      <c r="W12" s="37" t="s">
        <v>841</v>
      </c>
      <c r="AH12" t="s">
        <v>697</v>
      </c>
      <c r="AI12" t="s">
        <v>97</v>
      </c>
      <c r="AJ12">
        <v>10</v>
      </c>
      <c r="AL12" t="s">
        <v>76</v>
      </c>
      <c r="AM12" t="s">
        <v>75</v>
      </c>
      <c r="AN12">
        <v>10</v>
      </c>
      <c r="AZ12" t="s">
        <v>335</v>
      </c>
      <c r="BF12" t="s">
        <v>748</v>
      </c>
      <c r="BG12" t="s">
        <v>695</v>
      </c>
      <c r="CA12" t="s">
        <v>873</v>
      </c>
    </row>
    <row r="13" spans="2:80" x14ac:dyDescent="0.25">
      <c r="R13" t="s">
        <v>78</v>
      </c>
      <c r="S13" t="s">
        <v>77</v>
      </c>
      <c r="U13" t="s">
        <v>778</v>
      </c>
      <c r="V13" t="s">
        <v>779</v>
      </c>
      <c r="W13" s="37" t="s">
        <v>842</v>
      </c>
      <c r="AH13" t="s">
        <v>104</v>
      </c>
      <c r="AI13" t="s">
        <v>103</v>
      </c>
      <c r="AJ13">
        <v>11</v>
      </c>
      <c r="AL13" t="s">
        <v>80</v>
      </c>
      <c r="AM13" t="s">
        <v>79</v>
      </c>
      <c r="AN13">
        <v>11</v>
      </c>
      <c r="AZ13" t="s">
        <v>336</v>
      </c>
      <c r="BF13" t="s">
        <v>410</v>
      </c>
      <c r="BG13" t="s">
        <v>284</v>
      </c>
      <c r="CA13" t="s">
        <v>874</v>
      </c>
    </row>
    <row r="14" spans="2:80" x14ac:dyDescent="0.25">
      <c r="R14" t="s">
        <v>82</v>
      </c>
      <c r="S14" t="s">
        <v>81</v>
      </c>
      <c r="U14" t="s">
        <v>780</v>
      </c>
      <c r="V14" t="s">
        <v>781</v>
      </c>
      <c r="W14" s="37" t="s">
        <v>843</v>
      </c>
      <c r="AH14" t="s">
        <v>111</v>
      </c>
      <c r="AI14" t="s">
        <v>110</v>
      </c>
      <c r="AJ14">
        <v>12</v>
      </c>
      <c r="AL14" t="s">
        <v>84</v>
      </c>
      <c r="AM14" t="s">
        <v>83</v>
      </c>
      <c r="AN14">
        <v>12</v>
      </c>
      <c r="AZ14" t="s">
        <v>337</v>
      </c>
      <c r="BF14" t="s">
        <v>411</v>
      </c>
      <c r="BG14" t="s">
        <v>311</v>
      </c>
      <c r="CA14" t="s">
        <v>875</v>
      </c>
    </row>
    <row r="15" spans="2:80" x14ac:dyDescent="0.25">
      <c r="R15" t="s">
        <v>698</v>
      </c>
      <c r="S15" t="s">
        <v>85</v>
      </c>
      <c r="U15" t="s">
        <v>805</v>
      </c>
      <c r="V15" t="s">
        <v>806</v>
      </c>
      <c r="W15" s="37" t="s">
        <v>844</v>
      </c>
      <c r="AH15" t="s">
        <v>699</v>
      </c>
      <c r="AI15" t="s">
        <v>117</v>
      </c>
      <c r="AJ15">
        <v>13</v>
      </c>
      <c r="AL15" t="s">
        <v>87</v>
      </c>
      <c r="AM15" t="s">
        <v>86</v>
      </c>
      <c r="AN15">
        <v>13</v>
      </c>
      <c r="AZ15" t="s">
        <v>338</v>
      </c>
      <c r="BF15" t="s">
        <v>412</v>
      </c>
      <c r="BG15" t="s">
        <v>284</v>
      </c>
    </row>
    <row r="16" spans="2:80" x14ac:dyDescent="0.25">
      <c r="R16" t="s">
        <v>700</v>
      </c>
      <c r="S16" t="s">
        <v>88</v>
      </c>
      <c r="U16" t="s">
        <v>807</v>
      </c>
      <c r="V16" t="s">
        <v>808</v>
      </c>
      <c r="W16" s="37" t="s">
        <v>845</v>
      </c>
      <c r="AH16" t="s">
        <v>134</v>
      </c>
      <c r="AI16" t="s">
        <v>322</v>
      </c>
      <c r="AJ16">
        <v>14</v>
      </c>
      <c r="AL16" t="s">
        <v>90</v>
      </c>
      <c r="AM16" t="s">
        <v>89</v>
      </c>
      <c r="AN16">
        <v>14</v>
      </c>
      <c r="AZ16" t="s">
        <v>339</v>
      </c>
      <c r="BF16" t="s">
        <v>413</v>
      </c>
      <c r="BG16" t="s">
        <v>284</v>
      </c>
    </row>
    <row r="17" spans="18:59" x14ac:dyDescent="0.25">
      <c r="R17" t="s">
        <v>92</v>
      </c>
      <c r="S17" t="s">
        <v>91</v>
      </c>
      <c r="U17" t="s">
        <v>809</v>
      </c>
      <c r="V17" t="s">
        <v>810</v>
      </c>
      <c r="W17" s="37" t="s">
        <v>846</v>
      </c>
      <c r="AH17" t="s">
        <v>148</v>
      </c>
      <c r="AI17" t="s">
        <v>147</v>
      </c>
      <c r="AJ17">
        <v>15</v>
      </c>
      <c r="AL17" t="s">
        <v>94</v>
      </c>
      <c r="AM17" t="s">
        <v>93</v>
      </c>
      <c r="AN17">
        <v>15</v>
      </c>
      <c r="AZ17" t="s">
        <v>340</v>
      </c>
      <c r="BF17" t="s">
        <v>414</v>
      </c>
      <c r="BG17" t="s">
        <v>284</v>
      </c>
    </row>
    <row r="18" spans="18:59" x14ac:dyDescent="0.25">
      <c r="R18" t="s">
        <v>96</v>
      </c>
      <c r="S18" t="s">
        <v>95</v>
      </c>
      <c r="U18" t="s">
        <v>811</v>
      </c>
      <c r="V18" t="s">
        <v>812</v>
      </c>
      <c r="W18" s="37" t="s">
        <v>847</v>
      </c>
      <c r="AH18" t="s">
        <v>701</v>
      </c>
      <c r="AI18" t="s">
        <v>150</v>
      </c>
      <c r="AJ18">
        <v>16</v>
      </c>
      <c r="AL18" t="s">
        <v>697</v>
      </c>
      <c r="AM18" t="s">
        <v>97</v>
      </c>
      <c r="AN18">
        <v>16</v>
      </c>
      <c r="AZ18" t="s">
        <v>341</v>
      </c>
      <c r="BF18" t="s">
        <v>415</v>
      </c>
      <c r="BG18" t="s">
        <v>695</v>
      </c>
    </row>
    <row r="19" spans="18:59" x14ac:dyDescent="0.25">
      <c r="R19" t="s">
        <v>99</v>
      </c>
      <c r="S19" t="s">
        <v>98</v>
      </c>
      <c r="U19" t="s">
        <v>813</v>
      </c>
      <c r="V19" t="s">
        <v>814</v>
      </c>
      <c r="W19" s="37" t="s">
        <v>848</v>
      </c>
      <c r="AH19" t="s">
        <v>152</v>
      </c>
      <c r="AI19" t="s">
        <v>151</v>
      </c>
      <c r="AJ19">
        <v>17</v>
      </c>
      <c r="AL19" t="s">
        <v>702</v>
      </c>
      <c r="AM19" t="s">
        <v>100</v>
      </c>
      <c r="AN19">
        <v>17</v>
      </c>
      <c r="AZ19" t="s">
        <v>342</v>
      </c>
      <c r="BF19" t="s">
        <v>416</v>
      </c>
      <c r="BG19" t="s">
        <v>695</v>
      </c>
    </row>
    <row r="20" spans="18:59" x14ac:dyDescent="0.25">
      <c r="R20" t="s">
        <v>102</v>
      </c>
      <c r="S20" t="s">
        <v>101</v>
      </c>
      <c r="U20" t="s">
        <v>815</v>
      </c>
      <c r="V20" t="s">
        <v>816</v>
      </c>
      <c r="W20" s="37" t="s">
        <v>849</v>
      </c>
      <c r="AH20" t="s">
        <v>157</v>
      </c>
      <c r="AI20" t="s">
        <v>156</v>
      </c>
      <c r="AJ20">
        <v>18</v>
      </c>
      <c r="AL20" t="s">
        <v>104</v>
      </c>
      <c r="AM20" t="s">
        <v>103</v>
      </c>
      <c r="AN20">
        <v>18</v>
      </c>
      <c r="AZ20" t="s">
        <v>343</v>
      </c>
      <c r="BF20" t="s">
        <v>417</v>
      </c>
      <c r="BG20" t="s">
        <v>695</v>
      </c>
    </row>
    <row r="21" spans="18:59" x14ac:dyDescent="0.25">
      <c r="R21" t="s">
        <v>106</v>
      </c>
      <c r="S21" t="s">
        <v>105</v>
      </c>
      <c r="U21" t="s">
        <v>817</v>
      </c>
      <c r="V21" t="s">
        <v>818</v>
      </c>
      <c r="W21" s="37" t="s">
        <v>850</v>
      </c>
      <c r="AH21" t="s">
        <v>703</v>
      </c>
      <c r="AI21" t="s">
        <v>163</v>
      </c>
      <c r="AJ21">
        <v>19</v>
      </c>
      <c r="AL21" t="s">
        <v>704</v>
      </c>
      <c r="AM21" t="s">
        <v>107</v>
      </c>
      <c r="AN21">
        <v>19</v>
      </c>
      <c r="AZ21" t="s">
        <v>344</v>
      </c>
      <c r="BF21" t="s">
        <v>418</v>
      </c>
      <c r="BG21" t="s">
        <v>695</v>
      </c>
    </row>
    <row r="22" spans="18:59" x14ac:dyDescent="0.25">
      <c r="R22" t="s">
        <v>109</v>
      </c>
      <c r="S22" t="s">
        <v>108</v>
      </c>
      <c r="U22" t="s">
        <v>819</v>
      </c>
      <c r="V22" t="s">
        <v>820</v>
      </c>
      <c r="W22" s="37" t="s">
        <v>851</v>
      </c>
      <c r="AH22" t="s">
        <v>165</v>
      </c>
      <c r="AI22" t="s">
        <v>164</v>
      </c>
      <c r="AJ22">
        <v>20</v>
      </c>
      <c r="AL22" t="s">
        <v>111</v>
      </c>
      <c r="AM22" t="s">
        <v>110</v>
      </c>
      <c r="AN22">
        <v>20</v>
      </c>
      <c r="AZ22" t="s">
        <v>345</v>
      </c>
      <c r="BF22" t="s">
        <v>749</v>
      </c>
      <c r="BG22" t="s">
        <v>695</v>
      </c>
    </row>
    <row r="23" spans="18:59" x14ac:dyDescent="0.25">
      <c r="R23" t="s">
        <v>113</v>
      </c>
      <c r="S23" t="s">
        <v>112</v>
      </c>
      <c r="U23" t="s">
        <v>821</v>
      </c>
      <c r="V23" t="s">
        <v>822</v>
      </c>
      <c r="W23" s="37" t="s">
        <v>852</v>
      </c>
      <c r="AH23" t="s">
        <v>172</v>
      </c>
      <c r="AI23" t="s">
        <v>171</v>
      </c>
      <c r="AJ23">
        <v>21</v>
      </c>
      <c r="AL23" t="s">
        <v>705</v>
      </c>
      <c r="AM23" t="s">
        <v>114</v>
      </c>
      <c r="AN23">
        <v>21</v>
      </c>
      <c r="AZ23" t="s">
        <v>346</v>
      </c>
      <c r="BF23" t="s">
        <v>419</v>
      </c>
      <c r="BG23" t="s">
        <v>311</v>
      </c>
    </row>
    <row r="24" spans="18:59" x14ac:dyDescent="0.25">
      <c r="R24" t="s">
        <v>116</v>
      </c>
      <c r="S24" t="s">
        <v>115</v>
      </c>
      <c r="U24" t="s">
        <v>823</v>
      </c>
      <c r="V24" t="s">
        <v>824</v>
      </c>
      <c r="W24" s="37" t="s">
        <v>853</v>
      </c>
      <c r="AH24" t="s">
        <v>174</v>
      </c>
      <c r="AI24" t="s">
        <v>173</v>
      </c>
      <c r="AJ24">
        <v>22</v>
      </c>
      <c r="AL24" t="s">
        <v>699</v>
      </c>
      <c r="AM24" t="s">
        <v>117</v>
      </c>
      <c r="AN24">
        <v>22</v>
      </c>
      <c r="AZ24" t="s">
        <v>347</v>
      </c>
      <c r="BF24" t="s">
        <v>420</v>
      </c>
      <c r="BG24" t="s">
        <v>311</v>
      </c>
    </row>
    <row r="25" spans="18:59" x14ac:dyDescent="0.25">
      <c r="R25" t="s">
        <v>119</v>
      </c>
      <c r="S25" t="s">
        <v>118</v>
      </c>
      <c r="U25" t="s">
        <v>825</v>
      </c>
      <c r="V25" t="s">
        <v>826</v>
      </c>
      <c r="W25" s="37" t="s">
        <v>854</v>
      </c>
      <c r="AH25" t="s">
        <v>176</v>
      </c>
      <c r="AI25" t="s">
        <v>175</v>
      </c>
      <c r="AJ25">
        <v>23</v>
      </c>
      <c r="AL25" t="s">
        <v>706</v>
      </c>
      <c r="AM25" t="s">
        <v>120</v>
      </c>
      <c r="AN25">
        <v>23</v>
      </c>
      <c r="AZ25" t="s">
        <v>348</v>
      </c>
      <c r="BF25" t="s">
        <v>421</v>
      </c>
      <c r="BG25" t="s">
        <v>311</v>
      </c>
    </row>
    <row r="26" spans="18:59" x14ac:dyDescent="0.25">
      <c r="R26" t="s">
        <v>122</v>
      </c>
      <c r="S26" t="s">
        <v>121</v>
      </c>
      <c r="U26" t="s">
        <v>827</v>
      </c>
      <c r="V26" t="s">
        <v>828</v>
      </c>
      <c r="W26" s="37" t="s">
        <v>855</v>
      </c>
      <c r="AH26" t="s">
        <v>177</v>
      </c>
      <c r="AI26" t="s">
        <v>177</v>
      </c>
      <c r="AJ26">
        <v>24</v>
      </c>
      <c r="AL26" t="s">
        <v>707</v>
      </c>
      <c r="AM26" t="s">
        <v>123</v>
      </c>
      <c r="AN26">
        <v>24</v>
      </c>
      <c r="AZ26" t="s">
        <v>349</v>
      </c>
      <c r="BF26" t="s">
        <v>422</v>
      </c>
      <c r="BG26" t="s">
        <v>311</v>
      </c>
    </row>
    <row r="27" spans="18:59" x14ac:dyDescent="0.25">
      <c r="R27" t="s">
        <v>125</v>
      </c>
      <c r="S27" t="s">
        <v>124</v>
      </c>
      <c r="AH27" t="s">
        <v>179</v>
      </c>
      <c r="AI27" t="s">
        <v>178</v>
      </c>
      <c r="AJ27">
        <v>25</v>
      </c>
      <c r="AL27" t="s">
        <v>708</v>
      </c>
      <c r="AM27" t="s">
        <v>126</v>
      </c>
      <c r="AN27">
        <v>25</v>
      </c>
      <c r="AZ27" t="s">
        <v>350</v>
      </c>
      <c r="BF27" t="s">
        <v>423</v>
      </c>
      <c r="BG27" t="s">
        <v>311</v>
      </c>
    </row>
    <row r="28" spans="18:59" x14ac:dyDescent="0.25">
      <c r="R28" t="s">
        <v>128</v>
      </c>
      <c r="S28" t="s">
        <v>127</v>
      </c>
      <c r="AH28" t="s">
        <v>184</v>
      </c>
      <c r="AI28" t="s">
        <v>183</v>
      </c>
      <c r="AJ28">
        <v>26</v>
      </c>
      <c r="AL28" t="s">
        <v>130</v>
      </c>
      <c r="AM28" t="s">
        <v>129</v>
      </c>
      <c r="AN28">
        <v>26</v>
      </c>
      <c r="AZ28" t="s">
        <v>351</v>
      </c>
      <c r="BF28" t="s">
        <v>424</v>
      </c>
      <c r="BG28" t="s">
        <v>319</v>
      </c>
    </row>
    <row r="29" spans="18:59" x14ac:dyDescent="0.25">
      <c r="R29" t="s">
        <v>132</v>
      </c>
      <c r="S29" t="s">
        <v>131</v>
      </c>
      <c r="AH29" t="s">
        <v>187</v>
      </c>
      <c r="AI29" t="s">
        <v>186</v>
      </c>
      <c r="AJ29">
        <v>27</v>
      </c>
      <c r="AL29" t="s">
        <v>134</v>
      </c>
      <c r="AM29" t="s">
        <v>133</v>
      </c>
      <c r="AN29">
        <v>27</v>
      </c>
      <c r="AZ29" t="s">
        <v>352</v>
      </c>
      <c r="BF29" t="s">
        <v>425</v>
      </c>
      <c r="BG29" t="s">
        <v>311</v>
      </c>
    </row>
    <row r="30" spans="18:59" x14ac:dyDescent="0.25">
      <c r="R30" t="s">
        <v>136</v>
      </c>
      <c r="S30" t="s">
        <v>135</v>
      </c>
      <c r="AH30" t="s">
        <v>709</v>
      </c>
      <c r="AI30" t="s">
        <v>190</v>
      </c>
      <c r="AJ30">
        <v>28</v>
      </c>
      <c r="AL30" t="s">
        <v>138</v>
      </c>
      <c r="AM30" t="s">
        <v>137</v>
      </c>
      <c r="AN30">
        <v>28</v>
      </c>
      <c r="AZ30" t="s">
        <v>353</v>
      </c>
      <c r="BF30" t="s">
        <v>426</v>
      </c>
      <c r="BG30" t="s">
        <v>695</v>
      </c>
    </row>
    <row r="31" spans="18:59" x14ac:dyDescent="0.25">
      <c r="R31" t="s">
        <v>140</v>
      </c>
      <c r="S31" t="s">
        <v>139</v>
      </c>
      <c r="AH31" t="s">
        <v>192</v>
      </c>
      <c r="AI31" t="s">
        <v>191</v>
      </c>
      <c r="AJ31">
        <v>29</v>
      </c>
      <c r="AL31" t="s">
        <v>710</v>
      </c>
      <c r="AM31" t="s">
        <v>141</v>
      </c>
      <c r="AN31">
        <v>29</v>
      </c>
      <c r="AZ31" t="s">
        <v>354</v>
      </c>
      <c r="BF31" t="s">
        <v>427</v>
      </c>
      <c r="BG31" t="s">
        <v>311</v>
      </c>
    </row>
    <row r="32" spans="18:59" x14ac:dyDescent="0.25">
      <c r="R32" t="s">
        <v>143</v>
      </c>
      <c r="S32" t="s">
        <v>142</v>
      </c>
      <c r="AH32" t="s">
        <v>196</v>
      </c>
      <c r="AI32" t="s">
        <v>195</v>
      </c>
      <c r="AJ32">
        <v>30</v>
      </c>
      <c r="AL32" t="s">
        <v>145</v>
      </c>
      <c r="AM32" t="s">
        <v>144</v>
      </c>
      <c r="AN32">
        <v>30</v>
      </c>
      <c r="AZ32" t="s">
        <v>355</v>
      </c>
      <c r="BF32" t="s">
        <v>428</v>
      </c>
      <c r="BG32" t="s">
        <v>311</v>
      </c>
    </row>
    <row r="33" spans="18:59" x14ac:dyDescent="0.25">
      <c r="R33" t="s">
        <v>711</v>
      </c>
      <c r="S33" t="s">
        <v>146</v>
      </c>
      <c r="AH33" t="s">
        <v>200</v>
      </c>
      <c r="AI33" t="s">
        <v>199</v>
      </c>
      <c r="AJ33">
        <v>31</v>
      </c>
      <c r="AL33" t="s">
        <v>148</v>
      </c>
      <c r="AM33" t="s">
        <v>147</v>
      </c>
      <c r="AN33">
        <v>31</v>
      </c>
      <c r="AZ33" t="s">
        <v>356</v>
      </c>
      <c r="BF33" t="s">
        <v>429</v>
      </c>
      <c r="BG33" t="s">
        <v>311</v>
      </c>
    </row>
    <row r="34" spans="18:59" x14ac:dyDescent="0.25">
      <c r="R34" t="s">
        <v>712</v>
      </c>
      <c r="S34" t="s">
        <v>149</v>
      </c>
      <c r="AH34" t="s">
        <v>212</v>
      </c>
      <c r="AI34" t="s">
        <v>211</v>
      </c>
      <c r="AJ34">
        <v>32</v>
      </c>
      <c r="AL34" t="s">
        <v>701</v>
      </c>
      <c r="AM34" t="s">
        <v>150</v>
      </c>
      <c r="AN34">
        <v>32</v>
      </c>
      <c r="AZ34" t="s">
        <v>357</v>
      </c>
      <c r="BF34" t="s">
        <v>430</v>
      </c>
      <c r="BG34" t="s">
        <v>311</v>
      </c>
    </row>
    <row r="35" spans="18:59" x14ac:dyDescent="0.25">
      <c r="AH35" t="s">
        <v>217</v>
      </c>
      <c r="AI35" t="s">
        <v>216</v>
      </c>
      <c r="AJ35">
        <v>33</v>
      </c>
      <c r="AL35" t="s">
        <v>152</v>
      </c>
      <c r="AM35" t="s">
        <v>151</v>
      </c>
      <c r="AN35">
        <v>33</v>
      </c>
      <c r="AZ35" t="s">
        <v>358</v>
      </c>
      <c r="BF35" t="s">
        <v>431</v>
      </c>
      <c r="BG35" t="s">
        <v>311</v>
      </c>
    </row>
    <row r="36" spans="18:59" x14ac:dyDescent="0.25">
      <c r="AH36" t="s">
        <v>219</v>
      </c>
      <c r="AI36" t="s">
        <v>218</v>
      </c>
      <c r="AJ36">
        <v>34</v>
      </c>
      <c r="AL36" t="s">
        <v>713</v>
      </c>
      <c r="AM36" t="s">
        <v>153</v>
      </c>
      <c r="AN36">
        <v>34</v>
      </c>
      <c r="AZ36" t="s">
        <v>359</v>
      </c>
      <c r="BF36" t="s">
        <v>432</v>
      </c>
      <c r="BG36" t="s">
        <v>311</v>
      </c>
    </row>
    <row r="37" spans="18:59" x14ac:dyDescent="0.25">
      <c r="AH37" t="s">
        <v>221</v>
      </c>
      <c r="AI37" t="s">
        <v>220</v>
      </c>
      <c r="AJ37">
        <v>35</v>
      </c>
      <c r="AL37" t="s">
        <v>714</v>
      </c>
      <c r="AM37" t="s">
        <v>154</v>
      </c>
      <c r="AN37">
        <v>35</v>
      </c>
      <c r="AZ37" t="s">
        <v>360</v>
      </c>
      <c r="BF37" t="s">
        <v>433</v>
      </c>
      <c r="BG37" t="s">
        <v>319</v>
      </c>
    </row>
    <row r="38" spans="18:59" x14ac:dyDescent="0.25">
      <c r="AH38" t="s">
        <v>228</v>
      </c>
      <c r="AI38" t="s">
        <v>227</v>
      </c>
      <c r="AJ38">
        <v>36</v>
      </c>
      <c r="AL38" t="s">
        <v>715</v>
      </c>
      <c r="AM38" t="s">
        <v>155</v>
      </c>
      <c r="AN38">
        <v>36</v>
      </c>
      <c r="AZ38" t="s">
        <v>716</v>
      </c>
      <c r="BF38" t="s">
        <v>434</v>
      </c>
      <c r="BG38" t="s">
        <v>319</v>
      </c>
    </row>
    <row r="39" spans="18:59" x14ac:dyDescent="0.25">
      <c r="AH39" t="s">
        <v>230</v>
      </c>
      <c r="AI39" t="s">
        <v>229</v>
      </c>
      <c r="AJ39">
        <v>37</v>
      </c>
      <c r="AL39" t="s">
        <v>157</v>
      </c>
      <c r="AM39" t="s">
        <v>156</v>
      </c>
      <c r="AN39">
        <v>37</v>
      </c>
      <c r="AZ39" t="s">
        <v>717</v>
      </c>
      <c r="BF39" t="s">
        <v>435</v>
      </c>
      <c r="BG39" t="s">
        <v>311</v>
      </c>
    </row>
    <row r="40" spans="18:59" x14ac:dyDescent="0.25">
      <c r="AH40" t="s">
        <v>233</v>
      </c>
      <c r="AI40" t="s">
        <v>232</v>
      </c>
      <c r="AJ40">
        <v>38</v>
      </c>
      <c r="AL40" t="s">
        <v>158</v>
      </c>
      <c r="AM40" t="s">
        <v>158</v>
      </c>
      <c r="AN40">
        <v>38</v>
      </c>
      <c r="AZ40" t="s">
        <v>361</v>
      </c>
      <c r="BF40" t="s">
        <v>436</v>
      </c>
      <c r="BG40" t="s">
        <v>311</v>
      </c>
    </row>
    <row r="41" spans="18:59" x14ac:dyDescent="0.25">
      <c r="AH41" t="s">
        <v>235</v>
      </c>
      <c r="AI41" t="s">
        <v>234</v>
      </c>
      <c r="AJ41">
        <v>39</v>
      </c>
      <c r="AL41" t="s">
        <v>159</v>
      </c>
      <c r="AM41" t="s">
        <v>159</v>
      </c>
      <c r="AN41">
        <v>39</v>
      </c>
      <c r="AZ41" t="s">
        <v>362</v>
      </c>
      <c r="BF41" t="s">
        <v>437</v>
      </c>
      <c r="BG41" t="s">
        <v>311</v>
      </c>
    </row>
    <row r="42" spans="18:59" x14ac:dyDescent="0.25">
      <c r="AH42" t="s">
        <v>237</v>
      </c>
      <c r="AI42" t="s">
        <v>236</v>
      </c>
      <c r="AJ42">
        <v>40</v>
      </c>
      <c r="AL42" t="s">
        <v>718</v>
      </c>
      <c r="AM42" t="s">
        <v>160</v>
      </c>
      <c r="AN42">
        <v>40</v>
      </c>
      <c r="AZ42" t="s">
        <v>363</v>
      </c>
      <c r="BF42" t="s">
        <v>438</v>
      </c>
      <c r="BG42" t="s">
        <v>311</v>
      </c>
    </row>
    <row r="43" spans="18:59" x14ac:dyDescent="0.25">
      <c r="AH43" t="s">
        <v>239</v>
      </c>
      <c r="AI43" t="s">
        <v>238</v>
      </c>
      <c r="AJ43">
        <v>41</v>
      </c>
      <c r="AL43" t="s">
        <v>162</v>
      </c>
      <c r="AM43" t="s">
        <v>161</v>
      </c>
      <c r="AN43">
        <v>41</v>
      </c>
      <c r="AZ43" t="s">
        <v>364</v>
      </c>
      <c r="BF43" t="s">
        <v>439</v>
      </c>
      <c r="BG43" t="s">
        <v>319</v>
      </c>
    </row>
    <row r="44" spans="18:59" x14ac:dyDescent="0.25">
      <c r="AH44" t="s">
        <v>241</v>
      </c>
      <c r="AI44" t="s">
        <v>240</v>
      </c>
      <c r="AJ44">
        <v>42</v>
      </c>
      <c r="AL44" t="s">
        <v>703</v>
      </c>
      <c r="AM44" t="s">
        <v>163</v>
      </c>
      <c r="AN44">
        <v>42</v>
      </c>
      <c r="AZ44" t="s">
        <v>719</v>
      </c>
      <c r="BF44" t="s">
        <v>440</v>
      </c>
      <c r="BG44" t="s">
        <v>284</v>
      </c>
    </row>
    <row r="45" spans="18:59" x14ac:dyDescent="0.25">
      <c r="AH45" t="s">
        <v>243</v>
      </c>
      <c r="AI45" t="s">
        <v>242</v>
      </c>
      <c r="AJ45">
        <v>43</v>
      </c>
      <c r="AL45" t="s">
        <v>165</v>
      </c>
      <c r="AM45" t="s">
        <v>164</v>
      </c>
      <c r="AN45">
        <v>43</v>
      </c>
      <c r="AZ45" t="s">
        <v>365</v>
      </c>
      <c r="BF45" t="s">
        <v>441</v>
      </c>
      <c r="BG45" t="s">
        <v>311</v>
      </c>
    </row>
    <row r="46" spans="18:59" x14ac:dyDescent="0.25">
      <c r="AH46" t="s">
        <v>245</v>
      </c>
      <c r="AI46" t="s">
        <v>244</v>
      </c>
      <c r="AJ46">
        <v>44</v>
      </c>
      <c r="AL46" t="s">
        <v>167</v>
      </c>
      <c r="AM46" t="s">
        <v>166</v>
      </c>
      <c r="AN46">
        <v>44</v>
      </c>
      <c r="AZ46" t="s">
        <v>366</v>
      </c>
      <c r="BF46" t="s">
        <v>442</v>
      </c>
      <c r="BG46" t="s">
        <v>319</v>
      </c>
    </row>
    <row r="47" spans="18:59" x14ac:dyDescent="0.25">
      <c r="AH47" t="s">
        <v>249</v>
      </c>
      <c r="AI47" t="s">
        <v>248</v>
      </c>
      <c r="AJ47">
        <v>45</v>
      </c>
      <c r="AL47" t="s">
        <v>720</v>
      </c>
      <c r="AM47" t="s">
        <v>168</v>
      </c>
      <c r="AN47">
        <v>45</v>
      </c>
      <c r="AZ47" t="s">
        <v>367</v>
      </c>
      <c r="BF47" t="s">
        <v>443</v>
      </c>
      <c r="BG47" t="s">
        <v>319</v>
      </c>
    </row>
    <row r="48" spans="18:59" x14ac:dyDescent="0.25">
      <c r="AH48" t="s">
        <v>251</v>
      </c>
      <c r="AI48" t="s">
        <v>250</v>
      </c>
      <c r="AJ48">
        <v>46</v>
      </c>
      <c r="AL48" t="s">
        <v>170</v>
      </c>
      <c r="AM48" t="s">
        <v>169</v>
      </c>
      <c r="AN48">
        <v>46</v>
      </c>
      <c r="AZ48" t="s">
        <v>368</v>
      </c>
      <c r="BF48" t="s">
        <v>444</v>
      </c>
      <c r="BG48" t="s">
        <v>311</v>
      </c>
    </row>
    <row r="49" spans="34:59" x14ac:dyDescent="0.25">
      <c r="AH49" t="s">
        <v>721</v>
      </c>
      <c r="AI49" t="s">
        <v>252</v>
      </c>
      <c r="AJ49">
        <v>47</v>
      </c>
      <c r="AL49" t="s">
        <v>172</v>
      </c>
      <c r="AM49" t="s">
        <v>171</v>
      </c>
      <c r="AN49">
        <v>47</v>
      </c>
      <c r="AZ49" t="s">
        <v>369</v>
      </c>
      <c r="BF49" t="s">
        <v>445</v>
      </c>
      <c r="BG49" t="s">
        <v>311</v>
      </c>
    </row>
    <row r="50" spans="34:59" x14ac:dyDescent="0.25">
      <c r="AH50" t="s">
        <v>253</v>
      </c>
      <c r="AI50" t="s">
        <v>253</v>
      </c>
      <c r="AJ50">
        <v>48</v>
      </c>
      <c r="AL50" t="s">
        <v>174</v>
      </c>
      <c r="AM50" t="s">
        <v>173</v>
      </c>
      <c r="AN50">
        <v>48</v>
      </c>
      <c r="AZ50" t="s">
        <v>370</v>
      </c>
      <c r="BF50" t="s">
        <v>446</v>
      </c>
      <c r="BG50" t="s">
        <v>319</v>
      </c>
    </row>
    <row r="51" spans="34:59" x14ac:dyDescent="0.25">
      <c r="AL51" t="s">
        <v>176</v>
      </c>
      <c r="AM51" t="s">
        <v>175</v>
      </c>
      <c r="AN51">
        <v>49</v>
      </c>
      <c r="AZ51" t="s">
        <v>371</v>
      </c>
      <c r="BF51" t="s">
        <v>447</v>
      </c>
      <c r="BG51" t="s">
        <v>311</v>
      </c>
    </row>
    <row r="52" spans="34:59" x14ac:dyDescent="0.25">
      <c r="AL52" t="s">
        <v>177</v>
      </c>
      <c r="AM52" t="s">
        <v>177</v>
      </c>
      <c r="AN52">
        <v>50</v>
      </c>
      <c r="AZ52" t="s">
        <v>372</v>
      </c>
      <c r="BF52" t="s">
        <v>448</v>
      </c>
      <c r="BG52" t="s">
        <v>311</v>
      </c>
    </row>
    <row r="53" spans="34:59" x14ac:dyDescent="0.25">
      <c r="AL53" t="s">
        <v>179</v>
      </c>
      <c r="AM53" t="s">
        <v>178</v>
      </c>
      <c r="AN53">
        <v>51</v>
      </c>
      <c r="AZ53" t="s">
        <v>373</v>
      </c>
      <c r="BF53" t="s">
        <v>449</v>
      </c>
      <c r="BG53" t="s">
        <v>311</v>
      </c>
    </row>
    <row r="54" spans="34:59" x14ac:dyDescent="0.25">
      <c r="AL54" t="s">
        <v>722</v>
      </c>
      <c r="AM54" t="s">
        <v>180</v>
      </c>
      <c r="AN54">
        <v>52</v>
      </c>
      <c r="AZ54" t="s">
        <v>374</v>
      </c>
      <c r="BF54" t="s">
        <v>450</v>
      </c>
      <c r="BG54" t="s">
        <v>311</v>
      </c>
    </row>
    <row r="55" spans="34:59" x14ac:dyDescent="0.25">
      <c r="AL55" t="s">
        <v>182</v>
      </c>
      <c r="AM55" t="s">
        <v>181</v>
      </c>
      <c r="AN55">
        <v>53</v>
      </c>
      <c r="AZ55" t="s">
        <v>375</v>
      </c>
      <c r="BF55" t="s">
        <v>451</v>
      </c>
      <c r="BG55" t="s">
        <v>319</v>
      </c>
    </row>
    <row r="56" spans="34:59" x14ac:dyDescent="0.25">
      <c r="AL56" t="s">
        <v>184</v>
      </c>
      <c r="AM56" t="s">
        <v>183</v>
      </c>
      <c r="AN56">
        <v>54</v>
      </c>
      <c r="AZ56" t="s">
        <v>376</v>
      </c>
      <c r="BF56" t="s">
        <v>452</v>
      </c>
      <c r="BG56" t="s">
        <v>319</v>
      </c>
    </row>
    <row r="57" spans="34:59" x14ac:dyDescent="0.25">
      <c r="AL57" t="s">
        <v>723</v>
      </c>
      <c r="AM57" t="s">
        <v>185</v>
      </c>
      <c r="AN57">
        <v>55</v>
      </c>
      <c r="AZ57" t="s">
        <v>377</v>
      </c>
      <c r="BF57" t="s">
        <v>453</v>
      </c>
      <c r="BG57" t="s">
        <v>311</v>
      </c>
    </row>
    <row r="58" spans="34:59" x14ac:dyDescent="0.25">
      <c r="AL58" t="s">
        <v>187</v>
      </c>
      <c r="AM58" t="s">
        <v>186</v>
      </c>
      <c r="AN58">
        <v>56</v>
      </c>
      <c r="AZ58" t="s">
        <v>378</v>
      </c>
      <c r="BF58" t="s">
        <v>454</v>
      </c>
      <c r="BG58" t="s">
        <v>311</v>
      </c>
    </row>
    <row r="59" spans="34:59" x14ac:dyDescent="0.25">
      <c r="AL59" t="s">
        <v>189</v>
      </c>
      <c r="AM59" t="s">
        <v>188</v>
      </c>
      <c r="AN59">
        <v>57</v>
      </c>
      <c r="AZ59" t="s">
        <v>379</v>
      </c>
      <c r="BF59" t="s">
        <v>455</v>
      </c>
      <c r="BG59" t="s">
        <v>311</v>
      </c>
    </row>
    <row r="60" spans="34:59" x14ac:dyDescent="0.25">
      <c r="AL60" t="s">
        <v>709</v>
      </c>
      <c r="AM60" t="s">
        <v>190</v>
      </c>
      <c r="AN60">
        <v>58</v>
      </c>
      <c r="AZ60" t="s">
        <v>380</v>
      </c>
      <c r="BF60" t="s">
        <v>456</v>
      </c>
      <c r="BG60" t="s">
        <v>311</v>
      </c>
    </row>
    <row r="61" spans="34:59" x14ac:dyDescent="0.25">
      <c r="AL61" t="s">
        <v>192</v>
      </c>
      <c r="AM61" t="s">
        <v>191</v>
      </c>
      <c r="AN61">
        <v>59</v>
      </c>
      <c r="AZ61" t="s">
        <v>381</v>
      </c>
      <c r="BF61" t="s">
        <v>457</v>
      </c>
      <c r="BG61" t="s">
        <v>311</v>
      </c>
    </row>
    <row r="62" spans="34:59" x14ac:dyDescent="0.25">
      <c r="AL62" t="s">
        <v>724</v>
      </c>
      <c r="AM62" t="s">
        <v>193</v>
      </c>
      <c r="AN62">
        <v>60</v>
      </c>
      <c r="AZ62" t="s">
        <v>382</v>
      </c>
      <c r="BF62" t="s">
        <v>458</v>
      </c>
      <c r="BG62" t="s">
        <v>311</v>
      </c>
    </row>
    <row r="63" spans="34:59" x14ac:dyDescent="0.25">
      <c r="AL63" t="s">
        <v>725</v>
      </c>
      <c r="AM63" t="s">
        <v>194</v>
      </c>
      <c r="AN63">
        <v>61</v>
      </c>
      <c r="AZ63" t="s">
        <v>383</v>
      </c>
      <c r="BF63" t="s">
        <v>459</v>
      </c>
      <c r="BG63" t="s">
        <v>311</v>
      </c>
    </row>
    <row r="64" spans="34:59" x14ac:dyDescent="0.25">
      <c r="AL64" t="s">
        <v>196</v>
      </c>
      <c r="AM64" t="s">
        <v>195</v>
      </c>
      <c r="AN64">
        <v>62</v>
      </c>
      <c r="AZ64" t="s">
        <v>384</v>
      </c>
      <c r="BF64" t="s">
        <v>460</v>
      </c>
      <c r="BG64" t="s">
        <v>311</v>
      </c>
    </row>
    <row r="65" spans="38:59" x14ac:dyDescent="0.25">
      <c r="AL65" t="s">
        <v>198</v>
      </c>
      <c r="AM65" t="s">
        <v>197</v>
      </c>
      <c r="AN65">
        <v>63</v>
      </c>
      <c r="AZ65" t="s">
        <v>385</v>
      </c>
      <c r="BF65" t="s">
        <v>461</v>
      </c>
      <c r="BG65" t="s">
        <v>311</v>
      </c>
    </row>
    <row r="66" spans="38:59" x14ac:dyDescent="0.25">
      <c r="AL66" t="s">
        <v>200</v>
      </c>
      <c r="AM66" t="s">
        <v>199</v>
      </c>
      <c r="AN66">
        <v>64</v>
      </c>
      <c r="AZ66" t="s">
        <v>386</v>
      </c>
      <c r="BF66" t="s">
        <v>462</v>
      </c>
      <c r="BG66" t="s">
        <v>319</v>
      </c>
    </row>
    <row r="67" spans="38:59" x14ac:dyDescent="0.25">
      <c r="AL67" t="s">
        <v>202</v>
      </c>
      <c r="AM67" t="s">
        <v>201</v>
      </c>
      <c r="AN67">
        <v>65</v>
      </c>
      <c r="AZ67" t="s">
        <v>387</v>
      </c>
      <c r="BF67" t="s">
        <v>463</v>
      </c>
      <c r="BG67" t="s">
        <v>311</v>
      </c>
    </row>
    <row r="68" spans="38:59" x14ac:dyDescent="0.25">
      <c r="AL68" t="s">
        <v>204</v>
      </c>
      <c r="AM68" t="s">
        <v>203</v>
      </c>
      <c r="AN68">
        <v>66</v>
      </c>
      <c r="AZ68" t="s">
        <v>388</v>
      </c>
      <c r="BF68" t="s">
        <v>464</v>
      </c>
      <c r="BG68" t="s">
        <v>319</v>
      </c>
    </row>
    <row r="69" spans="38:59" x14ac:dyDescent="0.25">
      <c r="AL69" t="s">
        <v>206</v>
      </c>
      <c r="AM69" t="s">
        <v>205</v>
      </c>
      <c r="AN69">
        <v>67</v>
      </c>
      <c r="AZ69" t="s">
        <v>389</v>
      </c>
      <c r="BF69" t="s">
        <v>465</v>
      </c>
      <c r="BG69" t="s">
        <v>311</v>
      </c>
    </row>
    <row r="70" spans="38:59" x14ac:dyDescent="0.25">
      <c r="AL70" t="s">
        <v>208</v>
      </c>
      <c r="AM70" t="s">
        <v>207</v>
      </c>
      <c r="AN70">
        <v>68</v>
      </c>
      <c r="AZ70" t="s">
        <v>390</v>
      </c>
      <c r="BF70" t="s">
        <v>466</v>
      </c>
      <c r="BG70" t="s">
        <v>319</v>
      </c>
    </row>
    <row r="71" spans="38:59" x14ac:dyDescent="0.25">
      <c r="AL71" t="s">
        <v>210</v>
      </c>
      <c r="AM71" t="s">
        <v>209</v>
      </c>
      <c r="AN71">
        <v>69</v>
      </c>
      <c r="AZ71" t="s">
        <v>391</v>
      </c>
      <c r="BF71" t="s">
        <v>467</v>
      </c>
      <c r="BG71" t="s">
        <v>319</v>
      </c>
    </row>
    <row r="72" spans="38:59" x14ac:dyDescent="0.25">
      <c r="AL72" t="s">
        <v>212</v>
      </c>
      <c r="AM72" t="s">
        <v>211</v>
      </c>
      <c r="AN72">
        <v>70</v>
      </c>
      <c r="AZ72" t="s">
        <v>392</v>
      </c>
      <c r="BF72" t="s">
        <v>468</v>
      </c>
      <c r="BG72" t="s">
        <v>311</v>
      </c>
    </row>
    <row r="73" spans="38:59" x14ac:dyDescent="0.25">
      <c r="AL73" t="s">
        <v>214</v>
      </c>
      <c r="AM73" t="s">
        <v>213</v>
      </c>
      <c r="AN73">
        <v>71</v>
      </c>
      <c r="AZ73" t="s">
        <v>393</v>
      </c>
      <c r="BF73" t="s">
        <v>469</v>
      </c>
      <c r="BG73" t="s">
        <v>319</v>
      </c>
    </row>
    <row r="74" spans="38:59" x14ac:dyDescent="0.25">
      <c r="AL74" t="s">
        <v>726</v>
      </c>
      <c r="AM74" t="s">
        <v>215</v>
      </c>
      <c r="AN74">
        <v>72</v>
      </c>
      <c r="AZ74" t="s">
        <v>394</v>
      </c>
      <c r="BF74" t="s">
        <v>470</v>
      </c>
      <c r="BG74" t="s">
        <v>311</v>
      </c>
    </row>
    <row r="75" spans="38:59" x14ac:dyDescent="0.25">
      <c r="AL75" t="s">
        <v>217</v>
      </c>
      <c r="AM75" t="s">
        <v>216</v>
      </c>
      <c r="AN75">
        <v>73</v>
      </c>
      <c r="AZ75" t="s">
        <v>395</v>
      </c>
      <c r="BF75" t="s">
        <v>471</v>
      </c>
      <c r="BG75" t="s">
        <v>311</v>
      </c>
    </row>
    <row r="76" spans="38:59" x14ac:dyDescent="0.25">
      <c r="AL76" t="s">
        <v>219</v>
      </c>
      <c r="AM76" t="s">
        <v>218</v>
      </c>
      <c r="AN76">
        <v>74</v>
      </c>
      <c r="AZ76" t="s">
        <v>396</v>
      </c>
      <c r="BF76" t="s">
        <v>472</v>
      </c>
      <c r="BG76" t="s">
        <v>311</v>
      </c>
    </row>
    <row r="77" spans="38:59" x14ac:dyDescent="0.25">
      <c r="AL77" t="s">
        <v>221</v>
      </c>
      <c r="AM77" t="s">
        <v>220</v>
      </c>
      <c r="AN77">
        <v>75</v>
      </c>
      <c r="AZ77" t="s">
        <v>397</v>
      </c>
      <c r="BF77" t="s">
        <v>473</v>
      </c>
      <c r="BG77" t="s">
        <v>311</v>
      </c>
    </row>
    <row r="78" spans="38:59" x14ac:dyDescent="0.25">
      <c r="AL78" t="s">
        <v>223</v>
      </c>
      <c r="AM78" t="s">
        <v>222</v>
      </c>
      <c r="AN78">
        <v>76</v>
      </c>
      <c r="AZ78" t="s">
        <v>398</v>
      </c>
      <c r="BF78" t="s">
        <v>474</v>
      </c>
      <c r="BG78" t="s">
        <v>311</v>
      </c>
    </row>
    <row r="79" spans="38:59" x14ac:dyDescent="0.25">
      <c r="AL79" t="s">
        <v>225</v>
      </c>
      <c r="AM79" t="s">
        <v>224</v>
      </c>
      <c r="AN79">
        <v>77</v>
      </c>
      <c r="AZ79" t="s">
        <v>399</v>
      </c>
      <c r="BF79" t="s">
        <v>475</v>
      </c>
      <c r="BG79" t="s">
        <v>311</v>
      </c>
    </row>
    <row r="80" spans="38:59" x14ac:dyDescent="0.25">
      <c r="AL80" t="s">
        <v>727</v>
      </c>
      <c r="AM80" t="s">
        <v>226</v>
      </c>
      <c r="AN80">
        <v>78</v>
      </c>
      <c r="AZ80" t="s">
        <v>802</v>
      </c>
      <c r="BF80" t="s">
        <v>476</v>
      </c>
      <c r="BG80" t="s">
        <v>311</v>
      </c>
    </row>
    <row r="81" spans="38:59" x14ac:dyDescent="0.25">
      <c r="AL81" t="s">
        <v>228</v>
      </c>
      <c r="AM81" t="s">
        <v>227</v>
      </c>
      <c r="AN81">
        <v>79</v>
      </c>
      <c r="AZ81" t="s">
        <v>803</v>
      </c>
      <c r="BF81" t="s">
        <v>477</v>
      </c>
      <c r="BG81" t="s">
        <v>311</v>
      </c>
    </row>
    <row r="82" spans="38:59" x14ac:dyDescent="0.25">
      <c r="AL82" t="s">
        <v>230</v>
      </c>
      <c r="AM82" t="s">
        <v>229</v>
      </c>
      <c r="AN82">
        <v>80</v>
      </c>
      <c r="BF82" t="s">
        <v>478</v>
      </c>
      <c r="BG82" t="s">
        <v>311</v>
      </c>
    </row>
    <row r="83" spans="38:59" x14ac:dyDescent="0.25">
      <c r="AL83" t="s">
        <v>728</v>
      </c>
      <c r="AM83" t="s">
        <v>231</v>
      </c>
      <c r="AN83">
        <v>81</v>
      </c>
      <c r="BF83" t="s">
        <v>479</v>
      </c>
      <c r="BG83" t="s">
        <v>311</v>
      </c>
    </row>
    <row r="84" spans="38:59" x14ac:dyDescent="0.25">
      <c r="AL84" t="s">
        <v>233</v>
      </c>
      <c r="AM84" t="s">
        <v>232</v>
      </c>
      <c r="AN84">
        <v>82</v>
      </c>
      <c r="BF84" t="s">
        <v>480</v>
      </c>
      <c r="BG84" t="s">
        <v>319</v>
      </c>
    </row>
    <row r="85" spans="38:59" x14ac:dyDescent="0.25">
      <c r="AL85" t="s">
        <v>235</v>
      </c>
      <c r="AM85" t="s">
        <v>234</v>
      </c>
      <c r="AN85">
        <v>83</v>
      </c>
      <c r="BF85" t="s">
        <v>481</v>
      </c>
      <c r="BG85" t="s">
        <v>319</v>
      </c>
    </row>
    <row r="86" spans="38:59" x14ac:dyDescent="0.25">
      <c r="AL86" t="s">
        <v>237</v>
      </c>
      <c r="AM86" t="s">
        <v>236</v>
      </c>
      <c r="AN86">
        <v>84</v>
      </c>
      <c r="BF86" t="s">
        <v>482</v>
      </c>
      <c r="BG86" t="s">
        <v>311</v>
      </c>
    </row>
    <row r="87" spans="38:59" x14ac:dyDescent="0.25">
      <c r="AL87" t="s">
        <v>239</v>
      </c>
      <c r="AM87" t="s">
        <v>238</v>
      </c>
      <c r="AN87">
        <v>85</v>
      </c>
      <c r="BF87" t="s">
        <v>483</v>
      </c>
      <c r="BG87" t="s">
        <v>311</v>
      </c>
    </row>
    <row r="88" spans="38:59" x14ac:dyDescent="0.25">
      <c r="AL88" t="s">
        <v>241</v>
      </c>
      <c r="AM88" t="s">
        <v>240</v>
      </c>
      <c r="AN88">
        <v>86</v>
      </c>
      <c r="BF88" t="s">
        <v>484</v>
      </c>
      <c r="BG88" t="s">
        <v>311</v>
      </c>
    </row>
    <row r="89" spans="38:59" x14ac:dyDescent="0.25">
      <c r="AL89" t="s">
        <v>243</v>
      </c>
      <c r="AM89" t="s">
        <v>242</v>
      </c>
      <c r="AN89">
        <v>87</v>
      </c>
      <c r="BF89" t="s">
        <v>485</v>
      </c>
      <c r="BG89" t="s">
        <v>311</v>
      </c>
    </row>
    <row r="90" spans="38:59" x14ac:dyDescent="0.25">
      <c r="AL90" t="s">
        <v>245</v>
      </c>
      <c r="AM90" t="s">
        <v>244</v>
      </c>
      <c r="AN90">
        <v>88</v>
      </c>
      <c r="BF90" t="s">
        <v>486</v>
      </c>
      <c r="BG90" t="s">
        <v>319</v>
      </c>
    </row>
    <row r="91" spans="38:59" x14ac:dyDescent="0.25">
      <c r="AL91" t="s">
        <v>247</v>
      </c>
      <c r="AM91" t="s">
        <v>246</v>
      </c>
      <c r="AN91">
        <v>89</v>
      </c>
      <c r="BF91" t="s">
        <v>487</v>
      </c>
      <c r="BG91" t="s">
        <v>311</v>
      </c>
    </row>
    <row r="92" spans="38:59" x14ac:dyDescent="0.25">
      <c r="AL92" t="s">
        <v>249</v>
      </c>
      <c r="AM92" t="s">
        <v>248</v>
      </c>
      <c r="AN92">
        <v>90</v>
      </c>
      <c r="BF92" t="s">
        <v>488</v>
      </c>
      <c r="BG92" t="s">
        <v>319</v>
      </c>
    </row>
    <row r="93" spans="38:59" x14ac:dyDescent="0.25">
      <c r="AL93" t="s">
        <v>251</v>
      </c>
      <c r="AM93" t="s">
        <v>250</v>
      </c>
      <c r="AN93">
        <v>91</v>
      </c>
      <c r="BF93" t="s">
        <v>489</v>
      </c>
      <c r="BG93" t="s">
        <v>311</v>
      </c>
    </row>
    <row r="94" spans="38:59" x14ac:dyDescent="0.25">
      <c r="AL94" t="s">
        <v>721</v>
      </c>
      <c r="AM94" t="s">
        <v>252</v>
      </c>
      <c r="AN94">
        <v>92</v>
      </c>
      <c r="BF94" t="s">
        <v>751</v>
      </c>
      <c r="BG94" t="s">
        <v>311</v>
      </c>
    </row>
    <row r="95" spans="38:59" x14ac:dyDescent="0.25">
      <c r="AL95" t="s">
        <v>253</v>
      </c>
      <c r="AM95" t="s">
        <v>253</v>
      </c>
      <c r="AN95">
        <v>93</v>
      </c>
      <c r="BF95" t="s">
        <v>490</v>
      </c>
      <c r="BG95" t="s">
        <v>311</v>
      </c>
    </row>
    <row r="96" spans="38:59" x14ac:dyDescent="0.25">
      <c r="AL96" t="s">
        <v>861</v>
      </c>
      <c r="AM96" t="s">
        <v>860</v>
      </c>
      <c r="BF96" t="s">
        <v>491</v>
      </c>
      <c r="BG96" t="s">
        <v>284</v>
      </c>
    </row>
    <row r="97" spans="58:59" x14ac:dyDescent="0.25">
      <c r="BF97" t="s">
        <v>492</v>
      </c>
      <c r="BG97" t="s">
        <v>284</v>
      </c>
    </row>
    <row r="98" spans="58:59" x14ac:dyDescent="0.25">
      <c r="BF98" t="s">
        <v>493</v>
      </c>
      <c r="BG98" t="s">
        <v>284</v>
      </c>
    </row>
    <row r="99" spans="58:59" x14ac:dyDescent="0.25">
      <c r="BF99" t="s">
        <v>494</v>
      </c>
      <c r="BG99" t="s">
        <v>284</v>
      </c>
    </row>
    <row r="100" spans="58:59" x14ac:dyDescent="0.25">
      <c r="BF100" t="s">
        <v>495</v>
      </c>
      <c r="BG100" t="s">
        <v>311</v>
      </c>
    </row>
    <row r="101" spans="58:59" x14ac:dyDescent="0.25">
      <c r="BF101" t="s">
        <v>496</v>
      </c>
      <c r="BG101" t="s">
        <v>284</v>
      </c>
    </row>
    <row r="102" spans="58:59" x14ac:dyDescent="0.25">
      <c r="BF102" t="s">
        <v>497</v>
      </c>
      <c r="BG102" t="s">
        <v>284</v>
      </c>
    </row>
    <row r="103" spans="58:59" x14ac:dyDescent="0.25">
      <c r="BF103" t="s">
        <v>498</v>
      </c>
      <c r="BG103" t="s">
        <v>311</v>
      </c>
    </row>
    <row r="104" spans="58:59" x14ac:dyDescent="0.25">
      <c r="BF104" t="s">
        <v>499</v>
      </c>
      <c r="BG104" t="s">
        <v>284</v>
      </c>
    </row>
    <row r="105" spans="58:59" x14ac:dyDescent="0.25">
      <c r="BF105" t="s">
        <v>500</v>
      </c>
      <c r="BG105" t="s">
        <v>695</v>
      </c>
    </row>
    <row r="106" spans="58:59" x14ac:dyDescent="0.25">
      <c r="BF106" t="s">
        <v>501</v>
      </c>
      <c r="BG106" t="s">
        <v>311</v>
      </c>
    </row>
    <row r="107" spans="58:59" x14ac:dyDescent="0.25">
      <c r="BF107" t="s">
        <v>502</v>
      </c>
      <c r="BG107" t="s">
        <v>695</v>
      </c>
    </row>
    <row r="108" spans="58:59" x14ac:dyDescent="0.25">
      <c r="BF108" t="s">
        <v>503</v>
      </c>
      <c r="BG108" t="s">
        <v>695</v>
      </c>
    </row>
    <row r="109" spans="58:59" x14ac:dyDescent="0.25">
      <c r="BF109" t="s">
        <v>504</v>
      </c>
      <c r="BG109" t="s">
        <v>695</v>
      </c>
    </row>
    <row r="110" spans="58:59" x14ac:dyDescent="0.25">
      <c r="BF110" t="s">
        <v>505</v>
      </c>
      <c r="BG110" t="s">
        <v>284</v>
      </c>
    </row>
    <row r="111" spans="58:59" x14ac:dyDescent="0.25">
      <c r="BF111" t="s">
        <v>506</v>
      </c>
      <c r="BG111" t="s">
        <v>695</v>
      </c>
    </row>
    <row r="112" spans="58:59" x14ac:dyDescent="0.25">
      <c r="BF112" t="s">
        <v>507</v>
      </c>
      <c r="BG112" t="s">
        <v>284</v>
      </c>
    </row>
    <row r="113" spans="58:59" x14ac:dyDescent="0.25">
      <c r="BF113" t="s">
        <v>508</v>
      </c>
      <c r="BG113" t="s">
        <v>695</v>
      </c>
    </row>
    <row r="114" spans="58:59" x14ac:dyDescent="0.25">
      <c r="BF114" t="s">
        <v>509</v>
      </c>
      <c r="BG114" t="s">
        <v>284</v>
      </c>
    </row>
    <row r="115" spans="58:59" x14ac:dyDescent="0.25">
      <c r="BF115" t="s">
        <v>510</v>
      </c>
      <c r="BG115" t="s">
        <v>284</v>
      </c>
    </row>
    <row r="116" spans="58:59" x14ac:dyDescent="0.25">
      <c r="BF116" t="s">
        <v>511</v>
      </c>
      <c r="BG116" t="s">
        <v>284</v>
      </c>
    </row>
    <row r="117" spans="58:59" x14ac:dyDescent="0.25">
      <c r="BF117" t="s">
        <v>512</v>
      </c>
      <c r="BG117" t="s">
        <v>284</v>
      </c>
    </row>
    <row r="118" spans="58:59" x14ac:dyDescent="0.25">
      <c r="BF118" t="s">
        <v>513</v>
      </c>
      <c r="BG118" t="s">
        <v>284</v>
      </c>
    </row>
    <row r="119" spans="58:59" x14ac:dyDescent="0.25">
      <c r="BF119" t="s">
        <v>514</v>
      </c>
      <c r="BG119" t="s">
        <v>284</v>
      </c>
    </row>
    <row r="120" spans="58:59" x14ac:dyDescent="0.25">
      <c r="BF120" t="s">
        <v>515</v>
      </c>
      <c r="BG120" t="s">
        <v>284</v>
      </c>
    </row>
    <row r="121" spans="58:59" x14ac:dyDescent="0.25">
      <c r="BF121" t="s">
        <v>516</v>
      </c>
      <c r="BG121" t="s">
        <v>284</v>
      </c>
    </row>
    <row r="122" spans="58:59" x14ac:dyDescent="0.25">
      <c r="BF122" t="s">
        <v>517</v>
      </c>
      <c r="BG122" t="s">
        <v>284</v>
      </c>
    </row>
    <row r="123" spans="58:59" x14ac:dyDescent="0.25">
      <c r="BF123" t="s">
        <v>518</v>
      </c>
      <c r="BG123" t="s">
        <v>284</v>
      </c>
    </row>
    <row r="124" spans="58:59" x14ac:dyDescent="0.25">
      <c r="BF124" t="s">
        <v>519</v>
      </c>
      <c r="BG124" t="s">
        <v>284</v>
      </c>
    </row>
    <row r="125" spans="58:59" x14ac:dyDescent="0.25">
      <c r="BF125" t="s">
        <v>520</v>
      </c>
      <c r="BG125" t="s">
        <v>695</v>
      </c>
    </row>
    <row r="126" spans="58:59" x14ac:dyDescent="0.25">
      <c r="BF126" t="s">
        <v>521</v>
      </c>
      <c r="BG126" t="s">
        <v>695</v>
      </c>
    </row>
    <row r="127" spans="58:59" x14ac:dyDescent="0.25">
      <c r="BF127" t="s">
        <v>522</v>
      </c>
      <c r="BG127" t="s">
        <v>695</v>
      </c>
    </row>
    <row r="128" spans="58:59" x14ac:dyDescent="0.25">
      <c r="BF128" t="s">
        <v>757</v>
      </c>
      <c r="BG128" t="s">
        <v>695</v>
      </c>
    </row>
    <row r="129" spans="58:59" x14ac:dyDescent="0.25">
      <c r="BF129" t="s">
        <v>523</v>
      </c>
      <c r="BG129" t="s">
        <v>284</v>
      </c>
    </row>
    <row r="130" spans="58:59" x14ac:dyDescent="0.25">
      <c r="BF130" t="s">
        <v>524</v>
      </c>
      <c r="BG130" t="s">
        <v>284</v>
      </c>
    </row>
    <row r="131" spans="58:59" x14ac:dyDescent="0.25">
      <c r="BF131" t="s">
        <v>525</v>
      </c>
      <c r="BG131" t="s">
        <v>284</v>
      </c>
    </row>
    <row r="132" spans="58:59" x14ac:dyDescent="0.25">
      <c r="BF132" t="s">
        <v>526</v>
      </c>
      <c r="BG132" t="s">
        <v>284</v>
      </c>
    </row>
    <row r="133" spans="58:59" x14ac:dyDescent="0.25">
      <c r="BF133" t="s">
        <v>527</v>
      </c>
      <c r="BG133" t="s">
        <v>284</v>
      </c>
    </row>
    <row r="134" spans="58:59" x14ac:dyDescent="0.25">
      <c r="BF134" t="s">
        <v>528</v>
      </c>
      <c r="BG134" t="s">
        <v>284</v>
      </c>
    </row>
    <row r="135" spans="58:59" x14ac:dyDescent="0.25">
      <c r="BF135" t="s">
        <v>529</v>
      </c>
      <c r="BG135" t="s">
        <v>284</v>
      </c>
    </row>
    <row r="136" spans="58:59" x14ac:dyDescent="0.25">
      <c r="BF136" t="s">
        <v>530</v>
      </c>
      <c r="BG136" t="s">
        <v>284</v>
      </c>
    </row>
    <row r="137" spans="58:59" x14ac:dyDescent="0.25">
      <c r="BF137" t="s">
        <v>531</v>
      </c>
      <c r="BG137" t="s">
        <v>284</v>
      </c>
    </row>
    <row r="138" spans="58:59" x14ac:dyDescent="0.25">
      <c r="BF138" t="s">
        <v>747</v>
      </c>
      <c r="BG138" t="s">
        <v>284</v>
      </c>
    </row>
    <row r="139" spans="58:59" x14ac:dyDescent="0.25">
      <c r="BF139" t="s">
        <v>532</v>
      </c>
      <c r="BG139" t="s">
        <v>284</v>
      </c>
    </row>
    <row r="140" spans="58:59" x14ac:dyDescent="0.25">
      <c r="BF140" t="s">
        <v>533</v>
      </c>
      <c r="BG140" t="s">
        <v>284</v>
      </c>
    </row>
    <row r="141" spans="58:59" x14ac:dyDescent="0.25">
      <c r="BF141" t="s">
        <v>534</v>
      </c>
      <c r="BG141" t="s">
        <v>284</v>
      </c>
    </row>
    <row r="142" spans="58:59" x14ac:dyDescent="0.25">
      <c r="BF142" t="s">
        <v>535</v>
      </c>
      <c r="BG142" t="s">
        <v>695</v>
      </c>
    </row>
    <row r="143" spans="58:59" x14ac:dyDescent="0.25">
      <c r="BF143" t="s">
        <v>536</v>
      </c>
      <c r="BG143" t="s">
        <v>284</v>
      </c>
    </row>
    <row r="144" spans="58:59" x14ac:dyDescent="0.25">
      <c r="BF144" t="s">
        <v>537</v>
      </c>
      <c r="BG144" t="s">
        <v>284</v>
      </c>
    </row>
    <row r="145" spans="58:59" x14ac:dyDescent="0.25">
      <c r="BF145" t="s">
        <v>538</v>
      </c>
      <c r="BG145" t="s">
        <v>284</v>
      </c>
    </row>
    <row r="146" spans="58:59" x14ac:dyDescent="0.25">
      <c r="BF146" t="s">
        <v>539</v>
      </c>
      <c r="BG146" t="s">
        <v>284</v>
      </c>
    </row>
    <row r="147" spans="58:59" x14ac:dyDescent="0.25">
      <c r="BF147" t="s">
        <v>540</v>
      </c>
      <c r="BG147" t="s">
        <v>284</v>
      </c>
    </row>
    <row r="148" spans="58:59" x14ac:dyDescent="0.25">
      <c r="BF148" t="s">
        <v>541</v>
      </c>
      <c r="BG148" t="s">
        <v>284</v>
      </c>
    </row>
    <row r="149" spans="58:59" x14ac:dyDescent="0.25">
      <c r="BF149" t="s">
        <v>542</v>
      </c>
      <c r="BG149" t="s">
        <v>284</v>
      </c>
    </row>
    <row r="150" spans="58:59" x14ac:dyDescent="0.25">
      <c r="BF150" t="s">
        <v>543</v>
      </c>
      <c r="BG150" t="s">
        <v>284</v>
      </c>
    </row>
    <row r="151" spans="58:59" x14ac:dyDescent="0.25">
      <c r="BF151" t="s">
        <v>544</v>
      </c>
      <c r="BG151" t="s">
        <v>284</v>
      </c>
    </row>
    <row r="152" spans="58:59" x14ac:dyDescent="0.25">
      <c r="BF152" t="s">
        <v>545</v>
      </c>
      <c r="BG152" t="s">
        <v>284</v>
      </c>
    </row>
    <row r="153" spans="58:59" x14ac:dyDescent="0.25">
      <c r="BF153" t="s">
        <v>546</v>
      </c>
      <c r="BG153" t="s">
        <v>319</v>
      </c>
    </row>
    <row r="154" spans="58:59" x14ac:dyDescent="0.25">
      <c r="BF154" t="s">
        <v>547</v>
      </c>
      <c r="BG154" t="s">
        <v>284</v>
      </c>
    </row>
    <row r="155" spans="58:59" x14ac:dyDescent="0.25">
      <c r="BF155" t="s">
        <v>548</v>
      </c>
      <c r="BG155" t="s">
        <v>284</v>
      </c>
    </row>
    <row r="156" spans="58:59" x14ac:dyDescent="0.25">
      <c r="BF156" t="s">
        <v>549</v>
      </c>
      <c r="BG156" t="s">
        <v>284</v>
      </c>
    </row>
    <row r="157" spans="58:59" x14ac:dyDescent="0.25">
      <c r="BF157" t="s">
        <v>550</v>
      </c>
      <c r="BG157" t="s">
        <v>284</v>
      </c>
    </row>
    <row r="158" spans="58:59" x14ac:dyDescent="0.25">
      <c r="BF158" t="s">
        <v>551</v>
      </c>
      <c r="BG158" t="s">
        <v>284</v>
      </c>
    </row>
    <row r="159" spans="58:59" x14ac:dyDescent="0.25">
      <c r="BF159" t="s">
        <v>552</v>
      </c>
      <c r="BG159" t="s">
        <v>284</v>
      </c>
    </row>
    <row r="160" spans="58:59" x14ac:dyDescent="0.25">
      <c r="BF160" t="s">
        <v>553</v>
      </c>
      <c r="BG160" t="s">
        <v>319</v>
      </c>
    </row>
    <row r="161" spans="58:59" x14ac:dyDescent="0.25">
      <c r="BF161" t="s">
        <v>554</v>
      </c>
      <c r="BG161" t="s">
        <v>284</v>
      </c>
    </row>
    <row r="162" spans="58:59" x14ac:dyDescent="0.25">
      <c r="BF162" t="s">
        <v>555</v>
      </c>
      <c r="BG162" t="s">
        <v>284</v>
      </c>
    </row>
    <row r="163" spans="58:59" x14ac:dyDescent="0.25">
      <c r="BF163" t="s">
        <v>556</v>
      </c>
      <c r="BG163" t="s">
        <v>284</v>
      </c>
    </row>
    <row r="164" spans="58:59" x14ac:dyDescent="0.25">
      <c r="BF164" t="s">
        <v>557</v>
      </c>
      <c r="BG164" t="s">
        <v>284</v>
      </c>
    </row>
    <row r="165" spans="58:59" x14ac:dyDescent="0.25">
      <c r="BF165" t="s">
        <v>558</v>
      </c>
      <c r="BG165" t="s">
        <v>695</v>
      </c>
    </row>
    <row r="166" spans="58:59" x14ac:dyDescent="0.25">
      <c r="BF166" t="s">
        <v>559</v>
      </c>
      <c r="BG166" t="s">
        <v>284</v>
      </c>
    </row>
    <row r="167" spans="58:59" x14ac:dyDescent="0.25">
      <c r="BF167" t="s">
        <v>560</v>
      </c>
      <c r="BG167" t="s">
        <v>284</v>
      </c>
    </row>
    <row r="168" spans="58:59" x14ac:dyDescent="0.25">
      <c r="BF168" t="s">
        <v>561</v>
      </c>
      <c r="BG168" t="s">
        <v>284</v>
      </c>
    </row>
    <row r="169" spans="58:59" x14ac:dyDescent="0.25">
      <c r="BF169" t="s">
        <v>562</v>
      </c>
      <c r="BG169" t="s">
        <v>284</v>
      </c>
    </row>
    <row r="170" spans="58:59" x14ac:dyDescent="0.25">
      <c r="BF170" t="s">
        <v>563</v>
      </c>
      <c r="BG170" t="s">
        <v>284</v>
      </c>
    </row>
    <row r="171" spans="58:59" x14ac:dyDescent="0.25">
      <c r="BF171" t="s">
        <v>564</v>
      </c>
      <c r="BG171" t="s">
        <v>695</v>
      </c>
    </row>
    <row r="172" spans="58:59" x14ac:dyDescent="0.25">
      <c r="BF172" t="s">
        <v>565</v>
      </c>
      <c r="BG172" t="s">
        <v>284</v>
      </c>
    </row>
    <row r="173" spans="58:59" x14ac:dyDescent="0.25">
      <c r="BF173" t="s">
        <v>566</v>
      </c>
      <c r="BG173" t="s">
        <v>284</v>
      </c>
    </row>
    <row r="174" spans="58:59" x14ac:dyDescent="0.25">
      <c r="BF174" t="s">
        <v>567</v>
      </c>
      <c r="BG174" t="s">
        <v>284</v>
      </c>
    </row>
    <row r="175" spans="58:59" x14ac:dyDescent="0.25">
      <c r="BF175" t="s">
        <v>568</v>
      </c>
      <c r="BG175" t="s">
        <v>284</v>
      </c>
    </row>
    <row r="176" spans="58:59" x14ac:dyDescent="0.25">
      <c r="BF176" t="s">
        <v>569</v>
      </c>
      <c r="BG176" t="s">
        <v>284</v>
      </c>
    </row>
    <row r="177" spans="58:59" x14ac:dyDescent="0.25">
      <c r="BF177" t="s">
        <v>570</v>
      </c>
      <c r="BG177" t="s">
        <v>284</v>
      </c>
    </row>
    <row r="178" spans="58:59" x14ac:dyDescent="0.25">
      <c r="BF178" t="s">
        <v>571</v>
      </c>
      <c r="BG178" t="s">
        <v>284</v>
      </c>
    </row>
    <row r="179" spans="58:59" x14ac:dyDescent="0.25">
      <c r="BF179" t="s">
        <v>572</v>
      </c>
      <c r="BG179" t="s">
        <v>284</v>
      </c>
    </row>
    <row r="180" spans="58:59" x14ac:dyDescent="0.25">
      <c r="BF180" t="s">
        <v>573</v>
      </c>
      <c r="BG180" t="s">
        <v>284</v>
      </c>
    </row>
    <row r="181" spans="58:59" x14ac:dyDescent="0.25">
      <c r="BF181" t="s">
        <v>574</v>
      </c>
      <c r="BG181" t="s">
        <v>284</v>
      </c>
    </row>
    <row r="182" spans="58:59" x14ac:dyDescent="0.25">
      <c r="BF182" t="s">
        <v>575</v>
      </c>
      <c r="BG182" t="s">
        <v>284</v>
      </c>
    </row>
    <row r="183" spans="58:59" x14ac:dyDescent="0.25">
      <c r="BF183" t="s">
        <v>576</v>
      </c>
      <c r="BG183" t="s">
        <v>284</v>
      </c>
    </row>
    <row r="184" spans="58:59" x14ac:dyDescent="0.25">
      <c r="BF184" t="s">
        <v>577</v>
      </c>
      <c r="BG184" t="s">
        <v>284</v>
      </c>
    </row>
    <row r="185" spans="58:59" x14ac:dyDescent="0.25">
      <c r="BF185" t="s">
        <v>578</v>
      </c>
      <c r="BG185" t="s">
        <v>284</v>
      </c>
    </row>
    <row r="186" spans="58:59" x14ac:dyDescent="0.25">
      <c r="BF186" t="s">
        <v>579</v>
      </c>
      <c r="BG186" t="s">
        <v>284</v>
      </c>
    </row>
    <row r="187" spans="58:59" x14ac:dyDescent="0.25">
      <c r="BF187" t="s">
        <v>580</v>
      </c>
      <c r="BG187" t="s">
        <v>284</v>
      </c>
    </row>
    <row r="188" spans="58:59" x14ac:dyDescent="0.25">
      <c r="BF188" t="s">
        <v>581</v>
      </c>
      <c r="BG188" t="s">
        <v>284</v>
      </c>
    </row>
    <row r="189" spans="58:59" x14ac:dyDescent="0.25">
      <c r="BF189" t="s">
        <v>582</v>
      </c>
      <c r="BG189" t="s">
        <v>284</v>
      </c>
    </row>
    <row r="190" spans="58:59" x14ac:dyDescent="0.25">
      <c r="BF190" t="s">
        <v>583</v>
      </c>
      <c r="BG190" t="s">
        <v>284</v>
      </c>
    </row>
    <row r="191" spans="58:59" x14ac:dyDescent="0.25">
      <c r="BF191" t="s">
        <v>584</v>
      </c>
      <c r="BG191" t="s">
        <v>284</v>
      </c>
    </row>
    <row r="192" spans="58:59" x14ac:dyDescent="0.25">
      <c r="BF192" t="s">
        <v>585</v>
      </c>
      <c r="BG192" t="s">
        <v>284</v>
      </c>
    </row>
    <row r="193" spans="58:59" x14ac:dyDescent="0.25">
      <c r="BF193" t="s">
        <v>586</v>
      </c>
      <c r="BG193" t="s">
        <v>284</v>
      </c>
    </row>
    <row r="194" spans="58:59" x14ac:dyDescent="0.25">
      <c r="BF194" t="s">
        <v>587</v>
      </c>
      <c r="BG194" t="s">
        <v>284</v>
      </c>
    </row>
    <row r="195" spans="58:59" x14ac:dyDescent="0.25">
      <c r="BF195" t="s">
        <v>588</v>
      </c>
      <c r="BG195" t="s">
        <v>284</v>
      </c>
    </row>
    <row r="196" spans="58:59" x14ac:dyDescent="0.25">
      <c r="BF196" t="s">
        <v>589</v>
      </c>
      <c r="BG196" t="s">
        <v>695</v>
      </c>
    </row>
    <row r="197" spans="58:59" x14ac:dyDescent="0.25">
      <c r="BF197" t="s">
        <v>590</v>
      </c>
      <c r="BG197" t="s">
        <v>284</v>
      </c>
    </row>
    <row r="198" spans="58:59" x14ac:dyDescent="0.25">
      <c r="BF198" t="s">
        <v>591</v>
      </c>
      <c r="BG198" t="s">
        <v>284</v>
      </c>
    </row>
    <row r="199" spans="58:59" x14ac:dyDescent="0.25">
      <c r="BF199" t="s">
        <v>592</v>
      </c>
      <c r="BG199" t="s">
        <v>284</v>
      </c>
    </row>
    <row r="200" spans="58:59" x14ac:dyDescent="0.25">
      <c r="BF200" t="s">
        <v>593</v>
      </c>
      <c r="BG200" t="s">
        <v>695</v>
      </c>
    </row>
    <row r="201" spans="58:59" x14ac:dyDescent="0.25">
      <c r="BF201" t="s">
        <v>594</v>
      </c>
      <c r="BG201" t="s">
        <v>284</v>
      </c>
    </row>
    <row r="202" spans="58:59" x14ac:dyDescent="0.25">
      <c r="BF202" t="s">
        <v>595</v>
      </c>
      <c r="BG202" t="s">
        <v>284</v>
      </c>
    </row>
    <row r="203" spans="58:59" x14ac:dyDescent="0.25">
      <c r="BF203" t="s">
        <v>596</v>
      </c>
      <c r="BG203" t="s">
        <v>695</v>
      </c>
    </row>
    <row r="204" spans="58:59" x14ac:dyDescent="0.25">
      <c r="BF204" t="s">
        <v>597</v>
      </c>
      <c r="BG204" t="s">
        <v>284</v>
      </c>
    </row>
    <row r="205" spans="58:59" x14ac:dyDescent="0.25">
      <c r="BF205" t="s">
        <v>598</v>
      </c>
      <c r="BG205" t="s">
        <v>284</v>
      </c>
    </row>
    <row r="206" spans="58:59" x14ac:dyDescent="0.25">
      <c r="BF206" t="s">
        <v>599</v>
      </c>
      <c r="BG206" t="s">
        <v>319</v>
      </c>
    </row>
    <row r="207" spans="58:59" x14ac:dyDescent="0.25">
      <c r="BF207" t="s">
        <v>600</v>
      </c>
      <c r="BG207" t="s">
        <v>284</v>
      </c>
    </row>
    <row r="208" spans="58:59" x14ac:dyDescent="0.25">
      <c r="BF208" t="s">
        <v>601</v>
      </c>
      <c r="BG208" t="s">
        <v>284</v>
      </c>
    </row>
    <row r="209" spans="58:59" x14ac:dyDescent="0.25">
      <c r="BF209" t="s">
        <v>602</v>
      </c>
      <c r="BG209" t="s">
        <v>284</v>
      </c>
    </row>
    <row r="210" spans="58:59" x14ac:dyDescent="0.25">
      <c r="BF210" t="s">
        <v>603</v>
      </c>
      <c r="BG210" t="s">
        <v>284</v>
      </c>
    </row>
    <row r="211" spans="58:59" x14ac:dyDescent="0.25">
      <c r="BF211" t="s">
        <v>604</v>
      </c>
      <c r="BG211" t="s">
        <v>284</v>
      </c>
    </row>
    <row r="212" spans="58:59" x14ac:dyDescent="0.25">
      <c r="BF212" t="s">
        <v>605</v>
      </c>
      <c r="BG212" t="s">
        <v>284</v>
      </c>
    </row>
    <row r="213" spans="58:59" x14ac:dyDescent="0.25">
      <c r="BF213" t="s">
        <v>606</v>
      </c>
      <c r="BG213" t="s">
        <v>284</v>
      </c>
    </row>
    <row r="214" spans="58:59" x14ac:dyDescent="0.25">
      <c r="BF214" t="s">
        <v>607</v>
      </c>
      <c r="BG214" t="s">
        <v>695</v>
      </c>
    </row>
    <row r="215" spans="58:59" x14ac:dyDescent="0.25">
      <c r="BF215" t="s">
        <v>608</v>
      </c>
      <c r="BG215" t="s">
        <v>311</v>
      </c>
    </row>
    <row r="216" spans="58:59" x14ac:dyDescent="0.25">
      <c r="BF216" t="s">
        <v>609</v>
      </c>
      <c r="BG216" t="s">
        <v>284</v>
      </c>
    </row>
    <row r="217" spans="58:59" x14ac:dyDescent="0.25">
      <c r="BF217" t="s">
        <v>610</v>
      </c>
      <c r="BG217" t="s">
        <v>695</v>
      </c>
    </row>
    <row r="218" spans="58:59" x14ac:dyDescent="0.25">
      <c r="BF218" t="s">
        <v>611</v>
      </c>
      <c r="BG218" t="s">
        <v>284</v>
      </c>
    </row>
    <row r="219" spans="58:59" x14ac:dyDescent="0.25">
      <c r="BF219" t="s">
        <v>612</v>
      </c>
      <c r="BG219" t="s">
        <v>284</v>
      </c>
    </row>
    <row r="220" spans="58:59" x14ac:dyDescent="0.25">
      <c r="BF220" t="s">
        <v>613</v>
      </c>
      <c r="BG220" t="s">
        <v>284</v>
      </c>
    </row>
    <row r="221" spans="58:59" x14ac:dyDescent="0.25">
      <c r="BF221" t="s">
        <v>614</v>
      </c>
      <c r="BG221" t="s">
        <v>284</v>
      </c>
    </row>
    <row r="222" spans="58:59" x14ac:dyDescent="0.25">
      <c r="BF222" t="s">
        <v>615</v>
      </c>
      <c r="BG222" t="s">
        <v>284</v>
      </c>
    </row>
    <row r="223" spans="58:59" x14ac:dyDescent="0.25">
      <c r="BF223" t="s">
        <v>616</v>
      </c>
      <c r="BG223" t="s">
        <v>741</v>
      </c>
    </row>
    <row r="224" spans="58:59" x14ac:dyDescent="0.25">
      <c r="BF224" t="s">
        <v>617</v>
      </c>
      <c r="BG224" t="s">
        <v>695</v>
      </c>
    </row>
    <row r="225" spans="58:59" x14ac:dyDescent="0.25">
      <c r="BF225" t="s">
        <v>750</v>
      </c>
      <c r="BG225" t="s">
        <v>284</v>
      </c>
    </row>
    <row r="226" spans="58:59" x14ac:dyDescent="0.25">
      <c r="BF226" t="s">
        <v>618</v>
      </c>
      <c r="BG226" t="s">
        <v>284</v>
      </c>
    </row>
    <row r="227" spans="58:59" x14ac:dyDescent="0.25">
      <c r="BF227" t="s">
        <v>619</v>
      </c>
      <c r="BG227" t="s">
        <v>284</v>
      </c>
    </row>
    <row r="228" spans="58:59" x14ac:dyDescent="0.25">
      <c r="BF228" t="s">
        <v>620</v>
      </c>
      <c r="BG228" t="s">
        <v>284</v>
      </c>
    </row>
    <row r="229" spans="58:59" x14ac:dyDescent="0.25">
      <c r="BF229" t="s">
        <v>621</v>
      </c>
      <c r="BG229" t="s">
        <v>284</v>
      </c>
    </row>
    <row r="230" spans="58:59" x14ac:dyDescent="0.25">
      <c r="BF230" t="s">
        <v>622</v>
      </c>
      <c r="BG230" t="s">
        <v>284</v>
      </c>
    </row>
    <row r="231" spans="58:59" x14ac:dyDescent="0.25">
      <c r="BF231" t="s">
        <v>623</v>
      </c>
      <c r="BG231" t="s">
        <v>319</v>
      </c>
    </row>
    <row r="232" spans="58:59" x14ac:dyDescent="0.25">
      <c r="BF232" t="s">
        <v>624</v>
      </c>
      <c r="BG232" t="s">
        <v>284</v>
      </c>
    </row>
    <row r="233" spans="58:59" x14ac:dyDescent="0.25">
      <c r="BF233" t="s">
        <v>625</v>
      </c>
      <c r="BG233" t="s">
        <v>284</v>
      </c>
    </row>
    <row r="234" spans="58:59" x14ac:dyDescent="0.25">
      <c r="BF234" t="s">
        <v>626</v>
      </c>
      <c r="BG234" t="s">
        <v>284</v>
      </c>
    </row>
    <row r="235" spans="58:59" x14ac:dyDescent="0.25">
      <c r="BF235" t="s">
        <v>627</v>
      </c>
      <c r="BG235" t="s">
        <v>284</v>
      </c>
    </row>
    <row r="236" spans="58:59" x14ac:dyDescent="0.25">
      <c r="BF236" t="s">
        <v>628</v>
      </c>
      <c r="BG236" t="s">
        <v>284</v>
      </c>
    </row>
    <row r="237" spans="58:59" x14ac:dyDescent="0.25">
      <c r="BF237" t="s">
        <v>629</v>
      </c>
      <c r="BG237" t="s">
        <v>284</v>
      </c>
    </row>
    <row r="238" spans="58:59" x14ac:dyDescent="0.25">
      <c r="BF238" t="s">
        <v>630</v>
      </c>
      <c r="BG238" t="s">
        <v>284</v>
      </c>
    </row>
    <row r="239" spans="58:59" x14ac:dyDescent="0.25">
      <c r="BF239" t="s">
        <v>631</v>
      </c>
      <c r="BG239" t="s">
        <v>284</v>
      </c>
    </row>
    <row r="240" spans="58:59" x14ac:dyDescent="0.25">
      <c r="BF240" t="s">
        <v>632</v>
      </c>
      <c r="BG240" t="s">
        <v>284</v>
      </c>
    </row>
    <row r="241" spans="58:59" x14ac:dyDescent="0.25">
      <c r="BF241" t="s">
        <v>633</v>
      </c>
      <c r="BG241" t="s">
        <v>284</v>
      </c>
    </row>
    <row r="242" spans="58:59" x14ac:dyDescent="0.25">
      <c r="BF242" t="s">
        <v>634</v>
      </c>
      <c r="BG242" t="s">
        <v>284</v>
      </c>
    </row>
    <row r="243" spans="58:59" x14ac:dyDescent="0.25">
      <c r="BF243" t="s">
        <v>635</v>
      </c>
      <c r="BG243" t="s">
        <v>284</v>
      </c>
    </row>
    <row r="244" spans="58:59" x14ac:dyDescent="0.25">
      <c r="BF244" t="s">
        <v>636</v>
      </c>
      <c r="BG244" t="s">
        <v>284</v>
      </c>
    </row>
    <row r="245" spans="58:59" x14ac:dyDescent="0.25">
      <c r="BF245" t="s">
        <v>637</v>
      </c>
      <c r="BG245" t="s">
        <v>284</v>
      </c>
    </row>
    <row r="246" spans="58:59" x14ac:dyDescent="0.25">
      <c r="BF246" t="s">
        <v>638</v>
      </c>
      <c r="BG246" t="s">
        <v>284</v>
      </c>
    </row>
    <row r="247" spans="58:59" x14ac:dyDescent="0.25">
      <c r="BF247" t="s">
        <v>731</v>
      </c>
      <c r="BG247" t="s">
        <v>313</v>
      </c>
    </row>
    <row r="248" spans="58:59" x14ac:dyDescent="0.25">
      <c r="BF248" t="s">
        <v>639</v>
      </c>
      <c r="BG248" t="s">
        <v>313</v>
      </c>
    </row>
    <row r="249" spans="58:59" x14ac:dyDescent="0.25">
      <c r="BF249" t="s">
        <v>640</v>
      </c>
      <c r="BG249" t="s">
        <v>695</v>
      </c>
    </row>
    <row r="250" spans="58:59" x14ac:dyDescent="0.25">
      <c r="BF250" t="s">
        <v>641</v>
      </c>
      <c r="BG250" t="s">
        <v>695</v>
      </c>
    </row>
    <row r="251" spans="58:59" x14ac:dyDescent="0.25">
      <c r="BF251" t="s">
        <v>642</v>
      </c>
      <c r="BG251" t="s">
        <v>695</v>
      </c>
    </row>
    <row r="252" spans="58:59" x14ac:dyDescent="0.25">
      <c r="BF252" t="s">
        <v>643</v>
      </c>
      <c r="BG252" t="s">
        <v>695</v>
      </c>
    </row>
    <row r="253" spans="58:59" x14ac:dyDescent="0.25">
      <c r="BF253" t="s">
        <v>644</v>
      </c>
      <c r="BG253" t="s">
        <v>313</v>
      </c>
    </row>
    <row r="254" spans="58:59" x14ac:dyDescent="0.25">
      <c r="BF254" t="s">
        <v>645</v>
      </c>
      <c r="BG254" t="s">
        <v>313</v>
      </c>
    </row>
    <row r="255" spans="58:59" x14ac:dyDescent="0.25">
      <c r="BF255" t="s">
        <v>646</v>
      </c>
      <c r="BG255" t="s">
        <v>313</v>
      </c>
    </row>
    <row r="256" spans="58:59" x14ac:dyDescent="0.25">
      <c r="BF256" t="s">
        <v>647</v>
      </c>
      <c r="BG256" t="s">
        <v>313</v>
      </c>
    </row>
    <row r="257" spans="58:59" x14ac:dyDescent="0.25">
      <c r="BF257" t="s">
        <v>648</v>
      </c>
      <c r="BG257" t="s">
        <v>695</v>
      </c>
    </row>
    <row r="258" spans="58:59" x14ac:dyDescent="0.25">
      <c r="BF258" t="s">
        <v>730</v>
      </c>
      <c r="BG258" t="s">
        <v>311</v>
      </c>
    </row>
    <row r="259" spans="58:59" x14ac:dyDescent="0.25">
      <c r="BF259" t="s">
        <v>729</v>
      </c>
      <c r="BG259" t="s">
        <v>311</v>
      </c>
    </row>
    <row r="260" spans="58:59" x14ac:dyDescent="0.25">
      <c r="BF260" t="s">
        <v>401</v>
      </c>
      <c r="BG260" t="s">
        <v>311</v>
      </c>
    </row>
    <row r="261" spans="58:59" x14ac:dyDescent="0.25">
      <c r="BF261" t="s">
        <v>753</v>
      </c>
      <c r="BG261" t="s">
        <v>695</v>
      </c>
    </row>
    <row r="262" spans="58:59" x14ac:dyDescent="0.25">
      <c r="BF262" t="s">
        <v>752</v>
      </c>
      <c r="BG262" t="s">
        <v>695</v>
      </c>
    </row>
    <row r="263" spans="58:59" x14ac:dyDescent="0.25">
      <c r="BF263" t="s">
        <v>754</v>
      </c>
      <c r="BG263" t="s">
        <v>695</v>
      </c>
    </row>
    <row r="264" spans="58:59" x14ac:dyDescent="0.25">
      <c r="BF264" t="s">
        <v>755</v>
      </c>
      <c r="BG264" t="s">
        <v>311</v>
      </c>
    </row>
    <row r="265" spans="58:59" x14ac:dyDescent="0.25">
      <c r="BF265" t="s">
        <v>756</v>
      </c>
      <c r="BG265" t="s">
        <v>311</v>
      </c>
    </row>
    <row r="266" spans="58:59" x14ac:dyDescent="0.25">
      <c r="BF266" t="s">
        <v>877</v>
      </c>
      <c r="BG266" t="s">
        <v>311</v>
      </c>
    </row>
    <row r="267" spans="58:59" x14ac:dyDescent="0.25">
      <c r="BF267" t="s">
        <v>878</v>
      </c>
      <c r="BG267" t="s">
        <v>311</v>
      </c>
    </row>
    <row r="268" spans="58:59" x14ac:dyDescent="0.25">
      <c r="BF268" t="s">
        <v>879</v>
      </c>
      <c r="BG268" t="s">
        <v>695</v>
      </c>
    </row>
    <row r="269" spans="58:59" x14ac:dyDescent="0.25">
      <c r="BF269" t="s">
        <v>880</v>
      </c>
      <c r="BG269" t="s">
        <v>695</v>
      </c>
    </row>
    <row r="270" spans="58:59" x14ac:dyDescent="0.25">
      <c r="BF270" t="s">
        <v>881</v>
      </c>
      <c r="BG270" t="s">
        <v>313</v>
      </c>
    </row>
    <row r="271" spans="58:59" x14ac:dyDescent="0.25">
      <c r="BF271" t="s">
        <v>882</v>
      </c>
    </row>
  </sheetData>
  <autoFilter ref="BF2:BG280" xr:uid="{1920F90E-DDDC-4BCE-A34D-E0CA7AEC5E25}">
    <sortState xmlns:xlrd2="http://schemas.microsoft.com/office/spreadsheetml/2017/richdata2" ref="BF3:BG284">
      <sortCondition ref="BF2:BF284"/>
    </sortState>
  </autoFilter>
  <mergeCells count="22">
    <mergeCell ref="AS2:AU2"/>
    <mergeCell ref="AP2:AQ2"/>
    <mergeCell ref="Y2:Z2"/>
    <mergeCell ref="AD2:AF2"/>
    <mergeCell ref="U2:W2"/>
    <mergeCell ref="AH2:AJ2"/>
    <mergeCell ref="AL2:AN2"/>
    <mergeCell ref="CA2:CB2"/>
    <mergeCell ref="BX2:BY2"/>
    <mergeCell ref="AZ2:BA2"/>
    <mergeCell ref="AW2:AX2"/>
    <mergeCell ref="BC2:BD2"/>
    <mergeCell ref="BI2:BJ2"/>
    <mergeCell ref="BM2:BN2"/>
    <mergeCell ref="BQ2:BR2"/>
    <mergeCell ref="BT2:BU2"/>
    <mergeCell ref="B2:C2"/>
    <mergeCell ref="E2:F2"/>
    <mergeCell ref="H2:I2"/>
    <mergeCell ref="O2:P2"/>
    <mergeCell ref="R2:S2"/>
    <mergeCell ref="K2:M2"/>
  </mergeCells>
  <phoneticPr fontId="8" type="noConversion"/>
  <dataValidations disablePrompts="1" count="1">
    <dataValidation type="list" allowBlank="1" showInputMessage="1" showErrorMessage="1" sqref="BF138" xr:uid="{4FBC9D9E-7ACD-4026-BE49-5DDDFC38051F}">
      <formula1>list_size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95</vt:i4>
      </vt:variant>
    </vt:vector>
  </HeadingPairs>
  <TitlesOfParts>
    <vt:vector size="100" baseType="lpstr">
      <vt:lpstr>Campanha</vt:lpstr>
      <vt:lpstr>ADP</vt:lpstr>
      <vt:lpstr>ID's</vt:lpstr>
      <vt:lpstr>Contadores</vt:lpstr>
      <vt:lpstr>All Codes</vt:lpstr>
      <vt:lpstr>adchan</vt:lpstr>
      <vt:lpstr>adcr</vt:lpstr>
      <vt:lpstr>adpay</vt:lpstr>
      <vt:lpstr>adpl</vt:lpstr>
      <vt:lpstr>adplt</vt:lpstr>
      <vt:lpstr>campaign</vt:lpstr>
      <vt:lpstr>cel_campaing</vt:lpstr>
      <vt:lpstr>cel_country</vt:lpstr>
      <vt:lpstr>cel_freefield</vt:lpstr>
      <vt:lpstr>cel_idcampaign</vt:lpstr>
      <vt:lpstr>cel_idcampaignname</vt:lpstr>
      <vt:lpstr>cel_mediachannel</vt:lpstr>
      <vt:lpstr>cel_modelvariant</vt:lpstr>
      <vt:lpstr>cel_name</vt:lpstr>
      <vt:lpstr>cel_planningprinciple</vt:lpstr>
      <vt:lpstr>cel_structurename</vt:lpstr>
      <vt:lpstr>col_adlid</vt:lpstr>
      <vt:lpstr>col_adname</vt:lpstr>
      <vt:lpstr>col_buyingmetric</vt:lpstr>
      <vt:lpstr>col_buyingtype</vt:lpstr>
      <vt:lpstr>col_campanhaanunciante</vt:lpstr>
      <vt:lpstr>col_device</vt:lpstr>
      <vt:lpstr>col_grupoanunciante</vt:lpstr>
      <vt:lpstr>col_keyword</vt:lpstr>
      <vt:lpstr>col_linhacriativa2</vt:lpstr>
      <vt:lpstr>col_localfreetype</vt:lpstr>
      <vt:lpstr>col_objetivo</vt:lpstr>
      <vt:lpstr>col_paidvsav</vt:lpstr>
      <vt:lpstr>col_parametrizacao</vt:lpstr>
      <vt:lpstr>col_placement</vt:lpstr>
      <vt:lpstr>col_segmentacao</vt:lpstr>
      <vt:lpstr>col_segmentacaodeanun</vt:lpstr>
      <vt:lpstr>col_servidopor</vt:lpstr>
      <vt:lpstr>col_sitesection</vt:lpstr>
      <vt:lpstr>col_size</vt:lpstr>
      <vt:lpstr>col_submediachannel</vt:lpstr>
      <vt:lpstr>col_supplier</vt:lpstr>
      <vt:lpstr>col_trackingtype</vt:lpstr>
      <vt:lpstr>col_unitname</vt:lpstr>
      <vt:lpstr>col_url</vt:lpstr>
      <vt:lpstr>col_utmcampaign</vt:lpstr>
      <vt:lpstr>col_utmcontent</vt:lpstr>
      <vt:lpstr>col_utmmedium</vt:lpstr>
      <vt:lpstr>col_utmsource</vt:lpstr>
      <vt:lpstr>country</vt:lpstr>
      <vt:lpstr>format</vt:lpstr>
      <vt:lpstr>id_placement</vt:lpstr>
      <vt:lpstr>language</vt:lpstr>
      <vt:lpstr>list_brand</vt:lpstr>
      <vt:lpstr>list_buyingmetric</vt:lpstr>
      <vt:lpstr>list_buyingtype</vt:lpstr>
      <vt:lpstr>list_campaigncategory</vt:lpstr>
      <vt:lpstr>list_campaigntype</vt:lpstr>
      <vt:lpstr>list_country</vt:lpstr>
      <vt:lpstr>list_date</vt:lpstr>
      <vt:lpstr>list_device</vt:lpstr>
      <vt:lpstr>list_mediachannel</vt:lpstr>
      <vt:lpstr>list_model</vt:lpstr>
      <vt:lpstr>list_modelvariant</vt:lpstr>
      <vt:lpstr>list_paidvsav</vt:lpstr>
      <vt:lpstr>list_planningprinciple</vt:lpstr>
      <vt:lpstr>list_servidopor</vt:lpstr>
      <vt:lpstr>list_site</vt:lpstr>
      <vt:lpstr>list_sitesection</vt:lpstr>
      <vt:lpstr>list_size</vt:lpstr>
      <vt:lpstr>list_strategyphase</vt:lpstr>
      <vt:lpstr>list_submediachannel</vt:lpstr>
      <vt:lpstr>list_trackingtype</vt:lpstr>
      <vt:lpstr>list_type</vt:lpstr>
      <vt:lpstr>list_unitname</vt:lpstr>
      <vt:lpstr>publisher</vt:lpstr>
      <vt:lpstr>tab_buyingmetric</vt:lpstr>
      <vt:lpstr>tab_buyingtype</vt:lpstr>
      <vt:lpstr>tab_campaigncategory</vt:lpstr>
      <vt:lpstr>tab_campaigntype</vt:lpstr>
      <vt:lpstr>'ID''s'!tab_contadores</vt:lpstr>
      <vt:lpstr>tab_contadores</vt:lpstr>
      <vt:lpstr>tab_country</vt:lpstr>
      <vt:lpstr>tab_date</vt:lpstr>
      <vt:lpstr>tab_device</vt:lpstr>
      <vt:lpstr>tab_mediachannel</vt:lpstr>
      <vt:lpstr>tab_model</vt:lpstr>
      <vt:lpstr>tab_modelvariant</vt:lpstr>
      <vt:lpstr>tab_objetivo</vt:lpstr>
      <vt:lpstr>tab_paidvsav</vt:lpstr>
      <vt:lpstr>tab_parametrizacao</vt:lpstr>
      <vt:lpstr>tab_planningprinciple</vt:lpstr>
      <vt:lpstr>tab_sitesection</vt:lpstr>
      <vt:lpstr>tab_strategyphase</vt:lpstr>
      <vt:lpstr>tab_submediachannel</vt:lpstr>
      <vt:lpstr>tab_trackingtype</vt:lpstr>
      <vt:lpstr>tab_type</vt:lpstr>
      <vt:lpstr>tab_unitname</vt:lpstr>
      <vt:lpstr>url_adobe</vt:lpstr>
      <vt:lpstr>url_ga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Yoshio Nishisaki - Almap BBDO;wilson.silva@almapbbdo.com.br</dc:creator>
  <cp:lastModifiedBy>César Augusto Lima do Nascimento - Almap BBDO</cp:lastModifiedBy>
  <cp:lastPrinted>2019-04-17T19:18:50Z</cp:lastPrinted>
  <dcterms:created xsi:type="dcterms:W3CDTF">2019-01-30T17:15:32Z</dcterms:created>
  <dcterms:modified xsi:type="dcterms:W3CDTF">2020-10-08T14:48:51Z</dcterms:modified>
</cp:coreProperties>
</file>