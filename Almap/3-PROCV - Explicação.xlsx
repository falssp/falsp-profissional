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Projetos\Workshops\Excel - Analisar e Automatizar Planilhas\Arquivos Originais\"/>
    </mc:Choice>
  </mc:AlternateContent>
  <xr:revisionPtr revIDLastSave="0" documentId="13_ncr:1_{C88F455A-FC69-425A-84D1-67D902ED35CF}" xr6:coauthVersionLast="41" xr6:coauthVersionMax="41" xr10:uidLastSave="{00000000-0000-0000-0000-000000000000}"/>
  <bookViews>
    <workbookView xWindow="-120" yWindow="-120" windowWidth="20730" windowHeight="11160" xr2:uid="{B0135298-5F00-45F5-BE24-4669B5BA0799}"/>
  </bookViews>
  <sheets>
    <sheet name="DePara - Aula" sheetId="8" r:id="rId1"/>
    <sheet name="DePara - Final" sheetId="5" r:id="rId2"/>
    <sheet name="PROCV - Aula" sheetId="9" r:id="rId3"/>
    <sheet name="PROCV - Final" sheetId="4" r:id="rId4"/>
    <sheet name="PROCH e CORRESP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6" l="1"/>
  <c r="C8" i="6"/>
  <c r="F2" i="4"/>
  <c r="G2" i="4"/>
  <c r="G3" i="4"/>
  <c r="G4" i="4"/>
  <c r="G5" i="4"/>
  <c r="F3" i="4"/>
  <c r="F4" i="4"/>
  <c r="F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075921-06B6-47E8-9885-5F974E7C6990}" keepAlive="1" name="Consulta - Nota de 2020" description="Conexão com a consulta 'Nota de 2020' na pasta de trabalho." type="5" refreshedVersion="6" background="1" saveData="1">
    <dbPr connection="Provider=Microsoft.Mashup.OleDb.1;Data Source=$Workbook$;Location=Nota de 2020;Extended Properties=&quot;&quot;" command="SELECT * FROM [Nota de 2020]"/>
  </connection>
</connections>
</file>

<file path=xl/sharedStrings.xml><?xml version="1.0" encoding="utf-8"?>
<sst xmlns="http://schemas.openxmlformats.org/spreadsheetml/2006/main" count="79" uniqueCount="41">
  <si>
    <t>De</t>
  </si>
  <si>
    <t>Para</t>
  </si>
  <si>
    <t>DePara Cliente</t>
  </si>
  <si>
    <t>Cliente</t>
  </si>
  <si>
    <t>PI</t>
  </si>
  <si>
    <t>VW (*)</t>
  </si>
  <si>
    <t>O Boticario</t>
  </si>
  <si>
    <t>VRG</t>
  </si>
  <si>
    <t>Valor</t>
  </si>
  <si>
    <t>Meio</t>
  </si>
  <si>
    <t>INTERNET</t>
  </si>
  <si>
    <t>TV</t>
  </si>
  <si>
    <t>MOBILE</t>
  </si>
  <si>
    <t>REVISTA</t>
  </si>
  <si>
    <t>Data Veiculação</t>
  </si>
  <si>
    <t>Volkswagen</t>
  </si>
  <si>
    <t>Boticário</t>
  </si>
  <si>
    <t>Gol</t>
  </si>
  <si>
    <t>Cliente ok</t>
  </si>
  <si>
    <t>Meio ok</t>
  </si>
  <si>
    <t>Televisão</t>
  </si>
  <si>
    <t>Internet</t>
  </si>
  <si>
    <t>Revista</t>
  </si>
  <si>
    <t>DePara Meio</t>
  </si>
  <si>
    <t>Jan</t>
  </si>
  <si>
    <t>Fev</t>
  </si>
  <si>
    <t>Mar</t>
  </si>
  <si>
    <t>Abr</t>
  </si>
  <si>
    <t>VW</t>
  </si>
  <si>
    <t>Mai</t>
  </si>
  <si>
    <t>Jun</t>
  </si>
  <si>
    <t>Jul</t>
  </si>
  <si>
    <t>Ago</t>
  </si>
  <si>
    <t>Set</t>
  </si>
  <si>
    <t>Out</t>
  </si>
  <si>
    <t>Nov</t>
  </si>
  <si>
    <t>Dez</t>
  </si>
  <si>
    <t>Mês:</t>
  </si>
  <si>
    <t>PROCH</t>
  </si>
  <si>
    <t>CORRESP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</si>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</sst>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_ ;[Red]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17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4" borderId="0" xfId="0" applyFill="1"/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10">
    <dxf>
      <numFmt numFmtId="0" formatCode="General"/>
      <fill>
        <patternFill patternType="solid">
          <fgColor indexed="64"/>
          <bgColor theme="5" tint="0.79998168889431442"/>
        </patternFill>
      </fill>
    </dxf>
    <dxf>
      <numFmt numFmtId="0" formatCode="General"/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22" formatCode="m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22" formatCode="m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42E3B-046A-49EE-9686-674350CABF22}" name="DeParaCliente" displayName="DeParaCliente" ref="A2:B5" totalsRowShown="0">
  <autoFilter ref="A2:B5" xr:uid="{EB48DA54-64F1-49FA-B2CC-AABE921B5221}"/>
  <tableColumns count="2">
    <tableColumn id="1" xr3:uid="{4C499A96-A90E-4E07-85E1-F88850797154}" name="De"/>
    <tableColumn id="2" xr3:uid="{E62E1F56-3DD1-4E6F-A650-F3E8D491016C}" name="Para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90C9935-9B21-4F47-B9B2-E209D948C53D}" name="DeParaMeio" displayName="DeParaMeio" ref="D2:E6" totalsRowShown="0">
  <autoFilter ref="D2:E6" xr:uid="{4458CFF7-94D5-46DE-9E4B-4EF3ABC1EAA5}"/>
  <tableColumns count="2">
    <tableColumn id="1" xr3:uid="{E6CF6E1E-3624-417A-87AA-0F5F61E0D811}" name="De"/>
    <tableColumn id="2" xr3:uid="{514F7A62-9AF1-47A0-BC2A-26364F93A9D1}" name="Para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A392415-BEB0-4828-B362-54FC246E41F7}" name="Tabela18" displayName="Tabela18" ref="A1:G5" totalsRowShown="0" headerRowDxfId="9">
  <autoFilter ref="A1:G5" xr:uid="{AEF4A592-B86F-45F5-996B-34E00D9CB198}"/>
  <tableColumns count="7">
    <tableColumn id="1" xr3:uid="{3A68CE5B-975B-4526-AD6D-10A2D4C34190}" name="PI"/>
    <tableColumn id="2" xr3:uid="{DE1BDC64-3E8F-4EC8-A208-6A2A941E283F}" name="Cliente"/>
    <tableColumn id="3" xr3:uid="{53A3E90E-213D-437C-AA5D-DC0AC98ADF15}" name="Data Veiculação" dataDxfId="8"/>
    <tableColumn id="4" xr3:uid="{938C1B0D-847F-4120-B065-846DBDDF75A7}" name="Meio"/>
    <tableColumn id="5" xr3:uid="{ED8E011C-4967-47E1-9FA4-A77E797B2707}" name="Valor" dataDxfId="7"/>
    <tableColumn id="6" xr3:uid="{19CD354B-3CF7-4A74-9752-A9FB8DEE99E1}" name="Cliente ok" dataDxfId="6"/>
    <tableColumn id="7" xr3:uid="{EEBB4145-2001-43BD-B043-80C99965A658}" name="Meio ok" dataDxfId="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64BB8E-2F14-4684-A4D7-B13EC1326318}" name="Tabela1" displayName="Tabela1" ref="A1:G5" totalsRowShown="0" headerRowDxfId="4">
  <autoFilter ref="A1:G5" xr:uid="{AEF4A592-B86F-45F5-996B-34E00D9CB198}"/>
  <tableColumns count="7">
    <tableColumn id="1" xr3:uid="{144A1B7C-797D-46BB-99AB-9456FB2C9873}" name="PI"/>
    <tableColumn id="2" xr3:uid="{4F6D1E97-EEBC-41CE-A2DB-D5DC4CF8270C}" name="Cliente"/>
    <tableColumn id="3" xr3:uid="{5775BC89-6D0B-463A-A63F-CB47DFC783F4}" name="Data Veiculação" dataDxfId="3"/>
    <tableColumn id="4" xr3:uid="{42FA351E-97DB-4390-9FBB-3C7B9CE4BA96}" name="Meio"/>
    <tableColumn id="5" xr3:uid="{32438693-1547-4590-9F35-F5CAAE90DAA6}" name="Valor" dataDxfId="2"/>
    <tableColumn id="6" xr3:uid="{2FA17D86-BE4D-468F-B4E7-5982BC55FE08}" name="Cliente ok" dataDxfId="1">
      <calculatedColumnFormula>VLOOKUP(Tabela1[[#This Row],[Cliente]],DeParaCliente[],2,0)</calculatedColumnFormula>
    </tableColumn>
    <tableColumn id="7" xr3:uid="{81B33B8F-966E-4090-A544-5BA3A382FE1F}" name="Meio ok" dataDxfId="0">
      <calculatedColumnFormula>VLOOKUP(Tabela1[[#This Row],[Meio]],DeParaMeio[],2,0)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A271-472E-4388-8BF8-E9E3EF2F826D}">
  <dimension ref="A1:E2"/>
  <sheetViews>
    <sheetView showGridLines="0" tabSelected="1" workbookViewId="0"/>
  </sheetViews>
  <sheetFormatPr defaultRowHeight="15" x14ac:dyDescent="0.25"/>
  <cols>
    <col min="1" max="1" width="14.28515625" bestFit="1" customWidth="1"/>
    <col min="2" max="2" width="11.7109375" bestFit="1" customWidth="1"/>
    <col min="4" max="4" width="9.5703125" bestFit="1" customWidth="1"/>
    <col min="5" max="5" width="9.5703125" customWidth="1"/>
  </cols>
  <sheetData>
    <row r="1" spans="1:5" x14ac:dyDescent="0.25">
      <c r="A1" s="5" t="s">
        <v>2</v>
      </c>
      <c r="B1" s="6"/>
      <c r="D1" s="5" t="s">
        <v>23</v>
      </c>
      <c r="E1" s="6"/>
    </row>
    <row r="2" spans="1:5" x14ac:dyDescent="0.25">
      <c r="A2" t="s">
        <v>0</v>
      </c>
      <c r="B2" t="s">
        <v>1</v>
      </c>
      <c r="D2" t="s">
        <v>0</v>
      </c>
      <c r="E2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57F2-49CD-49A3-B998-A2665DF6CB1D}">
  <dimension ref="A1:E6"/>
  <sheetViews>
    <sheetView showGridLines="0" workbookViewId="0">
      <selection activeCell="D1" sqref="D1:E2"/>
    </sheetView>
  </sheetViews>
  <sheetFormatPr defaultRowHeight="15" x14ac:dyDescent="0.25"/>
  <cols>
    <col min="1" max="1" width="14.28515625" bestFit="1" customWidth="1"/>
    <col min="2" max="2" width="11.7109375" bestFit="1" customWidth="1"/>
    <col min="4" max="4" width="9.5703125" bestFit="1" customWidth="1"/>
    <col min="5" max="5" width="9.5703125" customWidth="1"/>
  </cols>
  <sheetData>
    <row r="1" spans="1:5" x14ac:dyDescent="0.25">
      <c r="A1" s="5" t="s">
        <v>2</v>
      </c>
      <c r="B1" s="6"/>
      <c r="D1" s="5" t="s">
        <v>23</v>
      </c>
      <c r="E1" s="6"/>
    </row>
    <row r="2" spans="1:5" x14ac:dyDescent="0.25">
      <c r="A2" t="s">
        <v>0</v>
      </c>
      <c r="B2" t="s">
        <v>1</v>
      </c>
      <c r="D2" t="s">
        <v>0</v>
      </c>
      <c r="E2" t="s">
        <v>1</v>
      </c>
    </row>
    <row r="3" spans="1:5" x14ac:dyDescent="0.25">
      <c r="A3" t="s">
        <v>5</v>
      </c>
      <c r="B3" t="s">
        <v>15</v>
      </c>
      <c r="D3" t="s">
        <v>11</v>
      </c>
      <c r="E3" t="s">
        <v>20</v>
      </c>
    </row>
    <row r="4" spans="1:5" x14ac:dyDescent="0.25">
      <c r="A4" t="s">
        <v>6</v>
      </c>
      <c r="B4" t="s">
        <v>16</v>
      </c>
      <c r="D4" t="s">
        <v>10</v>
      </c>
      <c r="E4" t="s">
        <v>21</v>
      </c>
    </row>
    <row r="5" spans="1:5" x14ac:dyDescent="0.25">
      <c r="A5" t="s">
        <v>7</v>
      </c>
      <c r="B5" t="s">
        <v>17</v>
      </c>
      <c r="D5" t="s">
        <v>12</v>
      </c>
      <c r="E5" t="s">
        <v>21</v>
      </c>
    </row>
    <row r="6" spans="1:5" x14ac:dyDescent="0.25">
      <c r="D6" t="s">
        <v>13</v>
      </c>
      <c r="E6" t="s">
        <v>22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2909-1BF1-4B14-AF34-F7782F0DDC97}">
  <dimension ref="A1:G5"/>
  <sheetViews>
    <sheetView showGridLines="0" workbookViewId="0">
      <selection activeCell="F1" sqref="F1:G5"/>
    </sheetView>
  </sheetViews>
  <sheetFormatPr defaultRowHeight="15" x14ac:dyDescent="0.25"/>
  <cols>
    <col min="1" max="1" width="13.5703125" customWidth="1"/>
    <col min="2" max="2" width="14" customWidth="1"/>
    <col min="3" max="3" width="20.85546875" customWidth="1"/>
    <col min="4" max="4" width="17.5703125" customWidth="1"/>
    <col min="5" max="5" width="11.5703125" bestFit="1" customWidth="1"/>
    <col min="6" max="6" width="14.5703125" bestFit="1" customWidth="1"/>
    <col min="7" max="7" width="12.85546875" bestFit="1" customWidth="1"/>
  </cols>
  <sheetData>
    <row r="1" spans="1:7" x14ac:dyDescent="0.25">
      <c r="A1" s="1" t="s">
        <v>4</v>
      </c>
      <c r="B1" s="1" t="s">
        <v>3</v>
      </c>
      <c r="C1" s="1" t="s">
        <v>14</v>
      </c>
      <c r="D1" s="1" t="s">
        <v>9</v>
      </c>
      <c r="E1" s="1" t="s">
        <v>8</v>
      </c>
      <c r="F1" s="4" t="s">
        <v>18</v>
      </c>
      <c r="G1" s="4" t="s">
        <v>19</v>
      </c>
    </row>
    <row r="2" spans="1:7" x14ac:dyDescent="0.25">
      <c r="A2">
        <v>649992</v>
      </c>
      <c r="B2" t="s">
        <v>5</v>
      </c>
      <c r="C2" s="3">
        <v>43586</v>
      </c>
      <c r="D2" t="s">
        <v>11</v>
      </c>
      <c r="E2" s="2">
        <v>100000</v>
      </c>
      <c r="F2" s="7"/>
      <c r="G2" s="7"/>
    </row>
    <row r="3" spans="1:7" x14ac:dyDescent="0.25">
      <c r="A3">
        <v>651983</v>
      </c>
      <c r="B3" t="s">
        <v>6</v>
      </c>
      <c r="C3" s="3">
        <v>43617</v>
      </c>
      <c r="D3" t="s">
        <v>10</v>
      </c>
      <c r="E3" s="2">
        <v>123000</v>
      </c>
      <c r="F3" s="7"/>
      <c r="G3" s="7"/>
    </row>
    <row r="4" spans="1:7" x14ac:dyDescent="0.25">
      <c r="A4">
        <v>652661</v>
      </c>
      <c r="B4" t="s">
        <v>7</v>
      </c>
      <c r="C4" s="3">
        <v>43617</v>
      </c>
      <c r="D4" t="s">
        <v>12</v>
      </c>
      <c r="E4" s="2">
        <v>90000</v>
      </c>
      <c r="F4" s="7"/>
      <c r="G4" s="7"/>
    </row>
    <row r="5" spans="1:7" x14ac:dyDescent="0.25">
      <c r="A5">
        <v>632241</v>
      </c>
      <c r="B5" t="s">
        <v>7</v>
      </c>
      <c r="C5" s="3">
        <v>43556</v>
      </c>
      <c r="D5" t="s">
        <v>13</v>
      </c>
      <c r="E5" s="2">
        <v>98000</v>
      </c>
      <c r="F5" s="7"/>
      <c r="G5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1CC09-78C4-4568-87CF-A0AE338309D0}">
  <dimension ref="A1:G5"/>
  <sheetViews>
    <sheetView showGridLines="0" workbookViewId="0">
      <selection activeCell="F2" sqref="F2"/>
    </sheetView>
  </sheetViews>
  <sheetFormatPr defaultRowHeight="15" x14ac:dyDescent="0.25"/>
  <cols>
    <col min="1" max="1" width="11.85546875" customWidth="1"/>
    <col min="2" max="2" width="14" customWidth="1"/>
    <col min="3" max="3" width="20.85546875" customWidth="1"/>
    <col min="4" max="4" width="17.5703125" customWidth="1"/>
    <col min="5" max="5" width="11.5703125" bestFit="1" customWidth="1"/>
    <col min="6" max="7" width="15.85546875" customWidth="1"/>
  </cols>
  <sheetData>
    <row r="1" spans="1:7" x14ac:dyDescent="0.25">
      <c r="A1" s="1" t="s">
        <v>4</v>
      </c>
      <c r="B1" s="1" t="s">
        <v>3</v>
      </c>
      <c r="C1" s="1" t="s">
        <v>14</v>
      </c>
      <c r="D1" s="1" t="s">
        <v>9</v>
      </c>
      <c r="E1" s="1" t="s">
        <v>8</v>
      </c>
      <c r="F1" s="4" t="s">
        <v>18</v>
      </c>
      <c r="G1" s="4" t="s">
        <v>19</v>
      </c>
    </row>
    <row r="2" spans="1:7" x14ac:dyDescent="0.25">
      <c r="A2">
        <v>649992</v>
      </c>
      <c r="B2" t="s">
        <v>5</v>
      </c>
      <c r="C2" s="3">
        <v>43586</v>
      </c>
      <c r="D2" t="s">
        <v>11</v>
      </c>
      <c r="E2" s="2">
        <v>100000</v>
      </c>
      <c r="F2" s="7" t="str">
        <f>VLOOKUP(Tabela1[[#This Row],[Cliente]],DeParaCliente[],2,0)</f>
        <v>Volkswagen</v>
      </c>
      <c r="G2" s="7" t="str">
        <f>VLOOKUP(Tabela1[[#This Row],[Meio]],DeParaMeio[],2,0)</f>
        <v>Televisão</v>
      </c>
    </row>
    <row r="3" spans="1:7" x14ac:dyDescent="0.25">
      <c r="A3">
        <v>651983</v>
      </c>
      <c r="B3" t="s">
        <v>6</v>
      </c>
      <c r="C3" s="3">
        <v>43617</v>
      </c>
      <c r="D3" t="s">
        <v>10</v>
      </c>
      <c r="E3" s="2">
        <v>123000</v>
      </c>
      <c r="F3" s="7" t="str">
        <f>VLOOKUP(Tabela1[[#This Row],[Cliente]],DeParaCliente[],2,0)</f>
        <v>Boticário</v>
      </c>
      <c r="G3" s="7" t="str">
        <f>VLOOKUP(Tabela1[[#This Row],[Meio]],DeParaMeio[],2,0)</f>
        <v>Internet</v>
      </c>
    </row>
    <row r="4" spans="1:7" x14ac:dyDescent="0.25">
      <c r="A4">
        <v>652661</v>
      </c>
      <c r="B4" t="s">
        <v>7</v>
      </c>
      <c r="C4" s="3">
        <v>43617</v>
      </c>
      <c r="D4" t="s">
        <v>12</v>
      </c>
      <c r="E4" s="2">
        <v>90000</v>
      </c>
      <c r="F4" s="7" t="str">
        <f>VLOOKUP(Tabela1[[#This Row],[Cliente]],DeParaCliente[],2,0)</f>
        <v>Gol</v>
      </c>
      <c r="G4" s="7" t="str">
        <f>VLOOKUP(Tabela1[[#This Row],[Meio]],DeParaMeio[],2,0)</f>
        <v>Internet</v>
      </c>
    </row>
    <row r="5" spans="1:7" x14ac:dyDescent="0.25">
      <c r="A5">
        <v>632241</v>
      </c>
      <c r="B5" t="s">
        <v>7</v>
      </c>
      <c r="C5" s="3">
        <v>43556</v>
      </c>
      <c r="D5" t="s">
        <v>13</v>
      </c>
      <c r="E5" s="2">
        <v>98000</v>
      </c>
      <c r="F5" s="7" t="str">
        <f>VLOOKUP(Tabela1[[#This Row],[Cliente]],DeParaCliente[],2,0)</f>
        <v>Gol</v>
      </c>
      <c r="G5" s="7" t="str">
        <f>VLOOKUP(Tabela1[[#This Row],[Meio]],DeParaMeio[],2,0)</f>
        <v>Revista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983E-1732-453C-8CDA-8CE58F01A6DF}">
  <dimension ref="A1:M12"/>
  <sheetViews>
    <sheetView showGridLines="0" workbookViewId="0">
      <selection activeCell="E1" sqref="E1:E2"/>
    </sheetView>
  </sheetViews>
  <sheetFormatPr defaultRowHeight="15" x14ac:dyDescent="0.25"/>
  <cols>
    <col min="1" max="1" width="11.7109375" customWidth="1"/>
    <col min="2" max="2" width="11.5703125" bestFit="1" customWidth="1"/>
    <col min="3" max="3" width="13.28515625" bestFit="1" customWidth="1"/>
    <col min="4" max="13" width="11.5703125" bestFit="1" customWidth="1"/>
  </cols>
  <sheetData>
    <row r="1" spans="1:13" x14ac:dyDescent="0.25">
      <c r="A1" s="9" t="s">
        <v>3</v>
      </c>
      <c r="B1" s="9" t="s">
        <v>24</v>
      </c>
      <c r="C1" s="9" t="s">
        <v>25</v>
      </c>
      <c r="D1" s="9" t="s">
        <v>26</v>
      </c>
      <c r="E1" s="9" t="s">
        <v>27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</row>
    <row r="2" spans="1:13" x14ac:dyDescent="0.25">
      <c r="A2" s="1" t="s">
        <v>28</v>
      </c>
      <c r="B2" s="2">
        <v>892087.74345468613</v>
      </c>
      <c r="C2" s="2">
        <v>1427179.5060347586</v>
      </c>
      <c r="D2" s="2">
        <v>189161.65561466347</v>
      </c>
      <c r="E2" s="2">
        <v>366985.34644848999</v>
      </c>
      <c r="F2" s="2">
        <v>185261.22485545508</v>
      </c>
      <c r="G2" s="2">
        <v>186500.46620750404</v>
      </c>
      <c r="H2" s="2">
        <v>886609.358865018</v>
      </c>
      <c r="I2" s="2">
        <v>242679.2050637558</v>
      </c>
      <c r="J2" s="2">
        <v>715955.65664608509</v>
      </c>
      <c r="K2" s="2">
        <v>422529.96443230734</v>
      </c>
      <c r="L2" s="2">
        <v>430474.82010097784</v>
      </c>
      <c r="M2" s="2">
        <v>165637.26518734533</v>
      </c>
    </row>
    <row r="3" spans="1:13" x14ac:dyDescent="0.25">
      <c r="A3" s="1" t="s">
        <v>17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>
        <v>7</v>
      </c>
      <c r="I3" s="2">
        <v>8</v>
      </c>
      <c r="J3" s="2">
        <v>9</v>
      </c>
      <c r="K3" s="2">
        <v>10</v>
      </c>
      <c r="L3" s="2">
        <v>11</v>
      </c>
      <c r="M3" s="2">
        <v>12</v>
      </c>
    </row>
    <row r="6" spans="1:13" x14ac:dyDescent="0.25">
      <c r="A6" s="8" t="s">
        <v>38</v>
      </c>
      <c r="B6" s="8"/>
      <c r="C6" s="8"/>
    </row>
    <row r="7" spans="1:13" x14ac:dyDescent="0.25">
      <c r="B7" t="s">
        <v>37</v>
      </c>
      <c r="C7" s="1" t="s">
        <v>27</v>
      </c>
    </row>
    <row r="8" spans="1:13" x14ac:dyDescent="0.25">
      <c r="B8" t="s">
        <v>40</v>
      </c>
      <c r="C8" s="11">
        <f>HLOOKUP(C7,1:3,2,0)</f>
        <v>366985.34644848999</v>
      </c>
    </row>
    <row r="10" spans="1:13" x14ac:dyDescent="0.25">
      <c r="A10" s="8" t="s">
        <v>39</v>
      </c>
      <c r="B10" s="8"/>
      <c r="C10" s="8"/>
    </row>
    <row r="11" spans="1:13" x14ac:dyDescent="0.25">
      <c r="B11" t="s">
        <v>37</v>
      </c>
      <c r="C11" s="1" t="s">
        <v>29</v>
      </c>
    </row>
    <row r="12" spans="1:13" x14ac:dyDescent="0.25">
      <c r="B12" t="s">
        <v>40</v>
      </c>
      <c r="C12" s="10">
        <f>MATCH(C11,1:1,)</f>
        <v>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921F72-7E78-4EC6-B8FB-A5AF1D8034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 - Aula</vt:lpstr>
      <vt:lpstr>DePara - Final</vt:lpstr>
      <vt:lpstr>PROCV - Aula</vt:lpstr>
      <vt:lpstr>PROCV - Final</vt:lpstr>
      <vt:lpstr>PROCH e CORRESP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Augusto Souza Martins - Almap BBDO</dc:creator>
  <cp:lastModifiedBy>Fabiana Ramos Vicente Faria - Almap BBDO</cp:lastModifiedBy>
  <cp:lastPrinted>2020-01-27T00:56:42Z</cp:lastPrinted>
  <dcterms:created xsi:type="dcterms:W3CDTF">2020-01-23T18:15:40Z</dcterms:created>
  <dcterms:modified xsi:type="dcterms:W3CDTF">2020-01-28T10:24:00Z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