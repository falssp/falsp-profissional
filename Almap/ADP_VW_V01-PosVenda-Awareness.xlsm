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J:\MIDIA\2021 Planning\Pós Vendas\ADP\"/>
    </mc:Choice>
  </mc:AlternateContent>
  <xr:revisionPtr revIDLastSave="0" documentId="13_ncr:1_{26EEAB61-C7AB-401E-B016-5865057B4C75}" xr6:coauthVersionLast="44" xr6:coauthVersionMax="45" xr10:uidLastSave="{00000000-0000-0000-0000-000000000000}"/>
  <bookViews>
    <workbookView xWindow="-120" yWindow="-120" windowWidth="20730" windowHeight="11160" activeTab="1" xr2:uid="{5C905383-3BE9-4CDF-A385-B91C6C7CBA37}"/>
  </bookViews>
  <sheets>
    <sheet name="Campanha" sheetId="1" r:id="rId1"/>
    <sheet name="ADP " sheetId="2" r:id="rId2"/>
    <sheet name="Placement" sheetId="6" r:id="rId3"/>
    <sheet name="Contadores" sheetId="5" r:id="rId4"/>
    <sheet name="All Codes" sheetId="4" r:id="rId5"/>
  </sheets>
  <functionGroups builtInGroupCount="19"/>
  <definedNames>
    <definedName name="_xlnm._FilterDatabase" localSheetId="1" hidden="1">'ADP '!$B$2:$AN$158</definedName>
    <definedName name="_xlnm._FilterDatabase" localSheetId="4" hidden="1">'All Codes'!$AR$1:$AS$258</definedName>
    <definedName name="_xlnm._FilterDatabase" localSheetId="3" hidden="1">Contadores!$A$1:$B$1</definedName>
    <definedName name="_xlnm._FilterDatabase" localSheetId="2" hidden="1">Placement!$A$1:$B$1</definedName>
    <definedName name="_Key1" localSheetId="2" hidden="1">#REF!</definedName>
    <definedName name="_Key1" hidden="1">#REF!</definedName>
    <definedName name="_Key2" localSheetId="2" hidden="1">#REF!</definedName>
    <definedName name="_Key2" hidden="1">#REF!</definedName>
    <definedName name="_Order1" hidden="1">255</definedName>
    <definedName name="_Order2" hidden="1">0</definedName>
    <definedName name="_Sort" localSheetId="2" hidden="1">#REF!</definedName>
    <definedName name="_Sort" hidden="1">#REF!</definedName>
    <definedName name="cel_campaing">Campanha!$B$13</definedName>
    <definedName name="cel_country">Campanha!$B$5</definedName>
    <definedName name="cel_mediachannel">Campanha!$B$7</definedName>
    <definedName name="cel_modelvariant">Campanha!$B$12</definedName>
    <definedName name="cel_planningprinciple">Campanha!$B$6</definedName>
    <definedName name="col_adname">'ADP '!$AF:$AF</definedName>
    <definedName name="col_buyingmetric">'ADP '!$K:$K</definedName>
    <definedName name="col_buyingtype">'ADP '!$J:$J</definedName>
    <definedName name="col_device">'ADP '!$O:$O</definedName>
    <definedName name="col_keyword">'ADP '!$AN:$AN</definedName>
    <definedName name="col_localfreetype">'ADP '!$P:$P</definedName>
    <definedName name="col_paidvsav">'ADP '!$S:$S</definedName>
    <definedName name="col_placement">'ADP '!$AE:$AE</definedName>
    <definedName name="col_segmentacao">'ADP '!$Q:$Q</definedName>
    <definedName name="col_servidopor">'ADP '!$G:$G</definedName>
    <definedName name="col_sitesection">'ADP '!$N:$N</definedName>
    <definedName name="col_size">'ADP '!$T:$T</definedName>
    <definedName name="col_submediachannel">'ADP '!$I:$I</definedName>
    <definedName name="col_supplier">'ADP '!$H:$H</definedName>
    <definedName name="col_trackingtype">'ADP '!$L:$L</definedName>
    <definedName name="col_unitname">'ADP '!$M:$M</definedName>
    <definedName name="col_url">'ADP '!$AC:$AC</definedName>
    <definedName name="col_utmcampaign">'ADP '!$AL:$AL</definedName>
    <definedName name="col_utmcontent">'ADP '!$AM:$AM</definedName>
    <definedName name="col_utmmedium">'ADP '!$AK:$AK</definedName>
    <definedName name="col_utmsource">'ADP '!$AJ:$AJ</definedName>
    <definedName name="id_placement">Placement!$A:$B</definedName>
    <definedName name="list_brand">'All Codes'!$B$3:$B$4</definedName>
    <definedName name="list_buyingmetric">'All Codes'!$E$3:$E$9</definedName>
    <definedName name="list_buyingtype">'All Codes'!$H$3:$H$5</definedName>
    <definedName name="list_campaigncategory">'All Codes'!$K$3:$K$7</definedName>
    <definedName name="list_campaigntype">'All Codes'!$N$3:$N$6</definedName>
    <definedName name="list_country">'All Codes'!$Q$3:$Q$34</definedName>
    <definedName name="list_date">'All Codes'!$T$3:$T$27</definedName>
    <definedName name="list_device">'All Codes'!$W$3:$W$7</definedName>
    <definedName name="list_mediachannel">'All Codes'!$Z$3:$Z$8</definedName>
    <definedName name="list_model">'All Codes'!$AC$3:$AC$51</definedName>
    <definedName name="list_modelvariant">'All Codes'!$AF$3:$AF$96</definedName>
    <definedName name="list_paidvsav">'All Codes'!$AI$3:$AI$7</definedName>
    <definedName name="list_planningprinciple">'All Codes'!$AL$3:$AL$6</definedName>
    <definedName name="list_servidopor">'All Codes'!$AO$3:$AO$7</definedName>
    <definedName name="list_site">'All Codes'!$AR$3:$AR$80</definedName>
    <definedName name="list_sitesection">'All Codes'!$AU$3:$AU$7</definedName>
    <definedName name="list_size">'All Codes'!$AX$3:$AX$279</definedName>
    <definedName name="list_strategyphase">'All Codes'!$BA$3:$BA$11</definedName>
    <definedName name="list_submediachannel">'All Codes'!$BD$3:$BD$10</definedName>
    <definedName name="list_trackingtype">'All Codes'!$BG$3:$BG$10</definedName>
    <definedName name="list_type">'All Codes'!$BJ$3:$BJ$5</definedName>
    <definedName name="list_unitname">'All Codes'!$BM$3:$BM$10</definedName>
    <definedName name="tab_buyingmetric">'All Codes'!$E:$F</definedName>
    <definedName name="tab_buyingtype">'All Codes'!$H:$I</definedName>
    <definedName name="tab_campaigncategory">'All Codes'!$K:$L</definedName>
    <definedName name="tab_campaigntype">'All Codes'!$N:$O</definedName>
    <definedName name="tab_contadores" localSheetId="2">Placement!$A:$B</definedName>
    <definedName name="tab_contadores">Contadores!$A:$B</definedName>
    <definedName name="tab_country">'All Codes'!$Q:$R</definedName>
    <definedName name="tab_date">'All Codes'!$T:$U</definedName>
    <definedName name="tab_device">'All Codes'!$W:$X</definedName>
    <definedName name="tab_mediachannel">'All Codes'!$Z:$AA</definedName>
    <definedName name="tab_model">'All Codes'!$AC:$AD</definedName>
    <definedName name="tab_modelvariant">'All Codes'!$AF:$AG</definedName>
    <definedName name="tab_paidvsav">'All Codes'!$AI:$AJ</definedName>
    <definedName name="tab_planningprinciple">'All Codes'!$AL:$AM</definedName>
    <definedName name="tab_sitesection">'All Codes'!$AU:$AV</definedName>
    <definedName name="tab_strategyphase">'All Codes'!$BA:$BB</definedName>
    <definedName name="tab_submediachannel">'All Codes'!$BD:$BE</definedName>
    <definedName name="tab_trackingtype">'All Codes'!$BG:$BH</definedName>
    <definedName name="tab_type">'All Codes'!$BJ:$BK</definedName>
    <definedName name="tab_unitname">'All Codes'!$BM:$BN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120" i="2" l="1"/>
  <c r="AJ120" i="2"/>
  <c r="AK120" i="2"/>
  <c r="AL120" i="2"/>
  <c r="AF121" i="2"/>
  <c r="AF120" i="2"/>
  <c r="AE120" i="2"/>
  <c r="AE121" i="2"/>
  <c r="AD121" i="2" l="1"/>
  <c r="AD120" i="2"/>
  <c r="AI120" i="2"/>
  <c r="AM120" i="2"/>
  <c r="AG121" i="2"/>
  <c r="AI121" i="2"/>
  <c r="AJ121" i="2"/>
  <c r="AK121" i="2"/>
  <c r="AL121" i="2"/>
  <c r="AM121" i="2"/>
  <c r="AF122" i="2"/>
  <c r="AE122" i="2"/>
  <c r="AH121" i="2"/>
  <c r="AH120" i="2"/>
  <c r="AD122" i="2" l="1"/>
  <c r="AG122" i="2"/>
  <c r="AI122" i="2"/>
  <c r="AJ122" i="2"/>
  <c r="AK122" i="2"/>
  <c r="AL122" i="2"/>
  <c r="AM122" i="2"/>
  <c r="AF123" i="2"/>
  <c r="AE123" i="2"/>
  <c r="AH122" i="2"/>
  <c r="AD123" i="2" l="1"/>
  <c r="AG123" i="2"/>
  <c r="AI123" i="2"/>
  <c r="AJ123" i="2"/>
  <c r="AK123" i="2"/>
  <c r="AL123" i="2"/>
  <c r="AM123" i="2"/>
  <c r="AE124" i="2"/>
  <c r="AF124" i="2"/>
  <c r="AD124" i="2" l="1"/>
  <c r="AG124" i="2"/>
  <c r="AI124" i="2"/>
  <c r="AJ124" i="2"/>
  <c r="AK124" i="2"/>
  <c r="AL124" i="2"/>
  <c r="AM124" i="2"/>
  <c r="AE125" i="2"/>
  <c r="AH123" i="2"/>
  <c r="AH124" i="2"/>
  <c r="AF125" i="2"/>
  <c r="AD125" i="2" l="1"/>
  <c r="AG125" i="2"/>
  <c r="AI125" i="2"/>
  <c r="AJ125" i="2"/>
  <c r="AK125" i="2"/>
  <c r="AL125" i="2"/>
  <c r="AM125" i="2"/>
  <c r="AF126" i="2"/>
  <c r="AE126" i="2"/>
  <c r="AD126" i="2" l="1"/>
  <c r="AG126" i="2"/>
  <c r="AI126" i="2"/>
  <c r="AJ126" i="2"/>
  <c r="AK126" i="2"/>
  <c r="AL126" i="2"/>
  <c r="AM126" i="2"/>
  <c r="AE127" i="2"/>
  <c r="AH125" i="2"/>
  <c r="AF127" i="2"/>
  <c r="AD127" i="2" l="1"/>
  <c r="AG127" i="2"/>
  <c r="AI127" i="2"/>
  <c r="AJ127" i="2"/>
  <c r="AK127" i="2"/>
  <c r="AL127" i="2"/>
  <c r="AM127" i="2"/>
  <c r="AF128" i="2"/>
  <c r="AH126" i="2"/>
  <c r="AH127" i="2"/>
  <c r="AE128" i="2"/>
  <c r="AD128" i="2" l="1"/>
  <c r="AG128" i="2"/>
  <c r="AI128" i="2"/>
  <c r="AJ128" i="2"/>
  <c r="AK128" i="2"/>
  <c r="AL128" i="2"/>
  <c r="AM128" i="2"/>
  <c r="AE129" i="2"/>
  <c r="AF129" i="2"/>
  <c r="AD129" i="2" l="1"/>
  <c r="AG129" i="2"/>
  <c r="AI129" i="2"/>
  <c r="AJ129" i="2"/>
  <c r="AK129" i="2"/>
  <c r="AL129" i="2"/>
  <c r="AM129" i="2"/>
  <c r="AH128" i="2"/>
  <c r="AE130" i="2"/>
  <c r="AF130" i="2"/>
  <c r="AD130" i="2" l="1"/>
  <c r="AG130" i="2"/>
  <c r="AI130" i="2"/>
  <c r="AJ130" i="2"/>
  <c r="AK130" i="2"/>
  <c r="AL130" i="2"/>
  <c r="AM130" i="2"/>
  <c r="AE131" i="2"/>
  <c r="AH129" i="2"/>
  <c r="AF131" i="2"/>
  <c r="AD131" i="2" l="1"/>
  <c r="AG131" i="2"/>
  <c r="AI131" i="2"/>
  <c r="AJ131" i="2"/>
  <c r="AK131" i="2"/>
  <c r="AL131" i="2"/>
  <c r="AM131" i="2"/>
  <c r="AH130" i="2"/>
  <c r="AF132" i="2"/>
  <c r="AE132" i="2"/>
  <c r="AD132" i="2" l="1"/>
  <c r="AG132" i="2"/>
  <c r="AI132" i="2"/>
  <c r="AJ132" i="2"/>
  <c r="AK132" i="2"/>
  <c r="AL132" i="2"/>
  <c r="AM132" i="2"/>
  <c r="AE133" i="2"/>
  <c r="AH131" i="2"/>
  <c r="AF133" i="2"/>
  <c r="AD133" i="2" l="1"/>
  <c r="AG133" i="2"/>
  <c r="AI133" i="2"/>
  <c r="AJ133" i="2"/>
  <c r="AK133" i="2"/>
  <c r="AL133" i="2"/>
  <c r="AM133" i="2"/>
  <c r="AH132" i="2"/>
  <c r="AE134" i="2"/>
  <c r="AF134" i="2"/>
  <c r="AD134" i="2" l="1"/>
  <c r="AG134" i="2"/>
  <c r="AI134" i="2"/>
  <c r="AJ134" i="2"/>
  <c r="AK134" i="2"/>
  <c r="AL134" i="2"/>
  <c r="AM134" i="2"/>
  <c r="AH133" i="2"/>
  <c r="AE135" i="2"/>
  <c r="AF135" i="2"/>
  <c r="AD135" i="2" l="1"/>
  <c r="AG135" i="2"/>
  <c r="AI135" i="2"/>
  <c r="AJ135" i="2"/>
  <c r="AK135" i="2"/>
  <c r="AL135" i="2"/>
  <c r="AM135" i="2"/>
  <c r="AF136" i="2"/>
  <c r="AH134" i="2"/>
  <c r="AE136" i="2"/>
  <c r="AD136" i="2" l="1"/>
  <c r="AG136" i="2"/>
  <c r="AI136" i="2"/>
  <c r="AJ136" i="2"/>
  <c r="AK136" i="2"/>
  <c r="AL136" i="2"/>
  <c r="AM136" i="2"/>
  <c r="AH135" i="2"/>
  <c r="AE137" i="2"/>
  <c r="AF137" i="2"/>
  <c r="AD137" i="2" l="1"/>
  <c r="AG137" i="2"/>
  <c r="AI137" i="2"/>
  <c r="AJ137" i="2"/>
  <c r="AK137" i="2"/>
  <c r="AL137" i="2"/>
  <c r="AM137" i="2"/>
  <c r="AE138" i="2"/>
  <c r="AH136" i="2"/>
  <c r="AH137" i="2"/>
  <c r="AF138" i="2"/>
  <c r="AD138" i="2" l="1"/>
  <c r="AG138" i="2"/>
  <c r="AI138" i="2"/>
  <c r="AJ138" i="2"/>
  <c r="AK138" i="2"/>
  <c r="AL138" i="2"/>
  <c r="AM138" i="2"/>
  <c r="AE139" i="2"/>
  <c r="AF139" i="2"/>
  <c r="AD139" i="2" l="1"/>
  <c r="AG139" i="2"/>
  <c r="AI139" i="2"/>
  <c r="AJ139" i="2"/>
  <c r="AK139" i="2"/>
  <c r="AL139" i="2"/>
  <c r="AM139" i="2"/>
  <c r="AH138" i="2"/>
  <c r="AF140" i="2"/>
  <c r="AE140" i="2"/>
  <c r="AD140" i="2" l="1"/>
  <c r="AG140" i="2"/>
  <c r="AI140" i="2"/>
  <c r="AJ140" i="2"/>
  <c r="AK140" i="2"/>
  <c r="AL140" i="2"/>
  <c r="AM140" i="2"/>
  <c r="AF141" i="2"/>
  <c r="AH139" i="2"/>
  <c r="AE141" i="2"/>
  <c r="AD141" i="2" l="1"/>
  <c r="AG141" i="2"/>
  <c r="AI141" i="2"/>
  <c r="AJ141" i="2"/>
  <c r="AK141" i="2"/>
  <c r="AL141" i="2"/>
  <c r="AM141" i="2"/>
  <c r="AE142" i="2"/>
  <c r="AH140" i="2"/>
  <c r="AF142" i="2"/>
  <c r="AH141" i="2"/>
  <c r="AD142" i="2" l="1"/>
  <c r="AG142" i="2"/>
  <c r="AI142" i="2"/>
  <c r="AJ142" i="2"/>
  <c r="AK142" i="2"/>
  <c r="AL142" i="2"/>
  <c r="AM142" i="2"/>
  <c r="AE143" i="2"/>
  <c r="AF143" i="2"/>
  <c r="AD143" i="2" l="1"/>
  <c r="AG143" i="2"/>
  <c r="AI143" i="2"/>
  <c r="AJ143" i="2"/>
  <c r="AK143" i="2"/>
  <c r="AL143" i="2"/>
  <c r="AM143" i="2"/>
  <c r="AH143" i="2"/>
  <c r="AF144" i="2"/>
  <c r="AH142" i="2"/>
  <c r="AE144" i="2"/>
  <c r="AD144" i="2" l="1"/>
  <c r="AG144" i="2"/>
  <c r="AI144" i="2"/>
  <c r="AJ144" i="2"/>
  <c r="AK144" i="2"/>
  <c r="AL144" i="2"/>
  <c r="AM144" i="2"/>
  <c r="AF145" i="2"/>
  <c r="AE145" i="2"/>
  <c r="AD145" i="2" l="1"/>
  <c r="AG145" i="2"/>
  <c r="AI145" i="2"/>
  <c r="AJ145" i="2"/>
  <c r="AK145" i="2"/>
  <c r="AL145" i="2"/>
  <c r="AM145" i="2"/>
  <c r="AF146" i="2"/>
  <c r="AH145" i="2"/>
  <c r="AE146" i="2"/>
  <c r="AH144" i="2"/>
  <c r="AD146" i="2" l="1"/>
  <c r="AG146" i="2"/>
  <c r="AI146" i="2"/>
  <c r="AJ146" i="2"/>
  <c r="AK146" i="2"/>
  <c r="AL146" i="2"/>
  <c r="AM146" i="2"/>
  <c r="AE147" i="2"/>
  <c r="AF147" i="2"/>
  <c r="AD147" i="2" l="1"/>
  <c r="AG147" i="2"/>
  <c r="AI147" i="2"/>
  <c r="AJ147" i="2"/>
  <c r="AK147" i="2"/>
  <c r="AL147" i="2"/>
  <c r="AM147" i="2"/>
  <c r="AF148" i="2"/>
  <c r="AH146" i="2"/>
  <c r="AE148" i="2"/>
  <c r="AD148" i="2" l="1"/>
  <c r="AG148" i="2"/>
  <c r="AI148" i="2"/>
  <c r="AJ148" i="2"/>
  <c r="AK148" i="2"/>
  <c r="AL148" i="2"/>
  <c r="AM148" i="2"/>
  <c r="AH147" i="2"/>
  <c r="AE149" i="2"/>
  <c r="AF149" i="2"/>
  <c r="AD149" i="2" l="1"/>
  <c r="AG149" i="2"/>
  <c r="AI149" i="2"/>
  <c r="AJ149" i="2"/>
  <c r="AK149" i="2"/>
  <c r="AL149" i="2"/>
  <c r="AM149" i="2"/>
  <c r="AH148" i="2"/>
  <c r="AF150" i="2"/>
  <c r="AE150" i="2"/>
  <c r="AD150" i="2" l="1"/>
  <c r="AG150" i="2"/>
  <c r="AI150" i="2"/>
  <c r="AJ150" i="2"/>
  <c r="AK150" i="2"/>
  <c r="AL150" i="2"/>
  <c r="AM150" i="2"/>
  <c r="AE151" i="2"/>
  <c r="AH149" i="2"/>
  <c r="AF151" i="2"/>
  <c r="AD151" i="2" l="1"/>
  <c r="AG151" i="2"/>
  <c r="AI151" i="2"/>
  <c r="AJ151" i="2"/>
  <c r="AK151" i="2"/>
  <c r="AL151" i="2"/>
  <c r="AM151" i="2"/>
  <c r="AF152" i="2"/>
  <c r="AH150" i="2"/>
  <c r="AE152" i="2"/>
  <c r="AD152" i="2" l="1"/>
  <c r="AG152" i="2"/>
  <c r="AI152" i="2"/>
  <c r="AJ152" i="2"/>
  <c r="AK152" i="2"/>
  <c r="AL152" i="2"/>
  <c r="AM152" i="2"/>
  <c r="AH151" i="2"/>
  <c r="AE153" i="2"/>
  <c r="AF153" i="2"/>
  <c r="AD153" i="2" l="1"/>
  <c r="AG153" i="2"/>
  <c r="AI153" i="2"/>
  <c r="AJ153" i="2"/>
  <c r="AK153" i="2"/>
  <c r="AL153" i="2"/>
  <c r="AM153" i="2"/>
  <c r="AH152" i="2"/>
  <c r="AE154" i="2"/>
  <c r="AH153" i="2"/>
  <c r="AF154" i="2"/>
  <c r="AD154" i="2" l="1"/>
  <c r="AG154" i="2"/>
  <c r="AI154" i="2"/>
  <c r="AJ154" i="2"/>
  <c r="AK154" i="2"/>
  <c r="AL154" i="2"/>
  <c r="AM154" i="2"/>
  <c r="AE155" i="2"/>
  <c r="AH154" i="2"/>
  <c r="AF155" i="2"/>
  <c r="AD155" i="2" l="1"/>
  <c r="AG155" i="2"/>
  <c r="AI155" i="2"/>
  <c r="AJ155" i="2"/>
  <c r="AK155" i="2"/>
  <c r="AL155" i="2"/>
  <c r="AM155" i="2"/>
  <c r="AF156" i="2"/>
  <c r="AH155" i="2"/>
  <c r="AE156" i="2"/>
  <c r="AD156" i="2" l="1"/>
  <c r="AG156" i="2"/>
  <c r="AI156" i="2"/>
  <c r="AJ156" i="2"/>
  <c r="AK156" i="2"/>
  <c r="AL156" i="2"/>
  <c r="AM156" i="2"/>
  <c r="AF157" i="2"/>
  <c r="AE157" i="2"/>
  <c r="AD157" i="2" l="1"/>
  <c r="AG157" i="2"/>
  <c r="AI157" i="2"/>
  <c r="AJ157" i="2"/>
  <c r="AK157" i="2"/>
  <c r="AL157" i="2"/>
  <c r="AM157" i="2"/>
  <c r="AE158" i="2"/>
  <c r="AH156" i="2"/>
  <c r="AF158" i="2"/>
  <c r="AD158" i="2" l="1"/>
  <c r="AG158" i="2"/>
  <c r="AI158" i="2"/>
  <c r="AJ158" i="2"/>
  <c r="AK158" i="2"/>
  <c r="AL158" i="2"/>
  <c r="AM158" i="2"/>
  <c r="AH157" i="2"/>
  <c r="AG75" i="2" l="1"/>
  <c r="AI75" i="2"/>
  <c r="AJ75" i="2"/>
  <c r="AK75" i="2"/>
  <c r="AL75" i="2"/>
  <c r="AL119" i="2"/>
  <c r="AK119" i="2"/>
  <c r="AJ119" i="2"/>
  <c r="AI119" i="2"/>
  <c r="AG119" i="2"/>
  <c r="AL118" i="2"/>
  <c r="AK118" i="2"/>
  <c r="AJ118" i="2"/>
  <c r="AI118" i="2"/>
  <c r="AG118" i="2"/>
  <c r="AL117" i="2"/>
  <c r="AK117" i="2"/>
  <c r="AJ117" i="2"/>
  <c r="AI117" i="2"/>
  <c r="AG117" i="2"/>
  <c r="AL116" i="2"/>
  <c r="AK116" i="2"/>
  <c r="AJ116" i="2"/>
  <c r="AI116" i="2"/>
  <c r="AG116" i="2"/>
  <c r="AL115" i="2"/>
  <c r="AK115" i="2"/>
  <c r="AJ115" i="2"/>
  <c r="AI115" i="2"/>
  <c r="AG115" i="2"/>
  <c r="AL114" i="2"/>
  <c r="AK114" i="2"/>
  <c r="AJ114" i="2"/>
  <c r="AI114" i="2"/>
  <c r="AG114" i="2"/>
  <c r="AL113" i="2"/>
  <c r="AK113" i="2"/>
  <c r="AJ113" i="2"/>
  <c r="AI113" i="2"/>
  <c r="AG113" i="2"/>
  <c r="AL112" i="2"/>
  <c r="AK112" i="2"/>
  <c r="AJ112" i="2"/>
  <c r="AI112" i="2"/>
  <c r="AG112" i="2"/>
  <c r="AL111" i="2"/>
  <c r="AK111" i="2"/>
  <c r="AJ111" i="2"/>
  <c r="AI111" i="2"/>
  <c r="AG111" i="2"/>
  <c r="AL110" i="2"/>
  <c r="AK110" i="2"/>
  <c r="AJ110" i="2"/>
  <c r="AI110" i="2"/>
  <c r="AG110" i="2"/>
  <c r="AL109" i="2"/>
  <c r="AK109" i="2"/>
  <c r="AJ109" i="2"/>
  <c r="AI109" i="2"/>
  <c r="AG109" i="2"/>
  <c r="AL108" i="2"/>
  <c r="AK108" i="2"/>
  <c r="AJ108" i="2"/>
  <c r="AI108" i="2"/>
  <c r="AG108" i="2"/>
  <c r="AL107" i="2"/>
  <c r="AK107" i="2"/>
  <c r="AJ107" i="2"/>
  <c r="AI107" i="2"/>
  <c r="AG107" i="2"/>
  <c r="AL106" i="2"/>
  <c r="AK106" i="2"/>
  <c r="AJ106" i="2"/>
  <c r="AI106" i="2"/>
  <c r="AG106" i="2"/>
  <c r="AL105" i="2"/>
  <c r="AK105" i="2"/>
  <c r="AJ105" i="2"/>
  <c r="AI105" i="2"/>
  <c r="AG105" i="2"/>
  <c r="AL104" i="2"/>
  <c r="AK104" i="2"/>
  <c r="AJ104" i="2"/>
  <c r="AI104" i="2"/>
  <c r="AG104" i="2"/>
  <c r="AL103" i="2"/>
  <c r="AK103" i="2"/>
  <c r="AJ103" i="2"/>
  <c r="AI103" i="2"/>
  <c r="AG103" i="2"/>
  <c r="AL102" i="2"/>
  <c r="AK102" i="2"/>
  <c r="AJ102" i="2"/>
  <c r="AI102" i="2"/>
  <c r="AG102" i="2"/>
  <c r="AL101" i="2"/>
  <c r="AK101" i="2"/>
  <c r="AJ101" i="2"/>
  <c r="AI101" i="2"/>
  <c r="AG101" i="2"/>
  <c r="AL100" i="2"/>
  <c r="AK100" i="2"/>
  <c r="AJ100" i="2"/>
  <c r="AI100" i="2"/>
  <c r="AG100" i="2"/>
  <c r="AL99" i="2"/>
  <c r="AK99" i="2"/>
  <c r="AJ99" i="2"/>
  <c r="AI99" i="2"/>
  <c r="AG99" i="2"/>
  <c r="AL98" i="2"/>
  <c r="AK98" i="2"/>
  <c r="AJ98" i="2"/>
  <c r="AI98" i="2"/>
  <c r="AG98" i="2"/>
  <c r="AL97" i="2"/>
  <c r="AK97" i="2"/>
  <c r="AJ97" i="2"/>
  <c r="AI97" i="2"/>
  <c r="AG97" i="2"/>
  <c r="AL96" i="2"/>
  <c r="AK96" i="2"/>
  <c r="AJ96" i="2"/>
  <c r="AI96" i="2"/>
  <c r="AG96" i="2"/>
  <c r="AL95" i="2"/>
  <c r="AK95" i="2"/>
  <c r="AJ95" i="2"/>
  <c r="AI95" i="2"/>
  <c r="AG95" i="2"/>
  <c r="AL94" i="2"/>
  <c r="AK94" i="2"/>
  <c r="AJ94" i="2"/>
  <c r="AI94" i="2"/>
  <c r="AG94" i="2"/>
  <c r="AL93" i="2"/>
  <c r="AK93" i="2"/>
  <c r="AJ93" i="2"/>
  <c r="AI93" i="2"/>
  <c r="AG93" i="2"/>
  <c r="AL92" i="2"/>
  <c r="AK92" i="2"/>
  <c r="AJ92" i="2"/>
  <c r="AI92" i="2"/>
  <c r="AG92" i="2"/>
  <c r="AL91" i="2"/>
  <c r="AK91" i="2"/>
  <c r="AJ91" i="2"/>
  <c r="AI91" i="2"/>
  <c r="AG91" i="2"/>
  <c r="AL90" i="2"/>
  <c r="AK90" i="2"/>
  <c r="AJ90" i="2"/>
  <c r="AI90" i="2"/>
  <c r="AG90" i="2"/>
  <c r="AL89" i="2"/>
  <c r="AK89" i="2"/>
  <c r="AJ89" i="2"/>
  <c r="AI89" i="2"/>
  <c r="AG89" i="2"/>
  <c r="AL88" i="2"/>
  <c r="AK88" i="2"/>
  <c r="AJ88" i="2"/>
  <c r="AI88" i="2"/>
  <c r="AG88" i="2"/>
  <c r="AL87" i="2"/>
  <c r="AK87" i="2"/>
  <c r="AJ87" i="2"/>
  <c r="AI87" i="2"/>
  <c r="AG87" i="2"/>
  <c r="AL86" i="2"/>
  <c r="AK86" i="2"/>
  <c r="AJ86" i="2"/>
  <c r="AI86" i="2"/>
  <c r="AG86" i="2"/>
  <c r="AL85" i="2"/>
  <c r="AK85" i="2"/>
  <c r="AJ85" i="2"/>
  <c r="AI85" i="2"/>
  <c r="AG85" i="2"/>
  <c r="AL84" i="2"/>
  <c r="AK84" i="2"/>
  <c r="AJ84" i="2"/>
  <c r="AI84" i="2"/>
  <c r="AG84" i="2"/>
  <c r="AL83" i="2"/>
  <c r="AK83" i="2"/>
  <c r="AJ83" i="2"/>
  <c r="AI83" i="2"/>
  <c r="AG83" i="2"/>
  <c r="AL82" i="2"/>
  <c r="AK82" i="2"/>
  <c r="AJ82" i="2"/>
  <c r="AI82" i="2"/>
  <c r="AG82" i="2"/>
  <c r="AL81" i="2"/>
  <c r="AK81" i="2"/>
  <c r="AJ81" i="2"/>
  <c r="AI81" i="2"/>
  <c r="AG81" i="2"/>
  <c r="AL80" i="2"/>
  <c r="AK80" i="2"/>
  <c r="AJ80" i="2"/>
  <c r="AI80" i="2"/>
  <c r="AG80" i="2"/>
  <c r="AL79" i="2"/>
  <c r="AK79" i="2"/>
  <c r="AJ79" i="2"/>
  <c r="AI79" i="2"/>
  <c r="AG79" i="2"/>
  <c r="AL78" i="2"/>
  <c r="AK78" i="2"/>
  <c r="AJ78" i="2"/>
  <c r="AI78" i="2"/>
  <c r="AG78" i="2"/>
  <c r="AL77" i="2"/>
  <c r="AK77" i="2"/>
  <c r="AJ77" i="2"/>
  <c r="AI77" i="2"/>
  <c r="AG77" i="2"/>
  <c r="AL76" i="2"/>
  <c r="AK76" i="2"/>
  <c r="AJ76" i="2"/>
  <c r="AI76" i="2"/>
  <c r="AG76" i="2"/>
  <c r="AF105" i="2"/>
  <c r="AE95" i="2"/>
  <c r="AF107" i="2"/>
  <c r="AE117" i="2"/>
  <c r="AF110" i="2"/>
  <c r="AF92" i="2"/>
  <c r="AE96" i="2"/>
  <c r="AE119" i="2"/>
  <c r="AF91" i="2"/>
  <c r="AF87" i="2"/>
  <c r="AF85" i="2"/>
  <c r="AF78" i="2"/>
  <c r="AH158" i="2"/>
  <c r="AF96" i="2"/>
  <c r="AE87" i="2"/>
  <c r="AE84" i="2"/>
  <c r="AF83" i="2"/>
  <c r="AE112" i="2"/>
  <c r="AF82" i="2"/>
  <c r="AF101" i="2"/>
  <c r="AE114" i="2"/>
  <c r="AE100" i="2"/>
  <c r="AE110" i="2"/>
  <c r="AF116" i="2"/>
  <c r="AE98" i="2"/>
  <c r="AE91" i="2"/>
  <c r="AE80" i="2"/>
  <c r="AF94" i="2"/>
  <c r="AF115" i="2"/>
  <c r="AF104" i="2"/>
  <c r="AE94" i="2"/>
  <c r="AE82" i="2"/>
  <c r="AF109" i="2"/>
  <c r="AF114" i="2"/>
  <c r="AE109" i="2"/>
  <c r="AF118" i="2"/>
  <c r="AE106" i="2"/>
  <c r="AF108" i="2"/>
  <c r="AE81" i="2"/>
  <c r="AF119" i="2"/>
  <c r="AF106" i="2"/>
  <c r="AF76" i="2"/>
  <c r="AF90" i="2"/>
  <c r="AE99" i="2"/>
  <c r="AE83" i="2"/>
  <c r="AE101" i="2"/>
  <c r="AE97" i="2"/>
  <c r="AF117" i="2"/>
  <c r="AF97" i="2"/>
  <c r="AF111" i="2"/>
  <c r="AE108" i="2"/>
  <c r="AF88" i="2"/>
  <c r="AE116" i="2"/>
  <c r="AE115" i="2"/>
  <c r="AE113" i="2"/>
  <c r="AF112" i="2"/>
  <c r="AF99" i="2"/>
  <c r="AF98" i="2"/>
  <c r="AE88" i="2"/>
  <c r="AF89" i="2"/>
  <c r="AE75" i="2"/>
  <c r="AF86" i="2"/>
  <c r="AF84" i="2"/>
  <c r="AE85" i="2"/>
  <c r="AF102" i="2"/>
  <c r="AE102" i="2"/>
  <c r="AF93" i="2"/>
  <c r="AE92" i="2"/>
  <c r="AE76" i="2"/>
  <c r="AE90" i="2"/>
  <c r="AF95" i="2"/>
  <c r="AE77" i="2"/>
  <c r="AE78" i="2"/>
  <c r="AE89" i="2"/>
  <c r="AE118" i="2"/>
  <c r="AE93" i="2"/>
  <c r="AE103" i="2"/>
  <c r="AF75" i="2"/>
  <c r="AF100" i="2"/>
  <c r="AE104" i="2"/>
  <c r="AF81" i="2"/>
  <c r="AF113" i="2"/>
  <c r="AE111" i="2"/>
  <c r="AE86" i="2"/>
  <c r="AE105" i="2"/>
  <c r="AF77" i="2"/>
  <c r="AF80" i="2"/>
  <c r="AF103" i="2"/>
  <c r="AE107" i="2"/>
  <c r="AF79" i="2"/>
  <c r="AE79" i="2"/>
  <c r="AD89" i="2" l="1"/>
  <c r="AD94" i="2"/>
  <c r="AD81" i="2"/>
  <c r="AD101" i="2"/>
  <c r="AD92" i="2"/>
  <c r="AD82" i="2"/>
  <c r="AD77" i="2"/>
  <c r="AD107" i="2"/>
  <c r="AD102" i="2"/>
  <c r="AD83" i="2"/>
  <c r="AD97" i="2"/>
  <c r="AD95" i="2"/>
  <c r="AD103" i="2"/>
  <c r="AD113" i="2"/>
  <c r="AD116" i="2"/>
  <c r="AD96" i="2"/>
  <c r="AD85" i="2"/>
  <c r="AD115" i="2"/>
  <c r="AD76" i="2"/>
  <c r="AD111" i="2"/>
  <c r="AD106" i="2"/>
  <c r="AD109" i="2"/>
  <c r="AD78" i="2"/>
  <c r="AD86" i="2"/>
  <c r="AD108" i="2"/>
  <c r="AD91" i="2"/>
  <c r="AD104" i="2"/>
  <c r="AD84" i="2"/>
  <c r="AD80" i="2"/>
  <c r="AD118" i="2"/>
  <c r="AD99" i="2"/>
  <c r="AD105" i="2"/>
  <c r="AD114" i="2"/>
  <c r="AD117" i="2"/>
  <c r="AD112" i="2"/>
  <c r="AD88" i="2"/>
  <c r="AD119" i="2"/>
  <c r="AD93" i="2"/>
  <c r="AD75" i="2"/>
  <c r="AD87" i="2"/>
  <c r="AD110" i="2"/>
  <c r="AD100" i="2"/>
  <c r="AD90" i="2"/>
  <c r="AD98" i="2"/>
  <c r="AD79" i="2"/>
  <c r="AM75" i="2"/>
  <c r="AM111" i="2"/>
  <c r="AM105" i="2"/>
  <c r="AM113" i="2"/>
  <c r="AM109" i="2"/>
  <c r="AM119" i="2"/>
  <c r="AM112" i="2"/>
  <c r="AM106" i="2"/>
  <c r="AM114" i="2"/>
  <c r="AM110" i="2"/>
  <c r="AM115" i="2"/>
  <c r="AM107" i="2"/>
  <c r="AM108" i="2"/>
  <c r="AM116" i="2"/>
  <c r="AM117" i="2"/>
  <c r="AM118" i="2"/>
  <c r="AM90" i="2"/>
  <c r="AM98" i="2"/>
  <c r="AM91" i="2"/>
  <c r="AM99" i="2"/>
  <c r="AM97" i="2"/>
  <c r="AM92" i="2"/>
  <c r="AM100" i="2"/>
  <c r="AM96" i="2"/>
  <c r="AM93" i="2"/>
  <c r="AM101" i="2"/>
  <c r="AM94" i="2"/>
  <c r="AM102" i="2"/>
  <c r="AM104" i="2"/>
  <c r="AM95" i="2"/>
  <c r="AM103" i="2"/>
  <c r="AM83" i="2"/>
  <c r="AM76" i="2"/>
  <c r="AM84" i="2"/>
  <c r="AM89" i="2"/>
  <c r="AM77" i="2"/>
  <c r="AM85" i="2"/>
  <c r="AM81" i="2"/>
  <c r="AM82" i="2"/>
  <c r="AM78" i="2"/>
  <c r="AM86" i="2"/>
  <c r="AM79" i="2"/>
  <c r="AM87" i="2"/>
  <c r="AM80" i="2"/>
  <c r="AM88" i="2"/>
  <c r="AL74" i="2"/>
  <c r="AK74" i="2"/>
  <c r="AJ74" i="2"/>
  <c r="AI74" i="2"/>
  <c r="AG74" i="2"/>
  <c r="AL73" i="2"/>
  <c r="AK73" i="2"/>
  <c r="AJ73" i="2"/>
  <c r="AI73" i="2"/>
  <c r="AG73" i="2"/>
  <c r="AL72" i="2"/>
  <c r="AK72" i="2"/>
  <c r="AJ72" i="2"/>
  <c r="AI72" i="2"/>
  <c r="AG72" i="2"/>
  <c r="AL71" i="2"/>
  <c r="AK71" i="2"/>
  <c r="AJ71" i="2"/>
  <c r="AI71" i="2"/>
  <c r="AG71" i="2"/>
  <c r="AL70" i="2"/>
  <c r="AK70" i="2"/>
  <c r="AJ70" i="2"/>
  <c r="AI70" i="2"/>
  <c r="AG70" i="2"/>
  <c r="AL69" i="2"/>
  <c r="AK69" i="2"/>
  <c r="AJ69" i="2"/>
  <c r="AI69" i="2"/>
  <c r="AG69" i="2"/>
  <c r="AL68" i="2"/>
  <c r="AK68" i="2"/>
  <c r="AJ68" i="2"/>
  <c r="AI68" i="2"/>
  <c r="AG68" i="2"/>
  <c r="AL67" i="2"/>
  <c r="AK67" i="2"/>
  <c r="AJ67" i="2"/>
  <c r="AI67" i="2"/>
  <c r="AG67" i="2"/>
  <c r="AL66" i="2"/>
  <c r="AK66" i="2"/>
  <c r="AJ66" i="2"/>
  <c r="AI66" i="2"/>
  <c r="AG66" i="2"/>
  <c r="AL65" i="2"/>
  <c r="AK65" i="2"/>
  <c r="AJ65" i="2"/>
  <c r="AI65" i="2"/>
  <c r="AG65" i="2"/>
  <c r="AL64" i="2"/>
  <c r="AK64" i="2"/>
  <c r="AJ64" i="2"/>
  <c r="AI64" i="2"/>
  <c r="AG64" i="2"/>
  <c r="AL63" i="2"/>
  <c r="AK63" i="2"/>
  <c r="AJ63" i="2"/>
  <c r="AI63" i="2"/>
  <c r="AG63" i="2"/>
  <c r="AL62" i="2"/>
  <c r="AK62" i="2"/>
  <c r="AJ62" i="2"/>
  <c r="AI62" i="2"/>
  <c r="AG62" i="2"/>
  <c r="AL61" i="2"/>
  <c r="AK61" i="2"/>
  <c r="AJ61" i="2"/>
  <c r="AI61" i="2"/>
  <c r="AG61" i="2"/>
  <c r="AL60" i="2"/>
  <c r="AK60" i="2"/>
  <c r="AJ60" i="2"/>
  <c r="AI60" i="2"/>
  <c r="AG60" i="2"/>
  <c r="AL59" i="2"/>
  <c r="AK59" i="2"/>
  <c r="AJ59" i="2"/>
  <c r="AI59" i="2"/>
  <c r="AG59" i="2"/>
  <c r="AL58" i="2"/>
  <c r="AK58" i="2"/>
  <c r="AJ58" i="2"/>
  <c r="AI58" i="2"/>
  <c r="AG58" i="2"/>
  <c r="AL57" i="2"/>
  <c r="AK57" i="2"/>
  <c r="AJ57" i="2"/>
  <c r="AI57" i="2"/>
  <c r="AG57" i="2"/>
  <c r="AL56" i="2"/>
  <c r="AK56" i="2"/>
  <c r="AJ56" i="2"/>
  <c r="AI56" i="2"/>
  <c r="AG56" i="2"/>
  <c r="AL55" i="2"/>
  <c r="AK55" i="2"/>
  <c r="AJ55" i="2"/>
  <c r="AI55" i="2"/>
  <c r="AG55" i="2"/>
  <c r="AL54" i="2"/>
  <c r="AK54" i="2"/>
  <c r="AJ54" i="2"/>
  <c r="AI54" i="2"/>
  <c r="AG54" i="2"/>
  <c r="AL53" i="2"/>
  <c r="AK53" i="2"/>
  <c r="AJ53" i="2"/>
  <c r="AI53" i="2"/>
  <c r="AG53" i="2"/>
  <c r="AL52" i="2"/>
  <c r="AK52" i="2"/>
  <c r="AJ52" i="2"/>
  <c r="AI52" i="2"/>
  <c r="AG52" i="2"/>
  <c r="AL51" i="2"/>
  <c r="AK51" i="2"/>
  <c r="AJ51" i="2"/>
  <c r="AI51" i="2"/>
  <c r="AG51" i="2"/>
  <c r="AL50" i="2"/>
  <c r="AK50" i="2"/>
  <c r="AJ50" i="2"/>
  <c r="AI50" i="2"/>
  <c r="AG50" i="2"/>
  <c r="AL49" i="2"/>
  <c r="AK49" i="2"/>
  <c r="AJ49" i="2"/>
  <c r="AI49" i="2"/>
  <c r="AG49" i="2"/>
  <c r="AL48" i="2"/>
  <c r="AK48" i="2"/>
  <c r="AJ48" i="2"/>
  <c r="AI48" i="2"/>
  <c r="AG48" i="2"/>
  <c r="AL47" i="2"/>
  <c r="AK47" i="2"/>
  <c r="AJ47" i="2"/>
  <c r="AI47" i="2"/>
  <c r="AG47" i="2"/>
  <c r="AL46" i="2"/>
  <c r="AK46" i="2"/>
  <c r="AJ46" i="2"/>
  <c r="AI46" i="2"/>
  <c r="AG46" i="2"/>
  <c r="AL45" i="2"/>
  <c r="AK45" i="2"/>
  <c r="AJ45" i="2"/>
  <c r="AI45" i="2"/>
  <c r="AG45" i="2"/>
  <c r="AL44" i="2"/>
  <c r="AK44" i="2"/>
  <c r="AJ44" i="2"/>
  <c r="AI44" i="2"/>
  <c r="AG44" i="2"/>
  <c r="AL43" i="2"/>
  <c r="AK43" i="2"/>
  <c r="AJ43" i="2"/>
  <c r="AI43" i="2"/>
  <c r="AG43" i="2"/>
  <c r="AL42" i="2"/>
  <c r="AK42" i="2"/>
  <c r="AJ42" i="2"/>
  <c r="AI42" i="2"/>
  <c r="AG42" i="2"/>
  <c r="AL41" i="2"/>
  <c r="AK41" i="2"/>
  <c r="AJ41" i="2"/>
  <c r="AI41" i="2"/>
  <c r="AG41" i="2"/>
  <c r="AL40" i="2"/>
  <c r="AK40" i="2"/>
  <c r="AJ40" i="2"/>
  <c r="AI40" i="2"/>
  <c r="AG40" i="2"/>
  <c r="AL39" i="2"/>
  <c r="AK39" i="2"/>
  <c r="AJ39" i="2"/>
  <c r="AI39" i="2"/>
  <c r="AG39" i="2"/>
  <c r="AL38" i="2"/>
  <c r="AK38" i="2"/>
  <c r="AJ38" i="2"/>
  <c r="AI38" i="2"/>
  <c r="AG38" i="2"/>
  <c r="AL37" i="2"/>
  <c r="AK37" i="2"/>
  <c r="AJ37" i="2"/>
  <c r="AI37" i="2"/>
  <c r="AG37" i="2"/>
  <c r="AL36" i="2"/>
  <c r="AK36" i="2"/>
  <c r="AJ36" i="2"/>
  <c r="AI36" i="2"/>
  <c r="AG36" i="2"/>
  <c r="AL35" i="2"/>
  <c r="AK35" i="2"/>
  <c r="AJ35" i="2"/>
  <c r="AI35" i="2"/>
  <c r="AG35" i="2"/>
  <c r="AG15" i="2"/>
  <c r="AI15" i="2"/>
  <c r="AJ15" i="2"/>
  <c r="AK15" i="2"/>
  <c r="AL15" i="2"/>
  <c r="AG16" i="2"/>
  <c r="AI16" i="2"/>
  <c r="AJ16" i="2"/>
  <c r="AK16" i="2"/>
  <c r="AL16" i="2"/>
  <c r="AG17" i="2"/>
  <c r="AI17" i="2"/>
  <c r="AJ17" i="2"/>
  <c r="AK17" i="2"/>
  <c r="AL17" i="2"/>
  <c r="AG18" i="2"/>
  <c r="AI18" i="2"/>
  <c r="AJ18" i="2"/>
  <c r="AK18" i="2"/>
  <c r="AL18" i="2"/>
  <c r="AG19" i="2"/>
  <c r="AI19" i="2"/>
  <c r="AJ19" i="2"/>
  <c r="AK19" i="2"/>
  <c r="AL19" i="2"/>
  <c r="AG20" i="2"/>
  <c r="AI20" i="2"/>
  <c r="AJ20" i="2"/>
  <c r="AK20" i="2"/>
  <c r="AL20" i="2"/>
  <c r="AG21" i="2"/>
  <c r="AI21" i="2"/>
  <c r="AJ21" i="2"/>
  <c r="AK21" i="2"/>
  <c r="AL21" i="2"/>
  <c r="AG22" i="2"/>
  <c r="AI22" i="2"/>
  <c r="AJ22" i="2"/>
  <c r="AK22" i="2"/>
  <c r="AL22" i="2"/>
  <c r="AG23" i="2"/>
  <c r="AI23" i="2"/>
  <c r="AJ23" i="2"/>
  <c r="AK23" i="2"/>
  <c r="AL23" i="2"/>
  <c r="AG24" i="2"/>
  <c r="AI24" i="2"/>
  <c r="AJ24" i="2"/>
  <c r="AK24" i="2"/>
  <c r="AL24" i="2"/>
  <c r="AG25" i="2"/>
  <c r="AI25" i="2"/>
  <c r="AJ25" i="2"/>
  <c r="AK25" i="2"/>
  <c r="AL25" i="2"/>
  <c r="AG26" i="2"/>
  <c r="AI26" i="2"/>
  <c r="AJ26" i="2"/>
  <c r="AK26" i="2"/>
  <c r="AL26" i="2"/>
  <c r="AG27" i="2"/>
  <c r="AI27" i="2"/>
  <c r="AJ27" i="2"/>
  <c r="AK27" i="2"/>
  <c r="AL27" i="2"/>
  <c r="AG28" i="2"/>
  <c r="AI28" i="2"/>
  <c r="AJ28" i="2"/>
  <c r="AK28" i="2"/>
  <c r="AL28" i="2"/>
  <c r="AG29" i="2"/>
  <c r="AI29" i="2"/>
  <c r="AJ29" i="2"/>
  <c r="AK29" i="2"/>
  <c r="AL29" i="2"/>
  <c r="AG30" i="2"/>
  <c r="AI30" i="2"/>
  <c r="AJ30" i="2"/>
  <c r="AK30" i="2"/>
  <c r="AL30" i="2"/>
  <c r="AG31" i="2"/>
  <c r="AI31" i="2"/>
  <c r="AJ31" i="2"/>
  <c r="AK31" i="2"/>
  <c r="AL31" i="2"/>
  <c r="AG32" i="2"/>
  <c r="AI32" i="2"/>
  <c r="AJ32" i="2"/>
  <c r="AK32" i="2"/>
  <c r="AL32" i="2"/>
  <c r="AG33" i="2"/>
  <c r="AI33" i="2"/>
  <c r="AJ33" i="2"/>
  <c r="AK33" i="2"/>
  <c r="AL33" i="2"/>
  <c r="AG34" i="2"/>
  <c r="AI34" i="2"/>
  <c r="AJ34" i="2"/>
  <c r="AK34" i="2"/>
  <c r="AL34" i="2"/>
  <c r="AE72" i="2"/>
  <c r="AF45" i="2"/>
  <c r="AE30" i="2"/>
  <c r="AF38" i="2"/>
  <c r="AF25" i="2"/>
  <c r="AH106" i="2"/>
  <c r="AF32" i="2"/>
  <c r="AF46" i="2"/>
  <c r="AF18" i="2"/>
  <c r="AE34" i="2"/>
  <c r="AH88" i="2"/>
  <c r="AF63" i="2"/>
  <c r="AE25" i="2"/>
  <c r="AE48" i="2"/>
  <c r="AE65" i="2"/>
  <c r="AF47" i="2"/>
  <c r="AF37" i="2"/>
  <c r="AE64" i="2"/>
  <c r="AF42" i="2"/>
  <c r="AH77" i="2"/>
  <c r="AF26" i="2"/>
  <c r="AH90" i="2"/>
  <c r="AF16" i="2"/>
  <c r="AF62" i="2"/>
  <c r="AF65" i="2"/>
  <c r="AH76" i="2"/>
  <c r="AE44" i="2"/>
  <c r="AH84" i="2"/>
  <c r="AE61" i="2"/>
  <c r="AF59" i="2"/>
  <c r="AH102" i="2"/>
  <c r="AH82" i="2"/>
  <c r="AF61" i="2"/>
  <c r="AE51" i="2"/>
  <c r="AH118" i="2"/>
  <c r="AF28" i="2"/>
  <c r="AF36" i="2"/>
  <c r="AE43" i="2"/>
  <c r="AE71" i="2"/>
  <c r="AF49" i="2"/>
  <c r="AH99" i="2"/>
  <c r="AF70" i="2"/>
  <c r="AE52" i="2"/>
  <c r="AE23" i="2"/>
  <c r="AE49" i="2"/>
  <c r="AE60" i="2"/>
  <c r="AH78" i="2"/>
  <c r="AF69" i="2"/>
  <c r="AF21" i="2"/>
  <c r="AF20" i="2"/>
  <c r="AE59" i="2"/>
  <c r="AF71" i="2"/>
  <c r="AF41" i="2"/>
  <c r="AE19" i="2"/>
  <c r="AE18" i="2"/>
  <c r="AH93" i="2"/>
  <c r="AE15" i="2"/>
  <c r="AF73" i="2"/>
  <c r="AE66" i="2"/>
  <c r="AF67" i="2"/>
  <c r="AF60" i="2"/>
  <c r="AH111" i="2"/>
  <c r="AE74" i="2"/>
  <c r="AE36" i="2"/>
  <c r="AH112" i="2"/>
  <c r="AF44" i="2"/>
  <c r="AH80" i="2"/>
  <c r="AE58" i="2"/>
  <c r="AH83" i="2"/>
  <c r="AF56" i="2"/>
  <c r="AH103" i="2"/>
  <c r="AH107" i="2"/>
  <c r="AE62" i="2"/>
  <c r="AF58" i="2"/>
  <c r="AF54" i="2"/>
  <c r="AF74" i="2"/>
  <c r="AE47" i="2"/>
  <c r="AE16" i="2"/>
  <c r="AE69" i="2"/>
  <c r="AH104" i="2"/>
  <c r="AE73" i="2"/>
  <c r="AF17" i="2"/>
  <c r="AE37" i="2"/>
  <c r="AH97" i="2"/>
  <c r="AE53" i="2"/>
  <c r="AF22" i="2"/>
  <c r="AE46" i="2"/>
  <c r="AE20" i="2"/>
  <c r="AF55" i="2"/>
  <c r="AH109" i="2"/>
  <c r="AF40" i="2"/>
  <c r="AE17" i="2"/>
  <c r="AF50" i="2"/>
  <c r="AF53" i="2"/>
  <c r="AE24" i="2"/>
  <c r="AE63" i="2"/>
  <c r="AE39" i="2"/>
  <c r="AE27" i="2"/>
  <c r="AE41" i="2"/>
  <c r="AH108" i="2"/>
  <c r="AE40" i="2"/>
  <c r="AH95" i="2"/>
  <c r="AE42" i="2"/>
  <c r="AF27" i="2"/>
  <c r="AH81" i="2"/>
  <c r="AF72" i="2"/>
  <c r="AF51" i="2"/>
  <c r="AE33" i="2"/>
  <c r="AH117" i="2"/>
  <c r="AE68" i="2"/>
  <c r="AE54" i="2"/>
  <c r="AE56" i="2"/>
  <c r="AF31" i="2"/>
  <c r="AF19" i="2"/>
  <c r="AF43" i="2"/>
  <c r="AH116" i="2"/>
  <c r="AF35" i="2"/>
  <c r="AF24" i="2"/>
  <c r="AE45" i="2"/>
  <c r="AE28" i="2"/>
  <c r="AF39" i="2"/>
  <c r="AF48" i="2"/>
  <c r="AF66" i="2"/>
  <c r="AE38" i="2"/>
  <c r="AH92" i="2"/>
  <c r="AF68" i="2"/>
  <c r="AF29" i="2"/>
  <c r="AH113" i="2"/>
  <c r="AE22" i="2"/>
  <c r="AH119" i="2"/>
  <c r="AF64" i="2"/>
  <c r="AH87" i="2"/>
  <c r="AE70" i="2"/>
  <c r="AE21" i="2"/>
  <c r="AE35" i="2"/>
  <c r="AF30" i="2"/>
  <c r="AF52" i="2"/>
  <c r="AF15" i="2"/>
  <c r="AE29" i="2"/>
  <c r="AF34" i="2"/>
  <c r="AF33" i="2"/>
  <c r="AE31" i="2"/>
  <c r="AE55" i="2"/>
  <c r="AF23" i="2"/>
  <c r="AE32" i="2"/>
  <c r="AH96" i="2"/>
  <c r="AH85" i="2"/>
  <c r="AE57" i="2"/>
  <c r="AE26" i="2"/>
  <c r="AE50" i="2"/>
  <c r="AE67" i="2"/>
  <c r="AF57" i="2"/>
  <c r="AH100" i="2"/>
  <c r="AH98" i="2"/>
  <c r="AH115" i="2"/>
  <c r="AH86" i="2"/>
  <c r="AH105" i="2"/>
  <c r="AH75" i="2"/>
  <c r="AH79" i="2"/>
  <c r="AH89" i="2"/>
  <c r="AH114" i="2"/>
  <c r="AH91" i="2"/>
  <c r="AH110" i="2"/>
  <c r="AH101" i="2"/>
  <c r="AH94" i="2"/>
  <c r="AD55" i="2" l="1"/>
  <c r="AD23" i="2"/>
  <c r="AD60" i="2"/>
  <c r="AD65" i="2"/>
  <c r="AD32" i="2"/>
  <c r="AD37" i="2"/>
  <c r="AD27" i="2"/>
  <c r="AD28" i="2"/>
  <c r="AD15" i="2"/>
  <c r="AD26" i="2"/>
  <c r="AD67" i="2"/>
  <c r="AD73" i="2"/>
  <c r="AD58" i="2"/>
  <c r="AD38" i="2"/>
  <c r="AD68" i="2"/>
  <c r="AD59" i="2"/>
  <c r="AD44" i="2"/>
  <c r="AD34" i="2"/>
  <c r="AD40" i="2"/>
  <c r="AD43" i="2"/>
  <c r="AD17" i="2"/>
  <c r="AD71" i="2"/>
  <c r="AD35" i="2"/>
  <c r="AD57" i="2"/>
  <c r="AD19" i="2"/>
  <c r="AD31" i="2"/>
  <c r="AD45" i="2"/>
  <c r="AD36" i="2"/>
  <c r="AD51" i="2"/>
  <c r="AD18" i="2"/>
  <c r="AD66" i="2"/>
  <c r="AD64" i="2"/>
  <c r="AD20" i="2"/>
  <c r="AD46" i="2"/>
  <c r="AD49" i="2"/>
  <c r="AD33" i="2"/>
  <c r="AD30" i="2"/>
  <c r="AD21" i="2"/>
  <c r="AD72" i="2"/>
  <c r="AD25" i="2"/>
  <c r="AD42" i="2"/>
  <c r="AD22" i="2"/>
  <c r="AD62" i="2"/>
  <c r="AD74" i="2"/>
  <c r="AD47" i="2"/>
  <c r="AD39" i="2"/>
  <c r="AD48" i="2"/>
  <c r="AD52" i="2"/>
  <c r="AD50" i="2"/>
  <c r="AD16" i="2"/>
  <c r="AD56" i="2"/>
  <c r="AD61" i="2"/>
  <c r="AD53" i="2"/>
  <c r="AD41" i="2"/>
  <c r="AD24" i="2"/>
  <c r="AD69" i="2"/>
  <c r="AD70" i="2"/>
  <c r="AD54" i="2"/>
  <c r="AD63" i="2"/>
  <c r="AD29" i="2"/>
  <c r="AM74" i="2"/>
  <c r="AM35" i="2"/>
  <c r="AM43" i="2"/>
  <c r="AM51" i="2"/>
  <c r="AM59" i="2"/>
  <c r="AM67" i="2"/>
  <c r="AM66" i="2"/>
  <c r="AM36" i="2"/>
  <c r="AM44" i="2"/>
  <c r="AM52" i="2"/>
  <c r="AM60" i="2"/>
  <c r="AM68" i="2"/>
  <c r="AM58" i="2"/>
  <c r="AM37" i="2"/>
  <c r="AM45" i="2"/>
  <c r="AM53" i="2"/>
  <c r="AM61" i="2"/>
  <c r="AM69" i="2"/>
  <c r="AM38" i="2"/>
  <c r="AM46" i="2"/>
  <c r="AM54" i="2"/>
  <c r="AM62" i="2"/>
  <c r="AM70" i="2"/>
  <c r="AM39" i="2"/>
  <c r="AM47" i="2"/>
  <c r="AM55" i="2"/>
  <c r="AM63" i="2"/>
  <c r="AM71" i="2"/>
  <c r="AM42" i="2"/>
  <c r="AM40" i="2"/>
  <c r="AM48" i="2"/>
  <c r="AM56" i="2"/>
  <c r="AM64" i="2"/>
  <c r="AM72" i="2"/>
  <c r="AM50" i="2"/>
  <c r="AM41" i="2"/>
  <c r="AM49" i="2"/>
  <c r="AM57" i="2"/>
  <c r="AM65" i="2"/>
  <c r="AM73" i="2"/>
  <c r="AM21" i="2"/>
  <c r="AM20" i="2"/>
  <c r="AM27" i="2"/>
  <c r="AM19" i="2"/>
  <c r="AM34" i="2"/>
  <c r="AM26" i="2"/>
  <c r="AM18" i="2"/>
  <c r="AM29" i="2"/>
  <c r="AM25" i="2"/>
  <c r="AM17" i="2"/>
  <c r="AM32" i="2"/>
  <c r="AM24" i="2"/>
  <c r="AM16" i="2"/>
  <c r="AM33" i="2"/>
  <c r="AM31" i="2"/>
  <c r="AM23" i="2"/>
  <c r="AM15" i="2"/>
  <c r="AM28" i="2"/>
  <c r="AM30" i="2"/>
  <c r="AM22" i="2"/>
  <c r="AL14" i="2"/>
  <c r="AK14" i="2"/>
  <c r="AJ14" i="2"/>
  <c r="AG14" i="2"/>
  <c r="AL13" i="2"/>
  <c r="AK13" i="2"/>
  <c r="AJ13" i="2"/>
  <c r="AG13" i="2"/>
  <c r="AL12" i="2"/>
  <c r="AK12" i="2"/>
  <c r="AJ12" i="2"/>
  <c r="AG12" i="2"/>
  <c r="AL11" i="2"/>
  <c r="AK11" i="2"/>
  <c r="AJ11" i="2"/>
  <c r="AG11" i="2"/>
  <c r="AL10" i="2"/>
  <c r="AK10" i="2"/>
  <c r="AJ10" i="2"/>
  <c r="AG10" i="2"/>
  <c r="AL9" i="2"/>
  <c r="AK9" i="2"/>
  <c r="AJ9" i="2"/>
  <c r="AG9" i="2"/>
  <c r="AL8" i="2"/>
  <c r="AK8" i="2"/>
  <c r="AJ8" i="2"/>
  <c r="AG8" i="2"/>
  <c r="AL7" i="2"/>
  <c r="AK7" i="2"/>
  <c r="AJ7" i="2"/>
  <c r="AG7" i="2"/>
  <c r="AL6" i="2"/>
  <c r="AK6" i="2"/>
  <c r="AJ6" i="2"/>
  <c r="AG6" i="2"/>
  <c r="AL5" i="2"/>
  <c r="AK5" i="2"/>
  <c r="AJ5" i="2"/>
  <c r="AG5" i="2"/>
  <c r="AL4" i="2"/>
  <c r="AK4" i="2"/>
  <c r="AJ4" i="2"/>
  <c r="AG4" i="2"/>
  <c r="AL3" i="2"/>
  <c r="AK3" i="2"/>
  <c r="AJ3" i="2"/>
  <c r="AG3" i="2"/>
  <c r="AH63" i="2"/>
  <c r="AH60" i="2"/>
  <c r="AE5" i="2"/>
  <c r="AF12" i="2"/>
  <c r="AH67" i="2"/>
  <c r="AF6" i="2"/>
  <c r="AH37" i="2"/>
  <c r="AH71" i="2"/>
  <c r="AE10" i="2"/>
  <c r="AH27" i="2"/>
  <c r="AH38" i="2"/>
  <c r="AF4" i="2"/>
  <c r="AE9" i="2"/>
  <c r="AE4" i="2"/>
  <c r="AF11" i="2"/>
  <c r="AH40" i="2"/>
  <c r="AH20" i="2"/>
  <c r="AH72" i="2"/>
  <c r="AH32" i="2"/>
  <c r="AH43" i="2"/>
  <c r="AH30" i="2"/>
  <c r="AH33" i="2"/>
  <c r="AE14" i="2"/>
  <c r="AE7" i="2"/>
  <c r="AH62" i="2"/>
  <c r="AH19" i="2"/>
  <c r="AF9" i="2"/>
  <c r="AH69" i="2"/>
  <c r="AH55" i="2"/>
  <c r="AH46" i="2"/>
  <c r="AH31" i="2"/>
  <c r="AH28" i="2"/>
  <c r="AE3" i="2"/>
  <c r="AE13" i="2"/>
  <c r="AF10" i="2"/>
  <c r="AE8" i="2"/>
  <c r="AE12" i="2"/>
  <c r="AH57" i="2"/>
  <c r="AH50" i="2"/>
  <c r="AH52" i="2"/>
  <c r="AH35" i="2"/>
  <c r="AH59" i="2"/>
  <c r="AH22" i="2"/>
  <c r="AF8" i="2"/>
  <c r="AH68" i="2"/>
  <c r="AF7" i="2"/>
  <c r="AH70" i="2"/>
  <c r="AE11" i="2"/>
  <c r="AH42" i="2"/>
  <c r="AH39" i="2"/>
  <c r="AH74" i="2"/>
  <c r="AH21" i="2"/>
  <c r="AH17" i="2"/>
  <c r="AH56" i="2"/>
  <c r="AH51" i="2"/>
  <c r="AE6" i="2"/>
  <c r="AF13" i="2"/>
  <c r="AF5" i="2"/>
  <c r="AH48" i="2"/>
  <c r="AH24" i="2"/>
  <c r="AH26" i="2"/>
  <c r="AF3" i="2"/>
  <c r="AF14" i="2"/>
  <c r="AH34" i="2"/>
  <c r="AH61" i="2"/>
  <c r="AH66" i="2"/>
  <c r="AH45" i="2"/>
  <c r="AH65" i="2"/>
  <c r="AH18" i="2"/>
  <c r="AH53" i="2"/>
  <c r="AH23" i="2"/>
  <c r="AH64" i="2"/>
  <c r="AH44" i="2"/>
  <c r="AH58" i="2"/>
  <c r="AH16" i="2"/>
  <c r="AH73" i="2"/>
  <c r="AH25" i="2"/>
  <c r="AH41" i="2"/>
  <c r="AH54" i="2"/>
  <c r="AH49" i="2"/>
  <c r="AH36" i="2"/>
  <c r="AH29" i="2"/>
  <c r="AH47" i="2"/>
  <c r="AH15" i="2"/>
  <c r="AD10" i="2" l="1"/>
  <c r="AD13" i="2"/>
  <c r="AD6" i="2"/>
  <c r="AD3" i="2"/>
  <c r="AD5" i="2"/>
  <c r="AD7" i="2"/>
  <c r="AD4" i="2"/>
  <c r="AD8" i="2"/>
  <c r="AD14" i="2"/>
  <c r="AD12" i="2"/>
  <c r="AD9" i="2"/>
  <c r="AD11" i="2"/>
  <c r="AM12" i="2"/>
  <c r="AI13" i="2"/>
  <c r="AI6" i="2"/>
  <c r="AM13" i="2"/>
  <c r="AI14" i="2"/>
  <c r="AM7" i="2"/>
  <c r="AI8" i="2"/>
  <c r="AM6" i="2"/>
  <c r="AM8" i="2"/>
  <c r="AI9" i="2"/>
  <c r="AI7" i="2"/>
  <c r="AM9" i="2"/>
  <c r="AI10" i="2"/>
  <c r="AM14" i="2"/>
  <c r="AM10" i="2"/>
  <c r="AI11" i="2"/>
  <c r="AM11" i="2"/>
  <c r="AI12" i="2"/>
  <c r="AM5" i="2"/>
  <c r="AI5" i="2"/>
  <c r="AM4" i="2"/>
  <c r="AM3" i="2"/>
  <c r="AI4" i="2"/>
  <c r="AI3" i="2"/>
  <c r="AH8" i="2"/>
  <c r="AH11" i="2"/>
  <c r="AH13" i="2"/>
  <c r="AH6" i="2"/>
  <c r="AH12" i="2"/>
  <c r="AH5" i="2"/>
  <c r="AH4" i="2"/>
  <c r="AH10" i="2"/>
  <c r="AH14" i="2"/>
  <c r="AH3" i="2"/>
  <c r="AH9" i="2"/>
  <c r="AH7" i="2"/>
</calcChain>
</file>

<file path=xl/sharedStrings.xml><?xml version="1.0" encoding="utf-8"?>
<sst xmlns="http://schemas.openxmlformats.org/spreadsheetml/2006/main" count="4464" uniqueCount="1157">
  <si>
    <t>Strategy Phase</t>
  </si>
  <si>
    <t>Type</t>
  </si>
  <si>
    <t>Campaign Category</t>
  </si>
  <si>
    <t>Date</t>
  </si>
  <si>
    <t>Model Variant</t>
  </si>
  <si>
    <t>Campaign Name</t>
  </si>
  <si>
    <t>Name</t>
  </si>
  <si>
    <t>Country</t>
  </si>
  <si>
    <t>Media Channel</t>
  </si>
  <si>
    <t>AE</t>
  </si>
  <si>
    <t>UAE</t>
  </si>
  <si>
    <t>AAF</t>
  </si>
  <si>
    <t>AFF</t>
  </si>
  <si>
    <t>Affiliate</t>
  </si>
  <si>
    <t>COMPR</t>
  </si>
  <si>
    <t>DL</t>
  </si>
  <si>
    <t>Dealer</t>
  </si>
  <si>
    <t>AS</t>
  </si>
  <si>
    <t>2018Q1FEB</t>
  </si>
  <si>
    <t>AFS</t>
  </si>
  <si>
    <t>AR</t>
  </si>
  <si>
    <t>Argentina</t>
  </si>
  <si>
    <t>IMC</t>
  </si>
  <si>
    <t>DSY</t>
  </si>
  <si>
    <t>Display</t>
  </si>
  <si>
    <t>LANCH</t>
  </si>
  <si>
    <t>Launch</t>
  </si>
  <si>
    <t>ND</t>
  </si>
  <si>
    <t>Non-Dealer</t>
  </si>
  <si>
    <t>2018Q1JAN</t>
  </si>
  <si>
    <t>ALS</t>
  </si>
  <si>
    <t>Atlas</t>
  </si>
  <si>
    <t>AU</t>
  </si>
  <si>
    <t>Australia</t>
  </si>
  <si>
    <t>TAT</t>
  </si>
  <si>
    <t>SEA</t>
  </si>
  <si>
    <t>Search</t>
  </si>
  <si>
    <t>MODNN</t>
  </si>
  <si>
    <t>NC</t>
  </si>
  <si>
    <t>2018Q1MAR</t>
  </si>
  <si>
    <t>ALT</t>
  </si>
  <si>
    <t>Alltrack</t>
  </si>
  <si>
    <t>BE</t>
  </si>
  <si>
    <t>Belgium</t>
  </si>
  <si>
    <t>SOC</t>
  </si>
  <si>
    <t>Social</t>
  </si>
  <si>
    <t>MTRSW</t>
  </si>
  <si>
    <t>UC</t>
  </si>
  <si>
    <t>2018Q2APR</t>
  </si>
  <si>
    <t>AMK</t>
  </si>
  <si>
    <t>Amarok</t>
  </si>
  <si>
    <t>BR</t>
  </si>
  <si>
    <t>Brazil</t>
  </si>
  <si>
    <t>VID</t>
  </si>
  <si>
    <t>Video</t>
  </si>
  <si>
    <t>NONMS</t>
  </si>
  <si>
    <t>2018Q2JUN</t>
  </si>
  <si>
    <t>AMO</t>
  </si>
  <si>
    <t>Ameo</t>
  </si>
  <si>
    <t>CA</t>
  </si>
  <si>
    <t>Canada</t>
  </si>
  <si>
    <t>PRESA</t>
  </si>
  <si>
    <t>Pre-Sales</t>
  </si>
  <si>
    <t>2018Q2MAY</t>
  </si>
  <si>
    <t>AMV</t>
  </si>
  <si>
    <t>CH</t>
  </si>
  <si>
    <t>Switzerland</t>
  </si>
  <si>
    <t>RUNOT</t>
  </si>
  <si>
    <t>2018Q3AUG</t>
  </si>
  <si>
    <t>ATN</t>
  </si>
  <si>
    <t>Arteon</t>
  </si>
  <si>
    <t>CN</t>
  </si>
  <si>
    <t>China</t>
  </si>
  <si>
    <t>SUSTN</t>
  </si>
  <si>
    <t>Sustain</t>
  </si>
  <si>
    <t>2018Q3JUL</t>
  </si>
  <si>
    <t>BEE</t>
  </si>
  <si>
    <t>Beetle</t>
  </si>
  <si>
    <t>DE</t>
  </si>
  <si>
    <t>Germany</t>
  </si>
  <si>
    <t>2018Q3SEP</t>
  </si>
  <si>
    <t>BRO</t>
  </si>
  <si>
    <t>DK</t>
  </si>
  <si>
    <t>Denmark</t>
  </si>
  <si>
    <t>2018Q4DEC</t>
  </si>
  <si>
    <t>BSE</t>
  </si>
  <si>
    <t>B7</t>
  </si>
  <si>
    <t>ES</t>
  </si>
  <si>
    <t>Spain</t>
  </si>
  <si>
    <t>2018Q4NOV</t>
  </si>
  <si>
    <t>BTS</t>
  </si>
  <si>
    <t>Beats</t>
  </si>
  <si>
    <t>FR</t>
  </si>
  <si>
    <t>France</t>
  </si>
  <si>
    <t>2018Q4OCT</t>
  </si>
  <si>
    <t>CAB</t>
  </si>
  <si>
    <t>Cabriolet</t>
  </si>
  <si>
    <t>GB</t>
  </si>
  <si>
    <t>2019Q1FEB</t>
  </si>
  <si>
    <t>CAL</t>
  </si>
  <si>
    <t>California</t>
  </si>
  <si>
    <t>HK</t>
  </si>
  <si>
    <t>2019Q1JAN</t>
  </si>
  <si>
    <t>CAR</t>
  </si>
  <si>
    <t>Caravelle</t>
  </si>
  <si>
    <t>IE</t>
  </si>
  <si>
    <t>Ireland</t>
  </si>
  <si>
    <t>2019Q1MAR</t>
  </si>
  <si>
    <t>CCC</t>
  </si>
  <si>
    <t>CC</t>
  </si>
  <si>
    <t>IN</t>
  </si>
  <si>
    <t>India</t>
  </si>
  <si>
    <t>2019Q2APR</t>
  </si>
  <si>
    <t>CCL</t>
  </si>
  <si>
    <t>IT</t>
  </si>
  <si>
    <t>Italy</t>
  </si>
  <si>
    <t>2019Q2JUN</t>
  </si>
  <si>
    <t>CDV</t>
  </si>
  <si>
    <t>JP</t>
  </si>
  <si>
    <t>Japan</t>
  </si>
  <si>
    <t>2019Q2MAY</t>
  </si>
  <si>
    <t>CDY</t>
  </si>
  <si>
    <t>Caddy</t>
  </si>
  <si>
    <t>KR</t>
  </si>
  <si>
    <t>Korea</t>
  </si>
  <si>
    <t>2019Q3AUG</t>
  </si>
  <si>
    <t>CPO</t>
  </si>
  <si>
    <t>MX</t>
  </si>
  <si>
    <t>Mexico</t>
  </si>
  <si>
    <t>2019Q3JUL</t>
  </si>
  <si>
    <t>CRA</t>
  </si>
  <si>
    <t>Crafter</t>
  </si>
  <si>
    <t>MY</t>
  </si>
  <si>
    <t>Malaysia</t>
  </si>
  <si>
    <t>2019Q3SEP</t>
  </si>
  <si>
    <t>CUP</t>
  </si>
  <si>
    <t>NL</t>
  </si>
  <si>
    <t>Netherlands</t>
  </si>
  <si>
    <t>2019Q4DEC</t>
  </si>
  <si>
    <t>DAD</t>
  </si>
  <si>
    <t>NO</t>
  </si>
  <si>
    <t>Norway</t>
  </si>
  <si>
    <t>2019Q4NOV</t>
  </si>
  <si>
    <t>DMA</t>
  </si>
  <si>
    <t>PL</t>
  </si>
  <si>
    <t>Poland</t>
  </si>
  <si>
    <t>2019Q4OCT</t>
  </si>
  <si>
    <t>DSA</t>
  </si>
  <si>
    <t>PT</t>
  </si>
  <si>
    <t>Portugal</t>
  </si>
  <si>
    <t>DWA</t>
  </si>
  <si>
    <t>RU</t>
  </si>
  <si>
    <t>Russia</t>
  </si>
  <si>
    <t>EDT</t>
  </si>
  <si>
    <t>Edition</t>
  </si>
  <si>
    <t>SE</t>
  </si>
  <si>
    <t>Sweden</t>
  </si>
  <si>
    <t>EGF</t>
  </si>
  <si>
    <t>E-Golf</t>
  </si>
  <si>
    <t>SG</t>
  </si>
  <si>
    <t>Singapore</t>
  </si>
  <si>
    <t>EUP</t>
  </si>
  <si>
    <t>E-Up!</t>
  </si>
  <si>
    <t>SK</t>
  </si>
  <si>
    <t>Slovakia</t>
  </si>
  <si>
    <t>EVS</t>
  </si>
  <si>
    <t>TW</t>
  </si>
  <si>
    <t>Taiwan</t>
  </si>
  <si>
    <t>FLT</t>
  </si>
  <si>
    <t>Fleet</t>
  </si>
  <si>
    <t>US</t>
  </si>
  <si>
    <t>FOX</t>
  </si>
  <si>
    <t>Fox</t>
  </si>
  <si>
    <t>ZA</t>
  </si>
  <si>
    <t>GLA</t>
  </si>
  <si>
    <t>GLF</t>
  </si>
  <si>
    <t>Golf</t>
  </si>
  <si>
    <t>GLG</t>
  </si>
  <si>
    <t>GLR</t>
  </si>
  <si>
    <t>GLW</t>
  </si>
  <si>
    <t>GOL</t>
  </si>
  <si>
    <t>Gol</t>
  </si>
  <si>
    <t>GTE</t>
  </si>
  <si>
    <t>GTI</t>
  </si>
  <si>
    <t>HCD</t>
  </si>
  <si>
    <t>HYB</t>
  </si>
  <si>
    <t>Hybrid</t>
  </si>
  <si>
    <t>IDC</t>
  </si>
  <si>
    <t>IDI</t>
  </si>
  <si>
    <t>ID</t>
  </si>
  <si>
    <t>IMG</t>
  </si>
  <si>
    <t>Image</t>
  </si>
  <si>
    <t>INC</t>
  </si>
  <si>
    <t>IST</t>
  </si>
  <si>
    <t>Institutional</t>
  </si>
  <si>
    <t>JET</t>
  </si>
  <si>
    <t>Jetta</t>
  </si>
  <si>
    <t>LAV</t>
  </si>
  <si>
    <t>Lavida</t>
  </si>
  <si>
    <t>MLV</t>
  </si>
  <si>
    <t>Multivan</t>
  </si>
  <si>
    <t>NMC</t>
  </si>
  <si>
    <t>OTH</t>
  </si>
  <si>
    <t>Other</t>
  </si>
  <si>
    <t>PAS</t>
  </si>
  <si>
    <t>PFM</t>
  </si>
  <si>
    <t>Performance</t>
  </si>
  <si>
    <t>PHT</t>
  </si>
  <si>
    <t>Phaeton</t>
  </si>
  <si>
    <t>POG</t>
  </si>
  <si>
    <t>POL</t>
  </si>
  <si>
    <t>Polo</t>
  </si>
  <si>
    <t>PRR</t>
  </si>
  <si>
    <t>PR</t>
  </si>
  <si>
    <t>PSA</t>
  </si>
  <si>
    <t>PST</t>
  </si>
  <si>
    <t>Passat</t>
  </si>
  <si>
    <t>PSW</t>
  </si>
  <si>
    <t>RBT</t>
  </si>
  <si>
    <t>RNG</t>
  </si>
  <si>
    <t>Range</t>
  </si>
  <si>
    <t>RRR</t>
  </si>
  <si>
    <t>R</t>
  </si>
  <si>
    <t>SAV</t>
  </si>
  <si>
    <t>Saveiro</t>
  </si>
  <si>
    <t>SBC</t>
  </si>
  <si>
    <t>SBUC</t>
  </si>
  <si>
    <t>SBE</t>
  </si>
  <si>
    <t>SBUE</t>
  </si>
  <si>
    <t>SBN</t>
  </si>
  <si>
    <t>SBUN</t>
  </si>
  <si>
    <t>SBS</t>
  </si>
  <si>
    <t>SBUS</t>
  </si>
  <si>
    <t>SBW</t>
  </si>
  <si>
    <t>SBUW</t>
  </si>
  <si>
    <t>SCR</t>
  </si>
  <si>
    <t>Scirocco</t>
  </si>
  <si>
    <t>SED</t>
  </si>
  <si>
    <t>Sedan</t>
  </si>
  <si>
    <t>SEV</t>
  </si>
  <si>
    <t>SHR</t>
  </si>
  <si>
    <t>Sharan</t>
  </si>
  <si>
    <t>SNT</t>
  </si>
  <si>
    <t>Santana</t>
  </si>
  <si>
    <t>SUR</t>
  </si>
  <si>
    <t>Suran</t>
  </si>
  <si>
    <t>SVC</t>
  </si>
  <si>
    <t>Service</t>
  </si>
  <si>
    <t>SWG</t>
  </si>
  <si>
    <t>Sportwagen</t>
  </si>
  <si>
    <t>TCC</t>
  </si>
  <si>
    <t>TCR</t>
  </si>
  <si>
    <t>T-Cross</t>
  </si>
  <si>
    <t>TER</t>
  </si>
  <si>
    <t>Teramont</t>
  </si>
  <si>
    <t>THB</t>
  </si>
  <si>
    <t>TIG</t>
  </si>
  <si>
    <t>Tiguan</t>
  </si>
  <si>
    <t>TRC</t>
  </si>
  <si>
    <t>T-Roc</t>
  </si>
  <si>
    <t>TRG</t>
  </si>
  <si>
    <t>Touareg</t>
  </si>
  <si>
    <t>TRN</t>
  </si>
  <si>
    <t>Touran</t>
  </si>
  <si>
    <t>TSP</t>
  </si>
  <si>
    <t>Transporter</t>
  </si>
  <si>
    <t>UPP</t>
  </si>
  <si>
    <t>Up!</t>
  </si>
  <si>
    <t>VAR</t>
  </si>
  <si>
    <t>Variant</t>
  </si>
  <si>
    <t>VIV</t>
  </si>
  <si>
    <t>Vivo</t>
  </si>
  <si>
    <t>VNT</t>
  </si>
  <si>
    <t>Vento</t>
  </si>
  <si>
    <t>VOY</t>
  </si>
  <si>
    <t>Voyage</t>
  </si>
  <si>
    <t>VWB</t>
  </si>
  <si>
    <t>WRC</t>
  </si>
  <si>
    <t>*Ação</t>
  </si>
  <si>
    <t>Status AdOps</t>
  </si>
  <si>
    <t>Status Midia</t>
  </si>
  <si>
    <t>*Data_Inicial</t>
  </si>
  <si>
    <t>*Data_Final</t>
  </si>
  <si>
    <t>*Servido Por</t>
  </si>
  <si>
    <t>Veiculo</t>
  </si>
  <si>
    <t>Canal</t>
  </si>
  <si>
    <t>Tipo Midia</t>
  </si>
  <si>
    <t>Buying Type</t>
  </si>
  <si>
    <t>Buying Metric</t>
  </si>
  <si>
    <t>Tracking Type</t>
  </si>
  <si>
    <t>Unit Name</t>
  </si>
  <si>
    <t>Device</t>
  </si>
  <si>
    <t>Paid vs AV</t>
  </si>
  <si>
    <t>Size</t>
  </si>
  <si>
    <t>tipo de peça</t>
  </si>
  <si>
    <t>Categoria de Peça</t>
  </si>
  <si>
    <t>ID Pacote</t>
  </si>
  <si>
    <t>Nome Pacote</t>
  </si>
  <si>
    <t>*Impressões/cliques_Período</t>
  </si>
  <si>
    <t>*Cliques_Período</t>
  </si>
  <si>
    <t>Custo_Unitário_Liquido</t>
  </si>
  <si>
    <t>*Valor_Negociado_Total</t>
  </si>
  <si>
    <t>utm_source</t>
  </si>
  <si>
    <t>utm_medium</t>
  </si>
  <si>
    <t>utm_campaign</t>
  </si>
  <si>
    <t>utm_content</t>
  </si>
  <si>
    <t>keyword</t>
  </si>
  <si>
    <t>Brand</t>
  </si>
  <si>
    <t>Model</t>
  </si>
  <si>
    <t>VW</t>
  </si>
  <si>
    <t>Volkswagen</t>
  </si>
  <si>
    <t>CPA</t>
  </si>
  <si>
    <t>DRCT</t>
  </si>
  <si>
    <t>Direct</t>
  </si>
  <si>
    <t>ALL</t>
  </si>
  <si>
    <t>All</t>
  </si>
  <si>
    <t>CXD</t>
  </si>
  <si>
    <t>AV</t>
  </si>
  <si>
    <t>HTO</t>
  </si>
  <si>
    <t>DGA</t>
  </si>
  <si>
    <t>1X1</t>
  </si>
  <si>
    <t>LDR</t>
  </si>
  <si>
    <t>Leaderboard</t>
  </si>
  <si>
    <t>CPC</t>
  </si>
  <si>
    <t>PROG</t>
  </si>
  <si>
    <t>Programmatic</t>
  </si>
  <si>
    <t>BRD</t>
  </si>
  <si>
    <t>DSK</t>
  </si>
  <si>
    <t>Desktop</t>
  </si>
  <si>
    <t>DC</t>
  </si>
  <si>
    <t>OTR</t>
  </si>
  <si>
    <t>DIS</t>
  </si>
  <si>
    <t>CAI</t>
  </si>
  <si>
    <t>MBR</t>
  </si>
  <si>
    <t>CPM</t>
  </si>
  <si>
    <t>TCT</t>
  </si>
  <si>
    <t>Tactical</t>
  </si>
  <si>
    <t>MOB</t>
  </si>
  <si>
    <t>Mobile</t>
  </si>
  <si>
    <t>MG</t>
  </si>
  <si>
    <t>RON</t>
  </si>
  <si>
    <t>CLK</t>
  </si>
  <si>
    <t>Click</t>
  </si>
  <si>
    <t>MMP</t>
  </si>
  <si>
    <t>CPV</t>
  </si>
  <si>
    <t>TAB</t>
  </si>
  <si>
    <t>Tablet</t>
  </si>
  <si>
    <t>PD</t>
  </si>
  <si>
    <t>Paid</t>
  </si>
  <si>
    <t>ROS</t>
  </si>
  <si>
    <t>IMP</t>
  </si>
  <si>
    <t>Impression</t>
  </si>
  <si>
    <t>MPU</t>
  </si>
  <si>
    <t>MXD</t>
  </si>
  <si>
    <t>Mixed</t>
  </si>
  <si>
    <t>SPR</t>
  </si>
  <si>
    <t>Sponsorship</t>
  </si>
  <si>
    <t>STD</t>
  </si>
  <si>
    <t>Standard</t>
  </si>
  <si>
    <t>SKY</t>
  </si>
  <si>
    <t>Skyscraper</t>
  </si>
  <si>
    <t>iVideo</t>
  </si>
  <si>
    <t>TPE</t>
  </si>
  <si>
    <t>SRB</t>
  </si>
  <si>
    <t>EGL</t>
  </si>
  <si>
    <t>Plannig Principle</t>
  </si>
  <si>
    <t>Placement Name</t>
  </si>
  <si>
    <t>Site</t>
  </si>
  <si>
    <t>4x4-brasil</t>
  </si>
  <si>
    <t>agrishow</t>
  </si>
  <si>
    <t>aol</t>
  </si>
  <si>
    <t>aol-dbm</t>
  </si>
  <si>
    <t>auto-esporte</t>
  </si>
  <si>
    <t>auto-informe</t>
  </si>
  <si>
    <t>autopapo</t>
  </si>
  <si>
    <t>autopista</t>
  </si>
  <si>
    <t>buzzfeed</t>
  </si>
  <si>
    <t>campinas.com.br</t>
  </si>
  <si>
    <t>canaltech-auto</t>
  </si>
  <si>
    <t>cazamba</t>
  </si>
  <si>
    <t>cinemad</t>
  </si>
  <si>
    <t>cm</t>
  </si>
  <si>
    <t>comprecar</t>
  </si>
  <si>
    <t>decolar</t>
  </si>
  <si>
    <t>epoca</t>
  </si>
  <si>
    <t>estadao</t>
  </si>
  <si>
    <t>facebook</t>
  </si>
  <si>
    <t>faceinsta</t>
  </si>
  <si>
    <t>fullpower</t>
  </si>
  <si>
    <t>gdn</t>
  </si>
  <si>
    <t>gdn-youtube</t>
  </si>
  <si>
    <t>globo</t>
  </si>
  <si>
    <t>globo-dbm</t>
  </si>
  <si>
    <t>google</t>
  </si>
  <si>
    <t>hands</t>
  </si>
  <si>
    <t>huffpost</t>
  </si>
  <si>
    <t>icarros</t>
  </si>
  <si>
    <t>inloco</t>
  </si>
  <si>
    <t>instagram</t>
  </si>
  <si>
    <t>istoe-dbm</t>
  </si>
  <si>
    <t>linkedin</t>
  </si>
  <si>
    <t>logan</t>
  </si>
  <si>
    <t>msn</t>
  </si>
  <si>
    <t>oath</t>
  </si>
  <si>
    <t>olx</t>
  </si>
  <si>
    <t>opera</t>
  </si>
  <si>
    <t>outlook</t>
  </si>
  <si>
    <t>planeta-offroad</t>
  </si>
  <si>
    <t>psafe</t>
  </si>
  <si>
    <t>r7</t>
  </si>
  <si>
    <t>sindloc</t>
  </si>
  <si>
    <t>spotify</t>
  </si>
  <si>
    <t>teads</t>
  </si>
  <si>
    <t>terra</t>
  </si>
  <si>
    <t>tvxtender</t>
  </si>
  <si>
    <t>twitter</t>
  </si>
  <si>
    <t>uol</t>
  </si>
  <si>
    <t>veja-exame</t>
  </si>
  <si>
    <t>waze</t>
  </si>
  <si>
    <t>webmotors</t>
  </si>
  <si>
    <t>wetransfer</t>
  </si>
  <si>
    <t>yahoo</t>
  </si>
  <si>
    <t>youtube</t>
  </si>
  <si>
    <t>1000x100</t>
  </si>
  <si>
    <t>video</t>
  </si>
  <si>
    <t>1000x250</t>
  </si>
  <si>
    <t>1000x300</t>
  </si>
  <si>
    <t>1000x600</t>
  </si>
  <si>
    <t>100x100</t>
  </si>
  <si>
    <t>100x13</t>
  </si>
  <si>
    <t>1024x768</t>
  </si>
  <si>
    <t>1050x250</t>
  </si>
  <si>
    <t>1080x1080</t>
  </si>
  <si>
    <t>1100x140</t>
  </si>
  <si>
    <t>1100x600</t>
  </si>
  <si>
    <t>1122x215</t>
  </si>
  <si>
    <t>1160x300</t>
  </si>
  <si>
    <t>1190x330</t>
  </si>
  <si>
    <t>1200x627</t>
  </si>
  <si>
    <t>1200x628</t>
  </si>
  <si>
    <t>1200x675</t>
  </si>
  <si>
    <t>1200x800</t>
  </si>
  <si>
    <t>120x120</t>
  </si>
  <si>
    <t>120x225</t>
  </si>
  <si>
    <t>120x240</t>
  </si>
  <si>
    <t>120x245</t>
  </si>
  <si>
    <t>120x60</t>
  </si>
  <si>
    <t>120x600</t>
  </si>
  <si>
    <t>120x90</t>
  </si>
  <si>
    <t>1280x752</t>
  </si>
  <si>
    <t>130x186</t>
  </si>
  <si>
    <t>135x102</t>
  </si>
  <si>
    <t>150x150</t>
  </si>
  <si>
    <t>152x112</t>
  </si>
  <si>
    <t>160x150</t>
  </si>
  <si>
    <t>160x185</t>
  </si>
  <si>
    <t>160x300</t>
  </si>
  <si>
    <t>160x600</t>
  </si>
  <si>
    <t>180x150</t>
  </si>
  <si>
    <t>1x1</t>
  </si>
  <si>
    <t>200x120</t>
  </si>
  <si>
    <t>200x200</t>
  </si>
  <si>
    <t>230x350</t>
  </si>
  <si>
    <t>234x60</t>
  </si>
  <si>
    <t>240x240</t>
  </si>
  <si>
    <t>240x400</t>
  </si>
  <si>
    <t>240x600</t>
  </si>
  <si>
    <t>250x250</t>
  </si>
  <si>
    <t>250x360</t>
  </si>
  <si>
    <t>250x600</t>
  </si>
  <si>
    <t>260x260</t>
  </si>
  <si>
    <t>278x95</t>
  </si>
  <si>
    <t>280x80</t>
  </si>
  <si>
    <t>300x100</t>
  </si>
  <si>
    <t>300x1000</t>
  </si>
  <si>
    <t>300x1050</t>
  </si>
  <si>
    <t>300x130</t>
  </si>
  <si>
    <t>300x150</t>
  </si>
  <si>
    <t>300x250</t>
  </si>
  <si>
    <t>300x300</t>
  </si>
  <si>
    <t>300x395</t>
  </si>
  <si>
    <t>300x400</t>
  </si>
  <si>
    <t>300x443</t>
  </si>
  <si>
    <t>300x460</t>
  </si>
  <si>
    <t>300x50</t>
  </si>
  <si>
    <t>300x520</t>
  </si>
  <si>
    <t>300x60</t>
  </si>
  <si>
    <t>300x600</t>
  </si>
  <si>
    <t>300x75</t>
  </si>
  <si>
    <t>300x800</t>
  </si>
  <si>
    <t>300x815</t>
  </si>
  <si>
    <t>300x90</t>
  </si>
  <si>
    <t>300x926</t>
  </si>
  <si>
    <t>320x100</t>
  </si>
  <si>
    <t>320x160</t>
  </si>
  <si>
    <t>320x165</t>
  </si>
  <si>
    <t>320x176</t>
  </si>
  <si>
    <t>320x250</t>
  </si>
  <si>
    <t>320x260</t>
  </si>
  <si>
    <t>320x265</t>
  </si>
  <si>
    <t>320x320</t>
  </si>
  <si>
    <t>320x480</t>
  </si>
  <si>
    <t>320x50</t>
  </si>
  <si>
    <t>320x568</t>
  </si>
  <si>
    <t>320x600</t>
  </si>
  <si>
    <t>320x70</t>
  </si>
  <si>
    <t>336x280</t>
  </si>
  <si>
    <t>336x400</t>
  </si>
  <si>
    <t>336x50</t>
  </si>
  <si>
    <t>336x600</t>
  </si>
  <si>
    <t>348x208</t>
  </si>
  <si>
    <t>360x640</t>
  </si>
  <si>
    <t>400x300</t>
  </si>
  <si>
    <t>430x343</t>
  </si>
  <si>
    <t>450x75</t>
  </si>
  <si>
    <t>460x175</t>
  </si>
  <si>
    <t>468x60</t>
  </si>
  <si>
    <t>475x300</t>
  </si>
  <si>
    <t>480x320</t>
  </si>
  <si>
    <t>480x70</t>
  </si>
  <si>
    <t>500x100</t>
  </si>
  <si>
    <t>510x500</t>
  </si>
  <si>
    <t>525x80</t>
  </si>
  <si>
    <t>530x300</t>
  </si>
  <si>
    <t>540x544</t>
  </si>
  <si>
    <t>550x100</t>
  </si>
  <si>
    <t>550x220</t>
  </si>
  <si>
    <t>550x480</t>
  </si>
  <si>
    <t>550x90</t>
  </si>
  <si>
    <t>553x220</t>
  </si>
  <si>
    <t>555x240</t>
  </si>
  <si>
    <t>560x400</t>
  </si>
  <si>
    <t>578x60</t>
  </si>
  <si>
    <t>580x220</t>
  </si>
  <si>
    <t>590x147</t>
  </si>
  <si>
    <t>590x250</t>
  </si>
  <si>
    <t>600x100</t>
  </si>
  <si>
    <t>600x125</t>
  </si>
  <si>
    <t>600x150</t>
  </si>
  <si>
    <t>600x195</t>
  </si>
  <si>
    <t>600x200</t>
  </si>
  <si>
    <t>600x220</t>
  </si>
  <si>
    <t>600x250</t>
  </si>
  <si>
    <t>600x300</t>
  </si>
  <si>
    <t>600x335</t>
  </si>
  <si>
    <t>600x500</t>
  </si>
  <si>
    <t>600x80</t>
  </si>
  <si>
    <t>600x90</t>
  </si>
  <si>
    <t>608x220</t>
  </si>
  <si>
    <t>608x240</t>
  </si>
  <si>
    <t>610x220</t>
  </si>
  <si>
    <t>610x240</t>
  </si>
  <si>
    <t>610x270</t>
  </si>
  <si>
    <t>620x200</t>
  </si>
  <si>
    <t>620x250</t>
  </si>
  <si>
    <t>620x90</t>
  </si>
  <si>
    <t>630x180</t>
  </si>
  <si>
    <t>630x220</t>
  </si>
  <si>
    <t>630x242</t>
  </si>
  <si>
    <t>630x500</t>
  </si>
  <si>
    <t>635x210</t>
  </si>
  <si>
    <t>640x107</t>
  </si>
  <si>
    <t>640x200</t>
  </si>
  <si>
    <t>640x220</t>
  </si>
  <si>
    <t>640x250</t>
  </si>
  <si>
    <t>640x300</t>
  </si>
  <si>
    <t>640x332</t>
  </si>
  <si>
    <t>640x360</t>
  </si>
  <si>
    <t>640x480</t>
  </si>
  <si>
    <t>640x90</t>
  </si>
  <si>
    <t>640x960</t>
  </si>
  <si>
    <t>643x200</t>
  </si>
  <si>
    <t>643x220</t>
  </si>
  <si>
    <t>645x120</t>
  </si>
  <si>
    <t>645x75</t>
  </si>
  <si>
    <t>646x193</t>
  </si>
  <si>
    <t>648x140</t>
  </si>
  <si>
    <t>650x1100</t>
  </si>
  <si>
    <t>650x140</t>
  </si>
  <si>
    <t>650x200</t>
  </si>
  <si>
    <t>650x220</t>
  </si>
  <si>
    <t>650x240</t>
  </si>
  <si>
    <t>650x650</t>
  </si>
  <si>
    <t>652x200</t>
  </si>
  <si>
    <t>660x200</t>
  </si>
  <si>
    <t>660x230</t>
  </si>
  <si>
    <t>660x300</t>
  </si>
  <si>
    <t>660x370</t>
  </si>
  <si>
    <t>660x500</t>
  </si>
  <si>
    <t>670x200</t>
  </si>
  <si>
    <t>680x100</t>
  </si>
  <si>
    <t>680x220</t>
  </si>
  <si>
    <t>680x230</t>
  </si>
  <si>
    <t>680x360</t>
  </si>
  <si>
    <t>690x200</t>
  </si>
  <si>
    <t>690x380</t>
  </si>
  <si>
    <t>690x80</t>
  </si>
  <si>
    <t>695x200</t>
  </si>
  <si>
    <t>700x100</t>
  </si>
  <si>
    <t>700x150</t>
  </si>
  <si>
    <t>700x300</t>
  </si>
  <si>
    <t>700x40</t>
  </si>
  <si>
    <t>700x60</t>
  </si>
  <si>
    <t>710x95</t>
  </si>
  <si>
    <t>720x190</t>
  </si>
  <si>
    <t>720x300</t>
  </si>
  <si>
    <t>720x480</t>
  </si>
  <si>
    <t>720x540</t>
  </si>
  <si>
    <t>728x175</t>
  </si>
  <si>
    <t>728x195</t>
  </si>
  <si>
    <t>728x250</t>
  </si>
  <si>
    <t>728x280</t>
  </si>
  <si>
    <t>728x300</t>
  </si>
  <si>
    <t>728x600</t>
  </si>
  <si>
    <t>728x90</t>
  </si>
  <si>
    <t>730x100-1000x600</t>
  </si>
  <si>
    <t>730x50</t>
  </si>
  <si>
    <t>730x510</t>
  </si>
  <si>
    <t>735x180</t>
  </si>
  <si>
    <t>735x250</t>
  </si>
  <si>
    <t>744x666</t>
  </si>
  <si>
    <t>750x200</t>
  </si>
  <si>
    <t>750x280</t>
  </si>
  <si>
    <t>768x1024</t>
  </si>
  <si>
    <t>788x240</t>
  </si>
  <si>
    <t>800x120</t>
  </si>
  <si>
    <t>800x250</t>
  </si>
  <si>
    <t>800x300</t>
  </si>
  <si>
    <t>800x400</t>
  </si>
  <si>
    <t>800x418</t>
  </si>
  <si>
    <t>800x573</t>
  </si>
  <si>
    <t>800x600</t>
  </si>
  <si>
    <t>80x80</t>
  </si>
  <si>
    <t>820x385</t>
  </si>
  <si>
    <t>830x500</t>
  </si>
  <si>
    <t>840x150</t>
  </si>
  <si>
    <t>840x180</t>
  </si>
  <si>
    <t>850x175</t>
  </si>
  <si>
    <t>850x290</t>
  </si>
  <si>
    <t>870x250</t>
  </si>
  <si>
    <t>88x31</t>
  </si>
  <si>
    <t>900x600</t>
  </si>
  <si>
    <t>920x135</t>
  </si>
  <si>
    <t>930x120</t>
  </si>
  <si>
    <t>930x180</t>
  </si>
  <si>
    <t>930x95</t>
  </si>
  <si>
    <t>950x90</t>
  </si>
  <si>
    <t>960x1440</t>
  </si>
  <si>
    <t>960x150</t>
  </si>
  <si>
    <t>970x125</t>
  </si>
  <si>
    <t>970x150</t>
  </si>
  <si>
    <t>970x180</t>
  </si>
  <si>
    <t>970x250</t>
  </si>
  <si>
    <t>970x300</t>
  </si>
  <si>
    <t>970x500</t>
  </si>
  <si>
    <t>970x600</t>
  </si>
  <si>
    <t>970x90</t>
  </si>
  <si>
    <t>980x120</t>
  </si>
  <si>
    <t>980x240</t>
  </si>
  <si>
    <t>980x250</t>
  </si>
  <si>
    <t>988x60</t>
  </si>
  <si>
    <t>booking-bubble</t>
  </si>
  <si>
    <t>compare-to</t>
  </si>
  <si>
    <t>core</t>
  </si>
  <si>
    <t>featured-results</t>
  </si>
  <si>
    <t>front-door-check</t>
  </si>
  <si>
    <t>front-door-uncheck</t>
  </si>
  <si>
    <t>fullscreen</t>
  </si>
  <si>
    <t>in-line</t>
  </si>
  <si>
    <t>meta-search</t>
  </si>
  <si>
    <t>nativeads</t>
  </si>
  <si>
    <t>pagepost</t>
  </si>
  <si>
    <t>portal</t>
  </si>
  <si>
    <t>adserver-rotacionar</t>
  </si>
  <si>
    <t>adserver-única</t>
  </si>
  <si>
    <t>sem-adserver</t>
  </si>
  <si>
    <t>Awareness-Familiarity</t>
  </si>
  <si>
    <t>Trigger-Tactical</t>
  </si>
  <si>
    <t>Buying-Metric</t>
  </si>
  <si>
    <t>Buying-Type</t>
  </si>
  <si>
    <t>Campaign-Category</t>
  </si>
  <si>
    <t>Campaign-Type</t>
  </si>
  <si>
    <t>Media-Channel</t>
  </si>
  <si>
    <t>Model-Variant</t>
  </si>
  <si>
    <t>Paid-vs-AV</t>
  </si>
  <si>
    <t>Planning-Principle</t>
  </si>
  <si>
    <t>Servido-Por</t>
  </si>
  <si>
    <t>Site-Section</t>
  </si>
  <si>
    <t>Strategy-Phase</t>
  </si>
  <si>
    <t>Sub-Media-Channel</t>
  </si>
  <si>
    <t>Tracking-Type</t>
  </si>
  <si>
    <t>Unit-Name</t>
  </si>
  <si>
    <t>After-Sales</t>
  </si>
  <si>
    <t>2018-02-Feb</t>
  </si>
  <si>
    <t>Cross-device</t>
  </si>
  <si>
    <t>Added-Value</t>
  </si>
  <si>
    <t>Homepage-Takeover</t>
  </si>
  <si>
    <t>Competitor-Response</t>
  </si>
  <si>
    <t>Digital-Audio</t>
  </si>
  <si>
    <t>2018-01-Jan</t>
  </si>
  <si>
    <t>Delete-&amp;-Charge</t>
  </si>
  <si>
    <t>In-Market-Consideration</t>
  </si>
  <si>
    <t>Paid-Display</t>
  </si>
  <si>
    <t>Click-&amp;-Impression</t>
  </si>
  <si>
    <t>Mobile-Banner</t>
  </si>
  <si>
    <t>New-Car</t>
  </si>
  <si>
    <t>2018-03-Mar</t>
  </si>
  <si>
    <t>Make-Good</t>
  </si>
  <si>
    <t>Run-of-Network</t>
  </si>
  <si>
    <t>Model-New-News</t>
  </si>
  <si>
    <t>Paid-Mobile</t>
  </si>
  <si>
    <t>Mobile-MPU</t>
  </si>
  <si>
    <t>Used-Car</t>
  </si>
  <si>
    <t>2018-04-Apr</t>
  </si>
  <si>
    <t>Run-of-Site</t>
  </si>
  <si>
    <t>Motor-Show</t>
  </si>
  <si>
    <t>Other-(Online)</t>
  </si>
  <si>
    <t>2018-06-Jun</t>
  </si>
  <si>
    <t>Non-Model-Specific</t>
  </si>
  <si>
    <t>Paid-Search</t>
  </si>
  <si>
    <t>2018-05-May</t>
  </si>
  <si>
    <t>Amarok-V6</t>
  </si>
  <si>
    <t>Paid-Social</t>
  </si>
  <si>
    <t>2018-08-Aug</t>
  </si>
  <si>
    <t>Run-Out</t>
  </si>
  <si>
    <t>3rd-Party-Engagement</t>
  </si>
  <si>
    <t>Standard-Roadblock</t>
  </si>
  <si>
    <t>2018-07-Jul</t>
  </si>
  <si>
    <t>2018-09-Sep</t>
  </si>
  <si>
    <t>Branch-Opening</t>
  </si>
  <si>
    <t>2018-12-Dec</t>
  </si>
  <si>
    <t>C-Class</t>
  </si>
  <si>
    <t>2018-11-Nov</t>
  </si>
  <si>
    <t>2018-10-Oct</t>
  </si>
  <si>
    <t>United-Kingdom</t>
  </si>
  <si>
    <t>2019-02-Feb</t>
  </si>
  <si>
    <t>Dealers-Advertisement</t>
  </si>
  <si>
    <t>Hong-Kong</t>
  </si>
  <si>
    <t>2019-01-Jan</t>
  </si>
  <si>
    <t>2019-03-Mar</t>
  </si>
  <si>
    <t>2019-04-Apr</t>
  </si>
  <si>
    <t>Golf-Alltrack</t>
  </si>
  <si>
    <t>2019-06-Jun</t>
  </si>
  <si>
    <t>Caddy-Van</t>
  </si>
  <si>
    <t>2019-05-May</t>
  </si>
  <si>
    <t>2019-08-Aug</t>
  </si>
  <si>
    <t>ID-Crozz</t>
  </si>
  <si>
    <t>Certified-Pre-Owned</t>
  </si>
  <si>
    <t>2019-07-Jul</t>
  </si>
  <si>
    <t>2019-09-Sep</t>
  </si>
  <si>
    <t>Cross-Up!</t>
  </si>
  <si>
    <t>2019-12-Dec</t>
  </si>
  <si>
    <t>2019-11-Nov</t>
  </si>
  <si>
    <t>Dealer-Marketing-Association</t>
  </si>
  <si>
    <t>2019-10-Oct</t>
  </si>
  <si>
    <t>Das-Auto</t>
  </si>
  <si>
    <t>Das-WeltAuto</t>
  </si>
  <si>
    <t>Passat-Alltrack</t>
  </si>
  <si>
    <t>Events-Sponsorship</t>
  </si>
  <si>
    <t>United-States</t>
  </si>
  <si>
    <t>South-Africa</t>
  </si>
  <si>
    <t>Golf-GTI</t>
  </si>
  <si>
    <t>Golf-R</t>
  </si>
  <si>
    <t>Golf-Wagon</t>
  </si>
  <si>
    <t>dinheiro-rural</t>
  </si>
  <si>
    <t>editora-globo</t>
  </si>
  <si>
    <t>Hatchback-CKD</t>
  </si>
  <si>
    <t>folha-de-sao-paulo</t>
  </si>
  <si>
    <t>Innovation-Campaign</t>
  </si>
  <si>
    <t>VW-Brand</t>
  </si>
  <si>
    <t>Parts-and-Service</t>
  </si>
  <si>
    <t>Polo-GTI</t>
  </si>
  <si>
    <t>Passat-Wagon</t>
  </si>
  <si>
    <t>ReBuild-Trust</t>
  </si>
  <si>
    <t>Sales-Event</t>
  </si>
  <si>
    <t>Transporter-Cab-Chassis</t>
  </si>
  <si>
    <t>Think-Blue</t>
  </si>
  <si>
    <t>scroller-square-</t>
  </si>
  <si>
    <t>scroller-landscape-</t>
  </si>
  <si>
    <t>carrossel-landscape-</t>
  </si>
  <si>
    <t>País</t>
  </si>
  <si>
    <t>Agrupamento da campanha, 3 grandes grupos de acordo com a estratégia. Pensem no objetivo e como ativam no usuário para fazer a classificaçaão</t>
  </si>
  <si>
    <t>Agrupamento de canais de midia. Video é apenas para plataforma de video, Teads e youtube por exemplo, entrega de video em facebook/instagram eles consideram como social</t>
  </si>
  <si>
    <t xml:space="preserve">Estrategia dessa campanha, para campanhas de always on podem usar Non Model Specific </t>
  </si>
  <si>
    <t>Aqui para indicar se é campanha de Dealers, no nosso caso em geral vai ser non-Dealer</t>
  </si>
  <si>
    <t>Definição de qual foco iremos ter na campanha, carros novos ou pós-venda é o nosso foco em geral</t>
  </si>
  <si>
    <t>Data de início da campanha. Para campanhas que rodam o ano inteiro pode ser quando subiu a estrutura no adserver</t>
  </si>
  <si>
    <t>modelo da campanha, quando não tiver apenas um modelo indicar como Range</t>
  </si>
  <si>
    <t>campo disponível para preencher com alguma outra info, tipo walk-around. NÃO USAR "_"</t>
  </si>
  <si>
    <t>Indicação de como a peça vai ser veiculada</t>
  </si>
  <si>
    <t>Nome de veiculo, tentem seguir o mesmo nome do plano</t>
  </si>
  <si>
    <t>Modelo de compra</t>
  </si>
  <si>
    <t>tipo de veiculação, se tiverem dúvida consultem o Dodo para explicar as diferenças</t>
  </si>
  <si>
    <t>local onde os anúncios vão rodar</t>
  </si>
  <si>
    <t>indicação se é compra em algum device</t>
  </si>
  <si>
    <t>indicação das dimensões da peça</t>
  </si>
  <si>
    <t>Sem definição do global, inserir como Paid</t>
  </si>
  <si>
    <t>Nome do criativo, dar preferencia para o nome encaminhado para o ORCA</t>
  </si>
  <si>
    <t>Mpu</t>
  </si>
  <si>
    <t>Automatico</t>
  </si>
  <si>
    <t>Segmentação</t>
  </si>
  <si>
    <t>Linha Criativa</t>
  </si>
  <si>
    <t>Tipo de compra, direto ou programatica. Compra na plataforma de Facebook, Twitter e etc são consideradas como Direct</t>
  </si>
  <si>
    <t>Classificação de midia, novamente, video em facebook é social, o mesmo vale para instagram. Se entrega para mobile e desktop em mobile utilizar Paid-Display</t>
  </si>
  <si>
    <t>Indicar a segmentação utilizada para a entrega de midia, ideal é não ser generico</t>
  </si>
  <si>
    <t>AD Name</t>
  </si>
  <si>
    <t>Criative Name</t>
  </si>
  <si>
    <t>url</t>
  </si>
  <si>
    <t>Url Parametrizada</t>
  </si>
  <si>
    <t>%epid!_%ecid!_%eaid!</t>
  </si>
  <si>
    <t>Contadores</t>
  </si>
  <si>
    <t>dv360</t>
  </si>
  <si>
    <t>dv360-aol</t>
  </si>
  <si>
    <t>dv360-estadao</t>
  </si>
  <si>
    <t>dv360-exame</t>
  </si>
  <si>
    <t>dv360-folha</t>
  </si>
  <si>
    <t>dv360-g1</t>
  </si>
  <si>
    <t>dv360-ge</t>
  </si>
  <si>
    <t>dv360-globo</t>
  </si>
  <si>
    <t>dv360-icarros</t>
  </si>
  <si>
    <t>dv360-msn</t>
  </si>
  <si>
    <t>dv360-olx</t>
  </si>
  <si>
    <t>dv360-r7</t>
  </si>
  <si>
    <t>dv360-terra</t>
  </si>
  <si>
    <t>dv360-uol</t>
  </si>
  <si>
    <t>dv360-valor</t>
  </si>
  <si>
    <t>dv360-valoreconomico</t>
  </si>
  <si>
    <t>dv360-veja</t>
  </si>
  <si>
    <t>dv360-webmotors</t>
  </si>
  <si>
    <t>dv360-youtube</t>
  </si>
  <si>
    <t>email</t>
  </si>
  <si>
    <t>gsp</t>
  </si>
  <si>
    <t>gsd</t>
  </si>
  <si>
    <t>google-discovery</t>
  </si>
  <si>
    <t>AD</t>
  </si>
  <si>
    <t>Ad01</t>
  </si>
  <si>
    <t>460x300</t>
  </si>
  <si>
    <t>Interesses</t>
  </si>
  <si>
    <t>mercado-livre</t>
  </si>
  <si>
    <t>1180x250</t>
  </si>
  <si>
    <t>ID Placement</t>
  </si>
  <si>
    <t>https://posvendas.vw.com.br/</t>
  </si>
  <si>
    <t>native</t>
  </si>
  <si>
    <t>verizon</t>
  </si>
  <si>
    <t>Criado 05/02/2021</t>
  </si>
  <si>
    <t>After-Sales-Nova-VW-Generica-Reg02</t>
  </si>
  <si>
    <t>After-Sales-Nova-VW-Generica-Reg05</t>
  </si>
  <si>
    <t>After-Sales-Nova-VW-Generica-Reg06</t>
  </si>
  <si>
    <t>LAL-Visita</t>
  </si>
  <si>
    <t>LAL-Addtocart</t>
  </si>
  <si>
    <t>LAL-Lead</t>
  </si>
  <si>
    <t>BR_AAF_DSY_NONMS_ND_AS_2021Q1FEV_AFS_After-Sales</t>
  </si>
  <si>
    <t>2021-05-Fev</t>
  </si>
  <si>
    <t>BR_VW_AFS_verizon_DIS_DRCT_CPC_STD_LDR_AAF_RON_CXD_After-Sales-Nova-VW-Generica-Reg02-Interesses_PD_native</t>
  </si>
  <si>
    <t>BR_VW_AFS_verizon_DIS_DRCT_CPC_STD_LDR_AAF_RON_CXD_After-Sales-Nova-VW-Generica-Reg06-LAL-Addtocart_PD_native</t>
  </si>
  <si>
    <t>BR_VW_AFS_verizon_DIS_DRCT_CPC_STD_LDR_AAF_RON_CXD_After-Sales-Nova-VW-Generica-Reg05-LAL-Addtocart_PD_native</t>
  </si>
  <si>
    <t>BR_VW_AFS_verizon_DIS_DRCT_CPC_STD_LDR_AAF_RON_CXD_After-Sales-Nova-VW-Generica-Reg02-LAL-Addtocart_PD_native</t>
  </si>
  <si>
    <t>BR_VW_AFS_verizon_DIS_DRCT_CPC_STD_LDR_AAF_RON_CXD_After-Sales-Nova-VW-Generica-Reg06-LAL-Visita_PD_native</t>
  </si>
  <si>
    <t>BR_VW_AFS_verizon_DIS_DRCT_CPC_STD_LDR_AAF_RON_CXD_After-Sales-Nova-VW-Generica-Reg05-LAL-Visita_PD_native</t>
  </si>
  <si>
    <t>BR_VW_AFS_verizon_DIS_DRCT_CPC_STD_LDR_AAF_RON_CXD_After-Sales-Nova-VW-Generica-Reg06-LAL-Lead_PD_native</t>
  </si>
  <si>
    <t>BR_VW_AFS_verizon_DIS_DRCT_CPC_STD_LDR_AAF_RON_CXD_After-Sales-Nova-VW-Generica-Reg02-LAL-Visita_PD_native</t>
  </si>
  <si>
    <t>BR_VW_AFS_verizon_DIS_DRCT_CPC_STD_LDR_AAF_RON_CXD_After-Sales-Nova-VW-Generica-Reg05-LAL-Lead_PD_native</t>
  </si>
  <si>
    <t>BR_VW_AFS_verizon_DIS_DRCT_CPC_STD_LDR_AAF_RON_CXD_After-Sales-Nova-VW-Generica-Reg06-Interesses_PD_native</t>
  </si>
  <si>
    <t>BR_VW_AFS_verizon_DIS_DRCT_CPC_STD_LDR_AAF_RON_CXD_After-Sales-Nova-VW-Generica-Reg02-LAL-Lead_PD_native</t>
  </si>
  <si>
    <t>BR_VW_AFS_verizon_DIS_DRCT_CPC_STD_LDR_AAF_RON_CXD_After-Sales-Nova-VW-Generica-Reg05-Interesses_PD_native</t>
  </si>
  <si>
    <t>https://ad.doubleclick.net/ddm/trackclk/N9487.3646218VERIZONBR/B25305913.295392836;dc_trk_aid=488739333;dc_trk_cid=145818780;dc_lat=;dc_rdid=;tag_for_child_directed_treatment=;tfua=</t>
  </si>
  <si>
    <t>https://ad.doubleclick.net/ddm/trackclk/N9487.3646218VERIZONBR/B25305913.295392992;dc_trk_aid=488726898;dc_trk_cid=145818780;dc_lat=;dc_rdid=;tag_for_child_directed_treatment=;tfua=</t>
  </si>
  <si>
    <t>https://ad.doubleclick.net/ddm/trackclk/N9487.3646218VERIZONBR/B25305913.295453230;dc_trk_aid=488726895;dc_trk_cid=145818780;dc_lat=;dc_rdid=;tag_for_child_directed_treatment=;tfua=</t>
  </si>
  <si>
    <t>https://ad.doubleclick.net/ddm/trackclk/N9487.3646218VERIZONBR/B25305913.295453233;dc_trk_aid=488726892;dc_trk_cid=145818780;dc_lat=;dc_rdid=;tag_for_child_directed_treatment=;tfua=</t>
  </si>
  <si>
    <t>https://ad.doubleclick.net/ddm/trackclk/N9487.3646218VERIZONBR/B25305913.295453236;dc_trk_aid=488726889;dc_trk_cid=145818780;dc_lat=;dc_rdid=;tag_for_child_directed_treatment=;tfua=</t>
  </si>
  <si>
    <t>https://ad.doubleclick.net/ddm/trackclk/N9487.3646218VERIZONBR/B25305913.295453239;dc_trk_aid=488726886;dc_trk_cid=145818780;dc_lat=;dc_rdid=;tag_for_child_directed_treatment=;tfua=</t>
  </si>
  <si>
    <t>https://ad.doubleclick.net/ddm/trackclk/N9487.3646218VERIZONBR/B25305913.295453242;dc_trk_aid=488726883;dc_trk_cid=145818780;dc_lat=;dc_rdid=;tag_for_child_directed_treatment=;tfua=</t>
  </si>
  <si>
    <t>https://ad.doubleclick.net/ddm/trackclk/N9487.3646218VERIZONBR/B25305913.295453245;dc_trk_aid=488726880;dc_trk_cid=145818780;dc_lat=;dc_rdid=;tag_for_child_directed_treatment=;tfua=</t>
  </si>
  <si>
    <t>https://ad.doubleclick.net/ddm/trackclk/N9487.3646218VERIZONBR/B25305913.295453248;dc_trk_aid=488726877;dc_trk_cid=145818780;dc_lat=;dc_rdid=;tag_for_child_directed_treatment=;tfua=</t>
  </si>
  <si>
    <t>https://ad.doubleclick.net/ddm/trackclk/N9487.3646218VERIZONBR/B25305913.295453251;dc_trk_aid=488726874;dc_trk_cid=145818780;dc_lat=;dc_rdid=;tag_for_child_directed_treatment=;tfua=</t>
  </si>
  <si>
    <t>https://ad.doubleclick.net/ddm/trackclk/N9487.3646218VERIZONBR/B25305913.295453254;dc_trk_aid=488726871;dc_trk_cid=145818780;dc_lat=;dc_rdid=;tag_for_child_directed_treatment=;tfua=</t>
  </si>
  <si>
    <t>https://ad.doubleclick.net/ddm/trackclk/N9487.3646218VERIZONBR/B25305913.295453257;dc_trk_aid=488726868;dc_trk_cid=145818780;dc_lat=;dc_rdid=;tag_for_child_directed_treatment=;tfua=</t>
  </si>
  <si>
    <t>Criado 09/02/2021</t>
  </si>
  <si>
    <t>KWs</t>
  </si>
  <si>
    <t>Categories</t>
  </si>
  <si>
    <t>In-Market</t>
  </si>
  <si>
    <t>3rdparty</t>
  </si>
  <si>
    <t>After-Sales-Nova-VW-Reg02</t>
  </si>
  <si>
    <t>After-Sales-Nova-VW-Reg05</t>
  </si>
  <si>
    <t>After-Sales-Nova-VW-Reg06</t>
  </si>
  <si>
    <t>https://posvendas.vw.com.br/product/oferta/62</t>
  </si>
  <si>
    <t>Criado 19/02/2021</t>
  </si>
  <si>
    <t>LAL-visita</t>
  </si>
  <si>
    <t>BR_VW_AFS_dv360_DIS_PROG_CPM_STD_LDR_AAF_RON_CXD_After-Sales-Nova-VW-Reg06-3rdparty_PD_970x250</t>
  </si>
  <si>
    <t>BR_VW_AFS_dv360_DIS_PROG_CPM_STD_LDR_AAF_RON_CXD_After-Sales-Nova-VW-Reg06-3rdparty_PD_728x90</t>
  </si>
  <si>
    <t>BR_VW_AFS_dv360_DIS_PROG_CPM_STD_LDR_AAF_RON_CXD_After-Sales-Nova-VW-Reg06-3rdparty_PD_300x250</t>
  </si>
  <si>
    <t>BR_VW_AFS_dv360_DIS_PROG_CPM_STD_LDR_AAF_RON_CXD_After-Sales-Nova-VW-Reg06-3rdparty_PD_300x50</t>
  </si>
  <si>
    <t>BR_VW_AFS_dv360_DIS_PROG_CPM_STD_LDR_AAF_RON_CXD_After-Sales-Nova-VW-Reg06-3rdparty_PD_160x600</t>
  </si>
  <si>
    <t>BR_VW_AFS_dv360_DIS_PROG_CPM_STD_LDR_AAF_RON_CXD_After-Sales-Nova-VW-Reg06-In-Market_PD_970x250</t>
  </si>
  <si>
    <t>BR_VW_AFS_dv360_DIS_PROG_CPM_STD_LDR_AAF_RON_CXD_After-Sales-Nova-VW-Reg06-In-Market_PD_728x90</t>
  </si>
  <si>
    <t>BR_VW_AFS_dv360_DIS_PROG_CPM_STD_LDR_AAF_RON_CXD_After-Sales-Nova-VW-Reg06-In-Market_PD_300x250</t>
  </si>
  <si>
    <t>BR_VW_AFS_dv360_DIS_PROG_CPM_STD_LDR_AAF_RON_CXD_After-Sales-Nova-VW-Reg06-In-Market_PD_300x50</t>
  </si>
  <si>
    <t>BR_VW_AFS_dv360_DIS_PROG_CPM_STD_LDR_AAF_RON_CXD_After-Sales-Nova-VW-Reg06-In-Market_PD_160x600</t>
  </si>
  <si>
    <t>BR_VW_AFS_dv360_DIS_PROG_CPM_STD_LDR_AAF_RON_CXD_After-Sales-Nova-VW-Reg06-Categories_PD_970x250</t>
  </si>
  <si>
    <t>BR_VW_AFS_dv360_DIS_PROG_CPM_STD_LDR_AAF_RON_CXD_After-Sales-Nova-VW-Reg06-Categories_PD_728x90</t>
  </si>
  <si>
    <t>BR_VW_AFS_dv360_DIS_PROG_CPM_STD_LDR_AAF_RON_CXD_After-Sales-Nova-VW-Reg06-Categories_PD_300x250</t>
  </si>
  <si>
    <t>BR_VW_AFS_dv360_DIS_PROG_CPM_STD_LDR_AAF_RON_CXD_After-Sales-Nova-VW-Reg06-Categories_PD_300x50</t>
  </si>
  <si>
    <t>BR_VW_AFS_dv360_DIS_PROG_CPM_STD_LDR_AAF_RON_CXD_After-Sales-Nova-VW-Reg06-Categories_PD_160x600</t>
  </si>
  <si>
    <t>BR_VW_AFS_dv360_DIS_PROG_CPM_STD_LDR_AAF_RON_CXD_After-Sales-Nova-VW-Reg06-KWs_PD_970x250</t>
  </si>
  <si>
    <t>BR_VW_AFS_dv360_DIS_PROG_CPM_STD_LDR_AAF_RON_CXD_After-Sales-Nova-VW-Reg06-KWs_PD_728x90</t>
  </si>
  <si>
    <t>BR_VW_AFS_dv360_DIS_PROG_CPM_STD_LDR_AAF_RON_CXD_After-Sales-Nova-VW-Reg06-KWs_PD_300x250</t>
  </si>
  <si>
    <t>BR_VW_AFS_dv360_DIS_PROG_CPM_STD_LDR_AAF_RON_CXD_After-Sales-Nova-VW-Reg06-KWs_PD_300x50</t>
  </si>
  <si>
    <t>BR_VW_AFS_dv360_DIS_PROG_CPM_STD_LDR_AAF_RON_CXD_After-Sales-Nova-VW-Reg06-KWs_PD_160x600</t>
  </si>
  <si>
    <t>BR_VW_AFS_dv360_DIS_PROG_CPM_STD_LDR_AAF_RON_CXD_After-Sales-Nova-VW-Reg05-3rdparty_PD_970x250</t>
  </si>
  <si>
    <t>BR_VW_AFS_dv360_DIS_PROG_CPM_STD_LDR_AAF_RON_CXD_After-Sales-Nova-VW-Reg05-3rdparty_PD_728x90</t>
  </si>
  <si>
    <t>BR_VW_AFS_dv360_DIS_PROG_CPM_STD_LDR_AAF_RON_CXD_After-Sales-Nova-VW-Reg05-3rdparty_PD_300x250</t>
  </si>
  <si>
    <t>BR_VW_AFS_dv360_DIS_PROG_CPM_STD_LDR_AAF_RON_CXD_After-Sales-Nova-VW-Reg05-3rdparty_PD_300x50</t>
  </si>
  <si>
    <t>BR_VW_AFS_dv360_DIS_PROG_CPM_STD_LDR_AAF_RON_CXD_After-Sales-Nova-VW-Reg05-3rdparty_PD_160x600</t>
  </si>
  <si>
    <t>BR_VW_AFS_dv360_DIS_PROG_CPM_STD_LDR_AAF_RON_CXD_After-Sales-Nova-VW-Reg05-In-Market_PD_970x250</t>
  </si>
  <si>
    <t>BR_VW_AFS_dv360_DIS_PROG_CPM_STD_LDR_AAF_RON_CXD_After-Sales-Nova-VW-Reg05-In-Market_PD_728x90</t>
  </si>
  <si>
    <t>BR_VW_AFS_dv360_DIS_PROG_CPM_STD_LDR_AAF_RON_CXD_After-Sales-Nova-VW-Reg05-In-Market_PD_300x250</t>
  </si>
  <si>
    <t>BR_VW_AFS_dv360_DIS_PROG_CPM_STD_LDR_AAF_RON_CXD_After-Sales-Nova-VW-Reg05-In-Market_PD_300x50</t>
  </si>
  <si>
    <t>BR_VW_AFS_dv360_DIS_PROG_CPM_STD_LDR_AAF_RON_CXD_After-Sales-Nova-VW-Reg05-In-Market_PD_160x600</t>
  </si>
  <si>
    <t>BR_VW_AFS_dv360_DIS_PROG_CPM_STD_LDR_AAF_RON_CXD_After-Sales-Nova-VW-Reg05-Categories_PD_970x250</t>
  </si>
  <si>
    <t>BR_VW_AFS_dv360_DIS_PROG_CPM_STD_LDR_AAF_RON_CXD_After-Sales-Nova-VW-Reg05-Categories_PD_728x90</t>
  </si>
  <si>
    <t>BR_VW_AFS_dv360_DIS_PROG_CPM_STD_LDR_AAF_RON_CXD_After-Sales-Nova-VW-Reg05-Categories_PD_300x250</t>
  </si>
  <si>
    <t>BR_VW_AFS_dv360_DIS_PROG_CPM_STD_LDR_AAF_RON_CXD_After-Sales-Nova-VW-Reg05-Categories_PD_300x50</t>
  </si>
  <si>
    <t>BR_VW_AFS_dv360_DIS_PROG_CPM_STD_LDR_AAF_RON_CXD_After-Sales-Nova-VW-Reg05-Categories_PD_160x600</t>
  </si>
  <si>
    <t>BR_VW_AFS_dv360_DIS_PROG_CPM_STD_LDR_AAF_RON_CXD_After-Sales-Nova-VW-Reg05-KWs_PD_970x250</t>
  </si>
  <si>
    <t>BR_VW_AFS_dv360_DIS_PROG_CPM_STD_LDR_AAF_RON_CXD_After-Sales-Nova-VW-Reg05-KWs_PD_728x90</t>
  </si>
  <si>
    <t>BR_VW_AFS_dv360_DIS_PROG_CPM_STD_LDR_AAF_RON_CXD_After-Sales-Nova-VW-Reg05-KWs_PD_300x250</t>
  </si>
  <si>
    <t>BR_VW_AFS_dv360_DIS_PROG_CPM_STD_LDR_AAF_RON_CXD_After-Sales-Nova-VW-Reg05-KWs_PD_300x50</t>
  </si>
  <si>
    <t>BR_VW_AFS_dv360_DIS_PROG_CPM_STD_LDR_AAF_RON_CXD_After-Sales-Nova-VW-Reg05-KWs_PD_160x600</t>
  </si>
  <si>
    <t>BR_VW_AFS_dv360_DIS_PROG_CPM_STD_LDR_AAF_RON_CXD_After-Sales-Nova-VW-Reg02-3rdparty_PD_970x250</t>
  </si>
  <si>
    <t>BR_VW_AFS_dv360_DIS_PROG_CPM_STD_LDR_AAF_RON_CXD_After-Sales-Nova-VW-Reg02-3rdparty_PD_728x90</t>
  </si>
  <si>
    <t>BR_VW_AFS_dv360_DIS_PROG_CPM_STD_LDR_AAF_RON_CXD_After-Sales-Nova-VW-Reg02-3rdparty_PD_300x250</t>
  </si>
  <si>
    <t>BR_VW_AFS_dv360_DIS_PROG_CPM_STD_LDR_AAF_RON_CXD_After-Sales-Nova-VW-Reg02-3rdparty_PD_300x50</t>
  </si>
  <si>
    <t>BR_VW_AFS_dv360_DIS_PROG_CPM_STD_LDR_AAF_RON_CXD_After-Sales-Nova-VW-Reg02-3rdparty_PD_160x600</t>
  </si>
  <si>
    <t>BR_VW_AFS_dv360_DIS_PROG_CPM_STD_LDR_AAF_RON_CXD_After-Sales-Nova-VW-Reg02-In-Market_PD_970x250</t>
  </si>
  <si>
    <t>BR_VW_AFS_dv360_DIS_PROG_CPM_STD_LDR_AAF_RON_CXD_After-Sales-Nova-VW-Reg02-In-Market_PD_728x90</t>
  </si>
  <si>
    <t>BR_VW_AFS_dv360_DIS_PROG_CPM_STD_LDR_AAF_RON_CXD_After-Sales-Nova-VW-Reg02-In-Market_PD_300x250</t>
  </si>
  <si>
    <t>BR_VW_AFS_dv360_DIS_PROG_CPM_STD_LDR_AAF_RON_CXD_After-Sales-Nova-VW-Reg02-In-Market_PD_300x50</t>
  </si>
  <si>
    <t>BR_VW_AFS_dv360_DIS_PROG_CPM_STD_LDR_AAF_RON_CXD_After-Sales-Nova-VW-Reg02-In-Market_PD_160x600</t>
  </si>
  <si>
    <t>BR_VW_AFS_dv360_DIS_PROG_CPM_STD_LDR_AAF_RON_CXD_After-Sales-Nova-VW-Reg02-Categories_PD_970x250</t>
  </si>
  <si>
    <t>BR_VW_AFS_dv360_DIS_PROG_CPM_STD_LDR_AAF_RON_CXD_After-Sales-Nova-VW-Reg02-Categories_PD_728x90</t>
  </si>
  <si>
    <t>BR_VW_AFS_dv360_DIS_PROG_CPM_STD_LDR_AAF_RON_CXD_After-Sales-Nova-VW-Reg02-Categories_PD_300x250</t>
  </si>
  <si>
    <t>BR_VW_AFS_dv360_DIS_PROG_CPM_STD_LDR_AAF_RON_CXD_After-Sales-Nova-VW-Reg02-Categories_PD_300x50</t>
  </si>
  <si>
    <t>BR_VW_AFS_dv360_DIS_PROG_CPM_STD_LDR_AAF_RON_CXD_After-Sales-Nova-VW-Reg02-Categories_PD_160x600</t>
  </si>
  <si>
    <t>BR_VW_AFS_dv360_DIS_PROG_CPM_STD_LDR_AAF_RON_CXD_After-Sales-Nova-VW-Reg02-KWs_PD_970x250</t>
  </si>
  <si>
    <t>BR_VW_AFS_dv360_DIS_PROG_CPM_STD_LDR_AAF_RON_CXD_After-Sales-Nova-VW-Reg02-KWs_PD_728x90</t>
  </si>
  <si>
    <t>BR_VW_AFS_dv360_DIS_PROG_CPM_STD_LDR_AAF_RON_CXD_After-Sales-Nova-VW-Reg02-KWs_PD_300x250</t>
  </si>
  <si>
    <t>BR_VW_AFS_dv360_DIS_PROG_CPM_STD_LDR_AAF_RON_CXD_After-Sales-Nova-VW-Reg02-KWs_PD_300x50</t>
  </si>
  <si>
    <t>BR_VW_AFS_dv360_DIS_PROG_CPM_STD_LDR_AAF_RON_CXD_After-Sales-Nova-VW-Reg02-KWs_PD_160x600</t>
  </si>
  <si>
    <t>295759017</t>
  </si>
  <si>
    <t>295759020</t>
  </si>
  <si>
    <t>295759023</t>
  </si>
  <si>
    <t>295759026</t>
  </si>
  <si>
    <t>295759029</t>
  </si>
  <si>
    <t>295759032</t>
  </si>
  <si>
    <t>295759035</t>
  </si>
  <si>
    <t>295759038</t>
  </si>
  <si>
    <t>295759041</t>
  </si>
  <si>
    <t>295759044</t>
  </si>
  <si>
    <t>295759047</t>
  </si>
  <si>
    <t>295759050</t>
  </si>
  <si>
    <t>295759053</t>
  </si>
  <si>
    <t>295759056</t>
  </si>
  <si>
    <t>295759059</t>
  </si>
  <si>
    <t>295759062</t>
  </si>
  <si>
    <t>295759065</t>
  </si>
  <si>
    <t>295759068</t>
  </si>
  <si>
    <t>295759071</t>
  </si>
  <si>
    <t>295759074</t>
  </si>
  <si>
    <t>295759077</t>
  </si>
  <si>
    <t>295759080</t>
  </si>
  <si>
    <t>295759083</t>
  </si>
  <si>
    <t>295759086</t>
  </si>
  <si>
    <t>295759089</t>
  </si>
  <si>
    <t>295759092</t>
  </si>
  <si>
    <t>295759095</t>
  </si>
  <si>
    <t>295759098</t>
  </si>
  <si>
    <t>295759101</t>
  </si>
  <si>
    <t>295759104</t>
  </si>
  <si>
    <t>295759107</t>
  </si>
  <si>
    <t>295759110</t>
  </si>
  <si>
    <t>295759113</t>
  </si>
  <si>
    <t>295759116</t>
  </si>
  <si>
    <t>295759119</t>
  </si>
  <si>
    <t>295759122</t>
  </si>
  <si>
    <t>295759125</t>
  </si>
  <si>
    <t>295759128</t>
  </si>
  <si>
    <t>295759131</t>
  </si>
  <si>
    <t>295759134</t>
  </si>
  <si>
    <t>295759137</t>
  </si>
  <si>
    <t>295759140</t>
  </si>
  <si>
    <t>295759143</t>
  </si>
  <si>
    <t>295759146</t>
  </si>
  <si>
    <t>295759149</t>
  </si>
  <si>
    <t>295759152</t>
  </si>
  <si>
    <t>295759155</t>
  </si>
  <si>
    <t>295759158</t>
  </si>
  <si>
    <t>295759161</t>
  </si>
  <si>
    <t>295759164</t>
  </si>
  <si>
    <t>295759167</t>
  </si>
  <si>
    <t>295759170</t>
  </si>
  <si>
    <t>295759173</t>
  </si>
  <si>
    <t>295759176</t>
  </si>
  <si>
    <t>295759179</t>
  </si>
  <si>
    <t>295759182</t>
  </si>
  <si>
    <t>295759185</t>
  </si>
  <si>
    <t>295759188</t>
  </si>
  <si>
    <t>295759191</t>
  </si>
  <si>
    <t>295759194</t>
  </si>
  <si>
    <t>BR_VW_AFS_dv360_DIS_PROG_CPM_STD_LDR_AAF_RON_CXD_After-Sales-Nova-VW-Reg02-LAL-Lead_PD_970x250</t>
  </si>
  <si>
    <t>BR_VW_AFS_dv360_DIS_PROG_CPM_STD_LDR_AAF_RON_CXD_After-Sales-Nova-VW-Reg06-LAL-Addtocart_PD_160x600</t>
  </si>
  <si>
    <t>BR_VW_AFS_dv360_DIS_PROG_CPM_STD_LDR_AAF_RON_CXD_After-Sales-Nova-VW-Reg02-LAL-Lead_PD_728x90</t>
  </si>
  <si>
    <t>BR_VW_AFS_dv360_DIS_PROG_CPM_STD_LDR_AAF_RON_CXD_After-Sales-Nova-VW-Reg06-LAL-Lead_PD_970x250</t>
  </si>
  <si>
    <t>BR_VW_AFS_dv360_DIS_PROG_CPM_STD_LDR_AAF_RON_CXD_After-Sales-Nova-VW-Reg02-LAL-Lead_PD_300x250</t>
  </si>
  <si>
    <t>BR_VW_AFS_dv360_DIS_PROG_CPM_STD_LDR_AAF_RON_CXD_After-Sales-Nova-VW-Reg06-LAL-Lead_PD_728x90</t>
  </si>
  <si>
    <t>BR_VW_AFS_dv360_DIS_PROG_CPM_STD_LDR_AAF_RON_CXD_After-Sales-Nova-VW-Reg02-LAL-Lead_PD_300x50</t>
  </si>
  <si>
    <t>BR_VW_AFS_dv360_DIS_PROG_CPM_STD_LDR_AAF_RON_CXD_After-Sales-Nova-VW-Reg06-LAL-Lead_PD_300x250</t>
  </si>
  <si>
    <t>BR_VW_AFS_dv360_DIS_PROG_CPM_STD_LDR_AAF_RON_CXD_After-Sales-Nova-VW-Reg02-LAL-Lead_PD_160x600</t>
  </si>
  <si>
    <t>BR_VW_AFS_dv360_DIS_PROG_CPM_STD_LDR_AAF_RON_CXD_After-Sales-Nova-VW-Reg06-LAL-Lead_PD_300x50</t>
  </si>
  <si>
    <t>BR_VW_AFS_dv360_DIS_PROG_CPM_STD_LDR_AAF_RON_CXD_After-Sales-Nova-VW-Reg02-LAL-visita_PD_970x250</t>
  </si>
  <si>
    <t>BR_VW_AFS_dv360_DIS_PROG_CPM_STD_LDR_AAF_RON_CXD_After-Sales-Nova-VW-Reg06-LAL-Lead_PD_160x600</t>
  </si>
  <si>
    <t>BR_VW_AFS_dv360_DIS_PROG_CPM_STD_LDR_AAF_RON_CXD_After-Sales-Nova-VW-Reg02-LAL-visita_PD_728x90</t>
  </si>
  <si>
    <t>BR_VW_AFS_dv360_DIS_PROG_CPM_STD_LDR_AAF_RON_CXD_After-Sales-Nova-VW-Reg06-LAL-visita_PD_970x250</t>
  </si>
  <si>
    <t>BR_VW_AFS_dv360_DIS_PROG_CPM_STD_LDR_AAF_RON_CXD_After-Sales-Nova-VW-Reg02-LAL-visita_PD_300x250</t>
  </si>
  <si>
    <t>BR_VW_AFS_dv360_DIS_PROG_CPM_STD_LDR_AAF_RON_CXD_After-Sales-Nova-VW-Reg06-LAL-visita_PD_728x90</t>
  </si>
  <si>
    <t>BR_VW_AFS_dv360_DIS_PROG_CPM_STD_LDR_AAF_RON_CXD_After-Sales-Nova-VW-Reg02-LAL-visita_PD_300x50</t>
  </si>
  <si>
    <t>BR_VW_AFS_dv360_DIS_PROG_CPM_STD_LDR_AAF_RON_CXD_After-Sales-Nova-VW-Reg06-LAL-visita_PD_300x250</t>
  </si>
  <si>
    <t>BR_VW_AFS_dv360_DIS_PROG_CPM_STD_LDR_AAF_RON_CXD_After-Sales-Nova-VW-Reg02-LAL-visita_PD_160x600</t>
  </si>
  <si>
    <t>BR_VW_AFS_dv360_DIS_PROG_CPM_STD_LDR_AAF_RON_CXD_After-Sales-Nova-VW-Reg06-LAL-visita_PD_300x50</t>
  </si>
  <si>
    <t>BR_VW_AFS_dv360_DIS_PROG_CPM_STD_LDR_AAF_RON_CXD_After-Sales-Nova-VW-Reg06-LAL-visita_PD_160x600</t>
  </si>
  <si>
    <t>BR_VW_AFS_dv360_DIS_PROG_CPM_STD_LDR_AAF_RON_CXD_After-Sales-Nova-VW-Reg05-LAL-Addtocart_PD_970x250</t>
  </si>
  <si>
    <t>BR_VW_AFS_dv360_DIS_PROG_CPM_STD_LDR_AAF_RON_CXD_After-Sales-Nova-VW-Reg05-LAL-Addtocart_PD_728x90</t>
  </si>
  <si>
    <t>BR_VW_AFS_dv360_DIS_PROG_CPM_STD_LDR_AAF_RON_CXD_After-Sales-Nova-VW-Reg05-LAL-Addtocart_PD_300x250</t>
  </si>
  <si>
    <t>BR_VW_AFS_dv360_DIS_PROG_CPM_STD_LDR_AAF_RON_CXD_After-Sales-Nova-VW-Reg05-LAL-Addtocart_PD_300x50</t>
  </si>
  <si>
    <t>BR_VW_AFS_dv360_DIS_PROG_CPM_STD_LDR_AAF_RON_CXD_After-Sales-Nova-VW-Reg05-LAL-Addtocart_PD_160x600</t>
  </si>
  <si>
    <t>BR_VW_AFS_dv360_DIS_PROG_CPM_STD_LDR_AAF_RON_CXD_After-Sales-Nova-VW-Reg05-LAL-Lead_PD_970x250</t>
  </si>
  <si>
    <t>BR_VW_AFS_dv360_DIS_PROG_CPM_STD_LDR_AAF_RON_CXD_After-Sales-Nova-VW-Reg05-LAL-Lead_PD_728x90</t>
  </si>
  <si>
    <t>BR_VW_AFS_dv360_DIS_PROG_CPM_STD_LDR_AAF_RON_CXD_After-Sales-Nova-VW-Reg05-LAL-Lead_PD_300x250</t>
  </si>
  <si>
    <t>BR_VW_AFS_dv360_DIS_PROG_CPM_STD_LDR_AAF_RON_CXD_After-Sales-Nova-VW-Reg05-LAL-Lead_PD_300x50</t>
  </si>
  <si>
    <t>BR_VW_AFS_dv360_DIS_PROG_CPM_STD_LDR_AAF_RON_CXD_After-Sales-Nova-VW-Reg05-LAL-Lead_PD_160x600</t>
  </si>
  <si>
    <t>BR_VW_AFS_dv360_DIS_PROG_CPM_STD_LDR_AAF_RON_CXD_After-Sales-Nova-VW-Reg05-LAL-Visita_PD_970x250</t>
  </si>
  <si>
    <t>BR_VW_AFS_dv360_DIS_PROG_CPM_STD_LDR_AAF_RON_CXD_After-Sales-Nova-VW-Reg05-LAL-Visita_PD_728x90</t>
  </si>
  <si>
    <t>BR_VW_AFS_dv360_DIS_PROG_CPM_STD_LDR_AAF_RON_CXD_After-Sales-Nova-VW-Reg05-LAL-Visita_PD_300x250</t>
  </si>
  <si>
    <t>BR_VW_AFS_dv360_DIS_PROG_CPM_STD_LDR_AAF_RON_CXD_After-Sales-Nova-VW-Reg05-LAL-Visita_PD_300x50</t>
  </si>
  <si>
    <t>BR_VW_AFS_dv360_DIS_PROG_CPM_STD_LDR_AAF_RON_CXD_After-Sales-Nova-VW-Reg05-LAL-Visita_PD_160x600</t>
  </si>
  <si>
    <t>BR_VW_AFS_dv360_DIS_PROG_CPM_STD_LDR_AAF_RON_CXD_After-Sales-Nova-VW-Reg02-LAL-Addtocart_PD_970x250</t>
  </si>
  <si>
    <t>BR_VW_AFS_dv360_DIS_PROG_CPM_STD_LDR_AAF_RON_CXD_After-Sales-Nova-VW-Reg02-LAL-Addtocart_PD_728x90</t>
  </si>
  <si>
    <t>BR_VW_AFS_dv360_DIS_PROG_CPM_STD_LDR_AAF_RON_CXD_After-Sales-Nova-VW-Reg06-LAL-Addtocart_PD_970x250</t>
  </si>
  <si>
    <t>BR_VW_AFS_dv360_DIS_PROG_CPM_STD_LDR_AAF_RON_CXD_After-Sales-Nova-VW-Reg02-LAL-Addtocart_PD_300x250</t>
  </si>
  <si>
    <t>BR_VW_AFS_dv360_DIS_PROG_CPM_STD_LDR_AAF_RON_CXD_After-Sales-Nova-VW-Reg06-LAL-Addtocart_PD_728x90</t>
  </si>
  <si>
    <t>BR_VW_AFS_dv360_DIS_PROG_CPM_STD_LDR_AAF_RON_CXD_After-Sales-Nova-VW-Reg02-LAL-Addtocart_PD_300x50</t>
  </si>
  <si>
    <t>BR_VW_AFS_dv360_DIS_PROG_CPM_STD_LDR_AAF_RON_CXD_After-Sales-Nova-VW-Reg06-LAL-Addtocart_PD_300x250</t>
  </si>
  <si>
    <t>BR_VW_AFS_dv360_DIS_PROG_CPM_STD_LDR_AAF_RON_CXD_After-Sales-Nova-VW-Reg02-LAL-Addtocart_PD_160x600</t>
  </si>
  <si>
    <t>BR_VW_AFS_dv360_DIS_PROG_CPM_STD_LDR_AAF_RON_CXD_After-Sales-Nova-VW-Reg06-LAL-Addtocart_PD_300x50</t>
  </si>
  <si>
    <t>296613624</t>
  </si>
  <si>
    <t>296613627</t>
  </si>
  <si>
    <t>296613630</t>
  </si>
  <si>
    <t>296613633</t>
  </si>
  <si>
    <t>296613636</t>
  </si>
  <si>
    <t>296613639</t>
  </si>
  <si>
    <t>296613642</t>
  </si>
  <si>
    <t>296613645</t>
  </si>
  <si>
    <t>296613648</t>
  </si>
  <si>
    <t>296613651</t>
  </si>
  <si>
    <t>296613654</t>
  </si>
  <si>
    <t>296613657</t>
  </si>
  <si>
    <t>296613660</t>
  </si>
  <si>
    <t>296613663</t>
  </si>
  <si>
    <t>296613666</t>
  </si>
  <si>
    <t>296613669</t>
  </si>
  <si>
    <t>296613672</t>
  </si>
  <si>
    <t>296613675</t>
  </si>
  <si>
    <t>296613678</t>
  </si>
  <si>
    <t>296779807</t>
  </si>
  <si>
    <t>296779810</t>
  </si>
  <si>
    <t>296779813</t>
  </si>
  <si>
    <t>296779816</t>
  </si>
  <si>
    <t>296779819</t>
  </si>
  <si>
    <t>296779822</t>
  </si>
  <si>
    <t>296779825</t>
  </si>
  <si>
    <t>296779828</t>
  </si>
  <si>
    <t>296779831</t>
  </si>
  <si>
    <t>296779834</t>
  </si>
  <si>
    <t>296779837</t>
  </si>
  <si>
    <t>296779840</t>
  </si>
  <si>
    <t>296779843</t>
  </si>
  <si>
    <t>296779846</t>
  </si>
  <si>
    <t>296779849</t>
  </si>
  <si>
    <t>296779852</t>
  </si>
  <si>
    <t>296779855</t>
  </si>
  <si>
    <t>296779858</t>
  </si>
  <si>
    <t>296779861</t>
  </si>
  <si>
    <t>296779864</t>
  </si>
  <si>
    <t>296779867</t>
  </si>
  <si>
    <t>296779870</t>
  </si>
  <si>
    <t>296779873</t>
  </si>
  <si>
    <t>296779876</t>
  </si>
  <si>
    <t>296779879</t>
  </si>
  <si>
    <t>296779882</t>
  </si>
  <si>
    <t>Pausado</t>
  </si>
  <si>
    <t>Criado 09/03/2021</t>
  </si>
  <si>
    <t>After-Sales-Promo-Nacional</t>
  </si>
  <si>
    <t>https://posvendas.vw.com.br/product/oferta/63</t>
  </si>
  <si>
    <t>Aguardando Material</t>
  </si>
  <si>
    <t>Enviado 09/03</t>
  </si>
  <si>
    <t>Manter / No Ar</t>
  </si>
  <si>
    <t>BR_VW_AFS_verizon_DIS_DRCT_CPC_STD_LDR_AAF_RON_CXD_After-Sales-Promo-Nacional-LAL-Lead_PD_native</t>
  </si>
  <si>
    <t>BR_VW_AFS_verizon_DIS_DRCT_CPC_STD_LDR_AAF_RON_CXD_After-Sales-Promo-Nacional-LAL-Addtocart_PD_native</t>
  </si>
  <si>
    <t>BR_VW_AFS_verizon_DIS_DRCT_CPC_STD_LDR_AAF_RON_CXD_After-Sales-Promo-Nacional-LAL-Visita_PD_native</t>
  </si>
  <si>
    <t>BR_VW_AFS_verizon_DIS_DRCT_CPC_STD_LDR_AAF_RON_CXD_After-Sales-Promo-Nacional-Interesses_PD_native</t>
  </si>
  <si>
    <t>https://ad.doubleclick.net/ddm/trackclk/N9487.3646218VERIZONBR/B25305913.297877245;dc_trk_aid=491072422;dc_trk_cid=145818780;dc_lat=;dc_rdid=;tag_for_child_directed_treatment=;tfua=</t>
  </si>
  <si>
    <t>https://ad.doubleclick.net/ddm/trackclk/N9487.3646218VERIZONBR/B25305913.297877248;dc_trk_aid=491072425;dc_trk_cid=145818780;dc_lat=;dc_rdid=;tag_for_child_directed_treatment=;tfua=</t>
  </si>
  <si>
    <t>https://ad.doubleclick.net/ddm/trackclk/N9487.3646218VERIZONBR/B25305913.297877251;dc_trk_aid=491072428;dc_trk_cid=145818780;dc_lat=;dc_rdid=;tag_for_child_directed_treatment=;tfua=</t>
  </si>
  <si>
    <t>https://ad.doubleclick.net/ddm/trackclk/N9487.3646218VERIZONBR/B25305913.297877254;dc_trk_aid=491072431;dc_trk_cid=145818780;dc_lat=;dc_rdid=;tag_for_child_directed_treatment=;tfua=</t>
  </si>
  <si>
    <t>Enviado 05/02 | Atualizado 09/03</t>
  </si>
  <si>
    <t>Enviado 10/02 | Atualizado 09/03</t>
  </si>
  <si>
    <t>Enviado 22/02 | Atualizado 09/03</t>
  </si>
  <si>
    <t>Enviado 12/03</t>
  </si>
  <si>
    <t>BR_VW_AFS_dv360_DIS_PROG_CPM_STD_LDR_AAF_RON_CXD_After-Sales-Promo-Nacional-3rdparty_PD_160x600</t>
  </si>
  <si>
    <t>BR_VW_AFS_dv360_DIS_PROG_CPM_STD_LDR_AAF_RON_CXD_After-Sales-Promo-Nacional-In-Market_PD_970x250</t>
  </si>
  <si>
    <t>BR_VW_AFS_dv360_DIS_PROG_CPM_STD_LDR_AAF_RON_CXD_After-Sales-Promo-Nacional-In-Market_PD_728x90</t>
  </si>
  <si>
    <t>BR_VW_AFS_dv360_DIS_PROG_CPM_STD_LDR_AAF_RON_CXD_After-Sales-Promo-Nacional-In-Market_PD_300x250</t>
  </si>
  <si>
    <t>BR_VW_AFS_dv360_DIS_PROG_CPM_STD_LDR_AAF_RON_CXD_After-Sales-Promo-Nacional-In-Market_PD_300x50</t>
  </si>
  <si>
    <t>BR_VW_AFS_dv360_DIS_PROG_CPM_STD_LDR_AAF_RON_CXD_After-Sales-Promo-Nacional-In-Market_PD_160x600</t>
  </si>
  <si>
    <t>BR_VW_AFS_dv360_DIS_PROG_CPM_STD_LDR_AAF_RON_CXD_After-Sales-Promo-Nacional-Categories_PD_970x250</t>
  </si>
  <si>
    <t>BR_VW_AFS_dv360_DIS_PROG_CPM_STD_LDR_AAF_RON_CXD_After-Sales-Promo-Nacional-Categories_PD_728x90</t>
  </si>
  <si>
    <t>BR_VW_AFS_dv360_DIS_PROG_CPM_STD_LDR_AAF_RON_CXD_After-Sales-Promo-Nacional-Categories_PD_300x250</t>
  </si>
  <si>
    <t>BR_VW_AFS_dv360_DIS_PROG_CPM_STD_LDR_AAF_RON_CXD_After-Sales-Promo-Nacional-Categories_PD_300x50</t>
  </si>
  <si>
    <t>BR_VW_AFS_dv360_DIS_PROG_CPM_STD_LDR_AAF_RON_CXD_After-Sales-Promo-Nacional-Categories_PD_160x600</t>
  </si>
  <si>
    <t>BR_VW_AFS_dv360_DIS_PROG_CPM_STD_LDR_AAF_RON_CXD_After-Sales-Promo-Nacional-KWs_PD_970x250</t>
  </si>
  <si>
    <t>BR_VW_AFS_dv360_DIS_PROG_CPM_STD_LDR_AAF_RON_CXD_After-Sales-Promo-Nacional-3rdparty_PD_970x250</t>
  </si>
  <si>
    <t>BR_VW_AFS_dv360_DIS_PROG_CPM_STD_LDR_AAF_RON_CXD_After-Sales-Promo-Nacional-KWs_PD_728x90</t>
  </si>
  <si>
    <t>BR_VW_AFS_dv360_DIS_PROG_CPM_STD_LDR_AAF_RON_CXD_After-Sales-Promo-Nacional-3rdparty_PD_728x90</t>
  </si>
  <si>
    <t>BR_VW_AFS_dv360_DIS_PROG_CPM_STD_LDR_AAF_RON_CXD_After-Sales-Promo-Nacional-KWs_PD_300x250</t>
  </si>
  <si>
    <t>BR_VW_AFS_dv360_DIS_PROG_CPM_STD_LDR_AAF_RON_CXD_After-Sales-Promo-Nacional-3rdparty_PD_300x250</t>
  </si>
  <si>
    <t>BR_VW_AFS_dv360_DIS_PROG_CPM_STD_LDR_AAF_RON_CXD_After-Sales-Promo-Nacional-KWs_PD_300x50</t>
  </si>
  <si>
    <t>BR_VW_AFS_dv360_DIS_PROG_CPM_STD_LDR_AAF_RON_CXD_After-Sales-Promo-Nacional-3rdparty_PD_300x50</t>
  </si>
  <si>
    <t>BR_VW_AFS_dv360_DIS_PROG_CPM_STD_LDR_AAF_RON_CXD_After-Sales-Promo-Nacional-KWs_PD_160x600</t>
  </si>
  <si>
    <t>298293625</t>
  </si>
  <si>
    <t>298293628</t>
  </si>
  <si>
    <t>298293631</t>
  </si>
  <si>
    <t>298293634</t>
  </si>
  <si>
    <t>298293637</t>
  </si>
  <si>
    <t>298293640</t>
  </si>
  <si>
    <t>298293643</t>
  </si>
  <si>
    <t>298293646</t>
  </si>
  <si>
    <t>298293649</t>
  </si>
  <si>
    <t>298293652</t>
  </si>
  <si>
    <t>298293655</t>
  </si>
  <si>
    <t>298293658</t>
  </si>
  <si>
    <t>298293661</t>
  </si>
  <si>
    <t>298293664</t>
  </si>
  <si>
    <t>298293667</t>
  </si>
  <si>
    <t>298293670</t>
  </si>
  <si>
    <t>298293673</t>
  </si>
  <si>
    <t>298293676</t>
  </si>
  <si>
    <t>298293679</t>
  </si>
  <si>
    <t>298293682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</si>
</sst>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6">
    <xf numFmtId="0" fontId="0" fillId="0" borderId="0" xfId="0"/>
    <xf numFmtId="0" fontId="2" fillId="3" borderId="3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1" fillId="4" borderId="6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/>
    <xf numFmtId="0" fontId="0" fillId="0" borderId="10" xfId="0" applyBorder="1"/>
    <xf numFmtId="0" fontId="0" fillId="0" borderId="11" xfId="0" applyBorder="1"/>
    <xf numFmtId="0" fontId="4" fillId="0" borderId="3" xfId="0" applyFont="1" applyFill="1" applyBorder="1" applyAlignment="1">
      <alignment horizontal="center" vertical="center"/>
    </xf>
    <xf numFmtId="0" fontId="5" fillId="0" borderId="0" xfId="0" applyFont="1" applyAlignment="1">
      <alignment vertical="top" wrapText="1"/>
    </xf>
    <xf numFmtId="0" fontId="1" fillId="0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vertical="center"/>
    </xf>
    <xf numFmtId="0" fontId="2" fillId="4" borderId="5" xfId="0" applyFont="1" applyFill="1" applyBorder="1" applyAlignment="1">
      <alignment horizontal="center" vertical="center" wrapText="1"/>
    </xf>
    <xf numFmtId="0" fontId="2" fillId="4" borderId="5" xfId="0" quotePrefix="1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left" vertical="center"/>
    </xf>
    <xf numFmtId="14" fontId="4" fillId="0" borderId="3" xfId="0" applyNumberFormat="1" applyFont="1" applyFill="1" applyBorder="1" applyAlignment="1">
      <alignment horizontal="center" vertical="center"/>
    </xf>
    <xf numFmtId="0" fontId="6" fillId="0" borderId="3" xfId="1" applyFill="1" applyBorder="1" applyAlignment="1">
      <alignment horizontal="left" vertical="center"/>
    </xf>
    <xf numFmtId="0" fontId="0" fillId="0" borderId="0" xfId="0" applyFill="1"/>
    <xf numFmtId="0" fontId="7" fillId="4" borderId="12" xfId="0" quotePrefix="1" applyFont="1" applyFill="1" applyBorder="1" applyAlignment="1">
      <alignment horizontal="center" vertical="center" wrapText="1"/>
    </xf>
    <xf numFmtId="0" fontId="0" fillId="0" borderId="12" xfId="0" applyBorder="1"/>
    <xf numFmtId="0" fontId="5" fillId="0" borderId="0" xfId="0" applyFont="1" applyAlignment="1">
      <alignment horizontal="center" vertical="top" wrapText="1"/>
    </xf>
    <xf numFmtId="0" fontId="0" fillId="0" borderId="0" xfId="0" applyFill="1" applyAlignment="1">
      <alignment horizontal="center"/>
    </xf>
    <xf numFmtId="0" fontId="5" fillId="6" borderId="0" xfId="0" applyFont="1" applyFill="1" applyAlignment="1">
      <alignment vertical="top" wrapText="1"/>
    </xf>
    <xf numFmtId="0" fontId="0" fillId="6" borderId="0" xfId="0" applyFill="1"/>
    <xf numFmtId="0" fontId="4" fillId="0" borderId="3" xfId="0" applyFont="1" applyBorder="1" applyAlignment="1">
      <alignment horizontal="center" vertical="center"/>
    </xf>
    <xf numFmtId="0" fontId="6" fillId="0" borderId="0" xfId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18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26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39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21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34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42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7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2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16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29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1" Type="http://schemas.openxmlformats.org/officeDocument/2006/relationships/hyperlink" Target="https://urldefense.com/v3/__https:/posvendas.vw.com.br/__;!!HhhKMSGjjQV-!u_Pta8GrqW-t8GqQR4acXySRMcWNXwN5zT811fK-284wplc7yLHzOmfYkwEOus9kADE$" TargetMode="External"/><Relationship Id="rId6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11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24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32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37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40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45" Type="http://schemas.openxmlformats.org/officeDocument/2006/relationships/hyperlink" Target="https://urldefense.com/v3/__https:/posvendas.vw.com.br/product/oferta/63__;!!HhhKMSGjjQV-!pjyd77sf7OlFZ4fcFFu4f7QI6m8n0EHPyhiNRalOPBHev4YhjaM1N52EZhRnFCCIC-8$" TargetMode="External"/><Relationship Id="rId5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15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23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28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36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10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19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31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44" Type="http://schemas.openxmlformats.org/officeDocument/2006/relationships/hyperlink" Target="https://urldefense.com/v3/__https:/posvendas.vw.com.br/product/oferta/63__;!!HhhKMSGjjQV-!pjyd77sf7OlFZ4fcFFu4f7QI6m8n0EHPyhiNRalOPBHev4YhjaM1N52EZhRnFCCIC-8$" TargetMode="External"/><Relationship Id="rId4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9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14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22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27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30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35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43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8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3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12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17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25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33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38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46" Type="http://schemas.openxmlformats.org/officeDocument/2006/relationships/printerSettings" Target="../printerSettings/printerSettings2.bin"/><Relationship Id="rId20" Type="http://schemas.openxmlformats.org/officeDocument/2006/relationships/hyperlink" Target="https://urldefense.com/v3/__https:/posvendas.vw.com.br/product/oferta/62__;!!HhhKMSGjjQV-!u_Pta8GrqW-t8GqQR4acXySRMcWNXwN5zT811fK-284wplc7yLHzOmfYkwEOgYw7piY$" TargetMode="External"/><Relationship Id="rId41" Type="http://schemas.openxmlformats.org/officeDocument/2006/relationships/hyperlink" Target="https://urldefense.com/v3/__https:/posvendas.vw.com.br/product/oferta/62__;!!HhhKMSGjjQV-!u_Pta8GrqW-t8GqQR4acXySRMcWNXwN5zT811fK-284wplc7yLHzOmfYkwEOgYw7piY$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957FB-7196-4E06-A4D9-175195763223}">
  <sheetPr codeName="Planilha1"/>
  <dimension ref="A1:G13"/>
  <sheetViews>
    <sheetView showGridLines="0" workbookViewId="0">
      <selection activeCell="B3" sqref="B3"/>
    </sheetView>
  </sheetViews>
  <sheetFormatPr defaultRowHeight="15" x14ac:dyDescent="0.25"/>
  <cols>
    <col min="1" max="1" width="18.7109375" customWidth="1"/>
    <col min="2" max="2" width="54.5703125" bestFit="1" customWidth="1"/>
    <col min="7" max="7" width="13.140625" customWidth="1"/>
  </cols>
  <sheetData>
    <row r="1" spans="1:7" x14ac:dyDescent="0.25">
      <c r="A1" s="13"/>
      <c r="B1" s="14"/>
      <c r="C1" s="14"/>
      <c r="D1" s="14"/>
      <c r="E1" s="14"/>
      <c r="F1" s="14"/>
      <c r="G1" s="14"/>
    </row>
    <row r="2" spans="1:7" ht="15.75" thickBot="1" x14ac:dyDescent="0.3"/>
    <row r="3" spans="1:7" ht="15.75" thickBot="1" x14ac:dyDescent="0.3">
      <c r="A3" s="7" t="s">
        <v>6</v>
      </c>
      <c r="B3" s="12" t="s">
        <v>851</v>
      </c>
    </row>
    <row r="4" spans="1:7" ht="15.75" thickBot="1" x14ac:dyDescent="0.3"/>
    <row r="5" spans="1:7" ht="15.75" thickBot="1" x14ac:dyDescent="0.3">
      <c r="A5" s="8" t="s">
        <v>7</v>
      </c>
      <c r="B5" s="9" t="s">
        <v>52</v>
      </c>
      <c r="C5" t="s">
        <v>780</v>
      </c>
    </row>
    <row r="6" spans="1:7" ht="15.75" thickBot="1" x14ac:dyDescent="0.3">
      <c r="A6" s="8" t="s">
        <v>365</v>
      </c>
      <c r="B6" s="10" t="s">
        <v>676</v>
      </c>
      <c r="C6" t="s">
        <v>781</v>
      </c>
    </row>
    <row r="7" spans="1:7" ht="15.75" thickBot="1" x14ac:dyDescent="0.3">
      <c r="A7" s="8" t="s">
        <v>8</v>
      </c>
      <c r="B7" s="10" t="s">
        <v>24</v>
      </c>
      <c r="C7" t="s">
        <v>782</v>
      </c>
    </row>
    <row r="8" spans="1:7" ht="15.75" thickBot="1" x14ac:dyDescent="0.3">
      <c r="A8" s="8" t="s">
        <v>0</v>
      </c>
      <c r="B8" s="10" t="s">
        <v>718</v>
      </c>
      <c r="C8" t="s">
        <v>783</v>
      </c>
    </row>
    <row r="9" spans="1:7" ht="15.75" thickBot="1" x14ac:dyDescent="0.3">
      <c r="A9" s="8" t="s">
        <v>1</v>
      </c>
      <c r="B9" s="10" t="s">
        <v>28</v>
      </c>
      <c r="C9" t="s">
        <v>784</v>
      </c>
    </row>
    <row r="10" spans="1:7" ht="15.75" thickBot="1" x14ac:dyDescent="0.3">
      <c r="A10" s="8" t="s">
        <v>2</v>
      </c>
      <c r="B10" s="10" t="s">
        <v>692</v>
      </c>
      <c r="C10" t="s">
        <v>785</v>
      </c>
    </row>
    <row r="11" spans="1:7" ht="15.75" thickBot="1" x14ac:dyDescent="0.3">
      <c r="A11" s="8" t="s">
        <v>3</v>
      </c>
      <c r="B11" s="10" t="s">
        <v>852</v>
      </c>
      <c r="C11" t="s">
        <v>786</v>
      </c>
    </row>
    <row r="12" spans="1:7" ht="15.75" thickBot="1" x14ac:dyDescent="0.3">
      <c r="A12" s="8" t="s">
        <v>4</v>
      </c>
      <c r="B12" s="10" t="s">
        <v>692</v>
      </c>
      <c r="C12" t="s">
        <v>787</v>
      </c>
    </row>
    <row r="13" spans="1:7" ht="15.75" thickBot="1" x14ac:dyDescent="0.3">
      <c r="A13" s="8" t="s">
        <v>5</v>
      </c>
      <c r="B13" s="11" t="s">
        <v>692</v>
      </c>
      <c r="C13" t="s">
        <v>788</v>
      </c>
    </row>
  </sheetData>
  <dataConsolidate/>
  <dataValidations count="8">
    <dataValidation type="list" allowBlank="1" showInputMessage="1" showErrorMessage="1" sqref="B5" xr:uid="{2484C9F9-215F-451D-BBF9-D650B0257667}">
      <formula1>list_country</formula1>
    </dataValidation>
    <dataValidation type="list" allowBlank="1" showInputMessage="1" showErrorMessage="1" sqref="B6" xr:uid="{6606435C-7903-4499-BF69-F3C78B1A60FF}">
      <formula1>list_planningprinciple</formula1>
    </dataValidation>
    <dataValidation type="list" allowBlank="1" showInputMessage="1" showErrorMessage="1" sqref="B7" xr:uid="{B9B5561E-E221-47D9-8AFD-8309D01B2FD0}">
      <formula1>list_mediachannel</formula1>
    </dataValidation>
    <dataValidation type="list" allowBlank="1" showInputMessage="1" showErrorMessage="1" sqref="B8" xr:uid="{A3BEC352-BC69-4F87-ABE8-AE3475F6A09B}">
      <formula1>list_strategyphase</formula1>
    </dataValidation>
    <dataValidation type="list" allowBlank="1" showInputMessage="1" showErrorMessage="1" sqref="B9" xr:uid="{F4B7E40E-D9BE-4D83-A655-4F158B57713D}">
      <formula1>list_type</formula1>
    </dataValidation>
    <dataValidation type="list" allowBlank="1" showInputMessage="1" showErrorMessage="1" sqref="B10" xr:uid="{C81A4306-4304-4643-85BF-73268B49E00E}">
      <formula1>list_campaigncategory</formula1>
    </dataValidation>
    <dataValidation type="list" allowBlank="1" showInputMessage="1" showErrorMessage="1" sqref="B11" xr:uid="{20B6B3D0-4B1F-4A69-928A-BA9EAE25BEA5}">
      <formula1>list_date</formula1>
    </dataValidation>
    <dataValidation type="list" allowBlank="1" showInputMessage="1" showErrorMessage="1" sqref="B12" xr:uid="{DD9A9470-E534-4186-A7EB-AB744D0179DD}">
      <formula1>list_modelvariant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066DC-E7C3-46F6-84DB-B38FB5736D92}">
  <sheetPr codeName="Planilha2" filterMode="1"/>
  <dimension ref="A1:AN158"/>
  <sheetViews>
    <sheetView showGridLines="0" tabSelected="1" zoomScale="80" zoomScaleNormal="80" workbookViewId="0">
      <pane xSplit="1" ySplit="2" topLeftCell="B124" activePane="bottomRight" state="frozen"/>
      <selection pane="topRight" activeCell="B1" sqref="B1"/>
      <selection pane="bottomLeft" activeCell="A3" sqref="A3"/>
      <selection pane="bottomRight" activeCell="B124" sqref="B124"/>
    </sheetView>
  </sheetViews>
  <sheetFormatPr defaultColWidth="9.140625" defaultRowHeight="15" x14ac:dyDescent="0.25"/>
  <cols>
    <col min="1" max="1" width="2.28515625" style="30" customWidth="1"/>
    <col min="2" max="2" width="19.42578125" style="24" bestFit="1" customWidth="1"/>
    <col min="3" max="3" width="16.7109375" style="24" customWidth="1"/>
    <col min="4" max="4" width="18.85546875" style="24" bestFit="1" customWidth="1"/>
    <col min="5" max="6" width="14.140625" style="24" customWidth="1"/>
    <col min="7" max="7" width="17.85546875" style="24" customWidth="1"/>
    <col min="8" max="8" width="19.28515625" style="24" bestFit="1" customWidth="1"/>
    <col min="9" max="9" width="15" style="24" customWidth="1"/>
    <col min="10" max="10" width="22.140625" style="24" customWidth="1"/>
    <col min="11" max="11" width="21.42578125" style="24" customWidth="1"/>
    <col min="12" max="12" width="16.28515625" style="24" customWidth="1"/>
    <col min="13" max="13" width="15.42578125" style="24" bestFit="1" customWidth="1"/>
    <col min="14" max="14" width="17.7109375" style="24" customWidth="1"/>
    <col min="15" max="15" width="16.7109375" style="24" customWidth="1"/>
    <col min="16" max="16" width="34" style="24" bestFit="1" customWidth="1"/>
    <col min="17" max="17" width="26" style="24" bestFit="1" customWidth="1"/>
    <col min="18" max="18" width="8.28515625" style="24" customWidth="1"/>
    <col min="19" max="19" width="10.140625" style="24" customWidth="1"/>
    <col min="20" max="20" width="11.85546875" style="24" bestFit="1" customWidth="1"/>
    <col min="21" max="28" width="9.140625" hidden="1" customWidth="1"/>
    <col min="29" max="29" width="46.85546875" style="24" customWidth="1"/>
    <col min="30" max="30" width="15.85546875" style="28" customWidth="1"/>
    <col min="31" max="31" width="101.7109375" style="24" customWidth="1"/>
    <col min="32" max="32" width="86" style="24" customWidth="1"/>
    <col min="33" max="33" width="75.28515625" style="24" customWidth="1"/>
    <col min="34" max="34" width="100.7109375" style="24" customWidth="1"/>
    <col min="35" max="35" width="96.42578125" style="24" customWidth="1"/>
    <col min="36" max="36" width="15.42578125" style="24" customWidth="1"/>
    <col min="37" max="37" width="19.28515625" style="24" customWidth="1"/>
    <col min="38" max="38" width="47.42578125" style="24" bestFit="1" customWidth="1"/>
    <col min="39" max="39" width="77.28515625" style="24" bestFit="1" customWidth="1"/>
    <col min="40" max="40" width="25.28515625" style="24" customWidth="1"/>
    <col min="41" max="16384" width="9.140625" style="30"/>
  </cols>
  <sheetData>
    <row r="1" spans="1:40" s="29" customFormat="1" ht="45" customHeight="1" x14ac:dyDescent="0.25">
      <c r="B1" s="16"/>
      <c r="C1" s="16"/>
      <c r="D1" s="16"/>
      <c r="E1" s="16"/>
      <c r="F1" s="16"/>
      <c r="G1" s="16" t="s">
        <v>789</v>
      </c>
      <c r="H1" s="16" t="s">
        <v>790</v>
      </c>
      <c r="I1" s="16" t="s">
        <v>803</v>
      </c>
      <c r="J1" s="16" t="s">
        <v>802</v>
      </c>
      <c r="K1" s="16" t="s">
        <v>791</v>
      </c>
      <c r="L1" s="16" t="s">
        <v>792</v>
      </c>
      <c r="M1" s="16" t="s">
        <v>799</v>
      </c>
      <c r="N1" s="16" t="s">
        <v>793</v>
      </c>
      <c r="O1" s="16" t="s">
        <v>794</v>
      </c>
      <c r="P1" s="16" t="s">
        <v>797</v>
      </c>
      <c r="Q1" s="16" t="s">
        <v>804</v>
      </c>
      <c r="R1" s="16"/>
      <c r="S1" s="16" t="s">
        <v>796</v>
      </c>
      <c r="T1" s="16" t="s">
        <v>795</v>
      </c>
      <c r="U1" s="16"/>
      <c r="V1" s="16"/>
      <c r="W1" s="16"/>
      <c r="X1" s="16"/>
      <c r="Y1" s="16"/>
      <c r="Z1" s="16"/>
      <c r="AA1" s="16"/>
      <c r="AB1" s="16"/>
      <c r="AC1" s="16"/>
      <c r="AD1" s="27"/>
      <c r="AE1" s="16"/>
      <c r="AF1" s="16"/>
      <c r="AG1" s="16"/>
      <c r="AH1" s="16"/>
      <c r="AI1" s="16"/>
      <c r="AJ1" s="16"/>
      <c r="AK1" s="16"/>
      <c r="AL1" s="16"/>
      <c r="AM1" s="16"/>
      <c r="AN1" s="16"/>
    </row>
    <row r="2" spans="1:40" ht="38.25" x14ac:dyDescent="0.25">
      <c r="B2" s="1" t="s">
        <v>278</v>
      </c>
      <c r="C2" s="2" t="s">
        <v>279</v>
      </c>
      <c r="D2" s="3" t="s">
        <v>280</v>
      </c>
      <c r="E2" s="1" t="s">
        <v>281</v>
      </c>
      <c r="F2" s="1" t="s">
        <v>282</v>
      </c>
      <c r="G2" s="4" t="s">
        <v>283</v>
      </c>
      <c r="H2" s="5" t="s">
        <v>284</v>
      </c>
      <c r="I2" s="5" t="s">
        <v>286</v>
      </c>
      <c r="J2" s="5" t="s">
        <v>287</v>
      </c>
      <c r="K2" s="5" t="s">
        <v>288</v>
      </c>
      <c r="L2" s="5" t="s">
        <v>289</v>
      </c>
      <c r="M2" s="19" t="s">
        <v>290</v>
      </c>
      <c r="N2" s="5" t="s">
        <v>285</v>
      </c>
      <c r="O2" s="5" t="s">
        <v>291</v>
      </c>
      <c r="P2" s="5" t="s">
        <v>801</v>
      </c>
      <c r="Q2" s="5" t="s">
        <v>800</v>
      </c>
      <c r="R2" s="5" t="s">
        <v>834</v>
      </c>
      <c r="S2" s="5" t="s">
        <v>292</v>
      </c>
      <c r="T2" s="5" t="s">
        <v>293</v>
      </c>
      <c r="U2" s="5" t="s">
        <v>294</v>
      </c>
      <c r="V2" s="5" t="s">
        <v>295</v>
      </c>
      <c r="W2" s="5" t="s">
        <v>296</v>
      </c>
      <c r="X2" s="5" t="s">
        <v>297</v>
      </c>
      <c r="Y2" s="5" t="s">
        <v>298</v>
      </c>
      <c r="Z2" s="5" t="s">
        <v>299</v>
      </c>
      <c r="AA2" s="5" t="s">
        <v>300</v>
      </c>
      <c r="AB2" s="5" t="s">
        <v>301</v>
      </c>
      <c r="AC2" s="5" t="s">
        <v>807</v>
      </c>
      <c r="AD2" s="20" t="s">
        <v>840</v>
      </c>
      <c r="AE2" s="20" t="s">
        <v>366</v>
      </c>
      <c r="AF2" s="20" t="s">
        <v>805</v>
      </c>
      <c r="AG2" s="20" t="s">
        <v>806</v>
      </c>
      <c r="AH2" s="19" t="s">
        <v>808</v>
      </c>
      <c r="AI2" s="19" t="s">
        <v>810</v>
      </c>
      <c r="AJ2" s="19" t="s">
        <v>302</v>
      </c>
      <c r="AK2" s="19" t="s">
        <v>303</v>
      </c>
      <c r="AL2" s="19" t="s">
        <v>304</v>
      </c>
      <c r="AM2" s="19" t="s">
        <v>305</v>
      </c>
      <c r="AN2" s="19" t="s">
        <v>306</v>
      </c>
    </row>
    <row r="3" spans="1:40" hidden="1" x14ac:dyDescent="0.25">
      <c r="A3" s="24"/>
      <c r="B3" s="15" t="s">
        <v>1098</v>
      </c>
      <c r="C3" s="15" t="s">
        <v>1113</v>
      </c>
      <c r="D3" s="15" t="s">
        <v>844</v>
      </c>
      <c r="E3" s="22">
        <v>44232</v>
      </c>
      <c r="F3" s="22">
        <v>44255</v>
      </c>
      <c r="G3" s="15" t="s">
        <v>672</v>
      </c>
      <c r="H3" s="15" t="s">
        <v>843</v>
      </c>
      <c r="I3" s="15" t="s">
        <v>702</v>
      </c>
      <c r="J3" s="15" t="s">
        <v>313</v>
      </c>
      <c r="K3" s="15" t="s">
        <v>323</v>
      </c>
      <c r="L3" s="15" t="s">
        <v>358</v>
      </c>
      <c r="M3" s="15" t="s">
        <v>322</v>
      </c>
      <c r="N3" s="15" t="s">
        <v>708</v>
      </c>
      <c r="O3" s="15" t="s">
        <v>694</v>
      </c>
      <c r="P3" s="15" t="s">
        <v>845</v>
      </c>
      <c r="Q3" s="15" t="s">
        <v>837</v>
      </c>
      <c r="R3" s="15" t="s">
        <v>835</v>
      </c>
      <c r="S3" s="15" t="s">
        <v>348</v>
      </c>
      <c r="T3" s="15" t="s">
        <v>842</v>
      </c>
      <c r="U3" s="24"/>
      <c r="V3" s="24"/>
      <c r="W3" s="24"/>
      <c r="X3" s="24"/>
      <c r="Y3" s="24"/>
      <c r="Z3" s="24"/>
      <c r="AA3" s="24"/>
      <c r="AB3" s="24"/>
      <c r="AC3" s="23" t="s">
        <v>841</v>
      </c>
      <c r="AD3" s="15" t="e">
        <f t="shared" ref="AD3:AD34" si="0">VLOOKUP(AE3,id_placement,2,FALSE)</f>
        <v>#N/A</v>
      </c>
      <c r="AE3" s="21" t="str">
        <f t="shared" ref="AE3" si="1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IF(col_servidopor="adserver-rotacionar",col_segmentacao,CONCATENATE(col_localfreetype,"-",col_segmentacao)),"_",VLOOKUP(col_paidvsav,tab_paidvsav,2,FALSE),"_",col_size))</f>
        <v>BR_VW_AFS_verizon_DIS_DRCT_CPC_STD_LDR_AAF_RON_CXD_After-Sales-Nova-VW-Generica-Reg02-Interesses_PD_native</v>
      </c>
      <c r="AF3" s="21" t="str">
        <f t="shared" ref="AF3" si="2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col_localfreetype,"-",col_segmentacao,"_",VLOOKUP(col_paidvsav,tab_paidvsav,2,FALSE),"_",col_size))</f>
        <v>BR_VW_AFS_verizon_DIS_DRCT_CPC_STD_LDR_AAF_RON_CXD_After-Sales-Nova-VW-Generica-Reg02-Interesses_PD_native</v>
      </c>
      <c r="AG3" s="21" t="str">
        <f t="shared" ref="AG3" si="3">CONCATENATE("VW","_",cel_modelvariant,"-",col_segmentacao,"_",col_size,"_",col_localfreetype,"-",IF(col_servidopor="portal",col_supplier,"adserver"))</f>
        <v>VW_After-Sales-Interesses_native_After-Sales-Nova-VW-Generica-Reg02-verizon</v>
      </c>
      <c r="AH3" s="21" t="str">
        <f t="shared" ref="AH3" si="4">faxineiro(CONCATENATE(col_url,IF(ISNUMBER(FIND("?",col_url)),"&amp;","?"),"utm_source=",col_utmsource,"&amp;utm_medium=",col_utmmedium,"&amp;utm_content=",col_utmcontent,"&amp;utm_campaign=",col_utmcampaign,"&amp;utm_term=",col_keyword))</f>
        <v>https://posvendas.vw.com.br/?utm_source=verizon&amp;utm_medium=Direct&amp;utm_content=BR_VW_AFS_verizon_DIS_DRCT_CPC_STD_LDR_AAF_RON_CXD_After-Sales-Nova-VW-Generica-Reg02-Interesses_PD_native&amp;utm_campaign=BR_AAF_DSY_NONMS_ND_AS_2021Q1FEV_AFS_After-Sales&amp;utm_term=%epid!_%ecid!_%eaid!</v>
      </c>
      <c r="AI3" s="21" t="str">
        <f t="shared" ref="AI3" si="5">IFERROR(IF(col_servidopor="portal",VLOOKUP(col_placement,tab_contadores,2,FALSE),"TAG"),"Contador")</f>
        <v>https://ad.doubleclick.net/ddm/trackclk/N9487.3646218VERIZONBR/B25305913.295392836;dc_trk_aid=488739333;dc_trk_cid=145818780;dc_lat=;dc_rdid=;tag_for_child_directed_treatment=;tfua=</v>
      </c>
      <c r="AJ3" s="15" t="str">
        <f t="shared" ref="AJ3" si="6">H3</f>
        <v>verizon</v>
      </c>
      <c r="AK3" s="15" t="str">
        <f t="shared" ref="AK3" si="7">J3</f>
        <v>Direct</v>
      </c>
      <c r="AL3" s="21" t="str">
        <f>Campanha!$B$3</f>
        <v>BR_AAF_DSY_NONMS_ND_AS_2021Q1FEV_AFS_After-Sales</v>
      </c>
      <c r="AM3" s="21" t="str">
        <f t="shared" ref="AM3" si="8">col_adname</f>
        <v>BR_VW_AFS_verizon_DIS_DRCT_CPC_STD_LDR_AAF_RON_CXD_After-Sales-Nova-VW-Generica-Reg02-Interesses_PD_native</v>
      </c>
      <c r="AN3" s="15" t="s">
        <v>809</v>
      </c>
    </row>
    <row r="4" spans="1:40" hidden="1" x14ac:dyDescent="0.25">
      <c r="A4" s="24"/>
      <c r="B4" s="15" t="s">
        <v>1098</v>
      </c>
      <c r="C4" s="15" t="s">
        <v>1113</v>
      </c>
      <c r="D4" s="15" t="s">
        <v>844</v>
      </c>
      <c r="E4" s="22">
        <v>44232</v>
      </c>
      <c r="F4" s="22">
        <v>44255</v>
      </c>
      <c r="G4" s="15" t="s">
        <v>672</v>
      </c>
      <c r="H4" s="15" t="s">
        <v>843</v>
      </c>
      <c r="I4" s="15" t="s">
        <v>702</v>
      </c>
      <c r="J4" s="15" t="s">
        <v>313</v>
      </c>
      <c r="K4" s="15" t="s">
        <v>323</v>
      </c>
      <c r="L4" s="15" t="s">
        <v>358</v>
      </c>
      <c r="M4" s="15" t="s">
        <v>322</v>
      </c>
      <c r="N4" s="15" t="s">
        <v>708</v>
      </c>
      <c r="O4" s="15" t="s">
        <v>694</v>
      </c>
      <c r="P4" s="15" t="s">
        <v>846</v>
      </c>
      <c r="Q4" s="15" t="s">
        <v>837</v>
      </c>
      <c r="R4" s="15" t="s">
        <v>835</v>
      </c>
      <c r="S4" s="15" t="s">
        <v>348</v>
      </c>
      <c r="T4" s="15" t="s">
        <v>842</v>
      </c>
      <c r="U4" s="24"/>
      <c r="V4" s="24"/>
      <c r="W4" s="24"/>
      <c r="X4" s="24"/>
      <c r="Y4" s="24"/>
      <c r="Z4" s="24"/>
      <c r="AA4" s="24"/>
      <c r="AB4" s="24"/>
      <c r="AC4" s="23" t="s">
        <v>841</v>
      </c>
      <c r="AD4" s="15" t="e">
        <f t="shared" si="0"/>
        <v>#N/A</v>
      </c>
      <c r="AE4" s="21" t="str">
        <f t="shared" ref="AE4:AE67" si="9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IF(col_servidopor="adserver-rotacionar",col_segmentacao,CONCATENATE(col_localfreetype,"-",col_segmentacao)),"_",VLOOKUP(col_paidvsav,tab_paidvsav,2,FALSE),"_",col_size))</f>
        <v>BR_VW_AFS_verizon_DIS_DRCT_CPC_STD_LDR_AAF_RON_CXD_After-Sales-Nova-VW-Generica-Reg05-Interesses_PD_native</v>
      </c>
      <c r="AF4" s="21" t="str">
        <f t="shared" ref="AF4:AF67" si="10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col_localfreetype,"-",col_segmentacao,"_",VLOOKUP(col_paidvsav,tab_paidvsav,2,FALSE),"_",col_size))</f>
        <v>BR_VW_AFS_verizon_DIS_DRCT_CPC_STD_LDR_AAF_RON_CXD_After-Sales-Nova-VW-Generica-Reg05-Interesses_PD_native</v>
      </c>
      <c r="AG4" s="21" t="str">
        <f t="shared" ref="AG4:AG67" si="11">CONCATENATE("VW","_",cel_modelvariant,"-",col_segmentacao,"_",col_size,"_",col_localfreetype,"-",IF(col_servidopor="portal",col_supplier,"adserver"))</f>
        <v>VW_After-Sales-Interesses_native_After-Sales-Nova-VW-Generica-Reg05-verizon</v>
      </c>
      <c r="AH4" s="21" t="str">
        <f t="shared" ref="AH4:AH67" si="12">faxineiro(CONCATENATE(col_url,IF(ISNUMBER(FIND("?",col_url)),"&amp;","?"),"utm_source=",col_utmsource,"&amp;utm_medium=",col_utmmedium,"&amp;utm_content=",col_utmcontent,"&amp;utm_campaign=",col_utmcampaign,"&amp;utm_term=",col_keyword))</f>
        <v>https://posvendas.vw.com.br/?utm_source=verizon&amp;utm_medium=Direct&amp;utm_content=BR_VW_AFS_verizon_DIS_DRCT_CPC_STD_LDR_AAF_RON_CXD_After-Sales-Nova-VW-Generica-Reg05-Interesses_PD_native&amp;utm_campaign=BR_AAF_DSY_NONMS_ND_AS_2021Q1FEV_AFS_After-Sales&amp;utm_term=%epid!_%ecid!_%eaid!</v>
      </c>
      <c r="AI4" s="21" t="str">
        <f t="shared" ref="AI4:AI67" si="13">IFERROR(IF(col_servidopor="portal",VLOOKUP(col_placement,tab_contadores,2,FALSE),"TAG"),"Contador")</f>
        <v>https://ad.doubleclick.net/ddm/trackclk/N9487.3646218VERIZONBR/B25305913.295453257;dc_trk_aid=488726868;dc_trk_cid=145818780;dc_lat=;dc_rdid=;tag_for_child_directed_treatment=;tfua=</v>
      </c>
      <c r="AJ4" s="15" t="str">
        <f t="shared" ref="AJ4" si="14">H4</f>
        <v>verizon</v>
      </c>
      <c r="AK4" s="15" t="str">
        <f t="shared" ref="AK4" si="15">J4</f>
        <v>Direct</v>
      </c>
      <c r="AL4" s="21" t="str">
        <f>Campanha!$B$3</f>
        <v>BR_AAF_DSY_NONMS_ND_AS_2021Q1FEV_AFS_After-Sales</v>
      </c>
      <c r="AM4" s="21" t="str">
        <f t="shared" ref="AM4:AM67" si="16">col_adname</f>
        <v>BR_VW_AFS_verizon_DIS_DRCT_CPC_STD_LDR_AAF_RON_CXD_After-Sales-Nova-VW-Generica-Reg05-Interesses_PD_native</v>
      </c>
      <c r="AN4" s="15" t="s">
        <v>809</v>
      </c>
    </row>
    <row r="5" spans="1:40" hidden="1" x14ac:dyDescent="0.25">
      <c r="A5" s="24"/>
      <c r="B5" s="15" t="s">
        <v>1098</v>
      </c>
      <c r="C5" s="15" t="s">
        <v>1113</v>
      </c>
      <c r="D5" s="15" t="s">
        <v>844</v>
      </c>
      <c r="E5" s="22">
        <v>44232</v>
      </c>
      <c r="F5" s="22">
        <v>44255</v>
      </c>
      <c r="G5" s="15" t="s">
        <v>672</v>
      </c>
      <c r="H5" s="15" t="s">
        <v>843</v>
      </c>
      <c r="I5" s="15" t="s">
        <v>702</v>
      </c>
      <c r="J5" s="15" t="s">
        <v>313</v>
      </c>
      <c r="K5" s="15" t="s">
        <v>323</v>
      </c>
      <c r="L5" s="15" t="s">
        <v>358</v>
      </c>
      <c r="M5" s="15" t="s">
        <v>322</v>
      </c>
      <c r="N5" s="15" t="s">
        <v>708</v>
      </c>
      <c r="O5" s="15" t="s">
        <v>694</v>
      </c>
      <c r="P5" s="15" t="s">
        <v>847</v>
      </c>
      <c r="Q5" s="15" t="s">
        <v>837</v>
      </c>
      <c r="R5" s="15" t="s">
        <v>835</v>
      </c>
      <c r="S5" s="15" t="s">
        <v>348</v>
      </c>
      <c r="T5" s="15" t="s">
        <v>842</v>
      </c>
      <c r="U5" s="24"/>
      <c r="V5" s="24"/>
      <c r="W5" s="24"/>
      <c r="X5" s="24"/>
      <c r="Y5" s="24"/>
      <c r="Z5" s="24"/>
      <c r="AA5" s="24"/>
      <c r="AB5" s="24"/>
      <c r="AC5" s="23" t="s">
        <v>841</v>
      </c>
      <c r="AD5" s="15" t="e">
        <f t="shared" si="0"/>
        <v>#N/A</v>
      </c>
      <c r="AE5" s="21" t="str">
        <f t="shared" si="9"/>
        <v>BR_VW_AFS_verizon_DIS_DRCT_CPC_STD_LDR_AAF_RON_CXD_After-Sales-Nova-VW-Generica-Reg06-Interesses_PD_native</v>
      </c>
      <c r="AF5" s="21" t="str">
        <f t="shared" si="10"/>
        <v>BR_VW_AFS_verizon_DIS_DRCT_CPC_STD_LDR_AAF_RON_CXD_After-Sales-Nova-VW-Generica-Reg06-Interesses_PD_native</v>
      </c>
      <c r="AG5" s="21" t="str">
        <f t="shared" si="11"/>
        <v>VW_After-Sales-Interesses_native_After-Sales-Nova-VW-Generica-Reg06-verizon</v>
      </c>
      <c r="AH5" s="21" t="str">
        <f t="shared" si="12"/>
        <v>https://posvendas.vw.com.br/?utm_source=verizon&amp;utm_medium=Direct&amp;utm_content=BR_VW_AFS_verizon_DIS_DRCT_CPC_STD_LDR_AAF_RON_CXD_After-Sales-Nova-VW-Generica-Reg06-Interesses_PD_native&amp;utm_campaign=BR_AAF_DSY_NONMS_ND_AS_2021Q1FEV_AFS_After-Sales&amp;utm_term=%epid!_%ecid!_%eaid!</v>
      </c>
      <c r="AI5" s="21" t="str">
        <f t="shared" si="13"/>
        <v>https://ad.doubleclick.net/ddm/trackclk/N9487.3646218VERIZONBR/B25305913.295453251;dc_trk_aid=488726874;dc_trk_cid=145818780;dc_lat=;dc_rdid=;tag_for_child_directed_treatment=;tfua=</v>
      </c>
      <c r="AJ5" s="15" t="str">
        <f t="shared" ref="AJ5" si="17">H5</f>
        <v>verizon</v>
      </c>
      <c r="AK5" s="15" t="str">
        <f t="shared" ref="AK5" si="18">J5</f>
        <v>Direct</v>
      </c>
      <c r="AL5" s="21" t="str">
        <f>Campanha!$B$3</f>
        <v>BR_AAF_DSY_NONMS_ND_AS_2021Q1FEV_AFS_After-Sales</v>
      </c>
      <c r="AM5" s="21" t="str">
        <f t="shared" si="16"/>
        <v>BR_VW_AFS_verizon_DIS_DRCT_CPC_STD_LDR_AAF_RON_CXD_After-Sales-Nova-VW-Generica-Reg06-Interesses_PD_native</v>
      </c>
      <c r="AN5" s="15" t="s">
        <v>809</v>
      </c>
    </row>
    <row r="6" spans="1:40" hidden="1" x14ac:dyDescent="0.25">
      <c r="A6" s="24"/>
      <c r="B6" s="15" t="s">
        <v>1098</v>
      </c>
      <c r="C6" s="15" t="s">
        <v>1113</v>
      </c>
      <c r="D6" s="15" t="s">
        <v>844</v>
      </c>
      <c r="E6" s="22">
        <v>44232</v>
      </c>
      <c r="F6" s="22">
        <v>44255</v>
      </c>
      <c r="G6" s="15" t="s">
        <v>672</v>
      </c>
      <c r="H6" s="15" t="s">
        <v>843</v>
      </c>
      <c r="I6" s="15" t="s">
        <v>702</v>
      </c>
      <c r="J6" s="15" t="s">
        <v>313</v>
      </c>
      <c r="K6" s="15" t="s">
        <v>323</v>
      </c>
      <c r="L6" s="15" t="s">
        <v>358</v>
      </c>
      <c r="M6" s="15" t="s">
        <v>322</v>
      </c>
      <c r="N6" s="15" t="s">
        <v>708</v>
      </c>
      <c r="O6" s="15" t="s">
        <v>694</v>
      </c>
      <c r="P6" s="15" t="s">
        <v>845</v>
      </c>
      <c r="Q6" s="15" t="s">
        <v>848</v>
      </c>
      <c r="R6" s="15" t="s">
        <v>835</v>
      </c>
      <c r="S6" s="15" t="s">
        <v>348</v>
      </c>
      <c r="T6" s="15" t="s">
        <v>842</v>
      </c>
      <c r="U6" s="24"/>
      <c r="V6" s="24"/>
      <c r="W6" s="24"/>
      <c r="X6" s="24"/>
      <c r="Y6" s="24"/>
      <c r="Z6" s="24"/>
      <c r="AA6" s="24"/>
      <c r="AB6" s="24"/>
      <c r="AC6" s="23" t="s">
        <v>841</v>
      </c>
      <c r="AD6" s="15" t="e">
        <f t="shared" si="0"/>
        <v>#N/A</v>
      </c>
      <c r="AE6" s="21" t="str">
        <f t="shared" si="9"/>
        <v>BR_VW_AFS_verizon_DIS_DRCT_CPC_STD_LDR_AAF_RON_CXD_After-Sales-Nova-VW-Generica-Reg02-LAL-Visita_PD_native</v>
      </c>
      <c r="AF6" s="21" t="str">
        <f t="shared" si="10"/>
        <v>BR_VW_AFS_verizon_DIS_DRCT_CPC_STD_LDR_AAF_RON_CXD_After-Sales-Nova-VW-Generica-Reg02-LAL-Visita_PD_native</v>
      </c>
      <c r="AG6" s="21" t="str">
        <f t="shared" si="11"/>
        <v>VW_After-Sales-LAL-Visita_native_After-Sales-Nova-VW-Generica-Reg02-verizon</v>
      </c>
      <c r="AH6" s="21" t="str">
        <f t="shared" si="12"/>
        <v>https://posvendas.vw.com.br/?utm_source=verizon&amp;utm_medium=Direct&amp;utm_content=BR_VW_AFS_verizon_DIS_DRCT_CPC_STD_LDR_AAF_RON_CXD_After-Sales-Nova-VW-Generica-Reg02-LAL-Visita_PD_native&amp;utm_campaign=BR_AAF_DSY_NONMS_ND_AS_2021Q1FEV_AFS_After-Sales&amp;utm_term=%epid!_%ecid!_%eaid!</v>
      </c>
      <c r="AI6" s="21" t="str">
        <f t="shared" si="13"/>
        <v>https://ad.doubleclick.net/ddm/trackclk/N9487.3646218VERIZONBR/B25305913.295453245;dc_trk_aid=488726880;dc_trk_cid=145818780;dc_lat=;dc_rdid=;tag_for_child_directed_treatment=;tfua=</v>
      </c>
      <c r="AJ6" s="15" t="str">
        <f t="shared" ref="AJ6:AJ14" si="19">H6</f>
        <v>verizon</v>
      </c>
      <c r="AK6" s="15" t="str">
        <f t="shared" ref="AK6:AK14" si="20">J6</f>
        <v>Direct</v>
      </c>
      <c r="AL6" s="21" t="str">
        <f>Campanha!$B$3</f>
        <v>BR_AAF_DSY_NONMS_ND_AS_2021Q1FEV_AFS_After-Sales</v>
      </c>
      <c r="AM6" s="21" t="str">
        <f t="shared" si="16"/>
        <v>BR_VW_AFS_verizon_DIS_DRCT_CPC_STD_LDR_AAF_RON_CXD_After-Sales-Nova-VW-Generica-Reg02-LAL-Visita_PD_native</v>
      </c>
      <c r="AN6" s="15" t="s">
        <v>809</v>
      </c>
    </row>
    <row r="7" spans="1:40" hidden="1" x14ac:dyDescent="0.25">
      <c r="A7" s="24"/>
      <c r="B7" s="15" t="s">
        <v>1098</v>
      </c>
      <c r="C7" s="15" t="s">
        <v>1113</v>
      </c>
      <c r="D7" s="15" t="s">
        <v>844</v>
      </c>
      <c r="E7" s="22">
        <v>44232</v>
      </c>
      <c r="F7" s="22">
        <v>44255</v>
      </c>
      <c r="G7" s="15" t="s">
        <v>672</v>
      </c>
      <c r="H7" s="15" t="s">
        <v>843</v>
      </c>
      <c r="I7" s="15" t="s">
        <v>702</v>
      </c>
      <c r="J7" s="15" t="s">
        <v>313</v>
      </c>
      <c r="K7" s="15" t="s">
        <v>323</v>
      </c>
      <c r="L7" s="15" t="s">
        <v>358</v>
      </c>
      <c r="M7" s="15" t="s">
        <v>322</v>
      </c>
      <c r="N7" s="15" t="s">
        <v>708</v>
      </c>
      <c r="O7" s="15" t="s">
        <v>694</v>
      </c>
      <c r="P7" s="15" t="s">
        <v>846</v>
      </c>
      <c r="Q7" s="15" t="s">
        <v>848</v>
      </c>
      <c r="R7" s="15" t="s">
        <v>835</v>
      </c>
      <c r="S7" s="15" t="s">
        <v>348</v>
      </c>
      <c r="T7" s="15" t="s">
        <v>842</v>
      </c>
      <c r="U7" s="24"/>
      <c r="V7" s="24"/>
      <c r="W7" s="24"/>
      <c r="X7" s="24"/>
      <c r="Y7" s="24"/>
      <c r="Z7" s="24"/>
      <c r="AA7" s="24"/>
      <c r="AB7" s="24"/>
      <c r="AC7" s="23" t="s">
        <v>841</v>
      </c>
      <c r="AD7" s="15" t="e">
        <f t="shared" si="0"/>
        <v>#N/A</v>
      </c>
      <c r="AE7" s="21" t="str">
        <f t="shared" si="9"/>
        <v>BR_VW_AFS_verizon_DIS_DRCT_CPC_STD_LDR_AAF_RON_CXD_After-Sales-Nova-VW-Generica-Reg05-LAL-Visita_PD_native</v>
      </c>
      <c r="AF7" s="21" t="str">
        <f t="shared" si="10"/>
        <v>BR_VW_AFS_verizon_DIS_DRCT_CPC_STD_LDR_AAF_RON_CXD_After-Sales-Nova-VW-Generica-Reg05-LAL-Visita_PD_native</v>
      </c>
      <c r="AG7" s="21" t="str">
        <f t="shared" si="11"/>
        <v>VW_After-Sales-LAL-Visita_native_After-Sales-Nova-VW-Generica-Reg05-verizon</v>
      </c>
      <c r="AH7" s="21" t="str">
        <f t="shared" si="12"/>
        <v>https://posvendas.vw.com.br/?utm_source=verizon&amp;utm_medium=Direct&amp;utm_content=BR_VW_AFS_verizon_DIS_DRCT_CPC_STD_LDR_AAF_RON_CXD_After-Sales-Nova-VW-Generica-Reg05-LAL-Visita_PD_native&amp;utm_campaign=BR_AAF_DSY_NONMS_ND_AS_2021Q1FEV_AFS_After-Sales&amp;utm_term=%epid!_%ecid!_%eaid!</v>
      </c>
      <c r="AI7" s="21" t="str">
        <f t="shared" si="13"/>
        <v>https://ad.doubleclick.net/ddm/trackclk/N9487.3646218VERIZONBR/B25305913.295453239;dc_trk_aid=488726886;dc_trk_cid=145818780;dc_lat=;dc_rdid=;tag_for_child_directed_treatment=;tfua=</v>
      </c>
      <c r="AJ7" s="15" t="str">
        <f t="shared" si="19"/>
        <v>verizon</v>
      </c>
      <c r="AK7" s="15" t="str">
        <f t="shared" si="20"/>
        <v>Direct</v>
      </c>
      <c r="AL7" s="21" t="str">
        <f>Campanha!$B$3</f>
        <v>BR_AAF_DSY_NONMS_ND_AS_2021Q1FEV_AFS_After-Sales</v>
      </c>
      <c r="AM7" s="21" t="str">
        <f t="shared" si="16"/>
        <v>BR_VW_AFS_verizon_DIS_DRCT_CPC_STD_LDR_AAF_RON_CXD_After-Sales-Nova-VW-Generica-Reg05-LAL-Visita_PD_native</v>
      </c>
      <c r="AN7" s="15" t="s">
        <v>809</v>
      </c>
    </row>
    <row r="8" spans="1:40" hidden="1" x14ac:dyDescent="0.25">
      <c r="A8" s="24"/>
      <c r="B8" s="15" t="s">
        <v>1098</v>
      </c>
      <c r="C8" s="15" t="s">
        <v>1113</v>
      </c>
      <c r="D8" s="15" t="s">
        <v>844</v>
      </c>
      <c r="E8" s="22">
        <v>44232</v>
      </c>
      <c r="F8" s="22">
        <v>44255</v>
      </c>
      <c r="G8" s="15" t="s">
        <v>672</v>
      </c>
      <c r="H8" s="15" t="s">
        <v>843</v>
      </c>
      <c r="I8" s="15" t="s">
        <v>702</v>
      </c>
      <c r="J8" s="15" t="s">
        <v>313</v>
      </c>
      <c r="K8" s="15" t="s">
        <v>323</v>
      </c>
      <c r="L8" s="15" t="s">
        <v>358</v>
      </c>
      <c r="M8" s="15" t="s">
        <v>322</v>
      </c>
      <c r="N8" s="15" t="s">
        <v>708</v>
      </c>
      <c r="O8" s="15" t="s">
        <v>694</v>
      </c>
      <c r="P8" s="15" t="s">
        <v>847</v>
      </c>
      <c r="Q8" s="15" t="s">
        <v>848</v>
      </c>
      <c r="R8" s="15" t="s">
        <v>835</v>
      </c>
      <c r="S8" s="15" t="s">
        <v>348</v>
      </c>
      <c r="T8" s="15" t="s">
        <v>842</v>
      </c>
      <c r="U8" s="24"/>
      <c r="V8" s="24"/>
      <c r="W8" s="24"/>
      <c r="X8" s="24"/>
      <c r="Y8" s="24"/>
      <c r="Z8" s="24"/>
      <c r="AA8" s="24"/>
      <c r="AB8" s="24"/>
      <c r="AC8" s="23" t="s">
        <v>841</v>
      </c>
      <c r="AD8" s="15" t="e">
        <f t="shared" si="0"/>
        <v>#N/A</v>
      </c>
      <c r="AE8" s="21" t="str">
        <f t="shared" si="9"/>
        <v>BR_VW_AFS_verizon_DIS_DRCT_CPC_STD_LDR_AAF_RON_CXD_After-Sales-Nova-VW-Generica-Reg06-LAL-Visita_PD_native</v>
      </c>
      <c r="AF8" s="21" t="str">
        <f t="shared" si="10"/>
        <v>BR_VW_AFS_verizon_DIS_DRCT_CPC_STD_LDR_AAF_RON_CXD_After-Sales-Nova-VW-Generica-Reg06-LAL-Visita_PD_native</v>
      </c>
      <c r="AG8" s="21" t="str">
        <f t="shared" si="11"/>
        <v>VW_After-Sales-LAL-Visita_native_After-Sales-Nova-VW-Generica-Reg06-verizon</v>
      </c>
      <c r="AH8" s="21" t="str">
        <f t="shared" si="12"/>
        <v>https://posvendas.vw.com.br/?utm_source=verizon&amp;utm_medium=Direct&amp;utm_content=BR_VW_AFS_verizon_DIS_DRCT_CPC_STD_LDR_AAF_RON_CXD_After-Sales-Nova-VW-Generica-Reg06-LAL-Visita_PD_native&amp;utm_campaign=BR_AAF_DSY_NONMS_ND_AS_2021Q1FEV_AFS_After-Sales&amp;utm_term=%epid!_%ecid!_%eaid!</v>
      </c>
      <c r="AI8" s="21" t="str">
        <f t="shared" si="13"/>
        <v>https://ad.doubleclick.net/ddm/trackclk/N9487.3646218VERIZONBR/B25305913.295453236;dc_trk_aid=488726889;dc_trk_cid=145818780;dc_lat=;dc_rdid=;tag_for_child_directed_treatment=;tfua=</v>
      </c>
      <c r="AJ8" s="15" t="str">
        <f t="shared" si="19"/>
        <v>verizon</v>
      </c>
      <c r="AK8" s="15" t="str">
        <f t="shared" si="20"/>
        <v>Direct</v>
      </c>
      <c r="AL8" s="21" t="str">
        <f>Campanha!$B$3</f>
        <v>BR_AAF_DSY_NONMS_ND_AS_2021Q1FEV_AFS_After-Sales</v>
      </c>
      <c r="AM8" s="21" t="str">
        <f t="shared" si="16"/>
        <v>BR_VW_AFS_verizon_DIS_DRCT_CPC_STD_LDR_AAF_RON_CXD_After-Sales-Nova-VW-Generica-Reg06-LAL-Visita_PD_native</v>
      </c>
      <c r="AN8" s="15" t="s">
        <v>809</v>
      </c>
    </row>
    <row r="9" spans="1:40" hidden="1" x14ac:dyDescent="0.25">
      <c r="A9" s="24"/>
      <c r="B9" s="15" t="s">
        <v>1098</v>
      </c>
      <c r="C9" s="15" t="s">
        <v>1113</v>
      </c>
      <c r="D9" s="15" t="s">
        <v>844</v>
      </c>
      <c r="E9" s="22">
        <v>44232</v>
      </c>
      <c r="F9" s="22">
        <v>44255</v>
      </c>
      <c r="G9" s="15" t="s">
        <v>672</v>
      </c>
      <c r="H9" s="15" t="s">
        <v>843</v>
      </c>
      <c r="I9" s="15" t="s">
        <v>702</v>
      </c>
      <c r="J9" s="15" t="s">
        <v>313</v>
      </c>
      <c r="K9" s="15" t="s">
        <v>323</v>
      </c>
      <c r="L9" s="15" t="s">
        <v>358</v>
      </c>
      <c r="M9" s="15" t="s">
        <v>322</v>
      </c>
      <c r="N9" s="15" t="s">
        <v>708</v>
      </c>
      <c r="O9" s="15" t="s">
        <v>694</v>
      </c>
      <c r="P9" s="15" t="s">
        <v>845</v>
      </c>
      <c r="Q9" s="15" t="s">
        <v>849</v>
      </c>
      <c r="R9" s="15" t="s">
        <v>835</v>
      </c>
      <c r="S9" s="15" t="s">
        <v>348</v>
      </c>
      <c r="T9" s="15" t="s">
        <v>842</v>
      </c>
      <c r="U9" s="24"/>
      <c r="V9" s="24"/>
      <c r="W9" s="24"/>
      <c r="X9" s="24"/>
      <c r="Y9" s="24"/>
      <c r="Z9" s="24"/>
      <c r="AA9" s="24"/>
      <c r="AB9" s="24"/>
      <c r="AC9" s="23" t="s">
        <v>841</v>
      </c>
      <c r="AD9" s="15" t="e">
        <f t="shared" si="0"/>
        <v>#N/A</v>
      </c>
      <c r="AE9" s="21" t="str">
        <f t="shared" si="9"/>
        <v>BR_VW_AFS_verizon_DIS_DRCT_CPC_STD_LDR_AAF_RON_CXD_After-Sales-Nova-VW-Generica-Reg02-LAL-Addtocart_PD_native</v>
      </c>
      <c r="AF9" s="21" t="str">
        <f t="shared" si="10"/>
        <v>BR_VW_AFS_verizon_DIS_DRCT_CPC_STD_LDR_AAF_RON_CXD_After-Sales-Nova-VW-Generica-Reg02-LAL-Addtocart_PD_native</v>
      </c>
      <c r="AG9" s="21" t="str">
        <f t="shared" si="11"/>
        <v>VW_After-Sales-LAL-Addtocart_native_After-Sales-Nova-VW-Generica-Reg02-verizon</v>
      </c>
      <c r="AH9" s="21" t="str">
        <f t="shared" si="12"/>
        <v>https://posvendas.vw.com.br/?utm_source=verizon&amp;utm_medium=Direct&amp;utm_content=BR_VW_AFS_verizon_DIS_DRCT_CPC_STD_LDR_AAF_RON_CXD_After-Sales-Nova-VW-Generica-Reg02-LAL-Addtocart_PD_native&amp;utm_campaign=BR_AAF_DSY_NONMS_ND_AS_2021Q1FEV_AFS_After-Sales&amp;utm_term=%epid!_%ecid!_%eaid!</v>
      </c>
      <c r="AI9" s="21" t="str">
        <f t="shared" si="13"/>
        <v>https://ad.doubleclick.net/ddm/trackclk/N9487.3646218VERIZONBR/B25305913.295453233;dc_trk_aid=488726892;dc_trk_cid=145818780;dc_lat=;dc_rdid=;tag_for_child_directed_treatment=;tfua=</v>
      </c>
      <c r="AJ9" s="15" t="str">
        <f t="shared" si="19"/>
        <v>verizon</v>
      </c>
      <c r="AK9" s="15" t="str">
        <f t="shared" si="20"/>
        <v>Direct</v>
      </c>
      <c r="AL9" s="21" t="str">
        <f>Campanha!$B$3</f>
        <v>BR_AAF_DSY_NONMS_ND_AS_2021Q1FEV_AFS_After-Sales</v>
      </c>
      <c r="AM9" s="21" t="str">
        <f t="shared" si="16"/>
        <v>BR_VW_AFS_verizon_DIS_DRCT_CPC_STD_LDR_AAF_RON_CXD_After-Sales-Nova-VW-Generica-Reg02-LAL-Addtocart_PD_native</v>
      </c>
      <c r="AN9" s="15" t="s">
        <v>809</v>
      </c>
    </row>
    <row r="10" spans="1:40" hidden="1" x14ac:dyDescent="0.25">
      <c r="A10" s="24"/>
      <c r="B10" s="15" t="s">
        <v>1098</v>
      </c>
      <c r="C10" s="15" t="s">
        <v>1113</v>
      </c>
      <c r="D10" s="15" t="s">
        <v>844</v>
      </c>
      <c r="E10" s="22">
        <v>44232</v>
      </c>
      <c r="F10" s="22">
        <v>44255</v>
      </c>
      <c r="G10" s="15" t="s">
        <v>672</v>
      </c>
      <c r="H10" s="15" t="s">
        <v>843</v>
      </c>
      <c r="I10" s="15" t="s">
        <v>702</v>
      </c>
      <c r="J10" s="15" t="s">
        <v>313</v>
      </c>
      <c r="K10" s="15" t="s">
        <v>323</v>
      </c>
      <c r="L10" s="15" t="s">
        <v>358</v>
      </c>
      <c r="M10" s="15" t="s">
        <v>322</v>
      </c>
      <c r="N10" s="15" t="s">
        <v>708</v>
      </c>
      <c r="O10" s="15" t="s">
        <v>694</v>
      </c>
      <c r="P10" s="15" t="s">
        <v>846</v>
      </c>
      <c r="Q10" s="15" t="s">
        <v>849</v>
      </c>
      <c r="R10" s="15" t="s">
        <v>835</v>
      </c>
      <c r="S10" s="15" t="s">
        <v>348</v>
      </c>
      <c r="T10" s="15" t="s">
        <v>842</v>
      </c>
      <c r="U10" s="24"/>
      <c r="V10" s="24"/>
      <c r="W10" s="24"/>
      <c r="X10" s="24"/>
      <c r="Y10" s="24"/>
      <c r="Z10" s="24"/>
      <c r="AA10" s="24"/>
      <c r="AB10" s="24"/>
      <c r="AC10" s="23" t="s">
        <v>841</v>
      </c>
      <c r="AD10" s="15" t="e">
        <f t="shared" si="0"/>
        <v>#N/A</v>
      </c>
      <c r="AE10" s="21" t="str">
        <f t="shared" si="9"/>
        <v>BR_VW_AFS_verizon_DIS_DRCT_CPC_STD_LDR_AAF_RON_CXD_After-Sales-Nova-VW-Generica-Reg05-LAL-Addtocart_PD_native</v>
      </c>
      <c r="AF10" s="21" t="str">
        <f t="shared" si="10"/>
        <v>BR_VW_AFS_verizon_DIS_DRCT_CPC_STD_LDR_AAF_RON_CXD_After-Sales-Nova-VW-Generica-Reg05-LAL-Addtocart_PD_native</v>
      </c>
      <c r="AG10" s="21" t="str">
        <f t="shared" si="11"/>
        <v>VW_After-Sales-LAL-Addtocart_native_After-Sales-Nova-VW-Generica-Reg05-verizon</v>
      </c>
      <c r="AH10" s="21" t="str">
        <f t="shared" si="12"/>
        <v>https://posvendas.vw.com.br/?utm_source=verizon&amp;utm_medium=Direct&amp;utm_content=BR_VW_AFS_verizon_DIS_DRCT_CPC_STD_LDR_AAF_RON_CXD_After-Sales-Nova-VW-Generica-Reg05-LAL-Addtocart_PD_native&amp;utm_campaign=BR_AAF_DSY_NONMS_ND_AS_2021Q1FEV_AFS_After-Sales&amp;utm_term=%epid!_%ecid!_%eaid!</v>
      </c>
      <c r="AI10" s="21" t="str">
        <f t="shared" si="13"/>
        <v>https://ad.doubleclick.net/ddm/trackclk/N9487.3646218VERIZONBR/B25305913.295453230;dc_trk_aid=488726895;dc_trk_cid=145818780;dc_lat=;dc_rdid=;tag_for_child_directed_treatment=;tfua=</v>
      </c>
      <c r="AJ10" s="15" t="str">
        <f t="shared" si="19"/>
        <v>verizon</v>
      </c>
      <c r="AK10" s="15" t="str">
        <f t="shared" si="20"/>
        <v>Direct</v>
      </c>
      <c r="AL10" s="21" t="str">
        <f>Campanha!$B$3</f>
        <v>BR_AAF_DSY_NONMS_ND_AS_2021Q1FEV_AFS_After-Sales</v>
      </c>
      <c r="AM10" s="21" t="str">
        <f t="shared" si="16"/>
        <v>BR_VW_AFS_verizon_DIS_DRCT_CPC_STD_LDR_AAF_RON_CXD_After-Sales-Nova-VW-Generica-Reg05-LAL-Addtocart_PD_native</v>
      </c>
      <c r="AN10" s="15" t="s">
        <v>809</v>
      </c>
    </row>
    <row r="11" spans="1:40" hidden="1" x14ac:dyDescent="0.25">
      <c r="A11" s="24"/>
      <c r="B11" s="15" t="s">
        <v>1098</v>
      </c>
      <c r="C11" s="15" t="s">
        <v>1113</v>
      </c>
      <c r="D11" s="15" t="s">
        <v>844</v>
      </c>
      <c r="E11" s="22">
        <v>44232</v>
      </c>
      <c r="F11" s="22">
        <v>44255</v>
      </c>
      <c r="G11" s="15" t="s">
        <v>672</v>
      </c>
      <c r="H11" s="15" t="s">
        <v>843</v>
      </c>
      <c r="I11" s="15" t="s">
        <v>702</v>
      </c>
      <c r="J11" s="15" t="s">
        <v>313</v>
      </c>
      <c r="K11" s="15" t="s">
        <v>323</v>
      </c>
      <c r="L11" s="15" t="s">
        <v>358</v>
      </c>
      <c r="M11" s="15" t="s">
        <v>322</v>
      </c>
      <c r="N11" s="15" t="s">
        <v>708</v>
      </c>
      <c r="O11" s="15" t="s">
        <v>694</v>
      </c>
      <c r="P11" s="15" t="s">
        <v>847</v>
      </c>
      <c r="Q11" s="15" t="s">
        <v>849</v>
      </c>
      <c r="R11" s="15" t="s">
        <v>835</v>
      </c>
      <c r="S11" s="15" t="s">
        <v>348</v>
      </c>
      <c r="T11" s="15" t="s">
        <v>842</v>
      </c>
      <c r="U11" s="24"/>
      <c r="V11" s="24"/>
      <c r="W11" s="24"/>
      <c r="X11" s="24"/>
      <c r="Y11" s="24"/>
      <c r="Z11" s="24"/>
      <c r="AA11" s="24"/>
      <c r="AB11" s="24"/>
      <c r="AC11" s="23" t="s">
        <v>841</v>
      </c>
      <c r="AD11" s="15" t="e">
        <f t="shared" si="0"/>
        <v>#N/A</v>
      </c>
      <c r="AE11" s="21" t="str">
        <f t="shared" si="9"/>
        <v>BR_VW_AFS_verizon_DIS_DRCT_CPC_STD_LDR_AAF_RON_CXD_After-Sales-Nova-VW-Generica-Reg06-LAL-Addtocart_PD_native</v>
      </c>
      <c r="AF11" s="21" t="str">
        <f t="shared" si="10"/>
        <v>BR_VW_AFS_verizon_DIS_DRCT_CPC_STD_LDR_AAF_RON_CXD_After-Sales-Nova-VW-Generica-Reg06-LAL-Addtocart_PD_native</v>
      </c>
      <c r="AG11" s="21" t="str">
        <f t="shared" si="11"/>
        <v>VW_After-Sales-LAL-Addtocart_native_After-Sales-Nova-VW-Generica-Reg06-verizon</v>
      </c>
      <c r="AH11" s="21" t="str">
        <f t="shared" si="12"/>
        <v>https://posvendas.vw.com.br/?utm_source=verizon&amp;utm_medium=Direct&amp;utm_content=BR_VW_AFS_verizon_DIS_DRCT_CPC_STD_LDR_AAF_RON_CXD_After-Sales-Nova-VW-Generica-Reg06-LAL-Addtocart_PD_native&amp;utm_campaign=BR_AAF_DSY_NONMS_ND_AS_2021Q1FEV_AFS_After-Sales&amp;utm_term=%epid!_%ecid!_%eaid!</v>
      </c>
      <c r="AI11" s="21" t="str">
        <f t="shared" si="13"/>
        <v>https://ad.doubleclick.net/ddm/trackclk/N9487.3646218VERIZONBR/B25305913.295392992;dc_trk_aid=488726898;dc_trk_cid=145818780;dc_lat=;dc_rdid=;tag_for_child_directed_treatment=;tfua=</v>
      </c>
      <c r="AJ11" s="15" t="str">
        <f t="shared" si="19"/>
        <v>verizon</v>
      </c>
      <c r="AK11" s="15" t="str">
        <f t="shared" si="20"/>
        <v>Direct</v>
      </c>
      <c r="AL11" s="21" t="str">
        <f>Campanha!$B$3</f>
        <v>BR_AAF_DSY_NONMS_ND_AS_2021Q1FEV_AFS_After-Sales</v>
      </c>
      <c r="AM11" s="21" t="str">
        <f t="shared" si="16"/>
        <v>BR_VW_AFS_verizon_DIS_DRCT_CPC_STD_LDR_AAF_RON_CXD_After-Sales-Nova-VW-Generica-Reg06-LAL-Addtocart_PD_native</v>
      </c>
      <c r="AN11" s="15" t="s">
        <v>809</v>
      </c>
    </row>
    <row r="12" spans="1:40" hidden="1" x14ac:dyDescent="0.25">
      <c r="A12" s="24"/>
      <c r="B12" s="15" t="s">
        <v>1098</v>
      </c>
      <c r="C12" s="15" t="s">
        <v>1113</v>
      </c>
      <c r="D12" s="15" t="s">
        <v>844</v>
      </c>
      <c r="E12" s="22">
        <v>44232</v>
      </c>
      <c r="F12" s="22">
        <v>44255</v>
      </c>
      <c r="G12" s="15" t="s">
        <v>672</v>
      </c>
      <c r="H12" s="15" t="s">
        <v>843</v>
      </c>
      <c r="I12" s="15" t="s">
        <v>702</v>
      </c>
      <c r="J12" s="15" t="s">
        <v>313</v>
      </c>
      <c r="K12" s="15" t="s">
        <v>323</v>
      </c>
      <c r="L12" s="15" t="s">
        <v>358</v>
      </c>
      <c r="M12" s="15" t="s">
        <v>322</v>
      </c>
      <c r="N12" s="15" t="s">
        <v>708</v>
      </c>
      <c r="O12" s="15" t="s">
        <v>694</v>
      </c>
      <c r="P12" s="15" t="s">
        <v>845</v>
      </c>
      <c r="Q12" s="15" t="s">
        <v>850</v>
      </c>
      <c r="R12" s="15" t="s">
        <v>835</v>
      </c>
      <c r="S12" s="15" t="s">
        <v>348</v>
      </c>
      <c r="T12" s="15" t="s">
        <v>842</v>
      </c>
      <c r="U12" s="24"/>
      <c r="V12" s="24"/>
      <c r="W12" s="24"/>
      <c r="X12" s="24"/>
      <c r="Y12" s="24"/>
      <c r="Z12" s="24"/>
      <c r="AA12" s="24"/>
      <c r="AB12" s="24"/>
      <c r="AC12" s="23" t="s">
        <v>841</v>
      </c>
      <c r="AD12" s="15" t="e">
        <f t="shared" si="0"/>
        <v>#N/A</v>
      </c>
      <c r="AE12" s="21" t="str">
        <f t="shared" si="9"/>
        <v>BR_VW_AFS_verizon_DIS_DRCT_CPC_STD_LDR_AAF_RON_CXD_After-Sales-Nova-VW-Generica-Reg02-LAL-Lead_PD_native</v>
      </c>
      <c r="AF12" s="21" t="str">
        <f t="shared" si="10"/>
        <v>BR_VW_AFS_verizon_DIS_DRCT_CPC_STD_LDR_AAF_RON_CXD_After-Sales-Nova-VW-Generica-Reg02-LAL-Lead_PD_native</v>
      </c>
      <c r="AG12" s="21" t="str">
        <f t="shared" si="11"/>
        <v>VW_After-Sales-LAL-Lead_native_After-Sales-Nova-VW-Generica-Reg02-verizon</v>
      </c>
      <c r="AH12" s="21" t="str">
        <f t="shared" si="12"/>
        <v>https://posvendas.vw.com.br/?utm_source=verizon&amp;utm_medium=Direct&amp;utm_content=BR_VW_AFS_verizon_DIS_DRCT_CPC_STD_LDR_AAF_RON_CXD_After-Sales-Nova-VW-Generica-Reg02-LAL-Lead_PD_native&amp;utm_campaign=BR_AAF_DSY_NONMS_ND_AS_2021Q1FEV_AFS_After-Sales&amp;utm_term=%epid!_%ecid!_%eaid!</v>
      </c>
      <c r="AI12" s="21" t="str">
        <f t="shared" si="13"/>
        <v>https://ad.doubleclick.net/ddm/trackclk/N9487.3646218VERIZONBR/B25305913.295453254;dc_trk_aid=488726871;dc_trk_cid=145818780;dc_lat=;dc_rdid=;tag_for_child_directed_treatment=;tfua=</v>
      </c>
      <c r="AJ12" s="15" t="str">
        <f t="shared" si="19"/>
        <v>verizon</v>
      </c>
      <c r="AK12" s="15" t="str">
        <f t="shared" si="20"/>
        <v>Direct</v>
      </c>
      <c r="AL12" s="21" t="str">
        <f>Campanha!$B$3</f>
        <v>BR_AAF_DSY_NONMS_ND_AS_2021Q1FEV_AFS_After-Sales</v>
      </c>
      <c r="AM12" s="21" t="str">
        <f t="shared" si="16"/>
        <v>BR_VW_AFS_verizon_DIS_DRCT_CPC_STD_LDR_AAF_RON_CXD_After-Sales-Nova-VW-Generica-Reg02-LAL-Lead_PD_native</v>
      </c>
      <c r="AN12" s="15" t="s">
        <v>809</v>
      </c>
    </row>
    <row r="13" spans="1:40" hidden="1" x14ac:dyDescent="0.25">
      <c r="A13" s="24"/>
      <c r="B13" s="15" t="s">
        <v>1098</v>
      </c>
      <c r="C13" s="15" t="s">
        <v>1113</v>
      </c>
      <c r="D13" s="15" t="s">
        <v>844</v>
      </c>
      <c r="E13" s="22">
        <v>44232</v>
      </c>
      <c r="F13" s="22">
        <v>44255</v>
      </c>
      <c r="G13" s="15" t="s">
        <v>672</v>
      </c>
      <c r="H13" s="15" t="s">
        <v>843</v>
      </c>
      <c r="I13" s="15" t="s">
        <v>702</v>
      </c>
      <c r="J13" s="15" t="s">
        <v>313</v>
      </c>
      <c r="K13" s="15" t="s">
        <v>323</v>
      </c>
      <c r="L13" s="15" t="s">
        <v>358</v>
      </c>
      <c r="M13" s="15" t="s">
        <v>322</v>
      </c>
      <c r="N13" s="15" t="s">
        <v>708</v>
      </c>
      <c r="O13" s="15" t="s">
        <v>694</v>
      </c>
      <c r="P13" s="15" t="s">
        <v>846</v>
      </c>
      <c r="Q13" s="15" t="s">
        <v>850</v>
      </c>
      <c r="R13" s="15" t="s">
        <v>835</v>
      </c>
      <c r="S13" s="15" t="s">
        <v>348</v>
      </c>
      <c r="T13" s="15" t="s">
        <v>842</v>
      </c>
      <c r="U13" s="24"/>
      <c r="V13" s="24"/>
      <c r="W13" s="24"/>
      <c r="X13" s="24"/>
      <c r="Y13" s="24"/>
      <c r="Z13" s="24"/>
      <c r="AA13" s="24"/>
      <c r="AB13" s="24"/>
      <c r="AC13" s="23" t="s">
        <v>841</v>
      </c>
      <c r="AD13" s="15" t="e">
        <f t="shared" si="0"/>
        <v>#N/A</v>
      </c>
      <c r="AE13" s="21" t="str">
        <f t="shared" si="9"/>
        <v>BR_VW_AFS_verizon_DIS_DRCT_CPC_STD_LDR_AAF_RON_CXD_After-Sales-Nova-VW-Generica-Reg05-LAL-Lead_PD_native</v>
      </c>
      <c r="AF13" s="21" t="str">
        <f t="shared" si="10"/>
        <v>BR_VW_AFS_verizon_DIS_DRCT_CPC_STD_LDR_AAF_RON_CXD_After-Sales-Nova-VW-Generica-Reg05-LAL-Lead_PD_native</v>
      </c>
      <c r="AG13" s="21" t="str">
        <f t="shared" si="11"/>
        <v>VW_After-Sales-LAL-Lead_native_After-Sales-Nova-VW-Generica-Reg05-verizon</v>
      </c>
      <c r="AH13" s="21" t="str">
        <f t="shared" si="12"/>
        <v>https://posvendas.vw.com.br/?utm_source=verizon&amp;utm_medium=Direct&amp;utm_content=BR_VW_AFS_verizon_DIS_DRCT_CPC_STD_LDR_AAF_RON_CXD_After-Sales-Nova-VW-Generica-Reg05-LAL-Lead_PD_native&amp;utm_campaign=BR_AAF_DSY_NONMS_ND_AS_2021Q1FEV_AFS_After-Sales&amp;utm_term=%epid!_%ecid!_%eaid!</v>
      </c>
      <c r="AI13" s="21" t="str">
        <f t="shared" si="13"/>
        <v>https://ad.doubleclick.net/ddm/trackclk/N9487.3646218VERIZONBR/B25305913.295453248;dc_trk_aid=488726877;dc_trk_cid=145818780;dc_lat=;dc_rdid=;tag_for_child_directed_treatment=;tfua=</v>
      </c>
      <c r="AJ13" s="15" t="str">
        <f t="shared" si="19"/>
        <v>verizon</v>
      </c>
      <c r="AK13" s="15" t="str">
        <f t="shared" si="20"/>
        <v>Direct</v>
      </c>
      <c r="AL13" s="21" t="str">
        <f>Campanha!$B$3</f>
        <v>BR_AAF_DSY_NONMS_ND_AS_2021Q1FEV_AFS_After-Sales</v>
      </c>
      <c r="AM13" s="21" t="str">
        <f t="shared" si="16"/>
        <v>BR_VW_AFS_verizon_DIS_DRCT_CPC_STD_LDR_AAF_RON_CXD_After-Sales-Nova-VW-Generica-Reg05-LAL-Lead_PD_native</v>
      </c>
      <c r="AN13" s="15" t="s">
        <v>809</v>
      </c>
    </row>
    <row r="14" spans="1:40" hidden="1" x14ac:dyDescent="0.25">
      <c r="A14" s="24"/>
      <c r="B14" s="15" t="s">
        <v>1098</v>
      </c>
      <c r="C14" s="15" t="s">
        <v>1113</v>
      </c>
      <c r="D14" s="15" t="s">
        <v>844</v>
      </c>
      <c r="E14" s="22">
        <v>44232</v>
      </c>
      <c r="F14" s="22">
        <v>44255</v>
      </c>
      <c r="G14" s="15" t="s">
        <v>672</v>
      </c>
      <c r="H14" s="15" t="s">
        <v>843</v>
      </c>
      <c r="I14" s="15" t="s">
        <v>702</v>
      </c>
      <c r="J14" s="15" t="s">
        <v>313</v>
      </c>
      <c r="K14" s="15" t="s">
        <v>323</v>
      </c>
      <c r="L14" s="15" t="s">
        <v>358</v>
      </c>
      <c r="M14" s="15" t="s">
        <v>322</v>
      </c>
      <c r="N14" s="15" t="s">
        <v>708</v>
      </c>
      <c r="O14" s="15" t="s">
        <v>694</v>
      </c>
      <c r="P14" s="15" t="s">
        <v>847</v>
      </c>
      <c r="Q14" s="15" t="s">
        <v>850</v>
      </c>
      <c r="R14" s="15" t="s">
        <v>835</v>
      </c>
      <c r="S14" s="15" t="s">
        <v>348</v>
      </c>
      <c r="T14" s="15" t="s">
        <v>842</v>
      </c>
      <c r="U14" s="24"/>
      <c r="V14" s="24"/>
      <c r="W14" s="24"/>
      <c r="X14" s="24"/>
      <c r="Y14" s="24"/>
      <c r="Z14" s="24"/>
      <c r="AA14" s="24"/>
      <c r="AB14" s="24"/>
      <c r="AC14" s="23" t="s">
        <v>841</v>
      </c>
      <c r="AD14" s="15" t="e">
        <f t="shared" si="0"/>
        <v>#N/A</v>
      </c>
      <c r="AE14" s="21" t="str">
        <f t="shared" si="9"/>
        <v>BR_VW_AFS_verizon_DIS_DRCT_CPC_STD_LDR_AAF_RON_CXD_After-Sales-Nova-VW-Generica-Reg06-LAL-Lead_PD_native</v>
      </c>
      <c r="AF14" s="21" t="str">
        <f t="shared" si="10"/>
        <v>BR_VW_AFS_verizon_DIS_DRCT_CPC_STD_LDR_AAF_RON_CXD_After-Sales-Nova-VW-Generica-Reg06-LAL-Lead_PD_native</v>
      </c>
      <c r="AG14" s="21" t="str">
        <f t="shared" si="11"/>
        <v>VW_After-Sales-LAL-Lead_native_After-Sales-Nova-VW-Generica-Reg06-verizon</v>
      </c>
      <c r="AH14" s="21" t="str">
        <f t="shared" si="12"/>
        <v>https://posvendas.vw.com.br/?utm_source=verizon&amp;utm_medium=Direct&amp;utm_content=BR_VW_AFS_verizon_DIS_DRCT_CPC_STD_LDR_AAF_RON_CXD_After-Sales-Nova-VW-Generica-Reg06-LAL-Lead_PD_native&amp;utm_campaign=BR_AAF_DSY_NONMS_ND_AS_2021Q1FEV_AFS_After-Sales&amp;utm_term=%epid!_%ecid!_%eaid!</v>
      </c>
      <c r="AI14" s="21" t="str">
        <f t="shared" si="13"/>
        <v>https://ad.doubleclick.net/ddm/trackclk/N9487.3646218VERIZONBR/B25305913.295453242;dc_trk_aid=488726883;dc_trk_cid=145818780;dc_lat=;dc_rdid=;tag_for_child_directed_treatment=;tfua=</v>
      </c>
      <c r="AJ14" s="15" t="str">
        <f t="shared" si="19"/>
        <v>verizon</v>
      </c>
      <c r="AK14" s="15" t="str">
        <f t="shared" si="20"/>
        <v>Direct</v>
      </c>
      <c r="AL14" s="21" t="str">
        <f>Campanha!$B$3</f>
        <v>BR_AAF_DSY_NONMS_ND_AS_2021Q1FEV_AFS_After-Sales</v>
      </c>
      <c r="AM14" s="21" t="str">
        <f t="shared" si="16"/>
        <v>BR_VW_AFS_verizon_DIS_DRCT_CPC_STD_LDR_AAF_RON_CXD_After-Sales-Nova-VW-Generica-Reg06-LAL-Lead_PD_native</v>
      </c>
      <c r="AN14" s="15" t="s">
        <v>809</v>
      </c>
    </row>
    <row r="15" spans="1:40" hidden="1" x14ac:dyDescent="0.25">
      <c r="B15" s="15" t="s">
        <v>1098</v>
      </c>
      <c r="C15" s="15" t="s">
        <v>1114</v>
      </c>
      <c r="D15" s="15" t="s">
        <v>877</v>
      </c>
      <c r="E15" s="22">
        <v>44236</v>
      </c>
      <c r="F15" s="22">
        <v>44255</v>
      </c>
      <c r="G15" s="31" t="s">
        <v>674</v>
      </c>
      <c r="H15" s="31" t="s">
        <v>811</v>
      </c>
      <c r="I15" s="31" t="s">
        <v>702</v>
      </c>
      <c r="J15" s="31" t="s">
        <v>325</v>
      </c>
      <c r="K15" s="31" t="s">
        <v>334</v>
      </c>
      <c r="L15" s="31" t="s">
        <v>358</v>
      </c>
      <c r="M15" s="31" t="s">
        <v>322</v>
      </c>
      <c r="N15" s="31" t="s">
        <v>708</v>
      </c>
      <c r="O15" s="31" t="s">
        <v>694</v>
      </c>
      <c r="P15" s="15" t="s">
        <v>882</v>
      </c>
      <c r="Q15" s="31" t="s">
        <v>878</v>
      </c>
      <c r="R15" s="15" t="s">
        <v>835</v>
      </c>
      <c r="S15" s="15" t="s">
        <v>348</v>
      </c>
      <c r="T15" s="31" t="s">
        <v>457</v>
      </c>
      <c r="AC15" s="32" t="s">
        <v>841</v>
      </c>
      <c r="AD15" s="15" t="str">
        <f t="shared" si="0"/>
        <v>295759194</v>
      </c>
      <c r="AE15" s="21" t="str">
        <f t="shared" si="9"/>
        <v>BR_VW_AFS_dv360_DIS_PROG_CPM_STD_LDR_AAF_RON_CXD_After-Sales-Nova-VW-Reg02-KWs_PD_160x600</v>
      </c>
      <c r="AF15" s="21" t="str">
        <f t="shared" si="10"/>
        <v>BR_VW_AFS_dv360_DIS_PROG_CPM_STD_LDR_AAF_RON_CXD_After-Sales-Nova-VW-Reg02-KWs_PD_160x600</v>
      </c>
      <c r="AG15" s="21" t="str">
        <f t="shared" si="11"/>
        <v>VW_After-Sales-KWs_160x600_After-Sales-Nova-VW-Reg02-adserver</v>
      </c>
      <c r="AH15" s="21" t="str">
        <f t="shared" si="12"/>
        <v>https://posvendas.vw.com.br/?utm_source=dv360&amp;utm_medium=Programmatic&amp;utm_content=BR_VW_AFS_dv360_DIS_PROG_CPM_STD_LDR_AAF_RON_CXD_After-Sales-Nova-VW-Reg02-KWs_PD_160x600&amp;utm_campaign=BR_AAF_DSY_NONMS_ND_AS_2021Q1FEV_AFS_After-Sales&amp;utm_term=%epid!_%ecid!_%eaid!</v>
      </c>
      <c r="AI15" s="21" t="str">
        <f t="shared" si="13"/>
        <v>TAG</v>
      </c>
      <c r="AJ15" s="15" t="str">
        <f t="shared" ref="AJ15:AJ34" si="21">H15</f>
        <v>dv360</v>
      </c>
      <c r="AK15" s="15" t="str">
        <f t="shared" ref="AK15:AK34" si="22">J15</f>
        <v>Programmatic</v>
      </c>
      <c r="AL15" s="21" t="str">
        <f>Campanha!$B$3</f>
        <v>BR_AAF_DSY_NONMS_ND_AS_2021Q1FEV_AFS_After-Sales</v>
      </c>
      <c r="AM15" s="21" t="str">
        <f t="shared" si="16"/>
        <v>BR_VW_AFS_dv360_DIS_PROG_CPM_STD_LDR_AAF_RON_CXD_After-Sales-Nova-VW-Reg02-KWs_PD_160x600</v>
      </c>
      <c r="AN15" s="15" t="s">
        <v>809</v>
      </c>
    </row>
    <row r="16" spans="1:40" hidden="1" x14ac:dyDescent="0.25">
      <c r="B16" s="15" t="s">
        <v>1098</v>
      </c>
      <c r="C16" s="15" t="s">
        <v>1114</v>
      </c>
      <c r="D16" s="15" t="s">
        <v>877</v>
      </c>
      <c r="E16" s="22">
        <v>44236</v>
      </c>
      <c r="F16" s="22">
        <v>44255</v>
      </c>
      <c r="G16" s="31" t="s">
        <v>674</v>
      </c>
      <c r="H16" s="31" t="s">
        <v>811</v>
      </c>
      <c r="I16" s="31" t="s">
        <v>702</v>
      </c>
      <c r="J16" s="31" t="s">
        <v>325</v>
      </c>
      <c r="K16" s="31" t="s">
        <v>334</v>
      </c>
      <c r="L16" s="31" t="s">
        <v>358</v>
      </c>
      <c r="M16" s="31" t="s">
        <v>322</v>
      </c>
      <c r="N16" s="31" t="s">
        <v>708</v>
      </c>
      <c r="O16" s="31" t="s">
        <v>694</v>
      </c>
      <c r="P16" s="15" t="s">
        <v>882</v>
      </c>
      <c r="Q16" s="31" t="s">
        <v>878</v>
      </c>
      <c r="R16" s="15" t="s">
        <v>835</v>
      </c>
      <c r="S16" s="15" t="s">
        <v>348</v>
      </c>
      <c r="T16" s="31" t="s">
        <v>484</v>
      </c>
      <c r="AC16" s="23" t="s">
        <v>841</v>
      </c>
      <c r="AD16" s="15" t="str">
        <f t="shared" si="0"/>
        <v>295759191</v>
      </c>
      <c r="AE16" s="21" t="str">
        <f t="shared" si="9"/>
        <v>BR_VW_AFS_dv360_DIS_PROG_CPM_STD_LDR_AAF_RON_CXD_After-Sales-Nova-VW-Reg02-KWs_PD_300x50</v>
      </c>
      <c r="AF16" s="21" t="str">
        <f t="shared" si="10"/>
        <v>BR_VW_AFS_dv360_DIS_PROG_CPM_STD_LDR_AAF_RON_CXD_After-Sales-Nova-VW-Reg02-KWs_PD_300x50</v>
      </c>
      <c r="AG16" s="21" t="str">
        <f t="shared" si="11"/>
        <v>VW_After-Sales-KWs_300x50_After-Sales-Nova-VW-Reg02-adserver</v>
      </c>
      <c r="AH16" s="21" t="str">
        <f t="shared" si="12"/>
        <v>https://posvendas.vw.com.br/?utm_source=dv360&amp;utm_medium=Programmatic&amp;utm_content=BR_VW_AFS_dv360_DIS_PROG_CPM_STD_LDR_AAF_RON_CXD_After-Sales-Nova-VW-Reg02-KWs_PD_300x50&amp;utm_campaign=BR_AAF_DSY_NONMS_ND_AS_2021Q1FEV_AFS_After-Sales&amp;utm_term=%epid!_%ecid!_%eaid!</v>
      </c>
      <c r="AI16" s="21" t="str">
        <f t="shared" si="13"/>
        <v>TAG</v>
      </c>
      <c r="AJ16" s="15" t="str">
        <f t="shared" si="21"/>
        <v>dv360</v>
      </c>
      <c r="AK16" s="15" t="str">
        <f t="shared" si="22"/>
        <v>Programmatic</v>
      </c>
      <c r="AL16" s="21" t="str">
        <f>Campanha!$B$3</f>
        <v>BR_AAF_DSY_NONMS_ND_AS_2021Q1FEV_AFS_After-Sales</v>
      </c>
      <c r="AM16" s="21" t="str">
        <f t="shared" si="16"/>
        <v>BR_VW_AFS_dv360_DIS_PROG_CPM_STD_LDR_AAF_RON_CXD_After-Sales-Nova-VW-Reg02-KWs_PD_300x50</v>
      </c>
      <c r="AN16" s="15" t="s">
        <v>809</v>
      </c>
    </row>
    <row r="17" spans="2:40" hidden="1" x14ac:dyDescent="0.25">
      <c r="B17" s="15" t="s">
        <v>1098</v>
      </c>
      <c r="C17" s="15" t="s">
        <v>1114</v>
      </c>
      <c r="D17" s="15" t="s">
        <v>877</v>
      </c>
      <c r="E17" s="22">
        <v>44236</v>
      </c>
      <c r="F17" s="22">
        <v>44255</v>
      </c>
      <c r="G17" s="31" t="s">
        <v>674</v>
      </c>
      <c r="H17" s="31" t="s">
        <v>811</v>
      </c>
      <c r="I17" s="31" t="s">
        <v>702</v>
      </c>
      <c r="J17" s="31" t="s">
        <v>325</v>
      </c>
      <c r="K17" s="31" t="s">
        <v>334</v>
      </c>
      <c r="L17" s="31" t="s">
        <v>358</v>
      </c>
      <c r="M17" s="31" t="s">
        <v>322</v>
      </c>
      <c r="N17" s="31" t="s">
        <v>708</v>
      </c>
      <c r="O17" s="31" t="s">
        <v>694</v>
      </c>
      <c r="P17" s="15" t="s">
        <v>882</v>
      </c>
      <c r="Q17" s="31" t="s">
        <v>878</v>
      </c>
      <c r="R17" s="15" t="s">
        <v>835</v>
      </c>
      <c r="S17" s="15" t="s">
        <v>348</v>
      </c>
      <c r="T17" s="31" t="s">
        <v>478</v>
      </c>
      <c r="AC17" s="23" t="s">
        <v>841</v>
      </c>
      <c r="AD17" s="15" t="str">
        <f t="shared" si="0"/>
        <v>295759188</v>
      </c>
      <c r="AE17" s="21" t="str">
        <f t="shared" si="9"/>
        <v>BR_VW_AFS_dv360_DIS_PROG_CPM_STD_LDR_AAF_RON_CXD_After-Sales-Nova-VW-Reg02-KWs_PD_300x250</v>
      </c>
      <c r="AF17" s="21" t="str">
        <f t="shared" si="10"/>
        <v>BR_VW_AFS_dv360_DIS_PROG_CPM_STD_LDR_AAF_RON_CXD_After-Sales-Nova-VW-Reg02-KWs_PD_300x250</v>
      </c>
      <c r="AG17" s="21" t="str">
        <f t="shared" si="11"/>
        <v>VW_After-Sales-KWs_300x250_After-Sales-Nova-VW-Reg02-adserver</v>
      </c>
      <c r="AH17" s="21" t="str">
        <f t="shared" si="12"/>
        <v>https://posvendas.vw.com.br/?utm_source=dv360&amp;utm_medium=Programmatic&amp;utm_content=BR_VW_AFS_dv360_DIS_PROG_CPM_STD_LDR_AAF_RON_CXD_After-Sales-Nova-VW-Reg02-KWs_PD_300x250&amp;utm_campaign=BR_AAF_DSY_NONMS_ND_AS_2021Q1FEV_AFS_After-Sales&amp;utm_term=%epid!_%ecid!_%eaid!</v>
      </c>
      <c r="AI17" s="21" t="str">
        <f t="shared" si="13"/>
        <v>TAG</v>
      </c>
      <c r="AJ17" s="15" t="str">
        <f t="shared" si="21"/>
        <v>dv360</v>
      </c>
      <c r="AK17" s="15" t="str">
        <f t="shared" si="22"/>
        <v>Programmatic</v>
      </c>
      <c r="AL17" s="21" t="str">
        <f>Campanha!$B$3</f>
        <v>BR_AAF_DSY_NONMS_ND_AS_2021Q1FEV_AFS_After-Sales</v>
      </c>
      <c r="AM17" s="21" t="str">
        <f t="shared" si="16"/>
        <v>BR_VW_AFS_dv360_DIS_PROG_CPM_STD_LDR_AAF_RON_CXD_After-Sales-Nova-VW-Reg02-KWs_PD_300x250</v>
      </c>
      <c r="AN17" s="15" t="s">
        <v>809</v>
      </c>
    </row>
    <row r="18" spans="2:40" hidden="1" x14ac:dyDescent="0.25">
      <c r="B18" s="15" t="s">
        <v>1098</v>
      </c>
      <c r="C18" s="15" t="s">
        <v>1114</v>
      </c>
      <c r="D18" s="15" t="s">
        <v>877</v>
      </c>
      <c r="E18" s="22">
        <v>44236</v>
      </c>
      <c r="F18" s="22">
        <v>44255</v>
      </c>
      <c r="G18" s="31" t="s">
        <v>674</v>
      </c>
      <c r="H18" s="31" t="s">
        <v>811</v>
      </c>
      <c r="I18" s="31" t="s">
        <v>702</v>
      </c>
      <c r="J18" s="31" t="s">
        <v>325</v>
      </c>
      <c r="K18" s="31" t="s">
        <v>334</v>
      </c>
      <c r="L18" s="31" t="s">
        <v>358</v>
      </c>
      <c r="M18" s="31" t="s">
        <v>322</v>
      </c>
      <c r="N18" s="31" t="s">
        <v>708</v>
      </c>
      <c r="O18" s="31" t="s">
        <v>694</v>
      </c>
      <c r="P18" s="15" t="s">
        <v>882</v>
      </c>
      <c r="Q18" s="31" t="s">
        <v>878</v>
      </c>
      <c r="R18" s="15" t="s">
        <v>835</v>
      </c>
      <c r="S18" s="15" t="s">
        <v>348</v>
      </c>
      <c r="T18" s="31" t="s">
        <v>614</v>
      </c>
      <c r="AC18" s="23" t="s">
        <v>841</v>
      </c>
      <c r="AD18" s="15" t="str">
        <f t="shared" si="0"/>
        <v>295759185</v>
      </c>
      <c r="AE18" s="21" t="str">
        <f t="shared" si="9"/>
        <v>BR_VW_AFS_dv360_DIS_PROG_CPM_STD_LDR_AAF_RON_CXD_After-Sales-Nova-VW-Reg02-KWs_PD_728x90</v>
      </c>
      <c r="AF18" s="21" t="str">
        <f t="shared" si="10"/>
        <v>BR_VW_AFS_dv360_DIS_PROG_CPM_STD_LDR_AAF_RON_CXD_After-Sales-Nova-VW-Reg02-KWs_PD_728x90</v>
      </c>
      <c r="AG18" s="21" t="str">
        <f t="shared" si="11"/>
        <v>VW_After-Sales-KWs_728x90_After-Sales-Nova-VW-Reg02-adserver</v>
      </c>
      <c r="AH18" s="21" t="str">
        <f t="shared" si="12"/>
        <v>https://posvendas.vw.com.br/?utm_source=dv360&amp;utm_medium=Programmatic&amp;utm_content=BR_VW_AFS_dv360_DIS_PROG_CPM_STD_LDR_AAF_RON_CXD_After-Sales-Nova-VW-Reg02-KWs_PD_728x90&amp;utm_campaign=BR_AAF_DSY_NONMS_ND_AS_2021Q1FEV_AFS_After-Sales&amp;utm_term=%epid!_%ecid!_%eaid!</v>
      </c>
      <c r="AI18" s="21" t="str">
        <f t="shared" si="13"/>
        <v>TAG</v>
      </c>
      <c r="AJ18" s="15" t="str">
        <f t="shared" si="21"/>
        <v>dv360</v>
      </c>
      <c r="AK18" s="15" t="str">
        <f t="shared" si="22"/>
        <v>Programmatic</v>
      </c>
      <c r="AL18" s="21" t="str">
        <f>Campanha!$B$3</f>
        <v>BR_AAF_DSY_NONMS_ND_AS_2021Q1FEV_AFS_After-Sales</v>
      </c>
      <c r="AM18" s="21" t="str">
        <f t="shared" si="16"/>
        <v>BR_VW_AFS_dv360_DIS_PROG_CPM_STD_LDR_AAF_RON_CXD_After-Sales-Nova-VW-Reg02-KWs_PD_728x90</v>
      </c>
      <c r="AN18" s="15" t="s">
        <v>809</v>
      </c>
    </row>
    <row r="19" spans="2:40" hidden="1" x14ac:dyDescent="0.25">
      <c r="B19" s="15" t="s">
        <v>1098</v>
      </c>
      <c r="C19" s="15" t="s">
        <v>1114</v>
      </c>
      <c r="D19" s="15" t="s">
        <v>877</v>
      </c>
      <c r="E19" s="22">
        <v>44236</v>
      </c>
      <c r="F19" s="22">
        <v>44255</v>
      </c>
      <c r="G19" s="31" t="s">
        <v>674</v>
      </c>
      <c r="H19" s="31" t="s">
        <v>811</v>
      </c>
      <c r="I19" s="31" t="s">
        <v>702</v>
      </c>
      <c r="J19" s="31" t="s">
        <v>325</v>
      </c>
      <c r="K19" s="31" t="s">
        <v>334</v>
      </c>
      <c r="L19" s="31" t="s">
        <v>358</v>
      </c>
      <c r="M19" s="31" t="s">
        <v>322</v>
      </c>
      <c r="N19" s="31" t="s">
        <v>708</v>
      </c>
      <c r="O19" s="31" t="s">
        <v>694</v>
      </c>
      <c r="P19" s="15" t="s">
        <v>882</v>
      </c>
      <c r="Q19" s="31" t="s">
        <v>878</v>
      </c>
      <c r="R19" s="15" t="s">
        <v>835</v>
      </c>
      <c r="S19" s="15" t="s">
        <v>348</v>
      </c>
      <c r="T19" s="31" t="s">
        <v>652</v>
      </c>
      <c r="AC19" s="23" t="s">
        <v>841</v>
      </c>
      <c r="AD19" s="15" t="str">
        <f t="shared" si="0"/>
        <v>295759182</v>
      </c>
      <c r="AE19" s="21" t="str">
        <f t="shared" si="9"/>
        <v>BR_VW_AFS_dv360_DIS_PROG_CPM_STD_LDR_AAF_RON_CXD_After-Sales-Nova-VW-Reg02-KWs_PD_970x250</v>
      </c>
      <c r="AF19" s="21" t="str">
        <f t="shared" si="10"/>
        <v>BR_VW_AFS_dv360_DIS_PROG_CPM_STD_LDR_AAF_RON_CXD_After-Sales-Nova-VW-Reg02-KWs_PD_970x250</v>
      </c>
      <c r="AG19" s="21" t="str">
        <f t="shared" si="11"/>
        <v>VW_After-Sales-KWs_970x250_After-Sales-Nova-VW-Reg02-adserver</v>
      </c>
      <c r="AH19" s="21" t="str">
        <f t="shared" si="12"/>
        <v>https://posvendas.vw.com.br/?utm_source=dv360&amp;utm_medium=Programmatic&amp;utm_content=BR_VW_AFS_dv360_DIS_PROG_CPM_STD_LDR_AAF_RON_CXD_After-Sales-Nova-VW-Reg02-KWs_PD_970x250&amp;utm_campaign=BR_AAF_DSY_NONMS_ND_AS_2021Q1FEV_AFS_After-Sales&amp;utm_term=%epid!_%ecid!_%eaid!</v>
      </c>
      <c r="AI19" s="21" t="str">
        <f t="shared" si="13"/>
        <v>TAG</v>
      </c>
      <c r="AJ19" s="15" t="str">
        <f t="shared" si="21"/>
        <v>dv360</v>
      </c>
      <c r="AK19" s="15" t="str">
        <f t="shared" si="22"/>
        <v>Programmatic</v>
      </c>
      <c r="AL19" s="21" t="str">
        <f>Campanha!$B$3</f>
        <v>BR_AAF_DSY_NONMS_ND_AS_2021Q1FEV_AFS_After-Sales</v>
      </c>
      <c r="AM19" s="21" t="str">
        <f t="shared" si="16"/>
        <v>BR_VW_AFS_dv360_DIS_PROG_CPM_STD_LDR_AAF_RON_CXD_After-Sales-Nova-VW-Reg02-KWs_PD_970x250</v>
      </c>
      <c r="AN19" s="15" t="s">
        <v>809</v>
      </c>
    </row>
    <row r="20" spans="2:40" hidden="1" x14ac:dyDescent="0.25">
      <c r="B20" s="15" t="s">
        <v>1098</v>
      </c>
      <c r="C20" s="15" t="s">
        <v>1114</v>
      </c>
      <c r="D20" s="15" t="s">
        <v>877</v>
      </c>
      <c r="E20" s="22">
        <v>44236</v>
      </c>
      <c r="F20" s="22">
        <v>44255</v>
      </c>
      <c r="G20" s="31" t="s">
        <v>674</v>
      </c>
      <c r="H20" s="31" t="s">
        <v>811</v>
      </c>
      <c r="I20" s="31" t="s">
        <v>702</v>
      </c>
      <c r="J20" s="31" t="s">
        <v>325</v>
      </c>
      <c r="K20" s="31" t="s">
        <v>334</v>
      </c>
      <c r="L20" s="31" t="s">
        <v>358</v>
      </c>
      <c r="M20" s="31" t="s">
        <v>322</v>
      </c>
      <c r="N20" s="31" t="s">
        <v>708</v>
      </c>
      <c r="O20" s="31" t="s">
        <v>694</v>
      </c>
      <c r="P20" s="15" t="s">
        <v>882</v>
      </c>
      <c r="Q20" s="31" t="s">
        <v>879</v>
      </c>
      <c r="R20" s="15" t="s">
        <v>835</v>
      </c>
      <c r="S20" s="15" t="s">
        <v>348</v>
      </c>
      <c r="T20" s="31" t="s">
        <v>457</v>
      </c>
      <c r="AC20" s="23" t="s">
        <v>841</v>
      </c>
      <c r="AD20" s="15" t="str">
        <f t="shared" si="0"/>
        <v>295759179</v>
      </c>
      <c r="AE20" s="21" t="str">
        <f t="shared" si="9"/>
        <v>BR_VW_AFS_dv360_DIS_PROG_CPM_STD_LDR_AAF_RON_CXD_After-Sales-Nova-VW-Reg02-Categories_PD_160x600</v>
      </c>
      <c r="AF20" s="21" t="str">
        <f t="shared" si="10"/>
        <v>BR_VW_AFS_dv360_DIS_PROG_CPM_STD_LDR_AAF_RON_CXD_After-Sales-Nova-VW-Reg02-Categories_PD_160x600</v>
      </c>
      <c r="AG20" s="21" t="str">
        <f t="shared" si="11"/>
        <v>VW_After-Sales-Categories_160x600_After-Sales-Nova-VW-Reg02-adserver</v>
      </c>
      <c r="AH20" s="21" t="str">
        <f t="shared" si="12"/>
        <v>https://posvendas.vw.com.br/?utm_source=dv360&amp;utm_medium=Programmatic&amp;utm_content=BR_VW_AFS_dv360_DIS_PROG_CPM_STD_LDR_AAF_RON_CXD_After-Sales-Nova-VW-Reg02-Categories_PD_160x600&amp;utm_campaign=BR_AAF_DSY_NONMS_ND_AS_2021Q1FEV_AFS_After-Sales&amp;utm_term=%epid!_%ecid!_%eaid!</v>
      </c>
      <c r="AI20" s="21" t="str">
        <f t="shared" si="13"/>
        <v>TAG</v>
      </c>
      <c r="AJ20" s="15" t="str">
        <f t="shared" si="21"/>
        <v>dv360</v>
      </c>
      <c r="AK20" s="15" t="str">
        <f t="shared" si="22"/>
        <v>Programmatic</v>
      </c>
      <c r="AL20" s="21" t="str">
        <f>Campanha!$B$3</f>
        <v>BR_AAF_DSY_NONMS_ND_AS_2021Q1FEV_AFS_After-Sales</v>
      </c>
      <c r="AM20" s="21" t="str">
        <f t="shared" si="16"/>
        <v>BR_VW_AFS_dv360_DIS_PROG_CPM_STD_LDR_AAF_RON_CXD_After-Sales-Nova-VW-Reg02-Categories_PD_160x600</v>
      </c>
      <c r="AN20" s="15" t="s">
        <v>809</v>
      </c>
    </row>
    <row r="21" spans="2:40" hidden="1" x14ac:dyDescent="0.25">
      <c r="B21" s="15" t="s">
        <v>1098</v>
      </c>
      <c r="C21" s="15" t="s">
        <v>1114</v>
      </c>
      <c r="D21" s="15" t="s">
        <v>877</v>
      </c>
      <c r="E21" s="22">
        <v>44236</v>
      </c>
      <c r="F21" s="22">
        <v>44255</v>
      </c>
      <c r="G21" s="31" t="s">
        <v>674</v>
      </c>
      <c r="H21" s="31" t="s">
        <v>811</v>
      </c>
      <c r="I21" s="31" t="s">
        <v>702</v>
      </c>
      <c r="J21" s="31" t="s">
        <v>325</v>
      </c>
      <c r="K21" s="31" t="s">
        <v>334</v>
      </c>
      <c r="L21" s="31" t="s">
        <v>358</v>
      </c>
      <c r="M21" s="31" t="s">
        <v>322</v>
      </c>
      <c r="N21" s="31" t="s">
        <v>708</v>
      </c>
      <c r="O21" s="31" t="s">
        <v>694</v>
      </c>
      <c r="P21" s="15" t="s">
        <v>882</v>
      </c>
      <c r="Q21" s="31" t="s">
        <v>879</v>
      </c>
      <c r="R21" s="15" t="s">
        <v>835</v>
      </c>
      <c r="S21" s="15" t="s">
        <v>348</v>
      </c>
      <c r="T21" s="31" t="s">
        <v>484</v>
      </c>
      <c r="AC21" s="23" t="s">
        <v>841</v>
      </c>
      <c r="AD21" s="15" t="str">
        <f t="shared" si="0"/>
        <v>295759176</v>
      </c>
      <c r="AE21" s="21" t="str">
        <f t="shared" si="9"/>
        <v>BR_VW_AFS_dv360_DIS_PROG_CPM_STD_LDR_AAF_RON_CXD_After-Sales-Nova-VW-Reg02-Categories_PD_300x50</v>
      </c>
      <c r="AF21" s="21" t="str">
        <f t="shared" si="10"/>
        <v>BR_VW_AFS_dv360_DIS_PROG_CPM_STD_LDR_AAF_RON_CXD_After-Sales-Nova-VW-Reg02-Categories_PD_300x50</v>
      </c>
      <c r="AG21" s="21" t="str">
        <f t="shared" si="11"/>
        <v>VW_After-Sales-Categories_300x50_After-Sales-Nova-VW-Reg02-adserver</v>
      </c>
      <c r="AH21" s="21" t="str">
        <f t="shared" si="12"/>
        <v>https://posvendas.vw.com.br/?utm_source=dv360&amp;utm_medium=Programmatic&amp;utm_content=BR_VW_AFS_dv360_DIS_PROG_CPM_STD_LDR_AAF_RON_CXD_After-Sales-Nova-VW-Reg02-Categories_PD_300x50&amp;utm_campaign=BR_AAF_DSY_NONMS_ND_AS_2021Q1FEV_AFS_After-Sales&amp;utm_term=%epid!_%ecid!_%eaid!</v>
      </c>
      <c r="AI21" s="21" t="str">
        <f t="shared" si="13"/>
        <v>TAG</v>
      </c>
      <c r="AJ21" s="15" t="str">
        <f t="shared" si="21"/>
        <v>dv360</v>
      </c>
      <c r="AK21" s="15" t="str">
        <f t="shared" si="22"/>
        <v>Programmatic</v>
      </c>
      <c r="AL21" s="21" t="str">
        <f>Campanha!$B$3</f>
        <v>BR_AAF_DSY_NONMS_ND_AS_2021Q1FEV_AFS_After-Sales</v>
      </c>
      <c r="AM21" s="21" t="str">
        <f t="shared" si="16"/>
        <v>BR_VW_AFS_dv360_DIS_PROG_CPM_STD_LDR_AAF_RON_CXD_After-Sales-Nova-VW-Reg02-Categories_PD_300x50</v>
      </c>
      <c r="AN21" s="15" t="s">
        <v>809</v>
      </c>
    </row>
    <row r="22" spans="2:40" hidden="1" x14ac:dyDescent="0.25">
      <c r="B22" s="15" t="s">
        <v>1098</v>
      </c>
      <c r="C22" s="15" t="s">
        <v>1114</v>
      </c>
      <c r="D22" s="15" t="s">
        <v>877</v>
      </c>
      <c r="E22" s="22">
        <v>44236</v>
      </c>
      <c r="F22" s="22">
        <v>44255</v>
      </c>
      <c r="G22" s="31" t="s">
        <v>674</v>
      </c>
      <c r="H22" s="31" t="s">
        <v>811</v>
      </c>
      <c r="I22" s="31" t="s">
        <v>702</v>
      </c>
      <c r="J22" s="31" t="s">
        <v>325</v>
      </c>
      <c r="K22" s="31" t="s">
        <v>334</v>
      </c>
      <c r="L22" s="31" t="s">
        <v>358</v>
      </c>
      <c r="M22" s="31" t="s">
        <v>322</v>
      </c>
      <c r="N22" s="31" t="s">
        <v>708</v>
      </c>
      <c r="O22" s="31" t="s">
        <v>694</v>
      </c>
      <c r="P22" s="15" t="s">
        <v>882</v>
      </c>
      <c r="Q22" s="31" t="s">
        <v>879</v>
      </c>
      <c r="R22" s="15" t="s">
        <v>835</v>
      </c>
      <c r="S22" s="15" t="s">
        <v>348</v>
      </c>
      <c r="T22" s="31" t="s">
        <v>478</v>
      </c>
      <c r="AC22" s="23" t="s">
        <v>841</v>
      </c>
      <c r="AD22" s="15" t="str">
        <f t="shared" si="0"/>
        <v>295759173</v>
      </c>
      <c r="AE22" s="21" t="str">
        <f t="shared" si="9"/>
        <v>BR_VW_AFS_dv360_DIS_PROG_CPM_STD_LDR_AAF_RON_CXD_After-Sales-Nova-VW-Reg02-Categories_PD_300x250</v>
      </c>
      <c r="AF22" s="21" t="str">
        <f t="shared" si="10"/>
        <v>BR_VW_AFS_dv360_DIS_PROG_CPM_STD_LDR_AAF_RON_CXD_After-Sales-Nova-VW-Reg02-Categories_PD_300x250</v>
      </c>
      <c r="AG22" s="21" t="str">
        <f t="shared" si="11"/>
        <v>VW_After-Sales-Categories_300x250_After-Sales-Nova-VW-Reg02-adserver</v>
      </c>
      <c r="AH22" s="21" t="str">
        <f t="shared" si="12"/>
        <v>https://posvendas.vw.com.br/?utm_source=dv360&amp;utm_medium=Programmatic&amp;utm_content=BR_VW_AFS_dv360_DIS_PROG_CPM_STD_LDR_AAF_RON_CXD_After-Sales-Nova-VW-Reg02-Categories_PD_300x250&amp;utm_campaign=BR_AAF_DSY_NONMS_ND_AS_2021Q1FEV_AFS_After-Sales&amp;utm_term=%epid!_%ecid!_%eaid!</v>
      </c>
      <c r="AI22" s="21" t="str">
        <f t="shared" si="13"/>
        <v>TAG</v>
      </c>
      <c r="AJ22" s="15" t="str">
        <f t="shared" si="21"/>
        <v>dv360</v>
      </c>
      <c r="AK22" s="15" t="str">
        <f t="shared" si="22"/>
        <v>Programmatic</v>
      </c>
      <c r="AL22" s="21" t="str">
        <f>Campanha!$B$3</f>
        <v>BR_AAF_DSY_NONMS_ND_AS_2021Q1FEV_AFS_After-Sales</v>
      </c>
      <c r="AM22" s="21" t="str">
        <f t="shared" si="16"/>
        <v>BR_VW_AFS_dv360_DIS_PROG_CPM_STD_LDR_AAF_RON_CXD_After-Sales-Nova-VW-Reg02-Categories_PD_300x250</v>
      </c>
      <c r="AN22" s="15" t="s">
        <v>809</v>
      </c>
    </row>
    <row r="23" spans="2:40" hidden="1" x14ac:dyDescent="0.25">
      <c r="B23" s="15" t="s">
        <v>1098</v>
      </c>
      <c r="C23" s="15" t="s">
        <v>1114</v>
      </c>
      <c r="D23" s="15" t="s">
        <v>877</v>
      </c>
      <c r="E23" s="22">
        <v>44236</v>
      </c>
      <c r="F23" s="22">
        <v>44255</v>
      </c>
      <c r="G23" s="31" t="s">
        <v>674</v>
      </c>
      <c r="H23" s="31" t="s">
        <v>811</v>
      </c>
      <c r="I23" s="31" t="s">
        <v>702</v>
      </c>
      <c r="J23" s="31" t="s">
        <v>325</v>
      </c>
      <c r="K23" s="31" t="s">
        <v>334</v>
      </c>
      <c r="L23" s="31" t="s">
        <v>358</v>
      </c>
      <c r="M23" s="31" t="s">
        <v>322</v>
      </c>
      <c r="N23" s="31" t="s">
        <v>708</v>
      </c>
      <c r="O23" s="31" t="s">
        <v>694</v>
      </c>
      <c r="P23" s="15" t="s">
        <v>882</v>
      </c>
      <c r="Q23" s="31" t="s">
        <v>879</v>
      </c>
      <c r="R23" s="15" t="s">
        <v>835</v>
      </c>
      <c r="S23" s="15" t="s">
        <v>348</v>
      </c>
      <c r="T23" s="31" t="s">
        <v>614</v>
      </c>
      <c r="AC23" s="23" t="s">
        <v>841</v>
      </c>
      <c r="AD23" s="15" t="str">
        <f t="shared" si="0"/>
        <v>295759170</v>
      </c>
      <c r="AE23" s="21" t="str">
        <f t="shared" si="9"/>
        <v>BR_VW_AFS_dv360_DIS_PROG_CPM_STD_LDR_AAF_RON_CXD_After-Sales-Nova-VW-Reg02-Categories_PD_728x90</v>
      </c>
      <c r="AF23" s="21" t="str">
        <f t="shared" si="10"/>
        <v>BR_VW_AFS_dv360_DIS_PROG_CPM_STD_LDR_AAF_RON_CXD_After-Sales-Nova-VW-Reg02-Categories_PD_728x90</v>
      </c>
      <c r="AG23" s="21" t="str">
        <f t="shared" si="11"/>
        <v>VW_After-Sales-Categories_728x90_After-Sales-Nova-VW-Reg02-adserver</v>
      </c>
      <c r="AH23" s="21" t="str">
        <f t="shared" si="12"/>
        <v>https://posvendas.vw.com.br/?utm_source=dv360&amp;utm_medium=Programmatic&amp;utm_content=BR_VW_AFS_dv360_DIS_PROG_CPM_STD_LDR_AAF_RON_CXD_After-Sales-Nova-VW-Reg02-Categories_PD_728x90&amp;utm_campaign=BR_AAF_DSY_NONMS_ND_AS_2021Q1FEV_AFS_After-Sales&amp;utm_term=%epid!_%ecid!_%eaid!</v>
      </c>
      <c r="AI23" s="21" t="str">
        <f t="shared" si="13"/>
        <v>TAG</v>
      </c>
      <c r="AJ23" s="15" t="str">
        <f t="shared" si="21"/>
        <v>dv360</v>
      </c>
      <c r="AK23" s="15" t="str">
        <f t="shared" si="22"/>
        <v>Programmatic</v>
      </c>
      <c r="AL23" s="21" t="str">
        <f>Campanha!$B$3</f>
        <v>BR_AAF_DSY_NONMS_ND_AS_2021Q1FEV_AFS_After-Sales</v>
      </c>
      <c r="AM23" s="21" t="str">
        <f t="shared" si="16"/>
        <v>BR_VW_AFS_dv360_DIS_PROG_CPM_STD_LDR_AAF_RON_CXD_After-Sales-Nova-VW-Reg02-Categories_PD_728x90</v>
      </c>
      <c r="AN23" s="15" t="s">
        <v>809</v>
      </c>
    </row>
    <row r="24" spans="2:40" hidden="1" x14ac:dyDescent="0.25">
      <c r="B24" s="15" t="s">
        <v>1098</v>
      </c>
      <c r="C24" s="15" t="s">
        <v>1114</v>
      </c>
      <c r="D24" s="15" t="s">
        <v>877</v>
      </c>
      <c r="E24" s="22">
        <v>44236</v>
      </c>
      <c r="F24" s="22">
        <v>44255</v>
      </c>
      <c r="G24" s="31" t="s">
        <v>674</v>
      </c>
      <c r="H24" s="31" t="s">
        <v>811</v>
      </c>
      <c r="I24" s="31" t="s">
        <v>702</v>
      </c>
      <c r="J24" s="31" t="s">
        <v>325</v>
      </c>
      <c r="K24" s="31" t="s">
        <v>334</v>
      </c>
      <c r="L24" s="31" t="s">
        <v>358</v>
      </c>
      <c r="M24" s="31" t="s">
        <v>322</v>
      </c>
      <c r="N24" s="31" t="s">
        <v>708</v>
      </c>
      <c r="O24" s="31" t="s">
        <v>694</v>
      </c>
      <c r="P24" s="15" t="s">
        <v>882</v>
      </c>
      <c r="Q24" s="31" t="s">
        <v>879</v>
      </c>
      <c r="R24" s="15" t="s">
        <v>835</v>
      </c>
      <c r="S24" s="15" t="s">
        <v>348</v>
      </c>
      <c r="T24" s="31" t="s">
        <v>652</v>
      </c>
      <c r="AC24" s="23" t="s">
        <v>841</v>
      </c>
      <c r="AD24" s="15" t="str">
        <f t="shared" si="0"/>
        <v>295759167</v>
      </c>
      <c r="AE24" s="21" t="str">
        <f t="shared" si="9"/>
        <v>BR_VW_AFS_dv360_DIS_PROG_CPM_STD_LDR_AAF_RON_CXD_After-Sales-Nova-VW-Reg02-Categories_PD_970x250</v>
      </c>
      <c r="AF24" s="21" t="str">
        <f t="shared" si="10"/>
        <v>BR_VW_AFS_dv360_DIS_PROG_CPM_STD_LDR_AAF_RON_CXD_After-Sales-Nova-VW-Reg02-Categories_PD_970x250</v>
      </c>
      <c r="AG24" s="21" t="str">
        <f t="shared" si="11"/>
        <v>VW_After-Sales-Categories_970x250_After-Sales-Nova-VW-Reg02-adserver</v>
      </c>
      <c r="AH24" s="21" t="str">
        <f t="shared" si="12"/>
        <v>https://posvendas.vw.com.br/?utm_source=dv360&amp;utm_medium=Programmatic&amp;utm_content=BR_VW_AFS_dv360_DIS_PROG_CPM_STD_LDR_AAF_RON_CXD_After-Sales-Nova-VW-Reg02-Categories_PD_970x250&amp;utm_campaign=BR_AAF_DSY_NONMS_ND_AS_2021Q1FEV_AFS_After-Sales&amp;utm_term=%epid!_%ecid!_%eaid!</v>
      </c>
      <c r="AI24" s="21" t="str">
        <f t="shared" si="13"/>
        <v>TAG</v>
      </c>
      <c r="AJ24" s="15" t="str">
        <f t="shared" si="21"/>
        <v>dv360</v>
      </c>
      <c r="AK24" s="15" t="str">
        <f t="shared" si="22"/>
        <v>Programmatic</v>
      </c>
      <c r="AL24" s="21" t="str">
        <f>Campanha!$B$3</f>
        <v>BR_AAF_DSY_NONMS_ND_AS_2021Q1FEV_AFS_After-Sales</v>
      </c>
      <c r="AM24" s="21" t="str">
        <f t="shared" si="16"/>
        <v>BR_VW_AFS_dv360_DIS_PROG_CPM_STD_LDR_AAF_RON_CXD_After-Sales-Nova-VW-Reg02-Categories_PD_970x250</v>
      </c>
      <c r="AN24" s="15" t="s">
        <v>809</v>
      </c>
    </row>
    <row r="25" spans="2:40" hidden="1" x14ac:dyDescent="0.25">
      <c r="B25" s="15" t="s">
        <v>1098</v>
      </c>
      <c r="C25" s="15" t="s">
        <v>1114</v>
      </c>
      <c r="D25" s="15" t="s">
        <v>877</v>
      </c>
      <c r="E25" s="22">
        <v>44236</v>
      </c>
      <c r="F25" s="22">
        <v>44255</v>
      </c>
      <c r="G25" s="31" t="s">
        <v>674</v>
      </c>
      <c r="H25" s="31" t="s">
        <v>811</v>
      </c>
      <c r="I25" s="31" t="s">
        <v>702</v>
      </c>
      <c r="J25" s="31" t="s">
        <v>325</v>
      </c>
      <c r="K25" s="31" t="s">
        <v>334</v>
      </c>
      <c r="L25" s="31" t="s">
        <v>358</v>
      </c>
      <c r="M25" s="31" t="s">
        <v>322</v>
      </c>
      <c r="N25" s="31" t="s">
        <v>708</v>
      </c>
      <c r="O25" s="31" t="s">
        <v>694</v>
      </c>
      <c r="P25" s="15" t="s">
        <v>882</v>
      </c>
      <c r="Q25" s="31" t="s">
        <v>880</v>
      </c>
      <c r="R25" s="15" t="s">
        <v>835</v>
      </c>
      <c r="S25" s="15" t="s">
        <v>348</v>
      </c>
      <c r="T25" s="31" t="s">
        <v>457</v>
      </c>
      <c r="AC25" s="23" t="s">
        <v>841</v>
      </c>
      <c r="AD25" s="15" t="str">
        <f t="shared" si="0"/>
        <v>295759164</v>
      </c>
      <c r="AE25" s="21" t="str">
        <f t="shared" si="9"/>
        <v>BR_VW_AFS_dv360_DIS_PROG_CPM_STD_LDR_AAF_RON_CXD_After-Sales-Nova-VW-Reg02-In-Market_PD_160x600</v>
      </c>
      <c r="AF25" s="21" t="str">
        <f t="shared" si="10"/>
        <v>BR_VW_AFS_dv360_DIS_PROG_CPM_STD_LDR_AAF_RON_CXD_After-Sales-Nova-VW-Reg02-In-Market_PD_160x600</v>
      </c>
      <c r="AG25" s="21" t="str">
        <f t="shared" si="11"/>
        <v>VW_After-Sales-In-Market_160x600_After-Sales-Nova-VW-Reg02-adserver</v>
      </c>
      <c r="AH25" s="21" t="str">
        <f t="shared" si="12"/>
        <v>https://posvendas.vw.com.br/?utm_source=dv360&amp;utm_medium=Programmatic&amp;utm_content=BR_VW_AFS_dv360_DIS_PROG_CPM_STD_LDR_AAF_RON_CXD_After-Sales-Nova-VW-Reg02-In-Market_PD_160x600&amp;utm_campaign=BR_AAF_DSY_NONMS_ND_AS_2021Q1FEV_AFS_After-Sales&amp;utm_term=%epid!_%ecid!_%eaid!</v>
      </c>
      <c r="AI25" s="21" t="str">
        <f t="shared" si="13"/>
        <v>TAG</v>
      </c>
      <c r="AJ25" s="15" t="str">
        <f t="shared" si="21"/>
        <v>dv360</v>
      </c>
      <c r="AK25" s="15" t="str">
        <f t="shared" si="22"/>
        <v>Programmatic</v>
      </c>
      <c r="AL25" s="21" t="str">
        <f>Campanha!$B$3</f>
        <v>BR_AAF_DSY_NONMS_ND_AS_2021Q1FEV_AFS_After-Sales</v>
      </c>
      <c r="AM25" s="21" t="str">
        <f t="shared" si="16"/>
        <v>BR_VW_AFS_dv360_DIS_PROG_CPM_STD_LDR_AAF_RON_CXD_After-Sales-Nova-VW-Reg02-In-Market_PD_160x600</v>
      </c>
      <c r="AN25" s="15" t="s">
        <v>809</v>
      </c>
    </row>
    <row r="26" spans="2:40" hidden="1" x14ac:dyDescent="0.25">
      <c r="B26" s="15" t="s">
        <v>1098</v>
      </c>
      <c r="C26" s="15" t="s">
        <v>1114</v>
      </c>
      <c r="D26" s="15" t="s">
        <v>877</v>
      </c>
      <c r="E26" s="22">
        <v>44236</v>
      </c>
      <c r="F26" s="22">
        <v>44255</v>
      </c>
      <c r="G26" s="31" t="s">
        <v>674</v>
      </c>
      <c r="H26" s="31" t="s">
        <v>811</v>
      </c>
      <c r="I26" s="31" t="s">
        <v>702</v>
      </c>
      <c r="J26" s="31" t="s">
        <v>325</v>
      </c>
      <c r="K26" s="31" t="s">
        <v>334</v>
      </c>
      <c r="L26" s="31" t="s">
        <v>358</v>
      </c>
      <c r="M26" s="31" t="s">
        <v>322</v>
      </c>
      <c r="N26" s="31" t="s">
        <v>708</v>
      </c>
      <c r="O26" s="31" t="s">
        <v>694</v>
      </c>
      <c r="P26" s="15" t="s">
        <v>882</v>
      </c>
      <c r="Q26" s="31" t="s">
        <v>880</v>
      </c>
      <c r="R26" s="15" t="s">
        <v>835</v>
      </c>
      <c r="S26" s="15" t="s">
        <v>348</v>
      </c>
      <c r="T26" s="31" t="s">
        <v>484</v>
      </c>
      <c r="AC26" s="23" t="s">
        <v>841</v>
      </c>
      <c r="AD26" s="15" t="str">
        <f t="shared" si="0"/>
        <v>295759161</v>
      </c>
      <c r="AE26" s="21" t="str">
        <f t="shared" si="9"/>
        <v>BR_VW_AFS_dv360_DIS_PROG_CPM_STD_LDR_AAF_RON_CXD_After-Sales-Nova-VW-Reg02-In-Market_PD_300x50</v>
      </c>
      <c r="AF26" s="21" t="str">
        <f t="shared" si="10"/>
        <v>BR_VW_AFS_dv360_DIS_PROG_CPM_STD_LDR_AAF_RON_CXD_After-Sales-Nova-VW-Reg02-In-Market_PD_300x50</v>
      </c>
      <c r="AG26" s="21" t="str">
        <f t="shared" si="11"/>
        <v>VW_After-Sales-In-Market_300x50_After-Sales-Nova-VW-Reg02-adserver</v>
      </c>
      <c r="AH26" s="21" t="str">
        <f t="shared" si="12"/>
        <v>https://posvendas.vw.com.br/?utm_source=dv360&amp;utm_medium=Programmatic&amp;utm_content=BR_VW_AFS_dv360_DIS_PROG_CPM_STD_LDR_AAF_RON_CXD_After-Sales-Nova-VW-Reg02-In-Market_PD_300x50&amp;utm_campaign=BR_AAF_DSY_NONMS_ND_AS_2021Q1FEV_AFS_After-Sales&amp;utm_term=%epid!_%ecid!_%eaid!</v>
      </c>
      <c r="AI26" s="21" t="str">
        <f t="shared" si="13"/>
        <v>TAG</v>
      </c>
      <c r="AJ26" s="15" t="str">
        <f t="shared" si="21"/>
        <v>dv360</v>
      </c>
      <c r="AK26" s="15" t="str">
        <f t="shared" si="22"/>
        <v>Programmatic</v>
      </c>
      <c r="AL26" s="21" t="str">
        <f>Campanha!$B$3</f>
        <v>BR_AAF_DSY_NONMS_ND_AS_2021Q1FEV_AFS_After-Sales</v>
      </c>
      <c r="AM26" s="21" t="str">
        <f t="shared" si="16"/>
        <v>BR_VW_AFS_dv360_DIS_PROG_CPM_STD_LDR_AAF_RON_CXD_After-Sales-Nova-VW-Reg02-In-Market_PD_300x50</v>
      </c>
      <c r="AN26" s="15" t="s">
        <v>809</v>
      </c>
    </row>
    <row r="27" spans="2:40" hidden="1" x14ac:dyDescent="0.25">
      <c r="B27" s="15" t="s">
        <v>1098</v>
      </c>
      <c r="C27" s="15" t="s">
        <v>1114</v>
      </c>
      <c r="D27" s="15" t="s">
        <v>877</v>
      </c>
      <c r="E27" s="22">
        <v>44236</v>
      </c>
      <c r="F27" s="22">
        <v>44255</v>
      </c>
      <c r="G27" s="31" t="s">
        <v>674</v>
      </c>
      <c r="H27" s="31" t="s">
        <v>811</v>
      </c>
      <c r="I27" s="31" t="s">
        <v>702</v>
      </c>
      <c r="J27" s="31" t="s">
        <v>325</v>
      </c>
      <c r="K27" s="31" t="s">
        <v>334</v>
      </c>
      <c r="L27" s="31" t="s">
        <v>358</v>
      </c>
      <c r="M27" s="31" t="s">
        <v>322</v>
      </c>
      <c r="N27" s="31" t="s">
        <v>708</v>
      </c>
      <c r="O27" s="31" t="s">
        <v>694</v>
      </c>
      <c r="P27" s="15" t="s">
        <v>882</v>
      </c>
      <c r="Q27" s="31" t="s">
        <v>880</v>
      </c>
      <c r="R27" s="15" t="s">
        <v>835</v>
      </c>
      <c r="S27" s="15" t="s">
        <v>348</v>
      </c>
      <c r="T27" s="31" t="s">
        <v>478</v>
      </c>
      <c r="AC27" s="23" t="s">
        <v>841</v>
      </c>
      <c r="AD27" s="15" t="str">
        <f t="shared" si="0"/>
        <v>295759158</v>
      </c>
      <c r="AE27" s="21" t="str">
        <f t="shared" si="9"/>
        <v>BR_VW_AFS_dv360_DIS_PROG_CPM_STD_LDR_AAF_RON_CXD_After-Sales-Nova-VW-Reg02-In-Market_PD_300x250</v>
      </c>
      <c r="AF27" s="21" t="str">
        <f t="shared" si="10"/>
        <v>BR_VW_AFS_dv360_DIS_PROG_CPM_STD_LDR_AAF_RON_CXD_After-Sales-Nova-VW-Reg02-In-Market_PD_300x250</v>
      </c>
      <c r="AG27" s="21" t="str">
        <f t="shared" si="11"/>
        <v>VW_After-Sales-In-Market_300x250_After-Sales-Nova-VW-Reg02-adserver</v>
      </c>
      <c r="AH27" s="21" t="str">
        <f t="shared" si="12"/>
        <v>https://posvendas.vw.com.br/?utm_source=dv360&amp;utm_medium=Programmatic&amp;utm_content=BR_VW_AFS_dv360_DIS_PROG_CPM_STD_LDR_AAF_RON_CXD_After-Sales-Nova-VW-Reg02-In-Market_PD_300x250&amp;utm_campaign=BR_AAF_DSY_NONMS_ND_AS_2021Q1FEV_AFS_After-Sales&amp;utm_term=%epid!_%ecid!_%eaid!</v>
      </c>
      <c r="AI27" s="21" t="str">
        <f t="shared" si="13"/>
        <v>TAG</v>
      </c>
      <c r="AJ27" s="15" t="str">
        <f t="shared" si="21"/>
        <v>dv360</v>
      </c>
      <c r="AK27" s="15" t="str">
        <f t="shared" si="22"/>
        <v>Programmatic</v>
      </c>
      <c r="AL27" s="21" t="str">
        <f>Campanha!$B$3</f>
        <v>BR_AAF_DSY_NONMS_ND_AS_2021Q1FEV_AFS_After-Sales</v>
      </c>
      <c r="AM27" s="21" t="str">
        <f t="shared" si="16"/>
        <v>BR_VW_AFS_dv360_DIS_PROG_CPM_STD_LDR_AAF_RON_CXD_After-Sales-Nova-VW-Reg02-In-Market_PD_300x250</v>
      </c>
      <c r="AN27" s="15" t="s">
        <v>809</v>
      </c>
    </row>
    <row r="28" spans="2:40" hidden="1" x14ac:dyDescent="0.25">
      <c r="B28" s="15" t="s">
        <v>1098</v>
      </c>
      <c r="C28" s="15" t="s">
        <v>1114</v>
      </c>
      <c r="D28" s="15" t="s">
        <v>877</v>
      </c>
      <c r="E28" s="22">
        <v>44236</v>
      </c>
      <c r="F28" s="22">
        <v>44255</v>
      </c>
      <c r="G28" s="31" t="s">
        <v>674</v>
      </c>
      <c r="H28" s="31" t="s">
        <v>811</v>
      </c>
      <c r="I28" s="31" t="s">
        <v>702</v>
      </c>
      <c r="J28" s="31" t="s">
        <v>325</v>
      </c>
      <c r="K28" s="31" t="s">
        <v>334</v>
      </c>
      <c r="L28" s="31" t="s">
        <v>358</v>
      </c>
      <c r="M28" s="31" t="s">
        <v>322</v>
      </c>
      <c r="N28" s="31" t="s">
        <v>708</v>
      </c>
      <c r="O28" s="31" t="s">
        <v>694</v>
      </c>
      <c r="P28" s="15" t="s">
        <v>882</v>
      </c>
      <c r="Q28" s="31" t="s">
        <v>880</v>
      </c>
      <c r="R28" s="15" t="s">
        <v>835</v>
      </c>
      <c r="S28" s="15" t="s">
        <v>348</v>
      </c>
      <c r="T28" s="31" t="s">
        <v>614</v>
      </c>
      <c r="AC28" s="23" t="s">
        <v>841</v>
      </c>
      <c r="AD28" s="15" t="str">
        <f t="shared" si="0"/>
        <v>295759155</v>
      </c>
      <c r="AE28" s="21" t="str">
        <f t="shared" si="9"/>
        <v>BR_VW_AFS_dv360_DIS_PROG_CPM_STD_LDR_AAF_RON_CXD_After-Sales-Nova-VW-Reg02-In-Market_PD_728x90</v>
      </c>
      <c r="AF28" s="21" t="str">
        <f t="shared" si="10"/>
        <v>BR_VW_AFS_dv360_DIS_PROG_CPM_STD_LDR_AAF_RON_CXD_After-Sales-Nova-VW-Reg02-In-Market_PD_728x90</v>
      </c>
      <c r="AG28" s="21" t="str">
        <f t="shared" si="11"/>
        <v>VW_After-Sales-In-Market_728x90_After-Sales-Nova-VW-Reg02-adserver</v>
      </c>
      <c r="AH28" s="21" t="str">
        <f t="shared" si="12"/>
        <v>https://posvendas.vw.com.br/?utm_source=dv360&amp;utm_medium=Programmatic&amp;utm_content=BR_VW_AFS_dv360_DIS_PROG_CPM_STD_LDR_AAF_RON_CXD_After-Sales-Nova-VW-Reg02-In-Market_PD_728x90&amp;utm_campaign=BR_AAF_DSY_NONMS_ND_AS_2021Q1FEV_AFS_After-Sales&amp;utm_term=%epid!_%ecid!_%eaid!</v>
      </c>
      <c r="AI28" s="21" t="str">
        <f t="shared" si="13"/>
        <v>TAG</v>
      </c>
      <c r="AJ28" s="15" t="str">
        <f t="shared" si="21"/>
        <v>dv360</v>
      </c>
      <c r="AK28" s="15" t="str">
        <f t="shared" si="22"/>
        <v>Programmatic</v>
      </c>
      <c r="AL28" s="21" t="str">
        <f>Campanha!$B$3</f>
        <v>BR_AAF_DSY_NONMS_ND_AS_2021Q1FEV_AFS_After-Sales</v>
      </c>
      <c r="AM28" s="21" t="str">
        <f t="shared" si="16"/>
        <v>BR_VW_AFS_dv360_DIS_PROG_CPM_STD_LDR_AAF_RON_CXD_After-Sales-Nova-VW-Reg02-In-Market_PD_728x90</v>
      </c>
      <c r="AN28" s="15" t="s">
        <v>809</v>
      </c>
    </row>
    <row r="29" spans="2:40" hidden="1" x14ac:dyDescent="0.25">
      <c r="B29" s="15" t="s">
        <v>1098</v>
      </c>
      <c r="C29" s="15" t="s">
        <v>1114</v>
      </c>
      <c r="D29" s="15" t="s">
        <v>877</v>
      </c>
      <c r="E29" s="22">
        <v>44236</v>
      </c>
      <c r="F29" s="22">
        <v>44255</v>
      </c>
      <c r="G29" s="31" t="s">
        <v>674</v>
      </c>
      <c r="H29" s="31" t="s">
        <v>811</v>
      </c>
      <c r="I29" s="31" t="s">
        <v>702</v>
      </c>
      <c r="J29" s="31" t="s">
        <v>325</v>
      </c>
      <c r="K29" s="31" t="s">
        <v>334</v>
      </c>
      <c r="L29" s="31" t="s">
        <v>358</v>
      </c>
      <c r="M29" s="31" t="s">
        <v>322</v>
      </c>
      <c r="N29" s="31" t="s">
        <v>708</v>
      </c>
      <c r="O29" s="31" t="s">
        <v>694</v>
      </c>
      <c r="P29" s="15" t="s">
        <v>882</v>
      </c>
      <c r="Q29" s="31" t="s">
        <v>880</v>
      </c>
      <c r="R29" s="15" t="s">
        <v>835</v>
      </c>
      <c r="S29" s="15" t="s">
        <v>348</v>
      </c>
      <c r="T29" s="31" t="s">
        <v>652</v>
      </c>
      <c r="AC29" s="23" t="s">
        <v>841</v>
      </c>
      <c r="AD29" s="15" t="str">
        <f t="shared" si="0"/>
        <v>295759152</v>
      </c>
      <c r="AE29" s="21" t="str">
        <f t="shared" si="9"/>
        <v>BR_VW_AFS_dv360_DIS_PROG_CPM_STD_LDR_AAF_RON_CXD_After-Sales-Nova-VW-Reg02-In-Market_PD_970x250</v>
      </c>
      <c r="AF29" s="21" t="str">
        <f t="shared" si="10"/>
        <v>BR_VW_AFS_dv360_DIS_PROG_CPM_STD_LDR_AAF_RON_CXD_After-Sales-Nova-VW-Reg02-In-Market_PD_970x250</v>
      </c>
      <c r="AG29" s="21" t="str">
        <f t="shared" si="11"/>
        <v>VW_After-Sales-In-Market_970x250_After-Sales-Nova-VW-Reg02-adserver</v>
      </c>
      <c r="AH29" s="21" t="str">
        <f t="shared" si="12"/>
        <v>https://posvendas.vw.com.br/?utm_source=dv360&amp;utm_medium=Programmatic&amp;utm_content=BR_VW_AFS_dv360_DIS_PROG_CPM_STD_LDR_AAF_RON_CXD_After-Sales-Nova-VW-Reg02-In-Market_PD_970x250&amp;utm_campaign=BR_AAF_DSY_NONMS_ND_AS_2021Q1FEV_AFS_After-Sales&amp;utm_term=%epid!_%ecid!_%eaid!</v>
      </c>
      <c r="AI29" s="21" t="str">
        <f t="shared" si="13"/>
        <v>TAG</v>
      </c>
      <c r="AJ29" s="15" t="str">
        <f t="shared" si="21"/>
        <v>dv360</v>
      </c>
      <c r="AK29" s="15" t="str">
        <f t="shared" si="22"/>
        <v>Programmatic</v>
      </c>
      <c r="AL29" s="21" t="str">
        <f>Campanha!$B$3</f>
        <v>BR_AAF_DSY_NONMS_ND_AS_2021Q1FEV_AFS_After-Sales</v>
      </c>
      <c r="AM29" s="21" t="str">
        <f t="shared" si="16"/>
        <v>BR_VW_AFS_dv360_DIS_PROG_CPM_STD_LDR_AAF_RON_CXD_After-Sales-Nova-VW-Reg02-In-Market_PD_970x250</v>
      </c>
      <c r="AN29" s="15" t="s">
        <v>809</v>
      </c>
    </row>
    <row r="30" spans="2:40" hidden="1" x14ac:dyDescent="0.25">
      <c r="B30" s="15" t="s">
        <v>1098</v>
      </c>
      <c r="C30" s="15" t="s">
        <v>1114</v>
      </c>
      <c r="D30" s="15" t="s">
        <v>877</v>
      </c>
      <c r="E30" s="22">
        <v>44236</v>
      </c>
      <c r="F30" s="22">
        <v>44255</v>
      </c>
      <c r="G30" s="31" t="s">
        <v>674</v>
      </c>
      <c r="H30" s="31" t="s">
        <v>811</v>
      </c>
      <c r="I30" s="31" t="s">
        <v>702</v>
      </c>
      <c r="J30" s="31" t="s">
        <v>325</v>
      </c>
      <c r="K30" s="31" t="s">
        <v>334</v>
      </c>
      <c r="L30" s="31" t="s">
        <v>358</v>
      </c>
      <c r="M30" s="31" t="s">
        <v>322</v>
      </c>
      <c r="N30" s="31" t="s">
        <v>708</v>
      </c>
      <c r="O30" s="31" t="s">
        <v>694</v>
      </c>
      <c r="P30" s="15" t="s">
        <v>882</v>
      </c>
      <c r="Q30" s="31" t="s">
        <v>881</v>
      </c>
      <c r="R30" s="15" t="s">
        <v>835</v>
      </c>
      <c r="S30" s="15" t="s">
        <v>348</v>
      </c>
      <c r="T30" s="31" t="s">
        <v>457</v>
      </c>
      <c r="AC30" s="23" t="s">
        <v>841</v>
      </c>
      <c r="AD30" s="15" t="str">
        <f t="shared" si="0"/>
        <v>295759149</v>
      </c>
      <c r="AE30" s="21" t="str">
        <f t="shared" si="9"/>
        <v>BR_VW_AFS_dv360_DIS_PROG_CPM_STD_LDR_AAF_RON_CXD_After-Sales-Nova-VW-Reg02-3rdparty_PD_160x600</v>
      </c>
      <c r="AF30" s="21" t="str">
        <f t="shared" si="10"/>
        <v>BR_VW_AFS_dv360_DIS_PROG_CPM_STD_LDR_AAF_RON_CXD_After-Sales-Nova-VW-Reg02-3rdparty_PD_160x600</v>
      </c>
      <c r="AG30" s="21" t="str">
        <f t="shared" si="11"/>
        <v>VW_After-Sales-3rdparty_160x600_After-Sales-Nova-VW-Reg02-adserver</v>
      </c>
      <c r="AH30" s="21" t="str">
        <f t="shared" si="12"/>
        <v>https://posvendas.vw.com.br/?utm_source=dv360&amp;utm_medium=Programmatic&amp;utm_content=BR_VW_AFS_dv360_DIS_PROG_CPM_STD_LDR_AAF_RON_CXD_After-Sales-Nova-VW-Reg02-3rdparty_PD_160x600&amp;utm_campaign=BR_AAF_DSY_NONMS_ND_AS_2021Q1FEV_AFS_After-Sales&amp;utm_term=%epid!_%ecid!_%eaid!</v>
      </c>
      <c r="AI30" s="21" t="str">
        <f t="shared" si="13"/>
        <v>TAG</v>
      </c>
      <c r="AJ30" s="15" t="str">
        <f t="shared" si="21"/>
        <v>dv360</v>
      </c>
      <c r="AK30" s="15" t="str">
        <f t="shared" si="22"/>
        <v>Programmatic</v>
      </c>
      <c r="AL30" s="21" t="str">
        <f>Campanha!$B$3</f>
        <v>BR_AAF_DSY_NONMS_ND_AS_2021Q1FEV_AFS_After-Sales</v>
      </c>
      <c r="AM30" s="21" t="str">
        <f t="shared" si="16"/>
        <v>BR_VW_AFS_dv360_DIS_PROG_CPM_STD_LDR_AAF_RON_CXD_After-Sales-Nova-VW-Reg02-3rdparty_PD_160x600</v>
      </c>
      <c r="AN30" s="15" t="s">
        <v>809</v>
      </c>
    </row>
    <row r="31" spans="2:40" hidden="1" x14ac:dyDescent="0.25">
      <c r="B31" s="15" t="s">
        <v>1098</v>
      </c>
      <c r="C31" s="15" t="s">
        <v>1114</v>
      </c>
      <c r="D31" s="15" t="s">
        <v>877</v>
      </c>
      <c r="E31" s="22">
        <v>44236</v>
      </c>
      <c r="F31" s="22">
        <v>44255</v>
      </c>
      <c r="G31" s="31" t="s">
        <v>674</v>
      </c>
      <c r="H31" s="31" t="s">
        <v>811</v>
      </c>
      <c r="I31" s="31" t="s">
        <v>702</v>
      </c>
      <c r="J31" s="31" t="s">
        <v>325</v>
      </c>
      <c r="K31" s="31" t="s">
        <v>334</v>
      </c>
      <c r="L31" s="31" t="s">
        <v>358</v>
      </c>
      <c r="M31" s="31" t="s">
        <v>322</v>
      </c>
      <c r="N31" s="31" t="s">
        <v>708</v>
      </c>
      <c r="O31" s="31" t="s">
        <v>694</v>
      </c>
      <c r="P31" s="15" t="s">
        <v>882</v>
      </c>
      <c r="Q31" s="31" t="s">
        <v>881</v>
      </c>
      <c r="R31" s="15" t="s">
        <v>835</v>
      </c>
      <c r="S31" s="15" t="s">
        <v>348</v>
      </c>
      <c r="T31" s="31" t="s">
        <v>484</v>
      </c>
      <c r="AC31" s="23" t="s">
        <v>841</v>
      </c>
      <c r="AD31" s="15" t="str">
        <f t="shared" si="0"/>
        <v>295759146</v>
      </c>
      <c r="AE31" s="21" t="str">
        <f t="shared" si="9"/>
        <v>BR_VW_AFS_dv360_DIS_PROG_CPM_STD_LDR_AAF_RON_CXD_After-Sales-Nova-VW-Reg02-3rdparty_PD_300x50</v>
      </c>
      <c r="AF31" s="21" t="str">
        <f t="shared" si="10"/>
        <v>BR_VW_AFS_dv360_DIS_PROG_CPM_STD_LDR_AAF_RON_CXD_After-Sales-Nova-VW-Reg02-3rdparty_PD_300x50</v>
      </c>
      <c r="AG31" s="21" t="str">
        <f t="shared" si="11"/>
        <v>VW_After-Sales-3rdparty_300x50_After-Sales-Nova-VW-Reg02-adserver</v>
      </c>
      <c r="AH31" s="21" t="str">
        <f t="shared" si="12"/>
        <v>https://posvendas.vw.com.br/?utm_source=dv360&amp;utm_medium=Programmatic&amp;utm_content=BR_VW_AFS_dv360_DIS_PROG_CPM_STD_LDR_AAF_RON_CXD_After-Sales-Nova-VW-Reg02-3rdparty_PD_300x50&amp;utm_campaign=BR_AAF_DSY_NONMS_ND_AS_2021Q1FEV_AFS_After-Sales&amp;utm_term=%epid!_%ecid!_%eaid!</v>
      </c>
      <c r="AI31" s="21" t="str">
        <f t="shared" si="13"/>
        <v>TAG</v>
      </c>
      <c r="AJ31" s="15" t="str">
        <f t="shared" si="21"/>
        <v>dv360</v>
      </c>
      <c r="AK31" s="15" t="str">
        <f t="shared" si="22"/>
        <v>Programmatic</v>
      </c>
      <c r="AL31" s="21" t="str">
        <f>Campanha!$B$3</f>
        <v>BR_AAF_DSY_NONMS_ND_AS_2021Q1FEV_AFS_After-Sales</v>
      </c>
      <c r="AM31" s="21" t="str">
        <f t="shared" si="16"/>
        <v>BR_VW_AFS_dv360_DIS_PROG_CPM_STD_LDR_AAF_RON_CXD_After-Sales-Nova-VW-Reg02-3rdparty_PD_300x50</v>
      </c>
      <c r="AN31" s="15" t="s">
        <v>809</v>
      </c>
    </row>
    <row r="32" spans="2:40" hidden="1" x14ac:dyDescent="0.25">
      <c r="B32" s="15" t="s">
        <v>1098</v>
      </c>
      <c r="C32" s="15" t="s">
        <v>1114</v>
      </c>
      <c r="D32" s="15" t="s">
        <v>877</v>
      </c>
      <c r="E32" s="22">
        <v>44236</v>
      </c>
      <c r="F32" s="22">
        <v>44255</v>
      </c>
      <c r="G32" s="31" t="s">
        <v>674</v>
      </c>
      <c r="H32" s="31" t="s">
        <v>811</v>
      </c>
      <c r="I32" s="31" t="s">
        <v>702</v>
      </c>
      <c r="J32" s="31" t="s">
        <v>325</v>
      </c>
      <c r="K32" s="31" t="s">
        <v>334</v>
      </c>
      <c r="L32" s="31" t="s">
        <v>358</v>
      </c>
      <c r="M32" s="31" t="s">
        <v>322</v>
      </c>
      <c r="N32" s="31" t="s">
        <v>708</v>
      </c>
      <c r="O32" s="31" t="s">
        <v>694</v>
      </c>
      <c r="P32" s="15" t="s">
        <v>882</v>
      </c>
      <c r="Q32" s="31" t="s">
        <v>881</v>
      </c>
      <c r="R32" s="15" t="s">
        <v>835</v>
      </c>
      <c r="S32" s="15" t="s">
        <v>348</v>
      </c>
      <c r="T32" s="31" t="s">
        <v>478</v>
      </c>
      <c r="AC32" s="23" t="s">
        <v>841</v>
      </c>
      <c r="AD32" s="15" t="str">
        <f t="shared" si="0"/>
        <v>295759143</v>
      </c>
      <c r="AE32" s="21" t="str">
        <f t="shared" si="9"/>
        <v>BR_VW_AFS_dv360_DIS_PROG_CPM_STD_LDR_AAF_RON_CXD_After-Sales-Nova-VW-Reg02-3rdparty_PD_300x250</v>
      </c>
      <c r="AF32" s="21" t="str">
        <f t="shared" si="10"/>
        <v>BR_VW_AFS_dv360_DIS_PROG_CPM_STD_LDR_AAF_RON_CXD_After-Sales-Nova-VW-Reg02-3rdparty_PD_300x250</v>
      </c>
      <c r="AG32" s="21" t="str">
        <f t="shared" si="11"/>
        <v>VW_After-Sales-3rdparty_300x250_After-Sales-Nova-VW-Reg02-adserver</v>
      </c>
      <c r="AH32" s="21" t="str">
        <f t="shared" si="12"/>
        <v>https://posvendas.vw.com.br/?utm_source=dv360&amp;utm_medium=Programmatic&amp;utm_content=BR_VW_AFS_dv360_DIS_PROG_CPM_STD_LDR_AAF_RON_CXD_After-Sales-Nova-VW-Reg02-3rdparty_PD_300x250&amp;utm_campaign=BR_AAF_DSY_NONMS_ND_AS_2021Q1FEV_AFS_After-Sales&amp;utm_term=%epid!_%ecid!_%eaid!</v>
      </c>
      <c r="AI32" s="21" t="str">
        <f t="shared" si="13"/>
        <v>TAG</v>
      </c>
      <c r="AJ32" s="15" t="str">
        <f t="shared" si="21"/>
        <v>dv360</v>
      </c>
      <c r="AK32" s="15" t="str">
        <f t="shared" si="22"/>
        <v>Programmatic</v>
      </c>
      <c r="AL32" s="21" t="str">
        <f>Campanha!$B$3</f>
        <v>BR_AAF_DSY_NONMS_ND_AS_2021Q1FEV_AFS_After-Sales</v>
      </c>
      <c r="AM32" s="21" t="str">
        <f t="shared" si="16"/>
        <v>BR_VW_AFS_dv360_DIS_PROG_CPM_STD_LDR_AAF_RON_CXD_After-Sales-Nova-VW-Reg02-3rdparty_PD_300x250</v>
      </c>
      <c r="AN32" s="15" t="s">
        <v>809</v>
      </c>
    </row>
    <row r="33" spans="2:40" hidden="1" x14ac:dyDescent="0.25">
      <c r="B33" s="15" t="s">
        <v>1098</v>
      </c>
      <c r="C33" s="15" t="s">
        <v>1114</v>
      </c>
      <c r="D33" s="15" t="s">
        <v>877</v>
      </c>
      <c r="E33" s="22">
        <v>44236</v>
      </c>
      <c r="F33" s="22">
        <v>44255</v>
      </c>
      <c r="G33" s="31" t="s">
        <v>674</v>
      </c>
      <c r="H33" s="31" t="s">
        <v>811</v>
      </c>
      <c r="I33" s="31" t="s">
        <v>702</v>
      </c>
      <c r="J33" s="31" t="s">
        <v>325</v>
      </c>
      <c r="K33" s="31" t="s">
        <v>334</v>
      </c>
      <c r="L33" s="31" t="s">
        <v>358</v>
      </c>
      <c r="M33" s="31" t="s">
        <v>322</v>
      </c>
      <c r="N33" s="31" t="s">
        <v>708</v>
      </c>
      <c r="O33" s="31" t="s">
        <v>694</v>
      </c>
      <c r="P33" s="15" t="s">
        <v>882</v>
      </c>
      <c r="Q33" s="31" t="s">
        <v>881</v>
      </c>
      <c r="R33" s="15" t="s">
        <v>835</v>
      </c>
      <c r="S33" s="15" t="s">
        <v>348</v>
      </c>
      <c r="T33" s="31" t="s">
        <v>614</v>
      </c>
      <c r="AC33" s="23" t="s">
        <v>841</v>
      </c>
      <c r="AD33" s="15" t="str">
        <f t="shared" si="0"/>
        <v>295759140</v>
      </c>
      <c r="AE33" s="21" t="str">
        <f t="shared" si="9"/>
        <v>BR_VW_AFS_dv360_DIS_PROG_CPM_STD_LDR_AAF_RON_CXD_After-Sales-Nova-VW-Reg02-3rdparty_PD_728x90</v>
      </c>
      <c r="AF33" s="21" t="str">
        <f t="shared" si="10"/>
        <v>BR_VW_AFS_dv360_DIS_PROG_CPM_STD_LDR_AAF_RON_CXD_After-Sales-Nova-VW-Reg02-3rdparty_PD_728x90</v>
      </c>
      <c r="AG33" s="21" t="str">
        <f t="shared" si="11"/>
        <v>VW_After-Sales-3rdparty_728x90_After-Sales-Nova-VW-Reg02-adserver</v>
      </c>
      <c r="AH33" s="21" t="str">
        <f t="shared" si="12"/>
        <v>https://posvendas.vw.com.br/?utm_source=dv360&amp;utm_medium=Programmatic&amp;utm_content=BR_VW_AFS_dv360_DIS_PROG_CPM_STD_LDR_AAF_RON_CXD_After-Sales-Nova-VW-Reg02-3rdparty_PD_728x90&amp;utm_campaign=BR_AAF_DSY_NONMS_ND_AS_2021Q1FEV_AFS_After-Sales&amp;utm_term=%epid!_%ecid!_%eaid!</v>
      </c>
      <c r="AI33" s="21" t="str">
        <f t="shared" si="13"/>
        <v>TAG</v>
      </c>
      <c r="AJ33" s="15" t="str">
        <f t="shared" si="21"/>
        <v>dv360</v>
      </c>
      <c r="AK33" s="15" t="str">
        <f t="shared" si="22"/>
        <v>Programmatic</v>
      </c>
      <c r="AL33" s="21" t="str">
        <f>Campanha!$B$3</f>
        <v>BR_AAF_DSY_NONMS_ND_AS_2021Q1FEV_AFS_After-Sales</v>
      </c>
      <c r="AM33" s="21" t="str">
        <f t="shared" si="16"/>
        <v>BR_VW_AFS_dv360_DIS_PROG_CPM_STD_LDR_AAF_RON_CXD_After-Sales-Nova-VW-Reg02-3rdparty_PD_728x90</v>
      </c>
      <c r="AN33" s="15" t="s">
        <v>809</v>
      </c>
    </row>
    <row r="34" spans="2:40" hidden="1" x14ac:dyDescent="0.25">
      <c r="B34" s="15" t="s">
        <v>1098</v>
      </c>
      <c r="C34" s="15" t="s">
        <v>1114</v>
      </c>
      <c r="D34" s="15" t="s">
        <v>877</v>
      </c>
      <c r="E34" s="22">
        <v>44236</v>
      </c>
      <c r="F34" s="22">
        <v>44255</v>
      </c>
      <c r="G34" s="31" t="s">
        <v>674</v>
      </c>
      <c r="H34" s="31" t="s">
        <v>811</v>
      </c>
      <c r="I34" s="31" t="s">
        <v>702</v>
      </c>
      <c r="J34" s="31" t="s">
        <v>325</v>
      </c>
      <c r="K34" s="31" t="s">
        <v>334</v>
      </c>
      <c r="L34" s="31" t="s">
        <v>358</v>
      </c>
      <c r="M34" s="31" t="s">
        <v>322</v>
      </c>
      <c r="N34" s="31" t="s">
        <v>708</v>
      </c>
      <c r="O34" s="31" t="s">
        <v>694</v>
      </c>
      <c r="P34" s="15" t="s">
        <v>882</v>
      </c>
      <c r="Q34" s="31" t="s">
        <v>881</v>
      </c>
      <c r="R34" s="15" t="s">
        <v>835</v>
      </c>
      <c r="S34" s="15" t="s">
        <v>348</v>
      </c>
      <c r="T34" s="31" t="s">
        <v>652</v>
      </c>
      <c r="AC34" s="23" t="s">
        <v>841</v>
      </c>
      <c r="AD34" s="15" t="str">
        <f t="shared" si="0"/>
        <v>295759137</v>
      </c>
      <c r="AE34" s="21" t="str">
        <f t="shared" si="9"/>
        <v>BR_VW_AFS_dv360_DIS_PROG_CPM_STD_LDR_AAF_RON_CXD_After-Sales-Nova-VW-Reg02-3rdparty_PD_970x250</v>
      </c>
      <c r="AF34" s="21" t="str">
        <f t="shared" si="10"/>
        <v>BR_VW_AFS_dv360_DIS_PROG_CPM_STD_LDR_AAF_RON_CXD_After-Sales-Nova-VW-Reg02-3rdparty_PD_970x250</v>
      </c>
      <c r="AG34" s="21" t="str">
        <f t="shared" si="11"/>
        <v>VW_After-Sales-3rdparty_970x250_After-Sales-Nova-VW-Reg02-adserver</v>
      </c>
      <c r="AH34" s="21" t="str">
        <f t="shared" si="12"/>
        <v>https://posvendas.vw.com.br/?utm_source=dv360&amp;utm_medium=Programmatic&amp;utm_content=BR_VW_AFS_dv360_DIS_PROG_CPM_STD_LDR_AAF_RON_CXD_After-Sales-Nova-VW-Reg02-3rdparty_PD_970x250&amp;utm_campaign=BR_AAF_DSY_NONMS_ND_AS_2021Q1FEV_AFS_After-Sales&amp;utm_term=%epid!_%ecid!_%eaid!</v>
      </c>
      <c r="AI34" s="21" t="str">
        <f t="shared" si="13"/>
        <v>TAG</v>
      </c>
      <c r="AJ34" s="15" t="str">
        <f t="shared" si="21"/>
        <v>dv360</v>
      </c>
      <c r="AK34" s="15" t="str">
        <f t="shared" si="22"/>
        <v>Programmatic</v>
      </c>
      <c r="AL34" s="21" t="str">
        <f>Campanha!$B$3</f>
        <v>BR_AAF_DSY_NONMS_ND_AS_2021Q1FEV_AFS_After-Sales</v>
      </c>
      <c r="AM34" s="21" t="str">
        <f t="shared" si="16"/>
        <v>BR_VW_AFS_dv360_DIS_PROG_CPM_STD_LDR_AAF_RON_CXD_After-Sales-Nova-VW-Reg02-3rdparty_PD_970x250</v>
      </c>
      <c r="AN34" s="15" t="s">
        <v>809</v>
      </c>
    </row>
    <row r="35" spans="2:40" hidden="1" x14ac:dyDescent="0.25">
      <c r="B35" s="15" t="s">
        <v>1098</v>
      </c>
      <c r="C35" s="15" t="s">
        <v>1114</v>
      </c>
      <c r="D35" s="15" t="s">
        <v>877</v>
      </c>
      <c r="E35" s="22">
        <v>44236</v>
      </c>
      <c r="F35" s="22">
        <v>44255</v>
      </c>
      <c r="G35" s="31" t="s">
        <v>674</v>
      </c>
      <c r="H35" s="31" t="s">
        <v>811</v>
      </c>
      <c r="I35" s="31" t="s">
        <v>702</v>
      </c>
      <c r="J35" s="31" t="s">
        <v>325</v>
      </c>
      <c r="K35" s="31" t="s">
        <v>334</v>
      </c>
      <c r="L35" s="31" t="s">
        <v>358</v>
      </c>
      <c r="M35" s="31" t="s">
        <v>322</v>
      </c>
      <c r="N35" s="31" t="s">
        <v>708</v>
      </c>
      <c r="O35" s="31" t="s">
        <v>694</v>
      </c>
      <c r="P35" s="15" t="s">
        <v>883</v>
      </c>
      <c r="Q35" s="31" t="s">
        <v>878</v>
      </c>
      <c r="R35" s="15" t="s">
        <v>835</v>
      </c>
      <c r="S35" s="15" t="s">
        <v>348</v>
      </c>
      <c r="T35" s="31" t="s">
        <v>457</v>
      </c>
      <c r="AC35" s="23" t="s">
        <v>885</v>
      </c>
      <c r="AD35" s="15" t="str">
        <f t="shared" ref="AD35:AD66" si="23">VLOOKUP(AE35,id_placement,2,FALSE)</f>
        <v>295759134</v>
      </c>
      <c r="AE35" s="21" t="str">
        <f t="shared" si="9"/>
        <v>BR_VW_AFS_dv360_DIS_PROG_CPM_STD_LDR_AAF_RON_CXD_After-Sales-Nova-VW-Reg05-KWs_PD_160x600</v>
      </c>
      <c r="AF35" s="21" t="str">
        <f t="shared" si="10"/>
        <v>BR_VW_AFS_dv360_DIS_PROG_CPM_STD_LDR_AAF_RON_CXD_After-Sales-Nova-VW-Reg05-KWs_PD_160x600</v>
      </c>
      <c r="AG35" s="21" t="str">
        <f t="shared" si="11"/>
        <v>VW_After-Sales-KWs_160x600_After-Sales-Nova-VW-Reg05-adserver</v>
      </c>
      <c r="AH35" s="21" t="str">
        <f t="shared" si="12"/>
        <v>https://posvendas.vw.com.br/product/oferta/62?utm_source=dv360&amp;utm_medium=Programmatic&amp;utm_content=BR_VW_AFS_dv360_DIS_PROG_CPM_STD_LDR_AAF_RON_CXD_After-Sales-Nova-VW-Reg05-KWs_PD_160x600&amp;utm_campaign=BR_AAF_DSY_NONMS_ND_AS_2021Q1FEV_AFS_After-Sales&amp;utm_term=%epid!_%ecid!_%eaid!</v>
      </c>
      <c r="AI35" s="21" t="str">
        <f t="shared" si="13"/>
        <v>TAG</v>
      </c>
      <c r="AJ35" s="15" t="str">
        <f t="shared" ref="AJ35:AJ89" si="24">H35</f>
        <v>dv360</v>
      </c>
      <c r="AK35" s="15" t="str">
        <f t="shared" ref="AK35:AK89" si="25">J35</f>
        <v>Programmatic</v>
      </c>
      <c r="AL35" s="21" t="str">
        <f>Campanha!$B$3</f>
        <v>BR_AAF_DSY_NONMS_ND_AS_2021Q1FEV_AFS_After-Sales</v>
      </c>
      <c r="AM35" s="21" t="str">
        <f t="shared" si="16"/>
        <v>BR_VW_AFS_dv360_DIS_PROG_CPM_STD_LDR_AAF_RON_CXD_After-Sales-Nova-VW-Reg05-KWs_PD_160x600</v>
      </c>
      <c r="AN35" s="15" t="s">
        <v>809</v>
      </c>
    </row>
    <row r="36" spans="2:40" hidden="1" x14ac:dyDescent="0.25">
      <c r="B36" s="15" t="s">
        <v>1098</v>
      </c>
      <c r="C36" s="15" t="s">
        <v>1114</v>
      </c>
      <c r="D36" s="15" t="s">
        <v>877</v>
      </c>
      <c r="E36" s="22">
        <v>44236</v>
      </c>
      <c r="F36" s="22">
        <v>44255</v>
      </c>
      <c r="G36" s="31" t="s">
        <v>674</v>
      </c>
      <c r="H36" s="31" t="s">
        <v>811</v>
      </c>
      <c r="I36" s="31" t="s">
        <v>702</v>
      </c>
      <c r="J36" s="31" t="s">
        <v>325</v>
      </c>
      <c r="K36" s="31" t="s">
        <v>334</v>
      </c>
      <c r="L36" s="31" t="s">
        <v>358</v>
      </c>
      <c r="M36" s="31" t="s">
        <v>322</v>
      </c>
      <c r="N36" s="31" t="s">
        <v>708</v>
      </c>
      <c r="O36" s="31" t="s">
        <v>694</v>
      </c>
      <c r="P36" s="15" t="s">
        <v>883</v>
      </c>
      <c r="Q36" s="31" t="s">
        <v>878</v>
      </c>
      <c r="R36" s="15" t="s">
        <v>835</v>
      </c>
      <c r="S36" s="15" t="s">
        <v>348</v>
      </c>
      <c r="T36" s="31" t="s">
        <v>484</v>
      </c>
      <c r="AC36" s="23" t="s">
        <v>885</v>
      </c>
      <c r="AD36" s="15" t="str">
        <f t="shared" si="23"/>
        <v>295759131</v>
      </c>
      <c r="AE36" s="21" t="str">
        <f t="shared" si="9"/>
        <v>BR_VW_AFS_dv360_DIS_PROG_CPM_STD_LDR_AAF_RON_CXD_After-Sales-Nova-VW-Reg05-KWs_PD_300x50</v>
      </c>
      <c r="AF36" s="21" t="str">
        <f t="shared" si="10"/>
        <v>BR_VW_AFS_dv360_DIS_PROG_CPM_STD_LDR_AAF_RON_CXD_After-Sales-Nova-VW-Reg05-KWs_PD_300x50</v>
      </c>
      <c r="AG36" s="21" t="str">
        <f t="shared" si="11"/>
        <v>VW_After-Sales-KWs_300x50_After-Sales-Nova-VW-Reg05-adserver</v>
      </c>
      <c r="AH36" s="21" t="str">
        <f t="shared" si="12"/>
        <v>https://posvendas.vw.com.br/product/oferta/62?utm_source=dv360&amp;utm_medium=Programmatic&amp;utm_content=BR_VW_AFS_dv360_DIS_PROG_CPM_STD_LDR_AAF_RON_CXD_After-Sales-Nova-VW-Reg05-KWs_PD_300x50&amp;utm_campaign=BR_AAF_DSY_NONMS_ND_AS_2021Q1FEV_AFS_After-Sales&amp;utm_term=%epid!_%ecid!_%eaid!</v>
      </c>
      <c r="AI36" s="21" t="str">
        <f t="shared" si="13"/>
        <v>TAG</v>
      </c>
      <c r="AJ36" s="15" t="str">
        <f t="shared" si="24"/>
        <v>dv360</v>
      </c>
      <c r="AK36" s="15" t="str">
        <f t="shared" si="25"/>
        <v>Programmatic</v>
      </c>
      <c r="AL36" s="21" t="str">
        <f>Campanha!$B$3</f>
        <v>BR_AAF_DSY_NONMS_ND_AS_2021Q1FEV_AFS_After-Sales</v>
      </c>
      <c r="AM36" s="21" t="str">
        <f t="shared" si="16"/>
        <v>BR_VW_AFS_dv360_DIS_PROG_CPM_STD_LDR_AAF_RON_CXD_After-Sales-Nova-VW-Reg05-KWs_PD_300x50</v>
      </c>
      <c r="AN36" s="15" t="s">
        <v>809</v>
      </c>
    </row>
    <row r="37" spans="2:40" hidden="1" x14ac:dyDescent="0.25">
      <c r="B37" s="15" t="s">
        <v>1098</v>
      </c>
      <c r="C37" s="15" t="s">
        <v>1114</v>
      </c>
      <c r="D37" s="15" t="s">
        <v>877</v>
      </c>
      <c r="E37" s="22">
        <v>44236</v>
      </c>
      <c r="F37" s="22">
        <v>44255</v>
      </c>
      <c r="G37" s="31" t="s">
        <v>674</v>
      </c>
      <c r="H37" s="31" t="s">
        <v>811</v>
      </c>
      <c r="I37" s="31" t="s">
        <v>702</v>
      </c>
      <c r="J37" s="31" t="s">
        <v>325</v>
      </c>
      <c r="K37" s="31" t="s">
        <v>334</v>
      </c>
      <c r="L37" s="31" t="s">
        <v>358</v>
      </c>
      <c r="M37" s="31" t="s">
        <v>322</v>
      </c>
      <c r="N37" s="31" t="s">
        <v>708</v>
      </c>
      <c r="O37" s="31" t="s">
        <v>694</v>
      </c>
      <c r="P37" s="15" t="s">
        <v>883</v>
      </c>
      <c r="Q37" s="31" t="s">
        <v>878</v>
      </c>
      <c r="R37" s="15" t="s">
        <v>835</v>
      </c>
      <c r="S37" s="15" t="s">
        <v>348</v>
      </c>
      <c r="T37" s="31" t="s">
        <v>478</v>
      </c>
      <c r="AC37" s="23" t="s">
        <v>885</v>
      </c>
      <c r="AD37" s="15" t="str">
        <f t="shared" si="23"/>
        <v>295759128</v>
      </c>
      <c r="AE37" s="21" t="str">
        <f t="shared" si="9"/>
        <v>BR_VW_AFS_dv360_DIS_PROG_CPM_STD_LDR_AAF_RON_CXD_After-Sales-Nova-VW-Reg05-KWs_PD_300x250</v>
      </c>
      <c r="AF37" s="21" t="str">
        <f t="shared" si="10"/>
        <v>BR_VW_AFS_dv360_DIS_PROG_CPM_STD_LDR_AAF_RON_CXD_After-Sales-Nova-VW-Reg05-KWs_PD_300x250</v>
      </c>
      <c r="AG37" s="21" t="str">
        <f t="shared" si="11"/>
        <v>VW_After-Sales-KWs_300x250_After-Sales-Nova-VW-Reg05-adserver</v>
      </c>
      <c r="AH37" s="21" t="str">
        <f t="shared" si="12"/>
        <v>https://posvendas.vw.com.br/product/oferta/62?utm_source=dv360&amp;utm_medium=Programmatic&amp;utm_content=BR_VW_AFS_dv360_DIS_PROG_CPM_STD_LDR_AAF_RON_CXD_After-Sales-Nova-VW-Reg05-KWs_PD_300x250&amp;utm_campaign=BR_AAF_DSY_NONMS_ND_AS_2021Q1FEV_AFS_After-Sales&amp;utm_term=%epid!_%ecid!_%eaid!</v>
      </c>
      <c r="AI37" s="21" t="str">
        <f t="shared" si="13"/>
        <v>TAG</v>
      </c>
      <c r="AJ37" s="15" t="str">
        <f t="shared" si="24"/>
        <v>dv360</v>
      </c>
      <c r="AK37" s="15" t="str">
        <f t="shared" si="25"/>
        <v>Programmatic</v>
      </c>
      <c r="AL37" s="21" t="str">
        <f>Campanha!$B$3</f>
        <v>BR_AAF_DSY_NONMS_ND_AS_2021Q1FEV_AFS_After-Sales</v>
      </c>
      <c r="AM37" s="21" t="str">
        <f t="shared" si="16"/>
        <v>BR_VW_AFS_dv360_DIS_PROG_CPM_STD_LDR_AAF_RON_CXD_After-Sales-Nova-VW-Reg05-KWs_PD_300x250</v>
      </c>
      <c r="AN37" s="15" t="s">
        <v>809</v>
      </c>
    </row>
    <row r="38" spans="2:40" hidden="1" x14ac:dyDescent="0.25">
      <c r="B38" s="15" t="s">
        <v>1098</v>
      </c>
      <c r="C38" s="15" t="s">
        <v>1114</v>
      </c>
      <c r="D38" s="15" t="s">
        <v>877</v>
      </c>
      <c r="E38" s="22">
        <v>44236</v>
      </c>
      <c r="F38" s="22">
        <v>44255</v>
      </c>
      <c r="G38" s="31" t="s">
        <v>674</v>
      </c>
      <c r="H38" s="31" t="s">
        <v>811</v>
      </c>
      <c r="I38" s="31" t="s">
        <v>702</v>
      </c>
      <c r="J38" s="31" t="s">
        <v>325</v>
      </c>
      <c r="K38" s="31" t="s">
        <v>334</v>
      </c>
      <c r="L38" s="31" t="s">
        <v>358</v>
      </c>
      <c r="M38" s="31" t="s">
        <v>322</v>
      </c>
      <c r="N38" s="31" t="s">
        <v>708</v>
      </c>
      <c r="O38" s="31" t="s">
        <v>694</v>
      </c>
      <c r="P38" s="15" t="s">
        <v>883</v>
      </c>
      <c r="Q38" s="31" t="s">
        <v>878</v>
      </c>
      <c r="R38" s="15" t="s">
        <v>835</v>
      </c>
      <c r="S38" s="15" t="s">
        <v>348</v>
      </c>
      <c r="T38" s="31" t="s">
        <v>614</v>
      </c>
      <c r="AC38" s="23" t="s">
        <v>885</v>
      </c>
      <c r="AD38" s="15" t="str">
        <f t="shared" si="23"/>
        <v>295759125</v>
      </c>
      <c r="AE38" s="21" t="str">
        <f t="shared" si="9"/>
        <v>BR_VW_AFS_dv360_DIS_PROG_CPM_STD_LDR_AAF_RON_CXD_After-Sales-Nova-VW-Reg05-KWs_PD_728x90</v>
      </c>
      <c r="AF38" s="21" t="str">
        <f t="shared" si="10"/>
        <v>BR_VW_AFS_dv360_DIS_PROG_CPM_STD_LDR_AAF_RON_CXD_After-Sales-Nova-VW-Reg05-KWs_PD_728x90</v>
      </c>
      <c r="AG38" s="21" t="str">
        <f t="shared" si="11"/>
        <v>VW_After-Sales-KWs_728x90_After-Sales-Nova-VW-Reg05-adserver</v>
      </c>
      <c r="AH38" s="21" t="str">
        <f t="shared" si="12"/>
        <v>https://posvendas.vw.com.br/product/oferta/62?utm_source=dv360&amp;utm_medium=Programmatic&amp;utm_content=BR_VW_AFS_dv360_DIS_PROG_CPM_STD_LDR_AAF_RON_CXD_After-Sales-Nova-VW-Reg05-KWs_PD_728x90&amp;utm_campaign=BR_AAF_DSY_NONMS_ND_AS_2021Q1FEV_AFS_After-Sales&amp;utm_term=%epid!_%ecid!_%eaid!</v>
      </c>
      <c r="AI38" s="21" t="str">
        <f t="shared" si="13"/>
        <v>TAG</v>
      </c>
      <c r="AJ38" s="15" t="str">
        <f t="shared" si="24"/>
        <v>dv360</v>
      </c>
      <c r="AK38" s="15" t="str">
        <f t="shared" si="25"/>
        <v>Programmatic</v>
      </c>
      <c r="AL38" s="21" t="str">
        <f>Campanha!$B$3</f>
        <v>BR_AAF_DSY_NONMS_ND_AS_2021Q1FEV_AFS_After-Sales</v>
      </c>
      <c r="AM38" s="21" t="str">
        <f t="shared" si="16"/>
        <v>BR_VW_AFS_dv360_DIS_PROG_CPM_STD_LDR_AAF_RON_CXD_After-Sales-Nova-VW-Reg05-KWs_PD_728x90</v>
      </c>
      <c r="AN38" s="15" t="s">
        <v>809</v>
      </c>
    </row>
    <row r="39" spans="2:40" hidden="1" x14ac:dyDescent="0.25">
      <c r="B39" s="15" t="s">
        <v>1098</v>
      </c>
      <c r="C39" s="15" t="s">
        <v>1114</v>
      </c>
      <c r="D39" s="15" t="s">
        <v>877</v>
      </c>
      <c r="E39" s="22">
        <v>44236</v>
      </c>
      <c r="F39" s="22">
        <v>44255</v>
      </c>
      <c r="G39" s="31" t="s">
        <v>674</v>
      </c>
      <c r="H39" s="31" t="s">
        <v>811</v>
      </c>
      <c r="I39" s="31" t="s">
        <v>702</v>
      </c>
      <c r="J39" s="31" t="s">
        <v>325</v>
      </c>
      <c r="K39" s="31" t="s">
        <v>334</v>
      </c>
      <c r="L39" s="31" t="s">
        <v>358</v>
      </c>
      <c r="M39" s="31" t="s">
        <v>322</v>
      </c>
      <c r="N39" s="31" t="s">
        <v>708</v>
      </c>
      <c r="O39" s="31" t="s">
        <v>694</v>
      </c>
      <c r="P39" s="15" t="s">
        <v>883</v>
      </c>
      <c r="Q39" s="31" t="s">
        <v>878</v>
      </c>
      <c r="R39" s="15" t="s">
        <v>835</v>
      </c>
      <c r="S39" s="15" t="s">
        <v>348</v>
      </c>
      <c r="T39" s="31" t="s">
        <v>652</v>
      </c>
      <c r="AC39" s="23" t="s">
        <v>885</v>
      </c>
      <c r="AD39" s="15" t="str">
        <f t="shared" si="23"/>
        <v>295759122</v>
      </c>
      <c r="AE39" s="21" t="str">
        <f t="shared" si="9"/>
        <v>BR_VW_AFS_dv360_DIS_PROG_CPM_STD_LDR_AAF_RON_CXD_After-Sales-Nova-VW-Reg05-KWs_PD_970x250</v>
      </c>
      <c r="AF39" s="21" t="str">
        <f t="shared" si="10"/>
        <v>BR_VW_AFS_dv360_DIS_PROG_CPM_STD_LDR_AAF_RON_CXD_After-Sales-Nova-VW-Reg05-KWs_PD_970x250</v>
      </c>
      <c r="AG39" s="21" t="str">
        <f t="shared" si="11"/>
        <v>VW_After-Sales-KWs_970x250_After-Sales-Nova-VW-Reg05-adserver</v>
      </c>
      <c r="AH39" s="21" t="str">
        <f t="shared" si="12"/>
        <v>https://posvendas.vw.com.br/product/oferta/62?utm_source=dv360&amp;utm_medium=Programmatic&amp;utm_content=BR_VW_AFS_dv360_DIS_PROG_CPM_STD_LDR_AAF_RON_CXD_After-Sales-Nova-VW-Reg05-KWs_PD_970x250&amp;utm_campaign=BR_AAF_DSY_NONMS_ND_AS_2021Q1FEV_AFS_After-Sales&amp;utm_term=%epid!_%ecid!_%eaid!</v>
      </c>
      <c r="AI39" s="21" t="str">
        <f t="shared" si="13"/>
        <v>TAG</v>
      </c>
      <c r="AJ39" s="15" t="str">
        <f t="shared" si="24"/>
        <v>dv360</v>
      </c>
      <c r="AK39" s="15" t="str">
        <f t="shared" si="25"/>
        <v>Programmatic</v>
      </c>
      <c r="AL39" s="21" t="str">
        <f>Campanha!$B$3</f>
        <v>BR_AAF_DSY_NONMS_ND_AS_2021Q1FEV_AFS_After-Sales</v>
      </c>
      <c r="AM39" s="21" t="str">
        <f t="shared" si="16"/>
        <v>BR_VW_AFS_dv360_DIS_PROG_CPM_STD_LDR_AAF_RON_CXD_After-Sales-Nova-VW-Reg05-KWs_PD_970x250</v>
      </c>
      <c r="AN39" s="15" t="s">
        <v>809</v>
      </c>
    </row>
    <row r="40" spans="2:40" hidden="1" x14ac:dyDescent="0.25">
      <c r="B40" s="15" t="s">
        <v>1098</v>
      </c>
      <c r="C40" s="15" t="s">
        <v>1114</v>
      </c>
      <c r="D40" s="15" t="s">
        <v>877</v>
      </c>
      <c r="E40" s="22">
        <v>44236</v>
      </c>
      <c r="F40" s="22">
        <v>44255</v>
      </c>
      <c r="G40" s="31" t="s">
        <v>674</v>
      </c>
      <c r="H40" s="31" t="s">
        <v>811</v>
      </c>
      <c r="I40" s="31" t="s">
        <v>702</v>
      </c>
      <c r="J40" s="31" t="s">
        <v>325</v>
      </c>
      <c r="K40" s="31" t="s">
        <v>334</v>
      </c>
      <c r="L40" s="31" t="s">
        <v>358</v>
      </c>
      <c r="M40" s="31" t="s">
        <v>322</v>
      </c>
      <c r="N40" s="31" t="s">
        <v>708</v>
      </c>
      <c r="O40" s="31" t="s">
        <v>694</v>
      </c>
      <c r="P40" s="15" t="s">
        <v>883</v>
      </c>
      <c r="Q40" s="31" t="s">
        <v>879</v>
      </c>
      <c r="R40" s="15" t="s">
        <v>835</v>
      </c>
      <c r="S40" s="15" t="s">
        <v>348</v>
      </c>
      <c r="T40" s="31" t="s">
        <v>457</v>
      </c>
      <c r="AC40" s="23" t="s">
        <v>885</v>
      </c>
      <c r="AD40" s="15" t="str">
        <f t="shared" si="23"/>
        <v>295759119</v>
      </c>
      <c r="AE40" s="21" t="str">
        <f t="shared" si="9"/>
        <v>BR_VW_AFS_dv360_DIS_PROG_CPM_STD_LDR_AAF_RON_CXD_After-Sales-Nova-VW-Reg05-Categories_PD_160x600</v>
      </c>
      <c r="AF40" s="21" t="str">
        <f t="shared" si="10"/>
        <v>BR_VW_AFS_dv360_DIS_PROG_CPM_STD_LDR_AAF_RON_CXD_After-Sales-Nova-VW-Reg05-Categories_PD_160x600</v>
      </c>
      <c r="AG40" s="21" t="str">
        <f t="shared" si="11"/>
        <v>VW_After-Sales-Categories_160x600_After-Sales-Nova-VW-Reg05-adserver</v>
      </c>
      <c r="AH40" s="21" t="str">
        <f t="shared" si="12"/>
        <v>https://posvendas.vw.com.br/product/oferta/62?utm_source=dv360&amp;utm_medium=Programmatic&amp;utm_content=BR_VW_AFS_dv360_DIS_PROG_CPM_STD_LDR_AAF_RON_CXD_After-Sales-Nova-VW-Reg05-Categories_PD_160x600&amp;utm_campaign=BR_AAF_DSY_NONMS_ND_AS_2021Q1FEV_AFS_After-Sales&amp;utm_term=%epid!_%ecid!_%eaid!</v>
      </c>
      <c r="AI40" s="21" t="str">
        <f t="shared" si="13"/>
        <v>TAG</v>
      </c>
      <c r="AJ40" s="15" t="str">
        <f t="shared" si="24"/>
        <v>dv360</v>
      </c>
      <c r="AK40" s="15" t="str">
        <f t="shared" si="25"/>
        <v>Programmatic</v>
      </c>
      <c r="AL40" s="21" t="str">
        <f>Campanha!$B$3</f>
        <v>BR_AAF_DSY_NONMS_ND_AS_2021Q1FEV_AFS_After-Sales</v>
      </c>
      <c r="AM40" s="21" t="str">
        <f t="shared" si="16"/>
        <v>BR_VW_AFS_dv360_DIS_PROG_CPM_STD_LDR_AAF_RON_CXD_After-Sales-Nova-VW-Reg05-Categories_PD_160x600</v>
      </c>
      <c r="AN40" s="15" t="s">
        <v>809</v>
      </c>
    </row>
    <row r="41" spans="2:40" hidden="1" x14ac:dyDescent="0.25">
      <c r="B41" s="15" t="s">
        <v>1098</v>
      </c>
      <c r="C41" s="15" t="s">
        <v>1114</v>
      </c>
      <c r="D41" s="15" t="s">
        <v>877</v>
      </c>
      <c r="E41" s="22">
        <v>44236</v>
      </c>
      <c r="F41" s="22">
        <v>44255</v>
      </c>
      <c r="G41" s="31" t="s">
        <v>674</v>
      </c>
      <c r="H41" s="31" t="s">
        <v>811</v>
      </c>
      <c r="I41" s="31" t="s">
        <v>702</v>
      </c>
      <c r="J41" s="31" t="s">
        <v>325</v>
      </c>
      <c r="K41" s="31" t="s">
        <v>334</v>
      </c>
      <c r="L41" s="31" t="s">
        <v>358</v>
      </c>
      <c r="M41" s="31" t="s">
        <v>322</v>
      </c>
      <c r="N41" s="31" t="s">
        <v>708</v>
      </c>
      <c r="O41" s="31" t="s">
        <v>694</v>
      </c>
      <c r="P41" s="15" t="s">
        <v>883</v>
      </c>
      <c r="Q41" s="31" t="s">
        <v>879</v>
      </c>
      <c r="R41" s="15" t="s">
        <v>835</v>
      </c>
      <c r="S41" s="15" t="s">
        <v>348</v>
      </c>
      <c r="T41" s="31" t="s">
        <v>484</v>
      </c>
      <c r="AC41" s="23" t="s">
        <v>885</v>
      </c>
      <c r="AD41" s="15" t="str">
        <f t="shared" si="23"/>
        <v>295759116</v>
      </c>
      <c r="AE41" s="21" t="str">
        <f t="shared" si="9"/>
        <v>BR_VW_AFS_dv360_DIS_PROG_CPM_STD_LDR_AAF_RON_CXD_After-Sales-Nova-VW-Reg05-Categories_PD_300x50</v>
      </c>
      <c r="AF41" s="21" t="str">
        <f t="shared" si="10"/>
        <v>BR_VW_AFS_dv360_DIS_PROG_CPM_STD_LDR_AAF_RON_CXD_After-Sales-Nova-VW-Reg05-Categories_PD_300x50</v>
      </c>
      <c r="AG41" s="21" t="str">
        <f t="shared" si="11"/>
        <v>VW_After-Sales-Categories_300x50_After-Sales-Nova-VW-Reg05-adserver</v>
      </c>
      <c r="AH41" s="21" t="str">
        <f t="shared" si="12"/>
        <v>https://posvendas.vw.com.br/product/oferta/62?utm_source=dv360&amp;utm_medium=Programmatic&amp;utm_content=BR_VW_AFS_dv360_DIS_PROG_CPM_STD_LDR_AAF_RON_CXD_After-Sales-Nova-VW-Reg05-Categories_PD_300x50&amp;utm_campaign=BR_AAF_DSY_NONMS_ND_AS_2021Q1FEV_AFS_After-Sales&amp;utm_term=%epid!_%ecid!_%eaid!</v>
      </c>
      <c r="AI41" s="21" t="str">
        <f t="shared" si="13"/>
        <v>TAG</v>
      </c>
      <c r="AJ41" s="15" t="str">
        <f t="shared" si="24"/>
        <v>dv360</v>
      </c>
      <c r="AK41" s="15" t="str">
        <f t="shared" si="25"/>
        <v>Programmatic</v>
      </c>
      <c r="AL41" s="21" t="str">
        <f>Campanha!$B$3</f>
        <v>BR_AAF_DSY_NONMS_ND_AS_2021Q1FEV_AFS_After-Sales</v>
      </c>
      <c r="AM41" s="21" t="str">
        <f t="shared" si="16"/>
        <v>BR_VW_AFS_dv360_DIS_PROG_CPM_STD_LDR_AAF_RON_CXD_After-Sales-Nova-VW-Reg05-Categories_PD_300x50</v>
      </c>
      <c r="AN41" s="15" t="s">
        <v>809</v>
      </c>
    </row>
    <row r="42" spans="2:40" hidden="1" x14ac:dyDescent="0.25">
      <c r="B42" s="15" t="s">
        <v>1098</v>
      </c>
      <c r="C42" s="15" t="s">
        <v>1114</v>
      </c>
      <c r="D42" s="15" t="s">
        <v>877</v>
      </c>
      <c r="E42" s="22">
        <v>44236</v>
      </c>
      <c r="F42" s="22">
        <v>44255</v>
      </c>
      <c r="G42" s="31" t="s">
        <v>674</v>
      </c>
      <c r="H42" s="31" t="s">
        <v>811</v>
      </c>
      <c r="I42" s="31" t="s">
        <v>702</v>
      </c>
      <c r="J42" s="31" t="s">
        <v>325</v>
      </c>
      <c r="K42" s="31" t="s">
        <v>334</v>
      </c>
      <c r="L42" s="31" t="s">
        <v>358</v>
      </c>
      <c r="M42" s="31" t="s">
        <v>322</v>
      </c>
      <c r="N42" s="31" t="s">
        <v>708</v>
      </c>
      <c r="O42" s="31" t="s">
        <v>694</v>
      </c>
      <c r="P42" s="15" t="s">
        <v>883</v>
      </c>
      <c r="Q42" s="31" t="s">
        <v>879</v>
      </c>
      <c r="R42" s="15" t="s">
        <v>835</v>
      </c>
      <c r="S42" s="15" t="s">
        <v>348</v>
      </c>
      <c r="T42" s="31" t="s">
        <v>478</v>
      </c>
      <c r="AC42" s="23" t="s">
        <v>885</v>
      </c>
      <c r="AD42" s="15" t="str">
        <f t="shared" si="23"/>
        <v>295759113</v>
      </c>
      <c r="AE42" s="21" t="str">
        <f t="shared" si="9"/>
        <v>BR_VW_AFS_dv360_DIS_PROG_CPM_STD_LDR_AAF_RON_CXD_After-Sales-Nova-VW-Reg05-Categories_PD_300x250</v>
      </c>
      <c r="AF42" s="21" t="str">
        <f t="shared" si="10"/>
        <v>BR_VW_AFS_dv360_DIS_PROG_CPM_STD_LDR_AAF_RON_CXD_After-Sales-Nova-VW-Reg05-Categories_PD_300x250</v>
      </c>
      <c r="AG42" s="21" t="str">
        <f t="shared" si="11"/>
        <v>VW_After-Sales-Categories_300x250_After-Sales-Nova-VW-Reg05-adserver</v>
      </c>
      <c r="AH42" s="21" t="str">
        <f t="shared" si="12"/>
        <v>https://posvendas.vw.com.br/product/oferta/62?utm_source=dv360&amp;utm_medium=Programmatic&amp;utm_content=BR_VW_AFS_dv360_DIS_PROG_CPM_STD_LDR_AAF_RON_CXD_After-Sales-Nova-VW-Reg05-Categories_PD_300x250&amp;utm_campaign=BR_AAF_DSY_NONMS_ND_AS_2021Q1FEV_AFS_After-Sales&amp;utm_term=%epid!_%ecid!_%eaid!</v>
      </c>
      <c r="AI42" s="21" t="str">
        <f t="shared" si="13"/>
        <v>TAG</v>
      </c>
      <c r="AJ42" s="15" t="str">
        <f t="shared" si="24"/>
        <v>dv360</v>
      </c>
      <c r="AK42" s="15" t="str">
        <f t="shared" si="25"/>
        <v>Programmatic</v>
      </c>
      <c r="AL42" s="21" t="str">
        <f>Campanha!$B$3</f>
        <v>BR_AAF_DSY_NONMS_ND_AS_2021Q1FEV_AFS_After-Sales</v>
      </c>
      <c r="AM42" s="21" t="str">
        <f t="shared" si="16"/>
        <v>BR_VW_AFS_dv360_DIS_PROG_CPM_STD_LDR_AAF_RON_CXD_After-Sales-Nova-VW-Reg05-Categories_PD_300x250</v>
      </c>
      <c r="AN42" s="15" t="s">
        <v>809</v>
      </c>
    </row>
    <row r="43" spans="2:40" hidden="1" x14ac:dyDescent="0.25">
      <c r="B43" s="15" t="s">
        <v>1098</v>
      </c>
      <c r="C43" s="15" t="s">
        <v>1114</v>
      </c>
      <c r="D43" s="15" t="s">
        <v>877</v>
      </c>
      <c r="E43" s="22">
        <v>44236</v>
      </c>
      <c r="F43" s="22">
        <v>44255</v>
      </c>
      <c r="G43" s="31" t="s">
        <v>674</v>
      </c>
      <c r="H43" s="31" t="s">
        <v>811</v>
      </c>
      <c r="I43" s="31" t="s">
        <v>702</v>
      </c>
      <c r="J43" s="31" t="s">
        <v>325</v>
      </c>
      <c r="K43" s="31" t="s">
        <v>334</v>
      </c>
      <c r="L43" s="31" t="s">
        <v>358</v>
      </c>
      <c r="M43" s="31" t="s">
        <v>322</v>
      </c>
      <c r="N43" s="31" t="s">
        <v>708</v>
      </c>
      <c r="O43" s="31" t="s">
        <v>694</v>
      </c>
      <c r="P43" s="15" t="s">
        <v>883</v>
      </c>
      <c r="Q43" s="31" t="s">
        <v>879</v>
      </c>
      <c r="R43" s="15" t="s">
        <v>835</v>
      </c>
      <c r="S43" s="15" t="s">
        <v>348</v>
      </c>
      <c r="T43" s="31" t="s">
        <v>614</v>
      </c>
      <c r="AC43" s="23" t="s">
        <v>885</v>
      </c>
      <c r="AD43" s="15" t="str">
        <f t="shared" si="23"/>
        <v>295759110</v>
      </c>
      <c r="AE43" s="21" t="str">
        <f t="shared" si="9"/>
        <v>BR_VW_AFS_dv360_DIS_PROG_CPM_STD_LDR_AAF_RON_CXD_After-Sales-Nova-VW-Reg05-Categories_PD_728x90</v>
      </c>
      <c r="AF43" s="21" t="str">
        <f t="shared" si="10"/>
        <v>BR_VW_AFS_dv360_DIS_PROG_CPM_STD_LDR_AAF_RON_CXD_After-Sales-Nova-VW-Reg05-Categories_PD_728x90</v>
      </c>
      <c r="AG43" s="21" t="str">
        <f t="shared" si="11"/>
        <v>VW_After-Sales-Categories_728x90_After-Sales-Nova-VW-Reg05-adserver</v>
      </c>
      <c r="AH43" s="21" t="str">
        <f t="shared" si="12"/>
        <v>https://posvendas.vw.com.br/product/oferta/62?utm_source=dv360&amp;utm_medium=Programmatic&amp;utm_content=BR_VW_AFS_dv360_DIS_PROG_CPM_STD_LDR_AAF_RON_CXD_After-Sales-Nova-VW-Reg05-Categories_PD_728x90&amp;utm_campaign=BR_AAF_DSY_NONMS_ND_AS_2021Q1FEV_AFS_After-Sales&amp;utm_term=%epid!_%ecid!_%eaid!</v>
      </c>
      <c r="AI43" s="21" t="str">
        <f t="shared" si="13"/>
        <v>TAG</v>
      </c>
      <c r="AJ43" s="15" t="str">
        <f t="shared" si="24"/>
        <v>dv360</v>
      </c>
      <c r="AK43" s="15" t="str">
        <f t="shared" si="25"/>
        <v>Programmatic</v>
      </c>
      <c r="AL43" s="21" t="str">
        <f>Campanha!$B$3</f>
        <v>BR_AAF_DSY_NONMS_ND_AS_2021Q1FEV_AFS_After-Sales</v>
      </c>
      <c r="AM43" s="21" t="str">
        <f t="shared" si="16"/>
        <v>BR_VW_AFS_dv360_DIS_PROG_CPM_STD_LDR_AAF_RON_CXD_After-Sales-Nova-VW-Reg05-Categories_PD_728x90</v>
      </c>
      <c r="AN43" s="15" t="s">
        <v>809</v>
      </c>
    </row>
    <row r="44" spans="2:40" hidden="1" x14ac:dyDescent="0.25">
      <c r="B44" s="15" t="s">
        <v>1098</v>
      </c>
      <c r="C44" s="15" t="s">
        <v>1114</v>
      </c>
      <c r="D44" s="15" t="s">
        <v>877</v>
      </c>
      <c r="E44" s="22">
        <v>44236</v>
      </c>
      <c r="F44" s="22">
        <v>44255</v>
      </c>
      <c r="G44" s="31" t="s">
        <v>674</v>
      </c>
      <c r="H44" s="31" t="s">
        <v>811</v>
      </c>
      <c r="I44" s="31" t="s">
        <v>702</v>
      </c>
      <c r="J44" s="31" t="s">
        <v>325</v>
      </c>
      <c r="K44" s="31" t="s">
        <v>334</v>
      </c>
      <c r="L44" s="31" t="s">
        <v>358</v>
      </c>
      <c r="M44" s="31" t="s">
        <v>322</v>
      </c>
      <c r="N44" s="31" t="s">
        <v>708</v>
      </c>
      <c r="O44" s="31" t="s">
        <v>694</v>
      </c>
      <c r="P44" s="15" t="s">
        <v>883</v>
      </c>
      <c r="Q44" s="31" t="s">
        <v>879</v>
      </c>
      <c r="R44" s="15" t="s">
        <v>835</v>
      </c>
      <c r="S44" s="15" t="s">
        <v>348</v>
      </c>
      <c r="T44" s="31" t="s">
        <v>652</v>
      </c>
      <c r="AC44" s="23" t="s">
        <v>885</v>
      </c>
      <c r="AD44" s="15" t="str">
        <f t="shared" si="23"/>
        <v>295759107</v>
      </c>
      <c r="AE44" s="21" t="str">
        <f t="shared" si="9"/>
        <v>BR_VW_AFS_dv360_DIS_PROG_CPM_STD_LDR_AAF_RON_CXD_After-Sales-Nova-VW-Reg05-Categories_PD_970x250</v>
      </c>
      <c r="AF44" s="21" t="str">
        <f t="shared" si="10"/>
        <v>BR_VW_AFS_dv360_DIS_PROG_CPM_STD_LDR_AAF_RON_CXD_After-Sales-Nova-VW-Reg05-Categories_PD_970x250</v>
      </c>
      <c r="AG44" s="21" t="str">
        <f t="shared" si="11"/>
        <v>VW_After-Sales-Categories_970x250_After-Sales-Nova-VW-Reg05-adserver</v>
      </c>
      <c r="AH44" s="21" t="str">
        <f t="shared" si="12"/>
        <v>https://posvendas.vw.com.br/product/oferta/62?utm_source=dv360&amp;utm_medium=Programmatic&amp;utm_content=BR_VW_AFS_dv360_DIS_PROG_CPM_STD_LDR_AAF_RON_CXD_After-Sales-Nova-VW-Reg05-Categories_PD_970x250&amp;utm_campaign=BR_AAF_DSY_NONMS_ND_AS_2021Q1FEV_AFS_After-Sales&amp;utm_term=%epid!_%ecid!_%eaid!</v>
      </c>
      <c r="AI44" s="21" t="str">
        <f t="shared" si="13"/>
        <v>TAG</v>
      </c>
      <c r="AJ44" s="15" t="str">
        <f t="shared" si="24"/>
        <v>dv360</v>
      </c>
      <c r="AK44" s="15" t="str">
        <f t="shared" si="25"/>
        <v>Programmatic</v>
      </c>
      <c r="AL44" s="21" t="str">
        <f>Campanha!$B$3</f>
        <v>BR_AAF_DSY_NONMS_ND_AS_2021Q1FEV_AFS_After-Sales</v>
      </c>
      <c r="AM44" s="21" t="str">
        <f t="shared" si="16"/>
        <v>BR_VW_AFS_dv360_DIS_PROG_CPM_STD_LDR_AAF_RON_CXD_After-Sales-Nova-VW-Reg05-Categories_PD_970x250</v>
      </c>
      <c r="AN44" s="15" t="s">
        <v>809</v>
      </c>
    </row>
    <row r="45" spans="2:40" hidden="1" x14ac:dyDescent="0.25">
      <c r="B45" s="15" t="s">
        <v>1098</v>
      </c>
      <c r="C45" s="15" t="s">
        <v>1114</v>
      </c>
      <c r="D45" s="15" t="s">
        <v>877</v>
      </c>
      <c r="E45" s="22">
        <v>44236</v>
      </c>
      <c r="F45" s="22">
        <v>44255</v>
      </c>
      <c r="G45" s="31" t="s">
        <v>674</v>
      </c>
      <c r="H45" s="31" t="s">
        <v>811</v>
      </c>
      <c r="I45" s="31" t="s">
        <v>702</v>
      </c>
      <c r="J45" s="31" t="s">
        <v>325</v>
      </c>
      <c r="K45" s="31" t="s">
        <v>334</v>
      </c>
      <c r="L45" s="31" t="s">
        <v>358</v>
      </c>
      <c r="M45" s="31" t="s">
        <v>322</v>
      </c>
      <c r="N45" s="31" t="s">
        <v>708</v>
      </c>
      <c r="O45" s="31" t="s">
        <v>694</v>
      </c>
      <c r="P45" s="15" t="s">
        <v>883</v>
      </c>
      <c r="Q45" s="31" t="s">
        <v>880</v>
      </c>
      <c r="R45" s="15" t="s">
        <v>835</v>
      </c>
      <c r="S45" s="15" t="s">
        <v>348</v>
      </c>
      <c r="T45" s="31" t="s">
        <v>457</v>
      </c>
      <c r="AC45" s="23" t="s">
        <v>885</v>
      </c>
      <c r="AD45" s="15" t="str">
        <f t="shared" si="23"/>
        <v>295759104</v>
      </c>
      <c r="AE45" s="21" t="str">
        <f t="shared" si="9"/>
        <v>BR_VW_AFS_dv360_DIS_PROG_CPM_STD_LDR_AAF_RON_CXD_After-Sales-Nova-VW-Reg05-In-Market_PD_160x600</v>
      </c>
      <c r="AF45" s="21" t="str">
        <f t="shared" si="10"/>
        <v>BR_VW_AFS_dv360_DIS_PROG_CPM_STD_LDR_AAF_RON_CXD_After-Sales-Nova-VW-Reg05-In-Market_PD_160x600</v>
      </c>
      <c r="AG45" s="21" t="str">
        <f t="shared" si="11"/>
        <v>VW_After-Sales-In-Market_160x600_After-Sales-Nova-VW-Reg05-adserver</v>
      </c>
      <c r="AH45" s="21" t="str">
        <f t="shared" si="12"/>
        <v>https://posvendas.vw.com.br/product/oferta/62?utm_source=dv360&amp;utm_medium=Programmatic&amp;utm_content=BR_VW_AFS_dv360_DIS_PROG_CPM_STD_LDR_AAF_RON_CXD_After-Sales-Nova-VW-Reg05-In-Market_PD_160x600&amp;utm_campaign=BR_AAF_DSY_NONMS_ND_AS_2021Q1FEV_AFS_After-Sales&amp;utm_term=%epid!_%ecid!_%eaid!</v>
      </c>
      <c r="AI45" s="21" t="str">
        <f t="shared" si="13"/>
        <v>TAG</v>
      </c>
      <c r="AJ45" s="15" t="str">
        <f t="shared" si="24"/>
        <v>dv360</v>
      </c>
      <c r="AK45" s="15" t="str">
        <f t="shared" si="25"/>
        <v>Programmatic</v>
      </c>
      <c r="AL45" s="21" t="str">
        <f>Campanha!$B$3</f>
        <v>BR_AAF_DSY_NONMS_ND_AS_2021Q1FEV_AFS_After-Sales</v>
      </c>
      <c r="AM45" s="21" t="str">
        <f t="shared" si="16"/>
        <v>BR_VW_AFS_dv360_DIS_PROG_CPM_STD_LDR_AAF_RON_CXD_After-Sales-Nova-VW-Reg05-In-Market_PD_160x600</v>
      </c>
      <c r="AN45" s="15" t="s">
        <v>809</v>
      </c>
    </row>
    <row r="46" spans="2:40" hidden="1" x14ac:dyDescent="0.25">
      <c r="B46" s="15" t="s">
        <v>1098</v>
      </c>
      <c r="C46" s="15" t="s">
        <v>1114</v>
      </c>
      <c r="D46" s="15" t="s">
        <v>877</v>
      </c>
      <c r="E46" s="22">
        <v>44236</v>
      </c>
      <c r="F46" s="22">
        <v>44255</v>
      </c>
      <c r="G46" s="31" t="s">
        <v>674</v>
      </c>
      <c r="H46" s="31" t="s">
        <v>811</v>
      </c>
      <c r="I46" s="31" t="s">
        <v>702</v>
      </c>
      <c r="J46" s="31" t="s">
        <v>325</v>
      </c>
      <c r="K46" s="31" t="s">
        <v>334</v>
      </c>
      <c r="L46" s="31" t="s">
        <v>358</v>
      </c>
      <c r="M46" s="31" t="s">
        <v>322</v>
      </c>
      <c r="N46" s="31" t="s">
        <v>708</v>
      </c>
      <c r="O46" s="31" t="s">
        <v>694</v>
      </c>
      <c r="P46" s="15" t="s">
        <v>883</v>
      </c>
      <c r="Q46" s="31" t="s">
        <v>880</v>
      </c>
      <c r="R46" s="15" t="s">
        <v>835</v>
      </c>
      <c r="S46" s="15" t="s">
        <v>348</v>
      </c>
      <c r="T46" s="31" t="s">
        <v>484</v>
      </c>
      <c r="AC46" s="23" t="s">
        <v>885</v>
      </c>
      <c r="AD46" s="15" t="str">
        <f t="shared" si="23"/>
        <v>295759101</v>
      </c>
      <c r="AE46" s="21" t="str">
        <f t="shared" si="9"/>
        <v>BR_VW_AFS_dv360_DIS_PROG_CPM_STD_LDR_AAF_RON_CXD_After-Sales-Nova-VW-Reg05-In-Market_PD_300x50</v>
      </c>
      <c r="AF46" s="21" t="str">
        <f t="shared" si="10"/>
        <v>BR_VW_AFS_dv360_DIS_PROG_CPM_STD_LDR_AAF_RON_CXD_After-Sales-Nova-VW-Reg05-In-Market_PD_300x50</v>
      </c>
      <c r="AG46" s="21" t="str">
        <f t="shared" si="11"/>
        <v>VW_After-Sales-In-Market_300x50_After-Sales-Nova-VW-Reg05-adserver</v>
      </c>
      <c r="AH46" s="21" t="str">
        <f t="shared" si="12"/>
        <v>https://posvendas.vw.com.br/product/oferta/62?utm_source=dv360&amp;utm_medium=Programmatic&amp;utm_content=BR_VW_AFS_dv360_DIS_PROG_CPM_STD_LDR_AAF_RON_CXD_After-Sales-Nova-VW-Reg05-In-Market_PD_300x50&amp;utm_campaign=BR_AAF_DSY_NONMS_ND_AS_2021Q1FEV_AFS_After-Sales&amp;utm_term=%epid!_%ecid!_%eaid!</v>
      </c>
      <c r="AI46" s="21" t="str">
        <f t="shared" si="13"/>
        <v>TAG</v>
      </c>
      <c r="AJ46" s="15" t="str">
        <f t="shared" si="24"/>
        <v>dv360</v>
      </c>
      <c r="AK46" s="15" t="str">
        <f t="shared" si="25"/>
        <v>Programmatic</v>
      </c>
      <c r="AL46" s="21" t="str">
        <f>Campanha!$B$3</f>
        <v>BR_AAF_DSY_NONMS_ND_AS_2021Q1FEV_AFS_After-Sales</v>
      </c>
      <c r="AM46" s="21" t="str">
        <f t="shared" si="16"/>
        <v>BR_VW_AFS_dv360_DIS_PROG_CPM_STD_LDR_AAF_RON_CXD_After-Sales-Nova-VW-Reg05-In-Market_PD_300x50</v>
      </c>
      <c r="AN46" s="15" t="s">
        <v>809</v>
      </c>
    </row>
    <row r="47" spans="2:40" hidden="1" x14ac:dyDescent="0.25">
      <c r="B47" s="15" t="s">
        <v>1098</v>
      </c>
      <c r="C47" s="15" t="s">
        <v>1114</v>
      </c>
      <c r="D47" s="15" t="s">
        <v>877</v>
      </c>
      <c r="E47" s="22">
        <v>44236</v>
      </c>
      <c r="F47" s="22">
        <v>44255</v>
      </c>
      <c r="G47" s="31" t="s">
        <v>674</v>
      </c>
      <c r="H47" s="31" t="s">
        <v>811</v>
      </c>
      <c r="I47" s="31" t="s">
        <v>702</v>
      </c>
      <c r="J47" s="31" t="s">
        <v>325</v>
      </c>
      <c r="K47" s="31" t="s">
        <v>334</v>
      </c>
      <c r="L47" s="31" t="s">
        <v>358</v>
      </c>
      <c r="M47" s="31" t="s">
        <v>322</v>
      </c>
      <c r="N47" s="31" t="s">
        <v>708</v>
      </c>
      <c r="O47" s="31" t="s">
        <v>694</v>
      </c>
      <c r="P47" s="15" t="s">
        <v>883</v>
      </c>
      <c r="Q47" s="31" t="s">
        <v>880</v>
      </c>
      <c r="R47" s="15" t="s">
        <v>835</v>
      </c>
      <c r="S47" s="15" t="s">
        <v>348</v>
      </c>
      <c r="T47" s="31" t="s">
        <v>478</v>
      </c>
      <c r="AC47" s="23" t="s">
        <v>885</v>
      </c>
      <c r="AD47" s="15" t="str">
        <f t="shared" si="23"/>
        <v>295759098</v>
      </c>
      <c r="AE47" s="21" t="str">
        <f t="shared" si="9"/>
        <v>BR_VW_AFS_dv360_DIS_PROG_CPM_STD_LDR_AAF_RON_CXD_After-Sales-Nova-VW-Reg05-In-Market_PD_300x250</v>
      </c>
      <c r="AF47" s="21" t="str">
        <f t="shared" si="10"/>
        <v>BR_VW_AFS_dv360_DIS_PROG_CPM_STD_LDR_AAF_RON_CXD_After-Sales-Nova-VW-Reg05-In-Market_PD_300x250</v>
      </c>
      <c r="AG47" s="21" t="str">
        <f t="shared" si="11"/>
        <v>VW_After-Sales-In-Market_300x250_After-Sales-Nova-VW-Reg05-adserver</v>
      </c>
      <c r="AH47" s="21" t="str">
        <f t="shared" si="12"/>
        <v>https://posvendas.vw.com.br/product/oferta/62?utm_source=dv360&amp;utm_medium=Programmatic&amp;utm_content=BR_VW_AFS_dv360_DIS_PROG_CPM_STD_LDR_AAF_RON_CXD_After-Sales-Nova-VW-Reg05-In-Market_PD_300x250&amp;utm_campaign=BR_AAF_DSY_NONMS_ND_AS_2021Q1FEV_AFS_After-Sales&amp;utm_term=%epid!_%ecid!_%eaid!</v>
      </c>
      <c r="AI47" s="21" t="str">
        <f t="shared" si="13"/>
        <v>TAG</v>
      </c>
      <c r="AJ47" s="15" t="str">
        <f t="shared" si="24"/>
        <v>dv360</v>
      </c>
      <c r="AK47" s="15" t="str">
        <f t="shared" si="25"/>
        <v>Programmatic</v>
      </c>
      <c r="AL47" s="21" t="str">
        <f>Campanha!$B$3</f>
        <v>BR_AAF_DSY_NONMS_ND_AS_2021Q1FEV_AFS_After-Sales</v>
      </c>
      <c r="AM47" s="21" t="str">
        <f t="shared" si="16"/>
        <v>BR_VW_AFS_dv360_DIS_PROG_CPM_STD_LDR_AAF_RON_CXD_After-Sales-Nova-VW-Reg05-In-Market_PD_300x250</v>
      </c>
      <c r="AN47" s="15" t="s">
        <v>809</v>
      </c>
    </row>
    <row r="48" spans="2:40" hidden="1" x14ac:dyDescent="0.25">
      <c r="B48" s="15" t="s">
        <v>1098</v>
      </c>
      <c r="C48" s="15" t="s">
        <v>1114</v>
      </c>
      <c r="D48" s="15" t="s">
        <v>877</v>
      </c>
      <c r="E48" s="22">
        <v>44236</v>
      </c>
      <c r="F48" s="22">
        <v>44255</v>
      </c>
      <c r="G48" s="31" t="s">
        <v>674</v>
      </c>
      <c r="H48" s="31" t="s">
        <v>811</v>
      </c>
      <c r="I48" s="31" t="s">
        <v>702</v>
      </c>
      <c r="J48" s="31" t="s">
        <v>325</v>
      </c>
      <c r="K48" s="31" t="s">
        <v>334</v>
      </c>
      <c r="L48" s="31" t="s">
        <v>358</v>
      </c>
      <c r="M48" s="31" t="s">
        <v>322</v>
      </c>
      <c r="N48" s="31" t="s">
        <v>708</v>
      </c>
      <c r="O48" s="31" t="s">
        <v>694</v>
      </c>
      <c r="P48" s="15" t="s">
        <v>883</v>
      </c>
      <c r="Q48" s="31" t="s">
        <v>880</v>
      </c>
      <c r="R48" s="15" t="s">
        <v>835</v>
      </c>
      <c r="S48" s="15" t="s">
        <v>348</v>
      </c>
      <c r="T48" s="31" t="s">
        <v>614</v>
      </c>
      <c r="AC48" s="23" t="s">
        <v>885</v>
      </c>
      <c r="AD48" s="15" t="str">
        <f t="shared" si="23"/>
        <v>295759095</v>
      </c>
      <c r="AE48" s="21" t="str">
        <f t="shared" si="9"/>
        <v>BR_VW_AFS_dv360_DIS_PROG_CPM_STD_LDR_AAF_RON_CXD_After-Sales-Nova-VW-Reg05-In-Market_PD_728x90</v>
      </c>
      <c r="AF48" s="21" t="str">
        <f t="shared" si="10"/>
        <v>BR_VW_AFS_dv360_DIS_PROG_CPM_STD_LDR_AAF_RON_CXD_After-Sales-Nova-VW-Reg05-In-Market_PD_728x90</v>
      </c>
      <c r="AG48" s="21" t="str">
        <f t="shared" si="11"/>
        <v>VW_After-Sales-In-Market_728x90_After-Sales-Nova-VW-Reg05-adserver</v>
      </c>
      <c r="AH48" s="21" t="str">
        <f t="shared" si="12"/>
        <v>https://posvendas.vw.com.br/product/oferta/62?utm_source=dv360&amp;utm_medium=Programmatic&amp;utm_content=BR_VW_AFS_dv360_DIS_PROG_CPM_STD_LDR_AAF_RON_CXD_After-Sales-Nova-VW-Reg05-In-Market_PD_728x90&amp;utm_campaign=BR_AAF_DSY_NONMS_ND_AS_2021Q1FEV_AFS_After-Sales&amp;utm_term=%epid!_%ecid!_%eaid!</v>
      </c>
      <c r="AI48" s="21" t="str">
        <f t="shared" si="13"/>
        <v>TAG</v>
      </c>
      <c r="AJ48" s="15" t="str">
        <f t="shared" si="24"/>
        <v>dv360</v>
      </c>
      <c r="AK48" s="15" t="str">
        <f t="shared" si="25"/>
        <v>Programmatic</v>
      </c>
      <c r="AL48" s="21" t="str">
        <f>Campanha!$B$3</f>
        <v>BR_AAF_DSY_NONMS_ND_AS_2021Q1FEV_AFS_After-Sales</v>
      </c>
      <c r="AM48" s="21" t="str">
        <f t="shared" si="16"/>
        <v>BR_VW_AFS_dv360_DIS_PROG_CPM_STD_LDR_AAF_RON_CXD_After-Sales-Nova-VW-Reg05-In-Market_PD_728x90</v>
      </c>
      <c r="AN48" s="15" t="s">
        <v>809</v>
      </c>
    </row>
    <row r="49" spans="2:40" hidden="1" x14ac:dyDescent="0.25">
      <c r="B49" s="15" t="s">
        <v>1098</v>
      </c>
      <c r="C49" s="15" t="s">
        <v>1114</v>
      </c>
      <c r="D49" s="15" t="s">
        <v>877</v>
      </c>
      <c r="E49" s="22">
        <v>44236</v>
      </c>
      <c r="F49" s="22">
        <v>44255</v>
      </c>
      <c r="G49" s="31" t="s">
        <v>674</v>
      </c>
      <c r="H49" s="31" t="s">
        <v>811</v>
      </c>
      <c r="I49" s="31" t="s">
        <v>702</v>
      </c>
      <c r="J49" s="31" t="s">
        <v>325</v>
      </c>
      <c r="K49" s="31" t="s">
        <v>334</v>
      </c>
      <c r="L49" s="31" t="s">
        <v>358</v>
      </c>
      <c r="M49" s="31" t="s">
        <v>322</v>
      </c>
      <c r="N49" s="31" t="s">
        <v>708</v>
      </c>
      <c r="O49" s="31" t="s">
        <v>694</v>
      </c>
      <c r="P49" s="15" t="s">
        <v>883</v>
      </c>
      <c r="Q49" s="31" t="s">
        <v>880</v>
      </c>
      <c r="R49" s="15" t="s">
        <v>835</v>
      </c>
      <c r="S49" s="15" t="s">
        <v>348</v>
      </c>
      <c r="T49" s="31" t="s">
        <v>652</v>
      </c>
      <c r="AC49" s="23" t="s">
        <v>885</v>
      </c>
      <c r="AD49" s="15" t="str">
        <f t="shared" si="23"/>
        <v>295759092</v>
      </c>
      <c r="AE49" s="21" t="str">
        <f t="shared" si="9"/>
        <v>BR_VW_AFS_dv360_DIS_PROG_CPM_STD_LDR_AAF_RON_CXD_After-Sales-Nova-VW-Reg05-In-Market_PD_970x250</v>
      </c>
      <c r="AF49" s="21" t="str">
        <f t="shared" si="10"/>
        <v>BR_VW_AFS_dv360_DIS_PROG_CPM_STD_LDR_AAF_RON_CXD_After-Sales-Nova-VW-Reg05-In-Market_PD_970x250</v>
      </c>
      <c r="AG49" s="21" t="str">
        <f t="shared" si="11"/>
        <v>VW_After-Sales-In-Market_970x250_After-Sales-Nova-VW-Reg05-adserver</v>
      </c>
      <c r="AH49" s="21" t="str">
        <f t="shared" si="12"/>
        <v>https://posvendas.vw.com.br/product/oferta/62?utm_source=dv360&amp;utm_medium=Programmatic&amp;utm_content=BR_VW_AFS_dv360_DIS_PROG_CPM_STD_LDR_AAF_RON_CXD_After-Sales-Nova-VW-Reg05-In-Market_PD_970x250&amp;utm_campaign=BR_AAF_DSY_NONMS_ND_AS_2021Q1FEV_AFS_After-Sales&amp;utm_term=%epid!_%ecid!_%eaid!</v>
      </c>
      <c r="AI49" s="21" t="str">
        <f t="shared" si="13"/>
        <v>TAG</v>
      </c>
      <c r="AJ49" s="15" t="str">
        <f t="shared" si="24"/>
        <v>dv360</v>
      </c>
      <c r="AK49" s="15" t="str">
        <f t="shared" si="25"/>
        <v>Programmatic</v>
      </c>
      <c r="AL49" s="21" t="str">
        <f>Campanha!$B$3</f>
        <v>BR_AAF_DSY_NONMS_ND_AS_2021Q1FEV_AFS_After-Sales</v>
      </c>
      <c r="AM49" s="21" t="str">
        <f t="shared" si="16"/>
        <v>BR_VW_AFS_dv360_DIS_PROG_CPM_STD_LDR_AAF_RON_CXD_After-Sales-Nova-VW-Reg05-In-Market_PD_970x250</v>
      </c>
      <c r="AN49" s="15" t="s">
        <v>809</v>
      </c>
    </row>
    <row r="50" spans="2:40" hidden="1" x14ac:dyDescent="0.25">
      <c r="B50" s="15" t="s">
        <v>1098</v>
      </c>
      <c r="C50" s="15" t="s">
        <v>1114</v>
      </c>
      <c r="D50" s="15" t="s">
        <v>877</v>
      </c>
      <c r="E50" s="22">
        <v>44236</v>
      </c>
      <c r="F50" s="22">
        <v>44255</v>
      </c>
      <c r="G50" s="31" t="s">
        <v>674</v>
      </c>
      <c r="H50" s="31" t="s">
        <v>811</v>
      </c>
      <c r="I50" s="31" t="s">
        <v>702</v>
      </c>
      <c r="J50" s="31" t="s">
        <v>325</v>
      </c>
      <c r="K50" s="31" t="s">
        <v>334</v>
      </c>
      <c r="L50" s="31" t="s">
        <v>358</v>
      </c>
      <c r="M50" s="31" t="s">
        <v>322</v>
      </c>
      <c r="N50" s="31" t="s">
        <v>708</v>
      </c>
      <c r="O50" s="31" t="s">
        <v>694</v>
      </c>
      <c r="P50" s="15" t="s">
        <v>883</v>
      </c>
      <c r="Q50" s="31" t="s">
        <v>881</v>
      </c>
      <c r="R50" s="15" t="s">
        <v>835</v>
      </c>
      <c r="S50" s="15" t="s">
        <v>348</v>
      </c>
      <c r="T50" s="31" t="s">
        <v>457</v>
      </c>
      <c r="AC50" s="23" t="s">
        <v>885</v>
      </c>
      <c r="AD50" s="15" t="str">
        <f t="shared" si="23"/>
        <v>295759089</v>
      </c>
      <c r="AE50" s="21" t="str">
        <f t="shared" si="9"/>
        <v>BR_VW_AFS_dv360_DIS_PROG_CPM_STD_LDR_AAF_RON_CXD_After-Sales-Nova-VW-Reg05-3rdparty_PD_160x600</v>
      </c>
      <c r="AF50" s="21" t="str">
        <f t="shared" si="10"/>
        <v>BR_VW_AFS_dv360_DIS_PROG_CPM_STD_LDR_AAF_RON_CXD_After-Sales-Nova-VW-Reg05-3rdparty_PD_160x600</v>
      </c>
      <c r="AG50" s="21" t="str">
        <f t="shared" si="11"/>
        <v>VW_After-Sales-3rdparty_160x600_After-Sales-Nova-VW-Reg05-adserver</v>
      </c>
      <c r="AH50" s="21" t="str">
        <f t="shared" si="12"/>
        <v>https://posvendas.vw.com.br/product/oferta/62?utm_source=dv360&amp;utm_medium=Programmatic&amp;utm_content=BR_VW_AFS_dv360_DIS_PROG_CPM_STD_LDR_AAF_RON_CXD_After-Sales-Nova-VW-Reg05-3rdparty_PD_160x600&amp;utm_campaign=BR_AAF_DSY_NONMS_ND_AS_2021Q1FEV_AFS_After-Sales&amp;utm_term=%epid!_%ecid!_%eaid!</v>
      </c>
      <c r="AI50" s="21" t="str">
        <f t="shared" si="13"/>
        <v>TAG</v>
      </c>
      <c r="AJ50" s="15" t="str">
        <f t="shared" si="24"/>
        <v>dv360</v>
      </c>
      <c r="AK50" s="15" t="str">
        <f t="shared" si="25"/>
        <v>Programmatic</v>
      </c>
      <c r="AL50" s="21" t="str">
        <f>Campanha!$B$3</f>
        <v>BR_AAF_DSY_NONMS_ND_AS_2021Q1FEV_AFS_After-Sales</v>
      </c>
      <c r="AM50" s="21" t="str">
        <f t="shared" si="16"/>
        <v>BR_VW_AFS_dv360_DIS_PROG_CPM_STD_LDR_AAF_RON_CXD_After-Sales-Nova-VW-Reg05-3rdparty_PD_160x600</v>
      </c>
      <c r="AN50" s="15" t="s">
        <v>809</v>
      </c>
    </row>
    <row r="51" spans="2:40" hidden="1" x14ac:dyDescent="0.25">
      <c r="B51" s="15" t="s">
        <v>1098</v>
      </c>
      <c r="C51" s="15" t="s">
        <v>1114</v>
      </c>
      <c r="D51" s="15" t="s">
        <v>877</v>
      </c>
      <c r="E51" s="22">
        <v>44236</v>
      </c>
      <c r="F51" s="22">
        <v>44255</v>
      </c>
      <c r="G51" s="31" t="s">
        <v>674</v>
      </c>
      <c r="H51" s="31" t="s">
        <v>811</v>
      </c>
      <c r="I51" s="31" t="s">
        <v>702</v>
      </c>
      <c r="J51" s="31" t="s">
        <v>325</v>
      </c>
      <c r="K51" s="31" t="s">
        <v>334</v>
      </c>
      <c r="L51" s="31" t="s">
        <v>358</v>
      </c>
      <c r="M51" s="31" t="s">
        <v>322</v>
      </c>
      <c r="N51" s="31" t="s">
        <v>708</v>
      </c>
      <c r="O51" s="31" t="s">
        <v>694</v>
      </c>
      <c r="P51" s="15" t="s">
        <v>883</v>
      </c>
      <c r="Q51" s="31" t="s">
        <v>881</v>
      </c>
      <c r="R51" s="15" t="s">
        <v>835</v>
      </c>
      <c r="S51" s="15" t="s">
        <v>348</v>
      </c>
      <c r="T51" s="31" t="s">
        <v>484</v>
      </c>
      <c r="AC51" s="23" t="s">
        <v>885</v>
      </c>
      <c r="AD51" s="15" t="str">
        <f t="shared" si="23"/>
        <v>295759086</v>
      </c>
      <c r="AE51" s="21" t="str">
        <f t="shared" si="9"/>
        <v>BR_VW_AFS_dv360_DIS_PROG_CPM_STD_LDR_AAF_RON_CXD_After-Sales-Nova-VW-Reg05-3rdparty_PD_300x50</v>
      </c>
      <c r="AF51" s="21" t="str">
        <f t="shared" si="10"/>
        <v>BR_VW_AFS_dv360_DIS_PROG_CPM_STD_LDR_AAF_RON_CXD_After-Sales-Nova-VW-Reg05-3rdparty_PD_300x50</v>
      </c>
      <c r="AG51" s="21" t="str">
        <f t="shared" si="11"/>
        <v>VW_After-Sales-3rdparty_300x50_After-Sales-Nova-VW-Reg05-adserver</v>
      </c>
      <c r="AH51" s="21" t="str">
        <f t="shared" si="12"/>
        <v>https://posvendas.vw.com.br/product/oferta/62?utm_source=dv360&amp;utm_medium=Programmatic&amp;utm_content=BR_VW_AFS_dv360_DIS_PROG_CPM_STD_LDR_AAF_RON_CXD_After-Sales-Nova-VW-Reg05-3rdparty_PD_300x50&amp;utm_campaign=BR_AAF_DSY_NONMS_ND_AS_2021Q1FEV_AFS_After-Sales&amp;utm_term=%epid!_%ecid!_%eaid!</v>
      </c>
      <c r="AI51" s="21" t="str">
        <f t="shared" si="13"/>
        <v>TAG</v>
      </c>
      <c r="AJ51" s="15" t="str">
        <f t="shared" si="24"/>
        <v>dv360</v>
      </c>
      <c r="AK51" s="15" t="str">
        <f t="shared" si="25"/>
        <v>Programmatic</v>
      </c>
      <c r="AL51" s="21" t="str">
        <f>Campanha!$B$3</f>
        <v>BR_AAF_DSY_NONMS_ND_AS_2021Q1FEV_AFS_After-Sales</v>
      </c>
      <c r="AM51" s="21" t="str">
        <f t="shared" si="16"/>
        <v>BR_VW_AFS_dv360_DIS_PROG_CPM_STD_LDR_AAF_RON_CXD_After-Sales-Nova-VW-Reg05-3rdparty_PD_300x50</v>
      </c>
      <c r="AN51" s="15" t="s">
        <v>809</v>
      </c>
    </row>
    <row r="52" spans="2:40" hidden="1" x14ac:dyDescent="0.25">
      <c r="B52" s="15" t="s">
        <v>1098</v>
      </c>
      <c r="C52" s="15" t="s">
        <v>1114</v>
      </c>
      <c r="D52" s="15" t="s">
        <v>877</v>
      </c>
      <c r="E52" s="22">
        <v>44236</v>
      </c>
      <c r="F52" s="22">
        <v>44255</v>
      </c>
      <c r="G52" s="31" t="s">
        <v>674</v>
      </c>
      <c r="H52" s="31" t="s">
        <v>811</v>
      </c>
      <c r="I52" s="31" t="s">
        <v>702</v>
      </c>
      <c r="J52" s="31" t="s">
        <v>325</v>
      </c>
      <c r="K52" s="31" t="s">
        <v>334</v>
      </c>
      <c r="L52" s="31" t="s">
        <v>358</v>
      </c>
      <c r="M52" s="31" t="s">
        <v>322</v>
      </c>
      <c r="N52" s="31" t="s">
        <v>708</v>
      </c>
      <c r="O52" s="31" t="s">
        <v>694</v>
      </c>
      <c r="P52" s="15" t="s">
        <v>883</v>
      </c>
      <c r="Q52" s="31" t="s">
        <v>881</v>
      </c>
      <c r="R52" s="15" t="s">
        <v>835</v>
      </c>
      <c r="S52" s="15" t="s">
        <v>348</v>
      </c>
      <c r="T52" s="31" t="s">
        <v>478</v>
      </c>
      <c r="AC52" s="23" t="s">
        <v>885</v>
      </c>
      <c r="AD52" s="15" t="str">
        <f t="shared" si="23"/>
        <v>295759083</v>
      </c>
      <c r="AE52" s="21" t="str">
        <f t="shared" si="9"/>
        <v>BR_VW_AFS_dv360_DIS_PROG_CPM_STD_LDR_AAF_RON_CXD_After-Sales-Nova-VW-Reg05-3rdparty_PD_300x250</v>
      </c>
      <c r="AF52" s="21" t="str">
        <f t="shared" si="10"/>
        <v>BR_VW_AFS_dv360_DIS_PROG_CPM_STD_LDR_AAF_RON_CXD_After-Sales-Nova-VW-Reg05-3rdparty_PD_300x250</v>
      </c>
      <c r="AG52" s="21" t="str">
        <f t="shared" si="11"/>
        <v>VW_After-Sales-3rdparty_300x250_After-Sales-Nova-VW-Reg05-adserver</v>
      </c>
      <c r="AH52" s="21" t="str">
        <f t="shared" si="12"/>
        <v>https://posvendas.vw.com.br/product/oferta/62?utm_source=dv360&amp;utm_medium=Programmatic&amp;utm_content=BR_VW_AFS_dv360_DIS_PROG_CPM_STD_LDR_AAF_RON_CXD_After-Sales-Nova-VW-Reg05-3rdparty_PD_300x250&amp;utm_campaign=BR_AAF_DSY_NONMS_ND_AS_2021Q1FEV_AFS_After-Sales&amp;utm_term=%epid!_%ecid!_%eaid!</v>
      </c>
      <c r="AI52" s="21" t="str">
        <f t="shared" si="13"/>
        <v>TAG</v>
      </c>
      <c r="AJ52" s="15" t="str">
        <f t="shared" si="24"/>
        <v>dv360</v>
      </c>
      <c r="AK52" s="15" t="str">
        <f t="shared" si="25"/>
        <v>Programmatic</v>
      </c>
      <c r="AL52" s="21" t="str">
        <f>Campanha!$B$3</f>
        <v>BR_AAF_DSY_NONMS_ND_AS_2021Q1FEV_AFS_After-Sales</v>
      </c>
      <c r="AM52" s="21" t="str">
        <f t="shared" si="16"/>
        <v>BR_VW_AFS_dv360_DIS_PROG_CPM_STD_LDR_AAF_RON_CXD_After-Sales-Nova-VW-Reg05-3rdparty_PD_300x250</v>
      </c>
      <c r="AN52" s="15" t="s">
        <v>809</v>
      </c>
    </row>
    <row r="53" spans="2:40" hidden="1" x14ac:dyDescent="0.25">
      <c r="B53" s="15" t="s">
        <v>1098</v>
      </c>
      <c r="C53" s="15" t="s">
        <v>1114</v>
      </c>
      <c r="D53" s="15" t="s">
        <v>877</v>
      </c>
      <c r="E53" s="22">
        <v>44236</v>
      </c>
      <c r="F53" s="22">
        <v>44255</v>
      </c>
      <c r="G53" s="31" t="s">
        <v>674</v>
      </c>
      <c r="H53" s="31" t="s">
        <v>811</v>
      </c>
      <c r="I53" s="31" t="s">
        <v>702</v>
      </c>
      <c r="J53" s="31" t="s">
        <v>325</v>
      </c>
      <c r="K53" s="31" t="s">
        <v>334</v>
      </c>
      <c r="L53" s="31" t="s">
        <v>358</v>
      </c>
      <c r="M53" s="31" t="s">
        <v>322</v>
      </c>
      <c r="N53" s="31" t="s">
        <v>708</v>
      </c>
      <c r="O53" s="31" t="s">
        <v>694</v>
      </c>
      <c r="P53" s="15" t="s">
        <v>883</v>
      </c>
      <c r="Q53" s="31" t="s">
        <v>881</v>
      </c>
      <c r="R53" s="15" t="s">
        <v>835</v>
      </c>
      <c r="S53" s="15" t="s">
        <v>348</v>
      </c>
      <c r="T53" s="31" t="s">
        <v>614</v>
      </c>
      <c r="AC53" s="23" t="s">
        <v>885</v>
      </c>
      <c r="AD53" s="15" t="str">
        <f t="shared" si="23"/>
        <v>295759080</v>
      </c>
      <c r="AE53" s="21" t="str">
        <f t="shared" si="9"/>
        <v>BR_VW_AFS_dv360_DIS_PROG_CPM_STD_LDR_AAF_RON_CXD_After-Sales-Nova-VW-Reg05-3rdparty_PD_728x90</v>
      </c>
      <c r="AF53" s="21" t="str">
        <f t="shared" si="10"/>
        <v>BR_VW_AFS_dv360_DIS_PROG_CPM_STD_LDR_AAF_RON_CXD_After-Sales-Nova-VW-Reg05-3rdparty_PD_728x90</v>
      </c>
      <c r="AG53" s="21" t="str">
        <f t="shared" si="11"/>
        <v>VW_After-Sales-3rdparty_728x90_After-Sales-Nova-VW-Reg05-adserver</v>
      </c>
      <c r="AH53" s="21" t="str">
        <f t="shared" si="12"/>
        <v>https://posvendas.vw.com.br/product/oferta/62?utm_source=dv360&amp;utm_medium=Programmatic&amp;utm_content=BR_VW_AFS_dv360_DIS_PROG_CPM_STD_LDR_AAF_RON_CXD_After-Sales-Nova-VW-Reg05-3rdparty_PD_728x90&amp;utm_campaign=BR_AAF_DSY_NONMS_ND_AS_2021Q1FEV_AFS_After-Sales&amp;utm_term=%epid!_%ecid!_%eaid!</v>
      </c>
      <c r="AI53" s="21" t="str">
        <f t="shared" si="13"/>
        <v>TAG</v>
      </c>
      <c r="AJ53" s="15" t="str">
        <f t="shared" si="24"/>
        <v>dv360</v>
      </c>
      <c r="AK53" s="15" t="str">
        <f t="shared" si="25"/>
        <v>Programmatic</v>
      </c>
      <c r="AL53" s="21" t="str">
        <f>Campanha!$B$3</f>
        <v>BR_AAF_DSY_NONMS_ND_AS_2021Q1FEV_AFS_After-Sales</v>
      </c>
      <c r="AM53" s="21" t="str">
        <f t="shared" si="16"/>
        <v>BR_VW_AFS_dv360_DIS_PROG_CPM_STD_LDR_AAF_RON_CXD_After-Sales-Nova-VW-Reg05-3rdparty_PD_728x90</v>
      </c>
      <c r="AN53" s="15" t="s">
        <v>809</v>
      </c>
    </row>
    <row r="54" spans="2:40" hidden="1" x14ac:dyDescent="0.25">
      <c r="B54" s="15" t="s">
        <v>1098</v>
      </c>
      <c r="C54" s="15" t="s">
        <v>1114</v>
      </c>
      <c r="D54" s="15" t="s">
        <v>877</v>
      </c>
      <c r="E54" s="22">
        <v>44236</v>
      </c>
      <c r="F54" s="22">
        <v>44255</v>
      </c>
      <c r="G54" s="31" t="s">
        <v>674</v>
      </c>
      <c r="H54" s="31" t="s">
        <v>811</v>
      </c>
      <c r="I54" s="31" t="s">
        <v>702</v>
      </c>
      <c r="J54" s="31" t="s">
        <v>325</v>
      </c>
      <c r="K54" s="31" t="s">
        <v>334</v>
      </c>
      <c r="L54" s="31" t="s">
        <v>358</v>
      </c>
      <c r="M54" s="31" t="s">
        <v>322</v>
      </c>
      <c r="N54" s="31" t="s">
        <v>708</v>
      </c>
      <c r="O54" s="31" t="s">
        <v>694</v>
      </c>
      <c r="P54" s="15" t="s">
        <v>883</v>
      </c>
      <c r="Q54" s="31" t="s">
        <v>881</v>
      </c>
      <c r="R54" s="15" t="s">
        <v>835</v>
      </c>
      <c r="S54" s="15" t="s">
        <v>348</v>
      </c>
      <c r="T54" s="31" t="s">
        <v>652</v>
      </c>
      <c r="AC54" s="23" t="s">
        <v>885</v>
      </c>
      <c r="AD54" s="15" t="str">
        <f t="shared" si="23"/>
        <v>295759077</v>
      </c>
      <c r="AE54" s="21" t="str">
        <f t="shared" si="9"/>
        <v>BR_VW_AFS_dv360_DIS_PROG_CPM_STD_LDR_AAF_RON_CXD_After-Sales-Nova-VW-Reg05-3rdparty_PD_970x250</v>
      </c>
      <c r="AF54" s="21" t="str">
        <f t="shared" si="10"/>
        <v>BR_VW_AFS_dv360_DIS_PROG_CPM_STD_LDR_AAF_RON_CXD_After-Sales-Nova-VW-Reg05-3rdparty_PD_970x250</v>
      </c>
      <c r="AG54" s="21" t="str">
        <f t="shared" si="11"/>
        <v>VW_After-Sales-3rdparty_970x250_After-Sales-Nova-VW-Reg05-adserver</v>
      </c>
      <c r="AH54" s="21" t="str">
        <f t="shared" si="12"/>
        <v>https://posvendas.vw.com.br/product/oferta/62?utm_source=dv360&amp;utm_medium=Programmatic&amp;utm_content=BR_VW_AFS_dv360_DIS_PROG_CPM_STD_LDR_AAF_RON_CXD_After-Sales-Nova-VW-Reg05-3rdparty_PD_970x250&amp;utm_campaign=BR_AAF_DSY_NONMS_ND_AS_2021Q1FEV_AFS_After-Sales&amp;utm_term=%epid!_%ecid!_%eaid!</v>
      </c>
      <c r="AI54" s="21" t="str">
        <f t="shared" si="13"/>
        <v>TAG</v>
      </c>
      <c r="AJ54" s="15" t="str">
        <f t="shared" si="24"/>
        <v>dv360</v>
      </c>
      <c r="AK54" s="15" t="str">
        <f t="shared" si="25"/>
        <v>Programmatic</v>
      </c>
      <c r="AL54" s="21" t="str">
        <f>Campanha!$B$3</f>
        <v>BR_AAF_DSY_NONMS_ND_AS_2021Q1FEV_AFS_After-Sales</v>
      </c>
      <c r="AM54" s="21" t="str">
        <f t="shared" si="16"/>
        <v>BR_VW_AFS_dv360_DIS_PROG_CPM_STD_LDR_AAF_RON_CXD_After-Sales-Nova-VW-Reg05-3rdparty_PD_970x250</v>
      </c>
      <c r="AN54" s="15" t="s">
        <v>809</v>
      </c>
    </row>
    <row r="55" spans="2:40" hidden="1" x14ac:dyDescent="0.25">
      <c r="B55" s="15" t="s">
        <v>1098</v>
      </c>
      <c r="C55" s="15" t="s">
        <v>1114</v>
      </c>
      <c r="D55" s="15" t="s">
        <v>877</v>
      </c>
      <c r="E55" s="22">
        <v>44236</v>
      </c>
      <c r="F55" s="22">
        <v>44255</v>
      </c>
      <c r="G55" s="31" t="s">
        <v>674</v>
      </c>
      <c r="H55" s="31" t="s">
        <v>811</v>
      </c>
      <c r="I55" s="31" t="s">
        <v>702</v>
      </c>
      <c r="J55" s="31" t="s">
        <v>325</v>
      </c>
      <c r="K55" s="31" t="s">
        <v>334</v>
      </c>
      <c r="L55" s="31" t="s">
        <v>358</v>
      </c>
      <c r="M55" s="31" t="s">
        <v>322</v>
      </c>
      <c r="N55" s="31" t="s">
        <v>708</v>
      </c>
      <c r="O55" s="31" t="s">
        <v>694</v>
      </c>
      <c r="P55" s="15" t="s">
        <v>884</v>
      </c>
      <c r="Q55" s="31" t="s">
        <v>878</v>
      </c>
      <c r="R55" s="15" t="s">
        <v>835</v>
      </c>
      <c r="S55" s="15" t="s">
        <v>348</v>
      </c>
      <c r="T55" s="31" t="s">
        <v>457</v>
      </c>
      <c r="AC55" s="23" t="s">
        <v>885</v>
      </c>
      <c r="AD55" s="15" t="str">
        <f t="shared" si="23"/>
        <v>295759074</v>
      </c>
      <c r="AE55" s="21" t="str">
        <f t="shared" si="9"/>
        <v>BR_VW_AFS_dv360_DIS_PROG_CPM_STD_LDR_AAF_RON_CXD_After-Sales-Nova-VW-Reg06-KWs_PD_160x600</v>
      </c>
      <c r="AF55" s="21" t="str">
        <f t="shared" si="10"/>
        <v>BR_VW_AFS_dv360_DIS_PROG_CPM_STD_LDR_AAF_RON_CXD_After-Sales-Nova-VW-Reg06-KWs_PD_160x600</v>
      </c>
      <c r="AG55" s="21" t="str">
        <f t="shared" si="11"/>
        <v>VW_After-Sales-KWs_160x600_After-Sales-Nova-VW-Reg06-adserver</v>
      </c>
      <c r="AH55" s="21" t="str">
        <f t="shared" si="12"/>
        <v>https://posvendas.vw.com.br/product/oferta/62?utm_source=dv360&amp;utm_medium=Programmatic&amp;utm_content=BR_VW_AFS_dv360_DIS_PROG_CPM_STD_LDR_AAF_RON_CXD_After-Sales-Nova-VW-Reg06-KWs_PD_160x600&amp;utm_campaign=BR_AAF_DSY_NONMS_ND_AS_2021Q1FEV_AFS_After-Sales&amp;utm_term=%epid!_%ecid!_%eaid!</v>
      </c>
      <c r="AI55" s="21" t="str">
        <f t="shared" si="13"/>
        <v>TAG</v>
      </c>
      <c r="AJ55" s="15" t="str">
        <f t="shared" si="24"/>
        <v>dv360</v>
      </c>
      <c r="AK55" s="15" t="str">
        <f t="shared" si="25"/>
        <v>Programmatic</v>
      </c>
      <c r="AL55" s="21" t="str">
        <f>Campanha!$B$3</f>
        <v>BR_AAF_DSY_NONMS_ND_AS_2021Q1FEV_AFS_After-Sales</v>
      </c>
      <c r="AM55" s="21" t="str">
        <f t="shared" si="16"/>
        <v>BR_VW_AFS_dv360_DIS_PROG_CPM_STD_LDR_AAF_RON_CXD_After-Sales-Nova-VW-Reg06-KWs_PD_160x600</v>
      </c>
      <c r="AN55" s="15" t="s">
        <v>809</v>
      </c>
    </row>
    <row r="56" spans="2:40" hidden="1" x14ac:dyDescent="0.25">
      <c r="B56" s="15" t="s">
        <v>1098</v>
      </c>
      <c r="C56" s="15" t="s">
        <v>1114</v>
      </c>
      <c r="D56" s="15" t="s">
        <v>877</v>
      </c>
      <c r="E56" s="22">
        <v>44236</v>
      </c>
      <c r="F56" s="22">
        <v>44255</v>
      </c>
      <c r="G56" s="31" t="s">
        <v>674</v>
      </c>
      <c r="H56" s="31" t="s">
        <v>811</v>
      </c>
      <c r="I56" s="31" t="s">
        <v>702</v>
      </c>
      <c r="J56" s="31" t="s">
        <v>325</v>
      </c>
      <c r="K56" s="31" t="s">
        <v>334</v>
      </c>
      <c r="L56" s="31" t="s">
        <v>358</v>
      </c>
      <c r="M56" s="31" t="s">
        <v>322</v>
      </c>
      <c r="N56" s="31" t="s">
        <v>708</v>
      </c>
      <c r="O56" s="31" t="s">
        <v>694</v>
      </c>
      <c r="P56" s="15" t="s">
        <v>884</v>
      </c>
      <c r="Q56" s="31" t="s">
        <v>878</v>
      </c>
      <c r="R56" s="15" t="s">
        <v>835</v>
      </c>
      <c r="S56" s="15" t="s">
        <v>348</v>
      </c>
      <c r="T56" s="31" t="s">
        <v>484</v>
      </c>
      <c r="AC56" s="23" t="s">
        <v>885</v>
      </c>
      <c r="AD56" s="15" t="str">
        <f t="shared" si="23"/>
        <v>295759071</v>
      </c>
      <c r="AE56" s="21" t="str">
        <f t="shared" si="9"/>
        <v>BR_VW_AFS_dv360_DIS_PROG_CPM_STD_LDR_AAF_RON_CXD_After-Sales-Nova-VW-Reg06-KWs_PD_300x50</v>
      </c>
      <c r="AF56" s="21" t="str">
        <f t="shared" si="10"/>
        <v>BR_VW_AFS_dv360_DIS_PROG_CPM_STD_LDR_AAF_RON_CXD_After-Sales-Nova-VW-Reg06-KWs_PD_300x50</v>
      </c>
      <c r="AG56" s="21" t="str">
        <f t="shared" si="11"/>
        <v>VW_After-Sales-KWs_300x50_After-Sales-Nova-VW-Reg06-adserver</v>
      </c>
      <c r="AH56" s="21" t="str">
        <f t="shared" si="12"/>
        <v>https://posvendas.vw.com.br/product/oferta/62?utm_source=dv360&amp;utm_medium=Programmatic&amp;utm_content=BR_VW_AFS_dv360_DIS_PROG_CPM_STD_LDR_AAF_RON_CXD_After-Sales-Nova-VW-Reg06-KWs_PD_300x50&amp;utm_campaign=BR_AAF_DSY_NONMS_ND_AS_2021Q1FEV_AFS_After-Sales&amp;utm_term=%epid!_%ecid!_%eaid!</v>
      </c>
      <c r="AI56" s="21" t="str">
        <f t="shared" si="13"/>
        <v>TAG</v>
      </c>
      <c r="AJ56" s="15" t="str">
        <f t="shared" si="24"/>
        <v>dv360</v>
      </c>
      <c r="AK56" s="15" t="str">
        <f t="shared" si="25"/>
        <v>Programmatic</v>
      </c>
      <c r="AL56" s="21" t="str">
        <f>Campanha!$B$3</f>
        <v>BR_AAF_DSY_NONMS_ND_AS_2021Q1FEV_AFS_After-Sales</v>
      </c>
      <c r="AM56" s="21" t="str">
        <f t="shared" si="16"/>
        <v>BR_VW_AFS_dv360_DIS_PROG_CPM_STD_LDR_AAF_RON_CXD_After-Sales-Nova-VW-Reg06-KWs_PD_300x50</v>
      </c>
      <c r="AN56" s="15" t="s">
        <v>809</v>
      </c>
    </row>
    <row r="57" spans="2:40" hidden="1" x14ac:dyDescent="0.25">
      <c r="B57" s="15" t="s">
        <v>1098</v>
      </c>
      <c r="C57" s="15" t="s">
        <v>1114</v>
      </c>
      <c r="D57" s="15" t="s">
        <v>877</v>
      </c>
      <c r="E57" s="22">
        <v>44236</v>
      </c>
      <c r="F57" s="22">
        <v>44255</v>
      </c>
      <c r="G57" s="31" t="s">
        <v>674</v>
      </c>
      <c r="H57" s="31" t="s">
        <v>811</v>
      </c>
      <c r="I57" s="31" t="s">
        <v>702</v>
      </c>
      <c r="J57" s="31" t="s">
        <v>325</v>
      </c>
      <c r="K57" s="31" t="s">
        <v>334</v>
      </c>
      <c r="L57" s="31" t="s">
        <v>358</v>
      </c>
      <c r="M57" s="31" t="s">
        <v>322</v>
      </c>
      <c r="N57" s="31" t="s">
        <v>708</v>
      </c>
      <c r="O57" s="31" t="s">
        <v>694</v>
      </c>
      <c r="P57" s="15" t="s">
        <v>884</v>
      </c>
      <c r="Q57" s="31" t="s">
        <v>878</v>
      </c>
      <c r="R57" s="15" t="s">
        <v>835</v>
      </c>
      <c r="S57" s="15" t="s">
        <v>348</v>
      </c>
      <c r="T57" s="31" t="s">
        <v>478</v>
      </c>
      <c r="AC57" s="23" t="s">
        <v>885</v>
      </c>
      <c r="AD57" s="15" t="str">
        <f t="shared" si="23"/>
        <v>295759068</v>
      </c>
      <c r="AE57" s="21" t="str">
        <f t="shared" si="9"/>
        <v>BR_VW_AFS_dv360_DIS_PROG_CPM_STD_LDR_AAF_RON_CXD_After-Sales-Nova-VW-Reg06-KWs_PD_300x250</v>
      </c>
      <c r="AF57" s="21" t="str">
        <f t="shared" si="10"/>
        <v>BR_VW_AFS_dv360_DIS_PROG_CPM_STD_LDR_AAF_RON_CXD_After-Sales-Nova-VW-Reg06-KWs_PD_300x250</v>
      </c>
      <c r="AG57" s="21" t="str">
        <f t="shared" si="11"/>
        <v>VW_After-Sales-KWs_300x250_After-Sales-Nova-VW-Reg06-adserver</v>
      </c>
      <c r="AH57" s="21" t="str">
        <f t="shared" si="12"/>
        <v>https://posvendas.vw.com.br/product/oferta/62?utm_source=dv360&amp;utm_medium=Programmatic&amp;utm_content=BR_VW_AFS_dv360_DIS_PROG_CPM_STD_LDR_AAF_RON_CXD_After-Sales-Nova-VW-Reg06-KWs_PD_300x250&amp;utm_campaign=BR_AAF_DSY_NONMS_ND_AS_2021Q1FEV_AFS_After-Sales&amp;utm_term=%epid!_%ecid!_%eaid!</v>
      </c>
      <c r="AI57" s="21" t="str">
        <f t="shared" si="13"/>
        <v>TAG</v>
      </c>
      <c r="AJ57" s="15" t="str">
        <f t="shared" si="24"/>
        <v>dv360</v>
      </c>
      <c r="AK57" s="15" t="str">
        <f t="shared" si="25"/>
        <v>Programmatic</v>
      </c>
      <c r="AL57" s="21" t="str">
        <f>Campanha!$B$3</f>
        <v>BR_AAF_DSY_NONMS_ND_AS_2021Q1FEV_AFS_After-Sales</v>
      </c>
      <c r="AM57" s="21" t="str">
        <f t="shared" si="16"/>
        <v>BR_VW_AFS_dv360_DIS_PROG_CPM_STD_LDR_AAF_RON_CXD_After-Sales-Nova-VW-Reg06-KWs_PD_300x250</v>
      </c>
      <c r="AN57" s="15" t="s">
        <v>809</v>
      </c>
    </row>
    <row r="58" spans="2:40" hidden="1" x14ac:dyDescent="0.25">
      <c r="B58" s="15" t="s">
        <v>1098</v>
      </c>
      <c r="C58" s="15" t="s">
        <v>1114</v>
      </c>
      <c r="D58" s="15" t="s">
        <v>877</v>
      </c>
      <c r="E58" s="22">
        <v>44236</v>
      </c>
      <c r="F58" s="22">
        <v>44255</v>
      </c>
      <c r="G58" s="31" t="s">
        <v>674</v>
      </c>
      <c r="H58" s="31" t="s">
        <v>811</v>
      </c>
      <c r="I58" s="31" t="s">
        <v>702</v>
      </c>
      <c r="J58" s="31" t="s">
        <v>325</v>
      </c>
      <c r="K58" s="31" t="s">
        <v>334</v>
      </c>
      <c r="L58" s="31" t="s">
        <v>358</v>
      </c>
      <c r="M58" s="31" t="s">
        <v>322</v>
      </c>
      <c r="N58" s="31" t="s">
        <v>708</v>
      </c>
      <c r="O58" s="31" t="s">
        <v>694</v>
      </c>
      <c r="P58" s="15" t="s">
        <v>884</v>
      </c>
      <c r="Q58" s="31" t="s">
        <v>878</v>
      </c>
      <c r="R58" s="15" t="s">
        <v>835</v>
      </c>
      <c r="S58" s="15" t="s">
        <v>348</v>
      </c>
      <c r="T58" s="31" t="s">
        <v>614</v>
      </c>
      <c r="AC58" s="23" t="s">
        <v>885</v>
      </c>
      <c r="AD58" s="15" t="str">
        <f t="shared" si="23"/>
        <v>295759065</v>
      </c>
      <c r="AE58" s="21" t="str">
        <f t="shared" si="9"/>
        <v>BR_VW_AFS_dv360_DIS_PROG_CPM_STD_LDR_AAF_RON_CXD_After-Sales-Nova-VW-Reg06-KWs_PD_728x90</v>
      </c>
      <c r="AF58" s="21" t="str">
        <f t="shared" si="10"/>
        <v>BR_VW_AFS_dv360_DIS_PROG_CPM_STD_LDR_AAF_RON_CXD_After-Sales-Nova-VW-Reg06-KWs_PD_728x90</v>
      </c>
      <c r="AG58" s="21" t="str">
        <f t="shared" si="11"/>
        <v>VW_After-Sales-KWs_728x90_After-Sales-Nova-VW-Reg06-adserver</v>
      </c>
      <c r="AH58" s="21" t="str">
        <f t="shared" si="12"/>
        <v>https://posvendas.vw.com.br/product/oferta/62?utm_source=dv360&amp;utm_medium=Programmatic&amp;utm_content=BR_VW_AFS_dv360_DIS_PROG_CPM_STD_LDR_AAF_RON_CXD_After-Sales-Nova-VW-Reg06-KWs_PD_728x90&amp;utm_campaign=BR_AAF_DSY_NONMS_ND_AS_2021Q1FEV_AFS_After-Sales&amp;utm_term=%epid!_%ecid!_%eaid!</v>
      </c>
      <c r="AI58" s="21" t="str">
        <f t="shared" si="13"/>
        <v>TAG</v>
      </c>
      <c r="AJ58" s="15" t="str">
        <f t="shared" si="24"/>
        <v>dv360</v>
      </c>
      <c r="AK58" s="15" t="str">
        <f t="shared" si="25"/>
        <v>Programmatic</v>
      </c>
      <c r="AL58" s="21" t="str">
        <f>Campanha!$B$3</f>
        <v>BR_AAF_DSY_NONMS_ND_AS_2021Q1FEV_AFS_After-Sales</v>
      </c>
      <c r="AM58" s="21" t="str">
        <f t="shared" si="16"/>
        <v>BR_VW_AFS_dv360_DIS_PROG_CPM_STD_LDR_AAF_RON_CXD_After-Sales-Nova-VW-Reg06-KWs_PD_728x90</v>
      </c>
      <c r="AN58" s="15" t="s">
        <v>809</v>
      </c>
    </row>
    <row r="59" spans="2:40" hidden="1" x14ac:dyDescent="0.25">
      <c r="B59" s="15" t="s">
        <v>1098</v>
      </c>
      <c r="C59" s="15" t="s">
        <v>1114</v>
      </c>
      <c r="D59" s="15" t="s">
        <v>877</v>
      </c>
      <c r="E59" s="22">
        <v>44236</v>
      </c>
      <c r="F59" s="22">
        <v>44255</v>
      </c>
      <c r="G59" s="31" t="s">
        <v>674</v>
      </c>
      <c r="H59" s="31" t="s">
        <v>811</v>
      </c>
      <c r="I59" s="31" t="s">
        <v>702</v>
      </c>
      <c r="J59" s="31" t="s">
        <v>325</v>
      </c>
      <c r="K59" s="31" t="s">
        <v>334</v>
      </c>
      <c r="L59" s="31" t="s">
        <v>358</v>
      </c>
      <c r="M59" s="31" t="s">
        <v>322</v>
      </c>
      <c r="N59" s="31" t="s">
        <v>708</v>
      </c>
      <c r="O59" s="31" t="s">
        <v>694</v>
      </c>
      <c r="P59" s="15" t="s">
        <v>884</v>
      </c>
      <c r="Q59" s="31" t="s">
        <v>878</v>
      </c>
      <c r="R59" s="15" t="s">
        <v>835</v>
      </c>
      <c r="S59" s="15" t="s">
        <v>348</v>
      </c>
      <c r="T59" s="31" t="s">
        <v>652</v>
      </c>
      <c r="AC59" s="23" t="s">
        <v>885</v>
      </c>
      <c r="AD59" s="15" t="str">
        <f t="shared" si="23"/>
        <v>295759062</v>
      </c>
      <c r="AE59" s="21" t="str">
        <f t="shared" si="9"/>
        <v>BR_VW_AFS_dv360_DIS_PROG_CPM_STD_LDR_AAF_RON_CXD_After-Sales-Nova-VW-Reg06-KWs_PD_970x250</v>
      </c>
      <c r="AF59" s="21" t="str">
        <f t="shared" si="10"/>
        <v>BR_VW_AFS_dv360_DIS_PROG_CPM_STD_LDR_AAF_RON_CXD_After-Sales-Nova-VW-Reg06-KWs_PD_970x250</v>
      </c>
      <c r="AG59" s="21" t="str">
        <f t="shared" si="11"/>
        <v>VW_After-Sales-KWs_970x250_After-Sales-Nova-VW-Reg06-adserver</v>
      </c>
      <c r="AH59" s="21" t="str">
        <f t="shared" si="12"/>
        <v>https://posvendas.vw.com.br/product/oferta/62?utm_source=dv360&amp;utm_medium=Programmatic&amp;utm_content=BR_VW_AFS_dv360_DIS_PROG_CPM_STD_LDR_AAF_RON_CXD_After-Sales-Nova-VW-Reg06-KWs_PD_970x250&amp;utm_campaign=BR_AAF_DSY_NONMS_ND_AS_2021Q1FEV_AFS_After-Sales&amp;utm_term=%epid!_%ecid!_%eaid!</v>
      </c>
      <c r="AI59" s="21" t="str">
        <f t="shared" si="13"/>
        <v>TAG</v>
      </c>
      <c r="AJ59" s="15" t="str">
        <f t="shared" si="24"/>
        <v>dv360</v>
      </c>
      <c r="AK59" s="15" t="str">
        <f t="shared" si="25"/>
        <v>Programmatic</v>
      </c>
      <c r="AL59" s="21" t="str">
        <f>Campanha!$B$3</f>
        <v>BR_AAF_DSY_NONMS_ND_AS_2021Q1FEV_AFS_After-Sales</v>
      </c>
      <c r="AM59" s="21" t="str">
        <f t="shared" si="16"/>
        <v>BR_VW_AFS_dv360_DIS_PROG_CPM_STD_LDR_AAF_RON_CXD_After-Sales-Nova-VW-Reg06-KWs_PD_970x250</v>
      </c>
      <c r="AN59" s="15" t="s">
        <v>809</v>
      </c>
    </row>
    <row r="60" spans="2:40" hidden="1" x14ac:dyDescent="0.25">
      <c r="B60" s="15" t="s">
        <v>1098</v>
      </c>
      <c r="C60" s="15" t="s">
        <v>1114</v>
      </c>
      <c r="D60" s="15" t="s">
        <v>877</v>
      </c>
      <c r="E60" s="22">
        <v>44236</v>
      </c>
      <c r="F60" s="22">
        <v>44255</v>
      </c>
      <c r="G60" s="31" t="s">
        <v>674</v>
      </c>
      <c r="H60" s="31" t="s">
        <v>811</v>
      </c>
      <c r="I60" s="31" t="s">
        <v>702</v>
      </c>
      <c r="J60" s="31" t="s">
        <v>325</v>
      </c>
      <c r="K60" s="31" t="s">
        <v>334</v>
      </c>
      <c r="L60" s="31" t="s">
        <v>358</v>
      </c>
      <c r="M60" s="31" t="s">
        <v>322</v>
      </c>
      <c r="N60" s="31" t="s">
        <v>708</v>
      </c>
      <c r="O60" s="31" t="s">
        <v>694</v>
      </c>
      <c r="P60" s="15" t="s">
        <v>884</v>
      </c>
      <c r="Q60" s="31" t="s">
        <v>879</v>
      </c>
      <c r="R60" s="15" t="s">
        <v>835</v>
      </c>
      <c r="S60" s="15" t="s">
        <v>348</v>
      </c>
      <c r="T60" s="31" t="s">
        <v>457</v>
      </c>
      <c r="AC60" s="23" t="s">
        <v>885</v>
      </c>
      <c r="AD60" s="15" t="str">
        <f t="shared" si="23"/>
        <v>295759059</v>
      </c>
      <c r="AE60" s="21" t="str">
        <f t="shared" si="9"/>
        <v>BR_VW_AFS_dv360_DIS_PROG_CPM_STD_LDR_AAF_RON_CXD_After-Sales-Nova-VW-Reg06-Categories_PD_160x600</v>
      </c>
      <c r="AF60" s="21" t="str">
        <f t="shared" si="10"/>
        <v>BR_VW_AFS_dv360_DIS_PROG_CPM_STD_LDR_AAF_RON_CXD_After-Sales-Nova-VW-Reg06-Categories_PD_160x600</v>
      </c>
      <c r="AG60" s="21" t="str">
        <f t="shared" si="11"/>
        <v>VW_After-Sales-Categories_160x600_After-Sales-Nova-VW-Reg06-adserver</v>
      </c>
      <c r="AH60" s="21" t="str">
        <f t="shared" si="12"/>
        <v>https://posvendas.vw.com.br/product/oferta/62?utm_source=dv360&amp;utm_medium=Programmatic&amp;utm_content=BR_VW_AFS_dv360_DIS_PROG_CPM_STD_LDR_AAF_RON_CXD_After-Sales-Nova-VW-Reg06-Categories_PD_160x600&amp;utm_campaign=BR_AAF_DSY_NONMS_ND_AS_2021Q1FEV_AFS_After-Sales&amp;utm_term=%epid!_%ecid!_%eaid!</v>
      </c>
      <c r="AI60" s="21" t="str">
        <f t="shared" si="13"/>
        <v>TAG</v>
      </c>
      <c r="AJ60" s="15" t="str">
        <f t="shared" si="24"/>
        <v>dv360</v>
      </c>
      <c r="AK60" s="15" t="str">
        <f t="shared" si="25"/>
        <v>Programmatic</v>
      </c>
      <c r="AL60" s="21" t="str">
        <f>Campanha!$B$3</f>
        <v>BR_AAF_DSY_NONMS_ND_AS_2021Q1FEV_AFS_After-Sales</v>
      </c>
      <c r="AM60" s="21" t="str">
        <f t="shared" si="16"/>
        <v>BR_VW_AFS_dv360_DIS_PROG_CPM_STD_LDR_AAF_RON_CXD_After-Sales-Nova-VW-Reg06-Categories_PD_160x600</v>
      </c>
      <c r="AN60" s="15" t="s">
        <v>809</v>
      </c>
    </row>
    <row r="61" spans="2:40" hidden="1" x14ac:dyDescent="0.25">
      <c r="B61" s="15" t="s">
        <v>1098</v>
      </c>
      <c r="C61" s="15" t="s">
        <v>1114</v>
      </c>
      <c r="D61" s="15" t="s">
        <v>877</v>
      </c>
      <c r="E61" s="22">
        <v>44236</v>
      </c>
      <c r="F61" s="22">
        <v>44255</v>
      </c>
      <c r="G61" s="31" t="s">
        <v>674</v>
      </c>
      <c r="H61" s="31" t="s">
        <v>811</v>
      </c>
      <c r="I61" s="31" t="s">
        <v>702</v>
      </c>
      <c r="J61" s="31" t="s">
        <v>325</v>
      </c>
      <c r="K61" s="31" t="s">
        <v>334</v>
      </c>
      <c r="L61" s="31" t="s">
        <v>358</v>
      </c>
      <c r="M61" s="31" t="s">
        <v>322</v>
      </c>
      <c r="N61" s="31" t="s">
        <v>708</v>
      </c>
      <c r="O61" s="31" t="s">
        <v>694</v>
      </c>
      <c r="P61" s="15" t="s">
        <v>884</v>
      </c>
      <c r="Q61" s="31" t="s">
        <v>879</v>
      </c>
      <c r="R61" s="15" t="s">
        <v>835</v>
      </c>
      <c r="S61" s="15" t="s">
        <v>348</v>
      </c>
      <c r="T61" s="31" t="s">
        <v>484</v>
      </c>
      <c r="AC61" s="23" t="s">
        <v>885</v>
      </c>
      <c r="AD61" s="15" t="str">
        <f t="shared" si="23"/>
        <v>295759056</v>
      </c>
      <c r="AE61" s="21" t="str">
        <f t="shared" si="9"/>
        <v>BR_VW_AFS_dv360_DIS_PROG_CPM_STD_LDR_AAF_RON_CXD_After-Sales-Nova-VW-Reg06-Categories_PD_300x50</v>
      </c>
      <c r="AF61" s="21" t="str">
        <f t="shared" si="10"/>
        <v>BR_VW_AFS_dv360_DIS_PROG_CPM_STD_LDR_AAF_RON_CXD_After-Sales-Nova-VW-Reg06-Categories_PD_300x50</v>
      </c>
      <c r="AG61" s="21" t="str">
        <f t="shared" si="11"/>
        <v>VW_After-Sales-Categories_300x50_After-Sales-Nova-VW-Reg06-adserver</v>
      </c>
      <c r="AH61" s="21" t="str">
        <f t="shared" si="12"/>
        <v>https://posvendas.vw.com.br/product/oferta/62?utm_source=dv360&amp;utm_medium=Programmatic&amp;utm_content=BR_VW_AFS_dv360_DIS_PROG_CPM_STD_LDR_AAF_RON_CXD_After-Sales-Nova-VW-Reg06-Categories_PD_300x50&amp;utm_campaign=BR_AAF_DSY_NONMS_ND_AS_2021Q1FEV_AFS_After-Sales&amp;utm_term=%epid!_%ecid!_%eaid!</v>
      </c>
      <c r="AI61" s="21" t="str">
        <f t="shared" si="13"/>
        <v>TAG</v>
      </c>
      <c r="AJ61" s="15" t="str">
        <f t="shared" si="24"/>
        <v>dv360</v>
      </c>
      <c r="AK61" s="15" t="str">
        <f t="shared" si="25"/>
        <v>Programmatic</v>
      </c>
      <c r="AL61" s="21" t="str">
        <f>Campanha!$B$3</f>
        <v>BR_AAF_DSY_NONMS_ND_AS_2021Q1FEV_AFS_After-Sales</v>
      </c>
      <c r="AM61" s="21" t="str">
        <f t="shared" si="16"/>
        <v>BR_VW_AFS_dv360_DIS_PROG_CPM_STD_LDR_AAF_RON_CXD_After-Sales-Nova-VW-Reg06-Categories_PD_300x50</v>
      </c>
      <c r="AN61" s="15" t="s">
        <v>809</v>
      </c>
    </row>
    <row r="62" spans="2:40" hidden="1" x14ac:dyDescent="0.25">
      <c r="B62" s="15" t="s">
        <v>1098</v>
      </c>
      <c r="C62" s="15" t="s">
        <v>1114</v>
      </c>
      <c r="D62" s="15" t="s">
        <v>877</v>
      </c>
      <c r="E62" s="22">
        <v>44236</v>
      </c>
      <c r="F62" s="22">
        <v>44255</v>
      </c>
      <c r="G62" s="31" t="s">
        <v>674</v>
      </c>
      <c r="H62" s="31" t="s">
        <v>811</v>
      </c>
      <c r="I62" s="31" t="s">
        <v>702</v>
      </c>
      <c r="J62" s="31" t="s">
        <v>325</v>
      </c>
      <c r="K62" s="31" t="s">
        <v>334</v>
      </c>
      <c r="L62" s="31" t="s">
        <v>358</v>
      </c>
      <c r="M62" s="31" t="s">
        <v>322</v>
      </c>
      <c r="N62" s="31" t="s">
        <v>708</v>
      </c>
      <c r="O62" s="31" t="s">
        <v>694</v>
      </c>
      <c r="P62" s="15" t="s">
        <v>884</v>
      </c>
      <c r="Q62" s="31" t="s">
        <v>879</v>
      </c>
      <c r="R62" s="15" t="s">
        <v>835</v>
      </c>
      <c r="S62" s="15" t="s">
        <v>348</v>
      </c>
      <c r="T62" s="31" t="s">
        <v>478</v>
      </c>
      <c r="AC62" s="23" t="s">
        <v>885</v>
      </c>
      <c r="AD62" s="15" t="str">
        <f t="shared" si="23"/>
        <v>295759053</v>
      </c>
      <c r="AE62" s="21" t="str">
        <f t="shared" si="9"/>
        <v>BR_VW_AFS_dv360_DIS_PROG_CPM_STD_LDR_AAF_RON_CXD_After-Sales-Nova-VW-Reg06-Categories_PD_300x250</v>
      </c>
      <c r="AF62" s="21" t="str">
        <f t="shared" si="10"/>
        <v>BR_VW_AFS_dv360_DIS_PROG_CPM_STD_LDR_AAF_RON_CXD_After-Sales-Nova-VW-Reg06-Categories_PD_300x250</v>
      </c>
      <c r="AG62" s="21" t="str">
        <f t="shared" si="11"/>
        <v>VW_After-Sales-Categories_300x250_After-Sales-Nova-VW-Reg06-adserver</v>
      </c>
      <c r="AH62" s="21" t="str">
        <f t="shared" si="12"/>
        <v>https://posvendas.vw.com.br/product/oferta/62?utm_source=dv360&amp;utm_medium=Programmatic&amp;utm_content=BR_VW_AFS_dv360_DIS_PROG_CPM_STD_LDR_AAF_RON_CXD_After-Sales-Nova-VW-Reg06-Categories_PD_300x250&amp;utm_campaign=BR_AAF_DSY_NONMS_ND_AS_2021Q1FEV_AFS_After-Sales&amp;utm_term=%epid!_%ecid!_%eaid!</v>
      </c>
      <c r="AI62" s="21" t="str">
        <f t="shared" si="13"/>
        <v>TAG</v>
      </c>
      <c r="AJ62" s="15" t="str">
        <f t="shared" si="24"/>
        <v>dv360</v>
      </c>
      <c r="AK62" s="15" t="str">
        <f t="shared" si="25"/>
        <v>Programmatic</v>
      </c>
      <c r="AL62" s="21" t="str">
        <f>Campanha!$B$3</f>
        <v>BR_AAF_DSY_NONMS_ND_AS_2021Q1FEV_AFS_After-Sales</v>
      </c>
      <c r="AM62" s="21" t="str">
        <f t="shared" si="16"/>
        <v>BR_VW_AFS_dv360_DIS_PROG_CPM_STD_LDR_AAF_RON_CXD_After-Sales-Nova-VW-Reg06-Categories_PD_300x250</v>
      </c>
      <c r="AN62" s="15" t="s">
        <v>809</v>
      </c>
    </row>
    <row r="63" spans="2:40" hidden="1" x14ac:dyDescent="0.25">
      <c r="B63" s="15" t="s">
        <v>1098</v>
      </c>
      <c r="C63" s="15" t="s">
        <v>1114</v>
      </c>
      <c r="D63" s="15" t="s">
        <v>877</v>
      </c>
      <c r="E63" s="22">
        <v>44236</v>
      </c>
      <c r="F63" s="22">
        <v>44255</v>
      </c>
      <c r="G63" s="31" t="s">
        <v>674</v>
      </c>
      <c r="H63" s="31" t="s">
        <v>811</v>
      </c>
      <c r="I63" s="31" t="s">
        <v>702</v>
      </c>
      <c r="J63" s="31" t="s">
        <v>325</v>
      </c>
      <c r="K63" s="31" t="s">
        <v>334</v>
      </c>
      <c r="L63" s="31" t="s">
        <v>358</v>
      </c>
      <c r="M63" s="31" t="s">
        <v>322</v>
      </c>
      <c r="N63" s="31" t="s">
        <v>708</v>
      </c>
      <c r="O63" s="31" t="s">
        <v>694</v>
      </c>
      <c r="P63" s="15" t="s">
        <v>884</v>
      </c>
      <c r="Q63" s="31" t="s">
        <v>879</v>
      </c>
      <c r="R63" s="15" t="s">
        <v>835</v>
      </c>
      <c r="S63" s="15" t="s">
        <v>348</v>
      </c>
      <c r="T63" s="31" t="s">
        <v>614</v>
      </c>
      <c r="AC63" s="23" t="s">
        <v>885</v>
      </c>
      <c r="AD63" s="15" t="str">
        <f t="shared" si="23"/>
        <v>295759050</v>
      </c>
      <c r="AE63" s="21" t="str">
        <f t="shared" si="9"/>
        <v>BR_VW_AFS_dv360_DIS_PROG_CPM_STD_LDR_AAF_RON_CXD_After-Sales-Nova-VW-Reg06-Categories_PD_728x90</v>
      </c>
      <c r="AF63" s="21" t="str">
        <f t="shared" si="10"/>
        <v>BR_VW_AFS_dv360_DIS_PROG_CPM_STD_LDR_AAF_RON_CXD_After-Sales-Nova-VW-Reg06-Categories_PD_728x90</v>
      </c>
      <c r="AG63" s="21" t="str">
        <f t="shared" si="11"/>
        <v>VW_After-Sales-Categories_728x90_After-Sales-Nova-VW-Reg06-adserver</v>
      </c>
      <c r="AH63" s="21" t="str">
        <f t="shared" si="12"/>
        <v>https://posvendas.vw.com.br/product/oferta/62?utm_source=dv360&amp;utm_medium=Programmatic&amp;utm_content=BR_VW_AFS_dv360_DIS_PROG_CPM_STD_LDR_AAF_RON_CXD_After-Sales-Nova-VW-Reg06-Categories_PD_728x90&amp;utm_campaign=BR_AAF_DSY_NONMS_ND_AS_2021Q1FEV_AFS_After-Sales&amp;utm_term=%epid!_%ecid!_%eaid!</v>
      </c>
      <c r="AI63" s="21" t="str">
        <f t="shared" si="13"/>
        <v>TAG</v>
      </c>
      <c r="AJ63" s="15" t="str">
        <f t="shared" si="24"/>
        <v>dv360</v>
      </c>
      <c r="AK63" s="15" t="str">
        <f t="shared" si="25"/>
        <v>Programmatic</v>
      </c>
      <c r="AL63" s="21" t="str">
        <f>Campanha!$B$3</f>
        <v>BR_AAF_DSY_NONMS_ND_AS_2021Q1FEV_AFS_After-Sales</v>
      </c>
      <c r="AM63" s="21" t="str">
        <f t="shared" si="16"/>
        <v>BR_VW_AFS_dv360_DIS_PROG_CPM_STD_LDR_AAF_RON_CXD_After-Sales-Nova-VW-Reg06-Categories_PD_728x90</v>
      </c>
      <c r="AN63" s="15" t="s">
        <v>809</v>
      </c>
    </row>
    <row r="64" spans="2:40" hidden="1" x14ac:dyDescent="0.25">
      <c r="B64" s="15" t="s">
        <v>1098</v>
      </c>
      <c r="C64" s="15" t="s">
        <v>1114</v>
      </c>
      <c r="D64" s="15" t="s">
        <v>877</v>
      </c>
      <c r="E64" s="22">
        <v>44236</v>
      </c>
      <c r="F64" s="22">
        <v>44255</v>
      </c>
      <c r="G64" s="31" t="s">
        <v>674</v>
      </c>
      <c r="H64" s="31" t="s">
        <v>811</v>
      </c>
      <c r="I64" s="31" t="s">
        <v>702</v>
      </c>
      <c r="J64" s="31" t="s">
        <v>325</v>
      </c>
      <c r="K64" s="31" t="s">
        <v>334</v>
      </c>
      <c r="L64" s="31" t="s">
        <v>358</v>
      </c>
      <c r="M64" s="31" t="s">
        <v>322</v>
      </c>
      <c r="N64" s="31" t="s">
        <v>708</v>
      </c>
      <c r="O64" s="31" t="s">
        <v>694</v>
      </c>
      <c r="P64" s="15" t="s">
        <v>884</v>
      </c>
      <c r="Q64" s="31" t="s">
        <v>879</v>
      </c>
      <c r="R64" s="15" t="s">
        <v>835</v>
      </c>
      <c r="S64" s="15" t="s">
        <v>348</v>
      </c>
      <c r="T64" s="31" t="s">
        <v>652</v>
      </c>
      <c r="AC64" s="23" t="s">
        <v>885</v>
      </c>
      <c r="AD64" s="15" t="str">
        <f t="shared" si="23"/>
        <v>295759047</v>
      </c>
      <c r="AE64" s="21" t="str">
        <f t="shared" si="9"/>
        <v>BR_VW_AFS_dv360_DIS_PROG_CPM_STD_LDR_AAF_RON_CXD_After-Sales-Nova-VW-Reg06-Categories_PD_970x250</v>
      </c>
      <c r="AF64" s="21" t="str">
        <f t="shared" si="10"/>
        <v>BR_VW_AFS_dv360_DIS_PROG_CPM_STD_LDR_AAF_RON_CXD_After-Sales-Nova-VW-Reg06-Categories_PD_970x250</v>
      </c>
      <c r="AG64" s="21" t="str">
        <f t="shared" si="11"/>
        <v>VW_After-Sales-Categories_970x250_After-Sales-Nova-VW-Reg06-adserver</v>
      </c>
      <c r="AH64" s="21" t="str">
        <f t="shared" si="12"/>
        <v>https://posvendas.vw.com.br/product/oferta/62?utm_source=dv360&amp;utm_medium=Programmatic&amp;utm_content=BR_VW_AFS_dv360_DIS_PROG_CPM_STD_LDR_AAF_RON_CXD_After-Sales-Nova-VW-Reg06-Categories_PD_970x250&amp;utm_campaign=BR_AAF_DSY_NONMS_ND_AS_2021Q1FEV_AFS_After-Sales&amp;utm_term=%epid!_%ecid!_%eaid!</v>
      </c>
      <c r="AI64" s="21" t="str">
        <f t="shared" si="13"/>
        <v>TAG</v>
      </c>
      <c r="AJ64" s="15" t="str">
        <f t="shared" si="24"/>
        <v>dv360</v>
      </c>
      <c r="AK64" s="15" t="str">
        <f t="shared" si="25"/>
        <v>Programmatic</v>
      </c>
      <c r="AL64" s="21" t="str">
        <f>Campanha!$B$3</f>
        <v>BR_AAF_DSY_NONMS_ND_AS_2021Q1FEV_AFS_After-Sales</v>
      </c>
      <c r="AM64" s="21" t="str">
        <f t="shared" si="16"/>
        <v>BR_VW_AFS_dv360_DIS_PROG_CPM_STD_LDR_AAF_RON_CXD_After-Sales-Nova-VW-Reg06-Categories_PD_970x250</v>
      </c>
      <c r="AN64" s="15" t="s">
        <v>809</v>
      </c>
    </row>
    <row r="65" spans="2:40" hidden="1" x14ac:dyDescent="0.25">
      <c r="B65" s="15" t="s">
        <v>1098</v>
      </c>
      <c r="C65" s="15" t="s">
        <v>1114</v>
      </c>
      <c r="D65" s="15" t="s">
        <v>877</v>
      </c>
      <c r="E65" s="22">
        <v>44236</v>
      </c>
      <c r="F65" s="22">
        <v>44255</v>
      </c>
      <c r="G65" s="31" t="s">
        <v>674</v>
      </c>
      <c r="H65" s="31" t="s">
        <v>811</v>
      </c>
      <c r="I65" s="31" t="s">
        <v>702</v>
      </c>
      <c r="J65" s="31" t="s">
        <v>325</v>
      </c>
      <c r="K65" s="31" t="s">
        <v>334</v>
      </c>
      <c r="L65" s="31" t="s">
        <v>358</v>
      </c>
      <c r="M65" s="31" t="s">
        <v>322</v>
      </c>
      <c r="N65" s="31" t="s">
        <v>708</v>
      </c>
      <c r="O65" s="31" t="s">
        <v>694</v>
      </c>
      <c r="P65" s="15" t="s">
        <v>884</v>
      </c>
      <c r="Q65" s="31" t="s">
        <v>880</v>
      </c>
      <c r="R65" s="15" t="s">
        <v>835</v>
      </c>
      <c r="S65" s="15" t="s">
        <v>348</v>
      </c>
      <c r="T65" s="31" t="s">
        <v>457</v>
      </c>
      <c r="AC65" s="23" t="s">
        <v>885</v>
      </c>
      <c r="AD65" s="15" t="str">
        <f t="shared" si="23"/>
        <v>295759044</v>
      </c>
      <c r="AE65" s="21" t="str">
        <f t="shared" si="9"/>
        <v>BR_VW_AFS_dv360_DIS_PROG_CPM_STD_LDR_AAF_RON_CXD_After-Sales-Nova-VW-Reg06-In-Market_PD_160x600</v>
      </c>
      <c r="AF65" s="21" t="str">
        <f t="shared" si="10"/>
        <v>BR_VW_AFS_dv360_DIS_PROG_CPM_STD_LDR_AAF_RON_CXD_After-Sales-Nova-VW-Reg06-In-Market_PD_160x600</v>
      </c>
      <c r="AG65" s="21" t="str">
        <f t="shared" si="11"/>
        <v>VW_After-Sales-In-Market_160x600_After-Sales-Nova-VW-Reg06-adserver</v>
      </c>
      <c r="AH65" s="21" t="str">
        <f t="shared" si="12"/>
        <v>https://posvendas.vw.com.br/product/oferta/62?utm_source=dv360&amp;utm_medium=Programmatic&amp;utm_content=BR_VW_AFS_dv360_DIS_PROG_CPM_STD_LDR_AAF_RON_CXD_After-Sales-Nova-VW-Reg06-In-Market_PD_160x600&amp;utm_campaign=BR_AAF_DSY_NONMS_ND_AS_2021Q1FEV_AFS_After-Sales&amp;utm_term=%epid!_%ecid!_%eaid!</v>
      </c>
      <c r="AI65" s="21" t="str">
        <f t="shared" si="13"/>
        <v>TAG</v>
      </c>
      <c r="AJ65" s="15" t="str">
        <f t="shared" si="24"/>
        <v>dv360</v>
      </c>
      <c r="AK65" s="15" t="str">
        <f t="shared" si="25"/>
        <v>Programmatic</v>
      </c>
      <c r="AL65" s="21" t="str">
        <f>Campanha!$B$3</f>
        <v>BR_AAF_DSY_NONMS_ND_AS_2021Q1FEV_AFS_After-Sales</v>
      </c>
      <c r="AM65" s="21" t="str">
        <f t="shared" si="16"/>
        <v>BR_VW_AFS_dv360_DIS_PROG_CPM_STD_LDR_AAF_RON_CXD_After-Sales-Nova-VW-Reg06-In-Market_PD_160x600</v>
      </c>
      <c r="AN65" s="15" t="s">
        <v>809</v>
      </c>
    </row>
    <row r="66" spans="2:40" hidden="1" x14ac:dyDescent="0.25">
      <c r="B66" s="15" t="s">
        <v>1098</v>
      </c>
      <c r="C66" s="15" t="s">
        <v>1114</v>
      </c>
      <c r="D66" s="15" t="s">
        <v>877</v>
      </c>
      <c r="E66" s="22">
        <v>44236</v>
      </c>
      <c r="F66" s="22">
        <v>44255</v>
      </c>
      <c r="G66" s="31" t="s">
        <v>674</v>
      </c>
      <c r="H66" s="31" t="s">
        <v>811</v>
      </c>
      <c r="I66" s="31" t="s">
        <v>702</v>
      </c>
      <c r="J66" s="31" t="s">
        <v>325</v>
      </c>
      <c r="K66" s="31" t="s">
        <v>334</v>
      </c>
      <c r="L66" s="31" t="s">
        <v>358</v>
      </c>
      <c r="M66" s="31" t="s">
        <v>322</v>
      </c>
      <c r="N66" s="31" t="s">
        <v>708</v>
      </c>
      <c r="O66" s="31" t="s">
        <v>694</v>
      </c>
      <c r="P66" s="15" t="s">
        <v>884</v>
      </c>
      <c r="Q66" s="31" t="s">
        <v>880</v>
      </c>
      <c r="R66" s="15" t="s">
        <v>835</v>
      </c>
      <c r="S66" s="15" t="s">
        <v>348</v>
      </c>
      <c r="T66" s="31" t="s">
        <v>484</v>
      </c>
      <c r="AC66" s="23" t="s">
        <v>885</v>
      </c>
      <c r="AD66" s="15" t="str">
        <f t="shared" si="23"/>
        <v>295759041</v>
      </c>
      <c r="AE66" s="21" t="str">
        <f t="shared" si="9"/>
        <v>BR_VW_AFS_dv360_DIS_PROG_CPM_STD_LDR_AAF_RON_CXD_After-Sales-Nova-VW-Reg06-In-Market_PD_300x50</v>
      </c>
      <c r="AF66" s="21" t="str">
        <f t="shared" si="10"/>
        <v>BR_VW_AFS_dv360_DIS_PROG_CPM_STD_LDR_AAF_RON_CXD_After-Sales-Nova-VW-Reg06-In-Market_PD_300x50</v>
      </c>
      <c r="AG66" s="21" t="str">
        <f t="shared" si="11"/>
        <v>VW_After-Sales-In-Market_300x50_After-Sales-Nova-VW-Reg06-adserver</v>
      </c>
      <c r="AH66" s="21" t="str">
        <f t="shared" si="12"/>
        <v>https://posvendas.vw.com.br/product/oferta/62?utm_source=dv360&amp;utm_medium=Programmatic&amp;utm_content=BR_VW_AFS_dv360_DIS_PROG_CPM_STD_LDR_AAF_RON_CXD_After-Sales-Nova-VW-Reg06-In-Market_PD_300x50&amp;utm_campaign=BR_AAF_DSY_NONMS_ND_AS_2021Q1FEV_AFS_After-Sales&amp;utm_term=%epid!_%ecid!_%eaid!</v>
      </c>
      <c r="AI66" s="21" t="str">
        <f t="shared" si="13"/>
        <v>TAG</v>
      </c>
      <c r="AJ66" s="15" t="str">
        <f t="shared" si="24"/>
        <v>dv360</v>
      </c>
      <c r="AK66" s="15" t="str">
        <f t="shared" si="25"/>
        <v>Programmatic</v>
      </c>
      <c r="AL66" s="21" t="str">
        <f>Campanha!$B$3</f>
        <v>BR_AAF_DSY_NONMS_ND_AS_2021Q1FEV_AFS_After-Sales</v>
      </c>
      <c r="AM66" s="21" t="str">
        <f t="shared" si="16"/>
        <v>BR_VW_AFS_dv360_DIS_PROG_CPM_STD_LDR_AAF_RON_CXD_After-Sales-Nova-VW-Reg06-In-Market_PD_300x50</v>
      </c>
      <c r="AN66" s="15" t="s">
        <v>809</v>
      </c>
    </row>
    <row r="67" spans="2:40" hidden="1" x14ac:dyDescent="0.25">
      <c r="B67" s="15" t="s">
        <v>1098</v>
      </c>
      <c r="C67" s="15" t="s">
        <v>1114</v>
      </c>
      <c r="D67" s="15" t="s">
        <v>877</v>
      </c>
      <c r="E67" s="22">
        <v>44236</v>
      </c>
      <c r="F67" s="22">
        <v>44255</v>
      </c>
      <c r="G67" s="31" t="s">
        <v>674</v>
      </c>
      <c r="H67" s="31" t="s">
        <v>811</v>
      </c>
      <c r="I67" s="31" t="s">
        <v>702</v>
      </c>
      <c r="J67" s="31" t="s">
        <v>325</v>
      </c>
      <c r="K67" s="31" t="s">
        <v>334</v>
      </c>
      <c r="L67" s="31" t="s">
        <v>358</v>
      </c>
      <c r="M67" s="31" t="s">
        <v>322</v>
      </c>
      <c r="N67" s="31" t="s">
        <v>708</v>
      </c>
      <c r="O67" s="31" t="s">
        <v>694</v>
      </c>
      <c r="P67" s="15" t="s">
        <v>884</v>
      </c>
      <c r="Q67" s="31" t="s">
        <v>880</v>
      </c>
      <c r="R67" s="15" t="s">
        <v>835</v>
      </c>
      <c r="S67" s="15" t="s">
        <v>348</v>
      </c>
      <c r="T67" s="31" t="s">
        <v>478</v>
      </c>
      <c r="AC67" s="23" t="s">
        <v>885</v>
      </c>
      <c r="AD67" s="15" t="str">
        <f t="shared" ref="AD67:AD98" si="26">VLOOKUP(AE67,id_placement,2,FALSE)</f>
        <v>295759038</v>
      </c>
      <c r="AE67" s="21" t="str">
        <f t="shared" si="9"/>
        <v>BR_VW_AFS_dv360_DIS_PROG_CPM_STD_LDR_AAF_RON_CXD_After-Sales-Nova-VW-Reg06-In-Market_PD_300x250</v>
      </c>
      <c r="AF67" s="21" t="str">
        <f t="shared" si="10"/>
        <v>BR_VW_AFS_dv360_DIS_PROG_CPM_STD_LDR_AAF_RON_CXD_After-Sales-Nova-VW-Reg06-In-Market_PD_300x250</v>
      </c>
      <c r="AG67" s="21" t="str">
        <f t="shared" si="11"/>
        <v>VW_After-Sales-In-Market_300x250_After-Sales-Nova-VW-Reg06-adserver</v>
      </c>
      <c r="AH67" s="21" t="str">
        <f t="shared" si="12"/>
        <v>https://posvendas.vw.com.br/product/oferta/62?utm_source=dv360&amp;utm_medium=Programmatic&amp;utm_content=BR_VW_AFS_dv360_DIS_PROG_CPM_STD_LDR_AAF_RON_CXD_After-Sales-Nova-VW-Reg06-In-Market_PD_300x250&amp;utm_campaign=BR_AAF_DSY_NONMS_ND_AS_2021Q1FEV_AFS_After-Sales&amp;utm_term=%epid!_%ecid!_%eaid!</v>
      </c>
      <c r="AI67" s="21" t="str">
        <f t="shared" si="13"/>
        <v>TAG</v>
      </c>
      <c r="AJ67" s="15" t="str">
        <f t="shared" si="24"/>
        <v>dv360</v>
      </c>
      <c r="AK67" s="15" t="str">
        <f t="shared" si="25"/>
        <v>Programmatic</v>
      </c>
      <c r="AL67" s="21" t="str">
        <f>Campanha!$B$3</f>
        <v>BR_AAF_DSY_NONMS_ND_AS_2021Q1FEV_AFS_After-Sales</v>
      </c>
      <c r="AM67" s="21" t="str">
        <f t="shared" si="16"/>
        <v>BR_VW_AFS_dv360_DIS_PROG_CPM_STD_LDR_AAF_RON_CXD_After-Sales-Nova-VW-Reg06-In-Market_PD_300x250</v>
      </c>
      <c r="AN67" s="15" t="s">
        <v>809</v>
      </c>
    </row>
    <row r="68" spans="2:40" hidden="1" x14ac:dyDescent="0.25">
      <c r="B68" s="15" t="s">
        <v>1098</v>
      </c>
      <c r="C68" s="15" t="s">
        <v>1114</v>
      </c>
      <c r="D68" s="15" t="s">
        <v>877</v>
      </c>
      <c r="E68" s="22">
        <v>44236</v>
      </c>
      <c r="F68" s="22">
        <v>44255</v>
      </c>
      <c r="G68" s="31" t="s">
        <v>674</v>
      </c>
      <c r="H68" s="31" t="s">
        <v>811</v>
      </c>
      <c r="I68" s="31" t="s">
        <v>702</v>
      </c>
      <c r="J68" s="31" t="s">
        <v>325</v>
      </c>
      <c r="K68" s="31" t="s">
        <v>334</v>
      </c>
      <c r="L68" s="31" t="s">
        <v>358</v>
      </c>
      <c r="M68" s="31" t="s">
        <v>322</v>
      </c>
      <c r="N68" s="31" t="s">
        <v>708</v>
      </c>
      <c r="O68" s="31" t="s">
        <v>694</v>
      </c>
      <c r="P68" s="15" t="s">
        <v>884</v>
      </c>
      <c r="Q68" s="31" t="s">
        <v>880</v>
      </c>
      <c r="R68" s="15" t="s">
        <v>835</v>
      </c>
      <c r="S68" s="15" t="s">
        <v>348</v>
      </c>
      <c r="T68" s="31" t="s">
        <v>614</v>
      </c>
      <c r="AC68" s="23" t="s">
        <v>885</v>
      </c>
      <c r="AD68" s="15" t="str">
        <f t="shared" si="26"/>
        <v>295759035</v>
      </c>
      <c r="AE68" s="21" t="str">
        <f t="shared" ref="AE68:AE131" si="27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IF(col_servidopor="adserver-rotacionar",col_segmentacao,CONCATENATE(col_localfreetype,"-",col_segmentacao)),"_",VLOOKUP(col_paidvsav,tab_paidvsav,2,FALSE),"_",col_size))</f>
        <v>BR_VW_AFS_dv360_DIS_PROG_CPM_STD_LDR_AAF_RON_CXD_After-Sales-Nova-VW-Reg06-In-Market_PD_728x90</v>
      </c>
      <c r="AF68" s="21" t="str">
        <f t="shared" ref="AF68:AF131" si="28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col_localfreetype,"-",col_segmentacao,"_",VLOOKUP(col_paidvsav,tab_paidvsav,2,FALSE),"_",col_size))</f>
        <v>BR_VW_AFS_dv360_DIS_PROG_CPM_STD_LDR_AAF_RON_CXD_After-Sales-Nova-VW-Reg06-In-Market_PD_728x90</v>
      </c>
      <c r="AG68" s="21" t="str">
        <f t="shared" ref="AG68:AG131" si="29">CONCATENATE("VW","_",cel_modelvariant,"-",col_segmentacao,"_",col_size,"_",col_localfreetype,"-",IF(col_servidopor="portal",col_supplier,"adserver"))</f>
        <v>VW_After-Sales-In-Market_728x90_After-Sales-Nova-VW-Reg06-adserver</v>
      </c>
      <c r="AH68" s="21" t="str">
        <f t="shared" ref="AH68:AH131" si="30">faxineiro(CONCATENATE(col_url,IF(ISNUMBER(FIND("?",col_url)),"&amp;","?"),"utm_source=",col_utmsource,"&amp;utm_medium=",col_utmmedium,"&amp;utm_content=",col_utmcontent,"&amp;utm_campaign=",col_utmcampaign,"&amp;utm_term=",col_keyword))</f>
        <v>https://posvendas.vw.com.br/product/oferta/62?utm_source=dv360&amp;utm_medium=Programmatic&amp;utm_content=BR_VW_AFS_dv360_DIS_PROG_CPM_STD_LDR_AAF_RON_CXD_After-Sales-Nova-VW-Reg06-In-Market_PD_728x90&amp;utm_campaign=BR_AAF_DSY_NONMS_ND_AS_2021Q1FEV_AFS_After-Sales&amp;utm_term=%epid!_%ecid!_%eaid!</v>
      </c>
      <c r="AI68" s="21" t="str">
        <f t="shared" ref="AI68:AI131" si="31">IFERROR(IF(col_servidopor="portal",VLOOKUP(col_placement,tab_contadores,2,FALSE),"TAG"),"Contador")</f>
        <v>TAG</v>
      </c>
      <c r="AJ68" s="15" t="str">
        <f t="shared" si="24"/>
        <v>dv360</v>
      </c>
      <c r="AK68" s="15" t="str">
        <f t="shared" si="25"/>
        <v>Programmatic</v>
      </c>
      <c r="AL68" s="21" t="str">
        <f>Campanha!$B$3</f>
        <v>BR_AAF_DSY_NONMS_ND_AS_2021Q1FEV_AFS_After-Sales</v>
      </c>
      <c r="AM68" s="21" t="str">
        <f t="shared" ref="AM68:AM131" si="32">col_adname</f>
        <v>BR_VW_AFS_dv360_DIS_PROG_CPM_STD_LDR_AAF_RON_CXD_After-Sales-Nova-VW-Reg06-In-Market_PD_728x90</v>
      </c>
      <c r="AN68" s="15" t="s">
        <v>809</v>
      </c>
    </row>
    <row r="69" spans="2:40" hidden="1" x14ac:dyDescent="0.25">
      <c r="B69" s="15" t="s">
        <v>1098</v>
      </c>
      <c r="C69" s="15" t="s">
        <v>1114</v>
      </c>
      <c r="D69" s="15" t="s">
        <v>877</v>
      </c>
      <c r="E69" s="22">
        <v>44236</v>
      </c>
      <c r="F69" s="22">
        <v>44255</v>
      </c>
      <c r="G69" s="31" t="s">
        <v>674</v>
      </c>
      <c r="H69" s="31" t="s">
        <v>811</v>
      </c>
      <c r="I69" s="31" t="s">
        <v>702</v>
      </c>
      <c r="J69" s="31" t="s">
        <v>325</v>
      </c>
      <c r="K69" s="31" t="s">
        <v>334</v>
      </c>
      <c r="L69" s="31" t="s">
        <v>358</v>
      </c>
      <c r="M69" s="31" t="s">
        <v>322</v>
      </c>
      <c r="N69" s="31" t="s">
        <v>708</v>
      </c>
      <c r="O69" s="31" t="s">
        <v>694</v>
      </c>
      <c r="P69" s="15" t="s">
        <v>884</v>
      </c>
      <c r="Q69" s="31" t="s">
        <v>880</v>
      </c>
      <c r="R69" s="15" t="s">
        <v>835</v>
      </c>
      <c r="S69" s="15" t="s">
        <v>348</v>
      </c>
      <c r="T69" s="31" t="s">
        <v>652</v>
      </c>
      <c r="AC69" s="23" t="s">
        <v>885</v>
      </c>
      <c r="AD69" s="15" t="str">
        <f t="shared" si="26"/>
        <v>295759032</v>
      </c>
      <c r="AE69" s="21" t="str">
        <f t="shared" si="27"/>
        <v>BR_VW_AFS_dv360_DIS_PROG_CPM_STD_LDR_AAF_RON_CXD_After-Sales-Nova-VW-Reg06-In-Market_PD_970x250</v>
      </c>
      <c r="AF69" s="21" t="str">
        <f t="shared" si="28"/>
        <v>BR_VW_AFS_dv360_DIS_PROG_CPM_STD_LDR_AAF_RON_CXD_After-Sales-Nova-VW-Reg06-In-Market_PD_970x250</v>
      </c>
      <c r="AG69" s="21" t="str">
        <f t="shared" si="29"/>
        <v>VW_After-Sales-In-Market_970x250_After-Sales-Nova-VW-Reg06-adserver</v>
      </c>
      <c r="AH69" s="21" t="str">
        <f t="shared" si="30"/>
        <v>https://posvendas.vw.com.br/product/oferta/62?utm_source=dv360&amp;utm_medium=Programmatic&amp;utm_content=BR_VW_AFS_dv360_DIS_PROG_CPM_STD_LDR_AAF_RON_CXD_After-Sales-Nova-VW-Reg06-In-Market_PD_970x250&amp;utm_campaign=BR_AAF_DSY_NONMS_ND_AS_2021Q1FEV_AFS_After-Sales&amp;utm_term=%epid!_%ecid!_%eaid!</v>
      </c>
      <c r="AI69" s="21" t="str">
        <f t="shared" si="31"/>
        <v>TAG</v>
      </c>
      <c r="AJ69" s="15" t="str">
        <f t="shared" si="24"/>
        <v>dv360</v>
      </c>
      <c r="AK69" s="15" t="str">
        <f t="shared" si="25"/>
        <v>Programmatic</v>
      </c>
      <c r="AL69" s="21" t="str">
        <f>Campanha!$B$3</f>
        <v>BR_AAF_DSY_NONMS_ND_AS_2021Q1FEV_AFS_After-Sales</v>
      </c>
      <c r="AM69" s="21" t="str">
        <f t="shared" si="32"/>
        <v>BR_VW_AFS_dv360_DIS_PROG_CPM_STD_LDR_AAF_RON_CXD_After-Sales-Nova-VW-Reg06-In-Market_PD_970x250</v>
      </c>
      <c r="AN69" s="15" t="s">
        <v>809</v>
      </c>
    </row>
    <row r="70" spans="2:40" hidden="1" x14ac:dyDescent="0.25">
      <c r="B70" s="15" t="s">
        <v>1098</v>
      </c>
      <c r="C70" s="15" t="s">
        <v>1114</v>
      </c>
      <c r="D70" s="15" t="s">
        <v>877</v>
      </c>
      <c r="E70" s="22">
        <v>44236</v>
      </c>
      <c r="F70" s="22">
        <v>44255</v>
      </c>
      <c r="G70" s="31" t="s">
        <v>674</v>
      </c>
      <c r="H70" s="31" t="s">
        <v>811</v>
      </c>
      <c r="I70" s="31" t="s">
        <v>702</v>
      </c>
      <c r="J70" s="31" t="s">
        <v>325</v>
      </c>
      <c r="K70" s="31" t="s">
        <v>334</v>
      </c>
      <c r="L70" s="31" t="s">
        <v>358</v>
      </c>
      <c r="M70" s="31" t="s">
        <v>322</v>
      </c>
      <c r="N70" s="31" t="s">
        <v>708</v>
      </c>
      <c r="O70" s="31" t="s">
        <v>694</v>
      </c>
      <c r="P70" s="15" t="s">
        <v>884</v>
      </c>
      <c r="Q70" s="31" t="s">
        <v>881</v>
      </c>
      <c r="R70" s="15" t="s">
        <v>835</v>
      </c>
      <c r="S70" s="15" t="s">
        <v>348</v>
      </c>
      <c r="T70" s="31" t="s">
        <v>457</v>
      </c>
      <c r="AC70" s="23" t="s">
        <v>885</v>
      </c>
      <c r="AD70" s="15" t="str">
        <f t="shared" si="26"/>
        <v>295759029</v>
      </c>
      <c r="AE70" s="21" t="str">
        <f t="shared" si="27"/>
        <v>BR_VW_AFS_dv360_DIS_PROG_CPM_STD_LDR_AAF_RON_CXD_After-Sales-Nova-VW-Reg06-3rdparty_PD_160x600</v>
      </c>
      <c r="AF70" s="21" t="str">
        <f t="shared" si="28"/>
        <v>BR_VW_AFS_dv360_DIS_PROG_CPM_STD_LDR_AAF_RON_CXD_After-Sales-Nova-VW-Reg06-3rdparty_PD_160x600</v>
      </c>
      <c r="AG70" s="21" t="str">
        <f t="shared" si="29"/>
        <v>VW_After-Sales-3rdparty_160x600_After-Sales-Nova-VW-Reg06-adserver</v>
      </c>
      <c r="AH70" s="21" t="str">
        <f t="shared" si="30"/>
        <v>https://posvendas.vw.com.br/product/oferta/62?utm_source=dv360&amp;utm_medium=Programmatic&amp;utm_content=BR_VW_AFS_dv360_DIS_PROG_CPM_STD_LDR_AAF_RON_CXD_After-Sales-Nova-VW-Reg06-3rdparty_PD_160x600&amp;utm_campaign=BR_AAF_DSY_NONMS_ND_AS_2021Q1FEV_AFS_After-Sales&amp;utm_term=%epid!_%ecid!_%eaid!</v>
      </c>
      <c r="AI70" s="21" t="str">
        <f t="shared" si="31"/>
        <v>TAG</v>
      </c>
      <c r="AJ70" s="15" t="str">
        <f t="shared" si="24"/>
        <v>dv360</v>
      </c>
      <c r="AK70" s="15" t="str">
        <f t="shared" si="25"/>
        <v>Programmatic</v>
      </c>
      <c r="AL70" s="21" t="str">
        <f>Campanha!$B$3</f>
        <v>BR_AAF_DSY_NONMS_ND_AS_2021Q1FEV_AFS_After-Sales</v>
      </c>
      <c r="AM70" s="21" t="str">
        <f t="shared" si="32"/>
        <v>BR_VW_AFS_dv360_DIS_PROG_CPM_STD_LDR_AAF_RON_CXD_After-Sales-Nova-VW-Reg06-3rdparty_PD_160x600</v>
      </c>
      <c r="AN70" s="15" t="s">
        <v>809</v>
      </c>
    </row>
    <row r="71" spans="2:40" hidden="1" x14ac:dyDescent="0.25">
      <c r="B71" s="15" t="s">
        <v>1098</v>
      </c>
      <c r="C71" s="15" t="s">
        <v>1114</v>
      </c>
      <c r="D71" s="15" t="s">
        <v>877</v>
      </c>
      <c r="E71" s="22">
        <v>44236</v>
      </c>
      <c r="F71" s="22">
        <v>44255</v>
      </c>
      <c r="G71" s="31" t="s">
        <v>674</v>
      </c>
      <c r="H71" s="31" t="s">
        <v>811</v>
      </c>
      <c r="I71" s="31" t="s">
        <v>702</v>
      </c>
      <c r="J71" s="31" t="s">
        <v>325</v>
      </c>
      <c r="K71" s="31" t="s">
        <v>334</v>
      </c>
      <c r="L71" s="31" t="s">
        <v>358</v>
      </c>
      <c r="M71" s="31" t="s">
        <v>322</v>
      </c>
      <c r="N71" s="31" t="s">
        <v>708</v>
      </c>
      <c r="O71" s="31" t="s">
        <v>694</v>
      </c>
      <c r="P71" s="15" t="s">
        <v>884</v>
      </c>
      <c r="Q71" s="31" t="s">
        <v>881</v>
      </c>
      <c r="R71" s="15" t="s">
        <v>835</v>
      </c>
      <c r="S71" s="15" t="s">
        <v>348</v>
      </c>
      <c r="T71" s="31" t="s">
        <v>484</v>
      </c>
      <c r="AC71" s="23" t="s">
        <v>885</v>
      </c>
      <c r="AD71" s="15" t="str">
        <f t="shared" si="26"/>
        <v>295759026</v>
      </c>
      <c r="AE71" s="21" t="str">
        <f t="shared" si="27"/>
        <v>BR_VW_AFS_dv360_DIS_PROG_CPM_STD_LDR_AAF_RON_CXD_After-Sales-Nova-VW-Reg06-3rdparty_PD_300x50</v>
      </c>
      <c r="AF71" s="21" t="str">
        <f t="shared" si="28"/>
        <v>BR_VW_AFS_dv360_DIS_PROG_CPM_STD_LDR_AAF_RON_CXD_After-Sales-Nova-VW-Reg06-3rdparty_PD_300x50</v>
      </c>
      <c r="AG71" s="21" t="str">
        <f t="shared" si="29"/>
        <v>VW_After-Sales-3rdparty_300x50_After-Sales-Nova-VW-Reg06-adserver</v>
      </c>
      <c r="AH71" s="21" t="str">
        <f t="shared" si="30"/>
        <v>https://posvendas.vw.com.br/product/oferta/62?utm_source=dv360&amp;utm_medium=Programmatic&amp;utm_content=BR_VW_AFS_dv360_DIS_PROG_CPM_STD_LDR_AAF_RON_CXD_After-Sales-Nova-VW-Reg06-3rdparty_PD_300x50&amp;utm_campaign=BR_AAF_DSY_NONMS_ND_AS_2021Q1FEV_AFS_After-Sales&amp;utm_term=%epid!_%ecid!_%eaid!</v>
      </c>
      <c r="AI71" s="21" t="str">
        <f t="shared" si="31"/>
        <v>TAG</v>
      </c>
      <c r="AJ71" s="15" t="str">
        <f t="shared" si="24"/>
        <v>dv360</v>
      </c>
      <c r="AK71" s="15" t="str">
        <f t="shared" si="25"/>
        <v>Programmatic</v>
      </c>
      <c r="AL71" s="21" t="str">
        <f>Campanha!$B$3</f>
        <v>BR_AAF_DSY_NONMS_ND_AS_2021Q1FEV_AFS_After-Sales</v>
      </c>
      <c r="AM71" s="21" t="str">
        <f t="shared" si="32"/>
        <v>BR_VW_AFS_dv360_DIS_PROG_CPM_STD_LDR_AAF_RON_CXD_After-Sales-Nova-VW-Reg06-3rdparty_PD_300x50</v>
      </c>
      <c r="AN71" s="15" t="s">
        <v>809</v>
      </c>
    </row>
    <row r="72" spans="2:40" hidden="1" x14ac:dyDescent="0.25">
      <c r="B72" s="15" t="s">
        <v>1098</v>
      </c>
      <c r="C72" s="15" t="s">
        <v>1114</v>
      </c>
      <c r="D72" s="15" t="s">
        <v>877</v>
      </c>
      <c r="E72" s="22">
        <v>44236</v>
      </c>
      <c r="F72" s="22">
        <v>44255</v>
      </c>
      <c r="G72" s="31" t="s">
        <v>674</v>
      </c>
      <c r="H72" s="31" t="s">
        <v>811</v>
      </c>
      <c r="I72" s="31" t="s">
        <v>702</v>
      </c>
      <c r="J72" s="31" t="s">
        <v>325</v>
      </c>
      <c r="K72" s="31" t="s">
        <v>334</v>
      </c>
      <c r="L72" s="31" t="s">
        <v>358</v>
      </c>
      <c r="M72" s="31" t="s">
        <v>322</v>
      </c>
      <c r="N72" s="31" t="s">
        <v>708</v>
      </c>
      <c r="O72" s="31" t="s">
        <v>694</v>
      </c>
      <c r="P72" s="15" t="s">
        <v>884</v>
      </c>
      <c r="Q72" s="31" t="s">
        <v>881</v>
      </c>
      <c r="R72" s="15" t="s">
        <v>835</v>
      </c>
      <c r="S72" s="15" t="s">
        <v>348</v>
      </c>
      <c r="T72" s="31" t="s">
        <v>478</v>
      </c>
      <c r="AC72" s="23" t="s">
        <v>885</v>
      </c>
      <c r="AD72" s="15" t="str">
        <f t="shared" si="26"/>
        <v>295759023</v>
      </c>
      <c r="AE72" s="21" t="str">
        <f t="shared" si="27"/>
        <v>BR_VW_AFS_dv360_DIS_PROG_CPM_STD_LDR_AAF_RON_CXD_After-Sales-Nova-VW-Reg06-3rdparty_PD_300x250</v>
      </c>
      <c r="AF72" s="21" t="str">
        <f t="shared" si="28"/>
        <v>BR_VW_AFS_dv360_DIS_PROG_CPM_STD_LDR_AAF_RON_CXD_After-Sales-Nova-VW-Reg06-3rdparty_PD_300x250</v>
      </c>
      <c r="AG72" s="21" t="str">
        <f t="shared" si="29"/>
        <v>VW_After-Sales-3rdparty_300x250_After-Sales-Nova-VW-Reg06-adserver</v>
      </c>
      <c r="AH72" s="21" t="str">
        <f t="shared" si="30"/>
        <v>https://posvendas.vw.com.br/product/oferta/62?utm_source=dv360&amp;utm_medium=Programmatic&amp;utm_content=BR_VW_AFS_dv360_DIS_PROG_CPM_STD_LDR_AAF_RON_CXD_After-Sales-Nova-VW-Reg06-3rdparty_PD_300x250&amp;utm_campaign=BR_AAF_DSY_NONMS_ND_AS_2021Q1FEV_AFS_After-Sales&amp;utm_term=%epid!_%ecid!_%eaid!</v>
      </c>
      <c r="AI72" s="21" t="str">
        <f t="shared" si="31"/>
        <v>TAG</v>
      </c>
      <c r="AJ72" s="15" t="str">
        <f t="shared" si="24"/>
        <v>dv360</v>
      </c>
      <c r="AK72" s="15" t="str">
        <f t="shared" si="25"/>
        <v>Programmatic</v>
      </c>
      <c r="AL72" s="21" t="str">
        <f>Campanha!$B$3</f>
        <v>BR_AAF_DSY_NONMS_ND_AS_2021Q1FEV_AFS_After-Sales</v>
      </c>
      <c r="AM72" s="21" t="str">
        <f t="shared" si="32"/>
        <v>BR_VW_AFS_dv360_DIS_PROG_CPM_STD_LDR_AAF_RON_CXD_After-Sales-Nova-VW-Reg06-3rdparty_PD_300x250</v>
      </c>
      <c r="AN72" s="15" t="s">
        <v>809</v>
      </c>
    </row>
    <row r="73" spans="2:40" hidden="1" x14ac:dyDescent="0.25">
      <c r="B73" s="15" t="s">
        <v>1098</v>
      </c>
      <c r="C73" s="15" t="s">
        <v>1114</v>
      </c>
      <c r="D73" s="15" t="s">
        <v>877</v>
      </c>
      <c r="E73" s="22">
        <v>44236</v>
      </c>
      <c r="F73" s="22">
        <v>44255</v>
      </c>
      <c r="G73" s="31" t="s">
        <v>674</v>
      </c>
      <c r="H73" s="31" t="s">
        <v>811</v>
      </c>
      <c r="I73" s="31" t="s">
        <v>702</v>
      </c>
      <c r="J73" s="31" t="s">
        <v>325</v>
      </c>
      <c r="K73" s="31" t="s">
        <v>334</v>
      </c>
      <c r="L73" s="31" t="s">
        <v>358</v>
      </c>
      <c r="M73" s="31" t="s">
        <v>322</v>
      </c>
      <c r="N73" s="31" t="s">
        <v>708</v>
      </c>
      <c r="O73" s="31" t="s">
        <v>694</v>
      </c>
      <c r="P73" s="15" t="s">
        <v>884</v>
      </c>
      <c r="Q73" s="31" t="s">
        <v>881</v>
      </c>
      <c r="R73" s="15" t="s">
        <v>835</v>
      </c>
      <c r="S73" s="15" t="s">
        <v>348</v>
      </c>
      <c r="T73" s="31" t="s">
        <v>614</v>
      </c>
      <c r="AC73" s="23" t="s">
        <v>885</v>
      </c>
      <c r="AD73" s="15" t="str">
        <f t="shared" si="26"/>
        <v>295759020</v>
      </c>
      <c r="AE73" s="21" t="str">
        <f t="shared" si="27"/>
        <v>BR_VW_AFS_dv360_DIS_PROG_CPM_STD_LDR_AAF_RON_CXD_After-Sales-Nova-VW-Reg06-3rdparty_PD_728x90</v>
      </c>
      <c r="AF73" s="21" t="str">
        <f t="shared" si="28"/>
        <v>BR_VW_AFS_dv360_DIS_PROG_CPM_STD_LDR_AAF_RON_CXD_After-Sales-Nova-VW-Reg06-3rdparty_PD_728x90</v>
      </c>
      <c r="AG73" s="21" t="str">
        <f t="shared" si="29"/>
        <v>VW_After-Sales-3rdparty_728x90_After-Sales-Nova-VW-Reg06-adserver</v>
      </c>
      <c r="AH73" s="21" t="str">
        <f t="shared" si="30"/>
        <v>https://posvendas.vw.com.br/product/oferta/62?utm_source=dv360&amp;utm_medium=Programmatic&amp;utm_content=BR_VW_AFS_dv360_DIS_PROG_CPM_STD_LDR_AAF_RON_CXD_After-Sales-Nova-VW-Reg06-3rdparty_PD_728x90&amp;utm_campaign=BR_AAF_DSY_NONMS_ND_AS_2021Q1FEV_AFS_After-Sales&amp;utm_term=%epid!_%ecid!_%eaid!</v>
      </c>
      <c r="AI73" s="21" t="str">
        <f t="shared" si="31"/>
        <v>TAG</v>
      </c>
      <c r="AJ73" s="15" t="str">
        <f t="shared" si="24"/>
        <v>dv360</v>
      </c>
      <c r="AK73" s="15" t="str">
        <f t="shared" si="25"/>
        <v>Programmatic</v>
      </c>
      <c r="AL73" s="21" t="str">
        <f>Campanha!$B$3</f>
        <v>BR_AAF_DSY_NONMS_ND_AS_2021Q1FEV_AFS_After-Sales</v>
      </c>
      <c r="AM73" s="21" t="str">
        <f t="shared" si="32"/>
        <v>BR_VW_AFS_dv360_DIS_PROG_CPM_STD_LDR_AAF_RON_CXD_After-Sales-Nova-VW-Reg06-3rdparty_PD_728x90</v>
      </c>
      <c r="AN73" s="15" t="s">
        <v>809</v>
      </c>
    </row>
    <row r="74" spans="2:40" hidden="1" x14ac:dyDescent="0.25">
      <c r="B74" s="15" t="s">
        <v>1098</v>
      </c>
      <c r="C74" s="15" t="s">
        <v>1114</v>
      </c>
      <c r="D74" s="15" t="s">
        <v>877</v>
      </c>
      <c r="E74" s="22">
        <v>44236</v>
      </c>
      <c r="F74" s="22">
        <v>44255</v>
      </c>
      <c r="G74" s="31" t="s">
        <v>674</v>
      </c>
      <c r="H74" s="31" t="s">
        <v>811</v>
      </c>
      <c r="I74" s="31" t="s">
        <v>702</v>
      </c>
      <c r="J74" s="31" t="s">
        <v>325</v>
      </c>
      <c r="K74" s="31" t="s">
        <v>334</v>
      </c>
      <c r="L74" s="31" t="s">
        <v>358</v>
      </c>
      <c r="M74" s="31" t="s">
        <v>322</v>
      </c>
      <c r="N74" s="31" t="s">
        <v>708</v>
      </c>
      <c r="O74" s="31" t="s">
        <v>694</v>
      </c>
      <c r="P74" s="15" t="s">
        <v>884</v>
      </c>
      <c r="Q74" s="31" t="s">
        <v>881</v>
      </c>
      <c r="R74" s="15" t="s">
        <v>835</v>
      </c>
      <c r="S74" s="15" t="s">
        <v>348</v>
      </c>
      <c r="T74" s="31" t="s">
        <v>652</v>
      </c>
      <c r="AC74" s="23" t="s">
        <v>885</v>
      </c>
      <c r="AD74" s="15" t="str">
        <f t="shared" si="26"/>
        <v>295759017</v>
      </c>
      <c r="AE74" s="21" t="str">
        <f t="shared" si="27"/>
        <v>BR_VW_AFS_dv360_DIS_PROG_CPM_STD_LDR_AAF_RON_CXD_After-Sales-Nova-VW-Reg06-3rdparty_PD_970x250</v>
      </c>
      <c r="AF74" s="21" t="str">
        <f t="shared" si="28"/>
        <v>BR_VW_AFS_dv360_DIS_PROG_CPM_STD_LDR_AAF_RON_CXD_After-Sales-Nova-VW-Reg06-3rdparty_PD_970x250</v>
      </c>
      <c r="AG74" s="21" t="str">
        <f t="shared" si="29"/>
        <v>VW_After-Sales-3rdparty_970x250_After-Sales-Nova-VW-Reg06-adserver</v>
      </c>
      <c r="AH74" s="21" t="str">
        <f t="shared" si="30"/>
        <v>https://posvendas.vw.com.br/product/oferta/62?utm_source=dv360&amp;utm_medium=Programmatic&amp;utm_content=BR_VW_AFS_dv360_DIS_PROG_CPM_STD_LDR_AAF_RON_CXD_After-Sales-Nova-VW-Reg06-3rdparty_PD_970x250&amp;utm_campaign=BR_AAF_DSY_NONMS_ND_AS_2021Q1FEV_AFS_After-Sales&amp;utm_term=%epid!_%ecid!_%eaid!</v>
      </c>
      <c r="AI74" s="21" t="str">
        <f t="shared" si="31"/>
        <v>TAG</v>
      </c>
      <c r="AJ74" s="15" t="str">
        <f t="shared" si="24"/>
        <v>dv360</v>
      </c>
      <c r="AK74" s="15" t="str">
        <f t="shared" si="25"/>
        <v>Programmatic</v>
      </c>
      <c r="AL74" s="21" t="str">
        <f>Campanha!$B$3</f>
        <v>BR_AAF_DSY_NONMS_ND_AS_2021Q1FEV_AFS_After-Sales</v>
      </c>
      <c r="AM74" s="21" t="str">
        <f t="shared" si="32"/>
        <v>BR_VW_AFS_dv360_DIS_PROG_CPM_STD_LDR_AAF_RON_CXD_After-Sales-Nova-VW-Reg06-3rdparty_PD_970x250</v>
      </c>
      <c r="AN74" s="15" t="s">
        <v>809</v>
      </c>
    </row>
    <row r="75" spans="2:40" hidden="1" x14ac:dyDescent="0.25">
      <c r="B75" s="15" t="s">
        <v>1098</v>
      </c>
      <c r="C75" s="15" t="s">
        <v>1115</v>
      </c>
      <c r="D75" s="15" t="s">
        <v>886</v>
      </c>
      <c r="E75" s="22">
        <v>44246</v>
      </c>
      <c r="F75" s="22">
        <v>44255</v>
      </c>
      <c r="G75" s="31" t="s">
        <v>674</v>
      </c>
      <c r="H75" s="31" t="s">
        <v>811</v>
      </c>
      <c r="I75" s="31" t="s">
        <v>702</v>
      </c>
      <c r="J75" s="31" t="s">
        <v>325</v>
      </c>
      <c r="K75" s="31" t="s">
        <v>334</v>
      </c>
      <c r="L75" s="31" t="s">
        <v>358</v>
      </c>
      <c r="M75" s="31" t="s">
        <v>322</v>
      </c>
      <c r="N75" s="31" t="s">
        <v>708</v>
      </c>
      <c r="O75" s="31" t="s">
        <v>694</v>
      </c>
      <c r="P75" s="15" t="s">
        <v>882</v>
      </c>
      <c r="Q75" s="31" t="s">
        <v>887</v>
      </c>
      <c r="R75" s="15" t="s">
        <v>835</v>
      </c>
      <c r="S75" s="15" t="s">
        <v>348</v>
      </c>
      <c r="T75" s="31" t="s">
        <v>457</v>
      </c>
      <c r="AC75" s="23" t="s">
        <v>841</v>
      </c>
      <c r="AD75" s="15" t="str">
        <f t="shared" si="26"/>
        <v>296613678</v>
      </c>
      <c r="AE75" s="21" t="str">
        <f t="shared" si="27"/>
        <v>BR_VW_AFS_dv360_DIS_PROG_CPM_STD_LDR_AAF_RON_CXD_After-Sales-Nova-VW-Reg02-LAL-visita_PD_160x600</v>
      </c>
      <c r="AF75" s="21" t="str">
        <f t="shared" si="28"/>
        <v>BR_VW_AFS_dv360_DIS_PROG_CPM_STD_LDR_AAF_RON_CXD_After-Sales-Nova-VW-Reg02-LAL-visita_PD_160x600</v>
      </c>
      <c r="AG75" s="21" t="str">
        <f t="shared" si="29"/>
        <v>VW_After-Sales-LAL-visita_160x600_After-Sales-Nova-VW-Reg02-adserver</v>
      </c>
      <c r="AH75" s="21" t="str">
        <f t="shared" si="30"/>
        <v>https://posvendas.vw.com.br/?utm_source=dv360&amp;utm_medium=Programmatic&amp;utm_content=BR_VW_AFS_dv360_DIS_PROG_CPM_STD_LDR_AAF_RON_CXD_After-Sales-Nova-VW-Reg02-LAL-visita_PD_160x600&amp;utm_campaign=BR_AAF_DSY_NONMS_ND_AS_2021Q1FEV_AFS_After-Sales&amp;utm_term=%epid!_%ecid!_%eaid!</v>
      </c>
      <c r="AI75" s="21" t="str">
        <f t="shared" si="31"/>
        <v>TAG</v>
      </c>
      <c r="AJ75" s="15" t="str">
        <f t="shared" si="24"/>
        <v>dv360</v>
      </c>
      <c r="AK75" s="15" t="str">
        <f t="shared" si="25"/>
        <v>Programmatic</v>
      </c>
      <c r="AL75" s="21" t="str">
        <f>Campanha!$B$3</f>
        <v>BR_AAF_DSY_NONMS_ND_AS_2021Q1FEV_AFS_After-Sales</v>
      </c>
      <c r="AM75" s="21" t="str">
        <f t="shared" si="32"/>
        <v>BR_VW_AFS_dv360_DIS_PROG_CPM_STD_LDR_AAF_RON_CXD_After-Sales-Nova-VW-Reg02-LAL-visita_PD_160x600</v>
      </c>
      <c r="AN75" s="15" t="s">
        <v>809</v>
      </c>
    </row>
    <row r="76" spans="2:40" hidden="1" x14ac:dyDescent="0.25">
      <c r="B76" s="15" t="s">
        <v>1098</v>
      </c>
      <c r="C76" s="15" t="s">
        <v>1115</v>
      </c>
      <c r="D76" s="15" t="s">
        <v>886</v>
      </c>
      <c r="E76" s="22">
        <v>44246</v>
      </c>
      <c r="F76" s="22">
        <v>44255</v>
      </c>
      <c r="G76" s="31" t="s">
        <v>674</v>
      </c>
      <c r="H76" s="31" t="s">
        <v>811</v>
      </c>
      <c r="I76" s="31" t="s">
        <v>702</v>
      </c>
      <c r="J76" s="31" t="s">
        <v>325</v>
      </c>
      <c r="K76" s="31" t="s">
        <v>334</v>
      </c>
      <c r="L76" s="31" t="s">
        <v>358</v>
      </c>
      <c r="M76" s="31" t="s">
        <v>322</v>
      </c>
      <c r="N76" s="31" t="s">
        <v>708</v>
      </c>
      <c r="O76" s="31" t="s">
        <v>694</v>
      </c>
      <c r="P76" s="15" t="s">
        <v>882</v>
      </c>
      <c r="Q76" s="31" t="s">
        <v>887</v>
      </c>
      <c r="R76" s="15" t="s">
        <v>835</v>
      </c>
      <c r="S76" s="15" t="s">
        <v>348</v>
      </c>
      <c r="T76" s="31" t="s">
        <v>484</v>
      </c>
      <c r="AC76" s="23" t="s">
        <v>841</v>
      </c>
      <c r="AD76" s="15" t="str">
        <f t="shared" si="26"/>
        <v>296613672</v>
      </c>
      <c r="AE76" s="21" t="str">
        <f t="shared" si="27"/>
        <v>BR_VW_AFS_dv360_DIS_PROG_CPM_STD_LDR_AAF_RON_CXD_After-Sales-Nova-VW-Reg02-LAL-visita_PD_300x50</v>
      </c>
      <c r="AF76" s="21" t="str">
        <f t="shared" si="28"/>
        <v>BR_VW_AFS_dv360_DIS_PROG_CPM_STD_LDR_AAF_RON_CXD_After-Sales-Nova-VW-Reg02-LAL-visita_PD_300x50</v>
      </c>
      <c r="AG76" s="21" t="str">
        <f t="shared" si="29"/>
        <v>VW_After-Sales-LAL-visita_300x50_After-Sales-Nova-VW-Reg02-adserver</v>
      </c>
      <c r="AH76" s="21" t="str">
        <f t="shared" si="30"/>
        <v>https://posvendas.vw.com.br/?utm_source=dv360&amp;utm_medium=Programmatic&amp;utm_content=BR_VW_AFS_dv360_DIS_PROG_CPM_STD_LDR_AAF_RON_CXD_After-Sales-Nova-VW-Reg02-LAL-visita_PD_300x50&amp;utm_campaign=BR_AAF_DSY_NONMS_ND_AS_2021Q1FEV_AFS_After-Sales&amp;utm_term=%epid!_%ecid!_%eaid!</v>
      </c>
      <c r="AI76" s="21" t="str">
        <f t="shared" si="31"/>
        <v>TAG</v>
      </c>
      <c r="AJ76" s="15" t="str">
        <f t="shared" si="24"/>
        <v>dv360</v>
      </c>
      <c r="AK76" s="15" t="str">
        <f t="shared" si="25"/>
        <v>Programmatic</v>
      </c>
      <c r="AL76" s="21" t="str">
        <f>Campanha!$B$3</f>
        <v>BR_AAF_DSY_NONMS_ND_AS_2021Q1FEV_AFS_After-Sales</v>
      </c>
      <c r="AM76" s="21" t="str">
        <f t="shared" si="32"/>
        <v>BR_VW_AFS_dv360_DIS_PROG_CPM_STD_LDR_AAF_RON_CXD_After-Sales-Nova-VW-Reg02-LAL-visita_PD_300x50</v>
      </c>
      <c r="AN76" s="15" t="s">
        <v>809</v>
      </c>
    </row>
    <row r="77" spans="2:40" hidden="1" x14ac:dyDescent="0.25">
      <c r="B77" s="15" t="s">
        <v>1098</v>
      </c>
      <c r="C77" s="15" t="s">
        <v>1115</v>
      </c>
      <c r="D77" s="15" t="s">
        <v>886</v>
      </c>
      <c r="E77" s="22">
        <v>44246</v>
      </c>
      <c r="F77" s="22">
        <v>44255</v>
      </c>
      <c r="G77" s="31" t="s">
        <v>674</v>
      </c>
      <c r="H77" s="31" t="s">
        <v>811</v>
      </c>
      <c r="I77" s="31" t="s">
        <v>702</v>
      </c>
      <c r="J77" s="31" t="s">
        <v>325</v>
      </c>
      <c r="K77" s="31" t="s">
        <v>334</v>
      </c>
      <c r="L77" s="31" t="s">
        <v>358</v>
      </c>
      <c r="M77" s="31" t="s">
        <v>322</v>
      </c>
      <c r="N77" s="31" t="s">
        <v>708</v>
      </c>
      <c r="O77" s="31" t="s">
        <v>694</v>
      </c>
      <c r="P77" s="15" t="s">
        <v>882</v>
      </c>
      <c r="Q77" s="31" t="s">
        <v>887</v>
      </c>
      <c r="R77" s="15" t="s">
        <v>835</v>
      </c>
      <c r="S77" s="15" t="s">
        <v>348</v>
      </c>
      <c r="T77" s="31" t="s">
        <v>478</v>
      </c>
      <c r="AC77" s="23" t="s">
        <v>841</v>
      </c>
      <c r="AD77" s="15" t="str">
        <f t="shared" si="26"/>
        <v>296613666</v>
      </c>
      <c r="AE77" s="21" t="str">
        <f t="shared" si="27"/>
        <v>BR_VW_AFS_dv360_DIS_PROG_CPM_STD_LDR_AAF_RON_CXD_After-Sales-Nova-VW-Reg02-LAL-visita_PD_300x250</v>
      </c>
      <c r="AF77" s="21" t="str">
        <f t="shared" si="28"/>
        <v>BR_VW_AFS_dv360_DIS_PROG_CPM_STD_LDR_AAF_RON_CXD_After-Sales-Nova-VW-Reg02-LAL-visita_PD_300x250</v>
      </c>
      <c r="AG77" s="21" t="str">
        <f t="shared" si="29"/>
        <v>VW_After-Sales-LAL-visita_300x250_After-Sales-Nova-VW-Reg02-adserver</v>
      </c>
      <c r="AH77" s="21" t="str">
        <f t="shared" si="30"/>
        <v>https://posvendas.vw.com.br/?utm_source=dv360&amp;utm_medium=Programmatic&amp;utm_content=BR_VW_AFS_dv360_DIS_PROG_CPM_STD_LDR_AAF_RON_CXD_After-Sales-Nova-VW-Reg02-LAL-visita_PD_300x250&amp;utm_campaign=BR_AAF_DSY_NONMS_ND_AS_2021Q1FEV_AFS_After-Sales&amp;utm_term=%epid!_%ecid!_%eaid!</v>
      </c>
      <c r="AI77" s="21" t="str">
        <f t="shared" si="31"/>
        <v>TAG</v>
      </c>
      <c r="AJ77" s="15" t="str">
        <f t="shared" si="24"/>
        <v>dv360</v>
      </c>
      <c r="AK77" s="15" t="str">
        <f t="shared" si="25"/>
        <v>Programmatic</v>
      </c>
      <c r="AL77" s="21" t="str">
        <f>Campanha!$B$3</f>
        <v>BR_AAF_DSY_NONMS_ND_AS_2021Q1FEV_AFS_After-Sales</v>
      </c>
      <c r="AM77" s="21" t="str">
        <f t="shared" si="32"/>
        <v>BR_VW_AFS_dv360_DIS_PROG_CPM_STD_LDR_AAF_RON_CXD_After-Sales-Nova-VW-Reg02-LAL-visita_PD_300x250</v>
      </c>
      <c r="AN77" s="15" t="s">
        <v>809</v>
      </c>
    </row>
    <row r="78" spans="2:40" hidden="1" x14ac:dyDescent="0.25">
      <c r="B78" s="15" t="s">
        <v>1098</v>
      </c>
      <c r="C78" s="15" t="s">
        <v>1115</v>
      </c>
      <c r="D78" s="15" t="s">
        <v>886</v>
      </c>
      <c r="E78" s="22">
        <v>44246</v>
      </c>
      <c r="F78" s="22">
        <v>44255</v>
      </c>
      <c r="G78" s="31" t="s">
        <v>674</v>
      </c>
      <c r="H78" s="31" t="s">
        <v>811</v>
      </c>
      <c r="I78" s="31" t="s">
        <v>702</v>
      </c>
      <c r="J78" s="31" t="s">
        <v>325</v>
      </c>
      <c r="K78" s="31" t="s">
        <v>334</v>
      </c>
      <c r="L78" s="31" t="s">
        <v>358</v>
      </c>
      <c r="M78" s="31" t="s">
        <v>322</v>
      </c>
      <c r="N78" s="31" t="s">
        <v>708</v>
      </c>
      <c r="O78" s="31" t="s">
        <v>694</v>
      </c>
      <c r="P78" s="15" t="s">
        <v>882</v>
      </c>
      <c r="Q78" s="31" t="s">
        <v>887</v>
      </c>
      <c r="R78" s="15" t="s">
        <v>835</v>
      </c>
      <c r="S78" s="15" t="s">
        <v>348</v>
      </c>
      <c r="T78" s="31" t="s">
        <v>614</v>
      </c>
      <c r="AC78" s="23" t="s">
        <v>841</v>
      </c>
      <c r="AD78" s="15" t="str">
        <f t="shared" si="26"/>
        <v>296613660</v>
      </c>
      <c r="AE78" s="21" t="str">
        <f t="shared" si="27"/>
        <v>BR_VW_AFS_dv360_DIS_PROG_CPM_STD_LDR_AAF_RON_CXD_After-Sales-Nova-VW-Reg02-LAL-visita_PD_728x90</v>
      </c>
      <c r="AF78" s="21" t="str">
        <f t="shared" si="28"/>
        <v>BR_VW_AFS_dv360_DIS_PROG_CPM_STD_LDR_AAF_RON_CXD_After-Sales-Nova-VW-Reg02-LAL-visita_PD_728x90</v>
      </c>
      <c r="AG78" s="21" t="str">
        <f t="shared" si="29"/>
        <v>VW_After-Sales-LAL-visita_728x90_After-Sales-Nova-VW-Reg02-adserver</v>
      </c>
      <c r="AH78" s="21" t="str">
        <f t="shared" si="30"/>
        <v>https://posvendas.vw.com.br/?utm_source=dv360&amp;utm_medium=Programmatic&amp;utm_content=BR_VW_AFS_dv360_DIS_PROG_CPM_STD_LDR_AAF_RON_CXD_After-Sales-Nova-VW-Reg02-LAL-visita_PD_728x90&amp;utm_campaign=BR_AAF_DSY_NONMS_ND_AS_2021Q1FEV_AFS_After-Sales&amp;utm_term=%epid!_%ecid!_%eaid!</v>
      </c>
      <c r="AI78" s="21" t="str">
        <f t="shared" si="31"/>
        <v>TAG</v>
      </c>
      <c r="AJ78" s="15" t="str">
        <f t="shared" si="24"/>
        <v>dv360</v>
      </c>
      <c r="AK78" s="15" t="str">
        <f t="shared" si="25"/>
        <v>Programmatic</v>
      </c>
      <c r="AL78" s="21" t="str">
        <f>Campanha!$B$3</f>
        <v>BR_AAF_DSY_NONMS_ND_AS_2021Q1FEV_AFS_After-Sales</v>
      </c>
      <c r="AM78" s="21" t="str">
        <f t="shared" si="32"/>
        <v>BR_VW_AFS_dv360_DIS_PROG_CPM_STD_LDR_AAF_RON_CXD_After-Sales-Nova-VW-Reg02-LAL-visita_PD_728x90</v>
      </c>
      <c r="AN78" s="15" t="s">
        <v>809</v>
      </c>
    </row>
    <row r="79" spans="2:40" hidden="1" x14ac:dyDescent="0.25">
      <c r="B79" s="15" t="s">
        <v>1098</v>
      </c>
      <c r="C79" s="15" t="s">
        <v>1115</v>
      </c>
      <c r="D79" s="15" t="s">
        <v>886</v>
      </c>
      <c r="E79" s="22">
        <v>44246</v>
      </c>
      <c r="F79" s="22">
        <v>44255</v>
      </c>
      <c r="G79" s="31" t="s">
        <v>674</v>
      </c>
      <c r="H79" s="31" t="s">
        <v>811</v>
      </c>
      <c r="I79" s="31" t="s">
        <v>702</v>
      </c>
      <c r="J79" s="31" t="s">
        <v>325</v>
      </c>
      <c r="K79" s="31" t="s">
        <v>334</v>
      </c>
      <c r="L79" s="31" t="s">
        <v>358</v>
      </c>
      <c r="M79" s="31" t="s">
        <v>322</v>
      </c>
      <c r="N79" s="31" t="s">
        <v>708</v>
      </c>
      <c r="O79" s="31" t="s">
        <v>694</v>
      </c>
      <c r="P79" s="15" t="s">
        <v>882</v>
      </c>
      <c r="Q79" s="31" t="s">
        <v>887</v>
      </c>
      <c r="R79" s="15" t="s">
        <v>835</v>
      </c>
      <c r="S79" s="15" t="s">
        <v>348</v>
      </c>
      <c r="T79" s="31" t="s">
        <v>652</v>
      </c>
      <c r="AC79" s="23" t="s">
        <v>841</v>
      </c>
      <c r="AD79" s="15" t="str">
        <f t="shared" si="26"/>
        <v>296613654</v>
      </c>
      <c r="AE79" s="21" t="str">
        <f t="shared" si="27"/>
        <v>BR_VW_AFS_dv360_DIS_PROG_CPM_STD_LDR_AAF_RON_CXD_After-Sales-Nova-VW-Reg02-LAL-visita_PD_970x250</v>
      </c>
      <c r="AF79" s="21" t="str">
        <f t="shared" si="28"/>
        <v>BR_VW_AFS_dv360_DIS_PROG_CPM_STD_LDR_AAF_RON_CXD_After-Sales-Nova-VW-Reg02-LAL-visita_PD_970x250</v>
      </c>
      <c r="AG79" s="21" t="str">
        <f t="shared" si="29"/>
        <v>VW_After-Sales-LAL-visita_970x250_After-Sales-Nova-VW-Reg02-adserver</v>
      </c>
      <c r="AH79" s="21" t="str">
        <f t="shared" si="30"/>
        <v>https://posvendas.vw.com.br/?utm_source=dv360&amp;utm_medium=Programmatic&amp;utm_content=BR_VW_AFS_dv360_DIS_PROG_CPM_STD_LDR_AAF_RON_CXD_After-Sales-Nova-VW-Reg02-LAL-visita_PD_970x250&amp;utm_campaign=BR_AAF_DSY_NONMS_ND_AS_2021Q1FEV_AFS_After-Sales&amp;utm_term=%epid!_%ecid!_%eaid!</v>
      </c>
      <c r="AI79" s="21" t="str">
        <f t="shared" si="31"/>
        <v>TAG</v>
      </c>
      <c r="AJ79" s="15" t="str">
        <f t="shared" si="24"/>
        <v>dv360</v>
      </c>
      <c r="AK79" s="15" t="str">
        <f t="shared" si="25"/>
        <v>Programmatic</v>
      </c>
      <c r="AL79" s="21" t="str">
        <f>Campanha!$B$3</f>
        <v>BR_AAF_DSY_NONMS_ND_AS_2021Q1FEV_AFS_After-Sales</v>
      </c>
      <c r="AM79" s="21" t="str">
        <f t="shared" si="32"/>
        <v>BR_VW_AFS_dv360_DIS_PROG_CPM_STD_LDR_AAF_RON_CXD_After-Sales-Nova-VW-Reg02-LAL-visita_PD_970x250</v>
      </c>
      <c r="AN79" s="15" t="s">
        <v>809</v>
      </c>
    </row>
    <row r="80" spans="2:40" hidden="1" x14ac:dyDescent="0.25">
      <c r="B80" s="15" t="s">
        <v>1098</v>
      </c>
      <c r="C80" s="15" t="s">
        <v>1115</v>
      </c>
      <c r="D80" s="15" t="s">
        <v>886</v>
      </c>
      <c r="E80" s="22">
        <v>44246</v>
      </c>
      <c r="F80" s="22">
        <v>44255</v>
      </c>
      <c r="G80" s="31" t="s">
        <v>674</v>
      </c>
      <c r="H80" s="31" t="s">
        <v>811</v>
      </c>
      <c r="I80" s="31" t="s">
        <v>702</v>
      </c>
      <c r="J80" s="31" t="s">
        <v>325</v>
      </c>
      <c r="K80" s="31" t="s">
        <v>334</v>
      </c>
      <c r="L80" s="31" t="s">
        <v>358</v>
      </c>
      <c r="M80" s="31" t="s">
        <v>322</v>
      </c>
      <c r="N80" s="31" t="s">
        <v>708</v>
      </c>
      <c r="O80" s="31" t="s">
        <v>694</v>
      </c>
      <c r="P80" s="15" t="s">
        <v>882</v>
      </c>
      <c r="Q80" s="31" t="s">
        <v>850</v>
      </c>
      <c r="R80" s="15" t="s">
        <v>835</v>
      </c>
      <c r="S80" s="15" t="s">
        <v>348</v>
      </c>
      <c r="T80" s="31" t="s">
        <v>457</v>
      </c>
      <c r="AC80" s="23" t="s">
        <v>841</v>
      </c>
      <c r="AD80" s="15" t="str">
        <f t="shared" si="26"/>
        <v>296613648</v>
      </c>
      <c r="AE80" s="21" t="str">
        <f t="shared" si="27"/>
        <v>BR_VW_AFS_dv360_DIS_PROG_CPM_STD_LDR_AAF_RON_CXD_After-Sales-Nova-VW-Reg02-LAL-Lead_PD_160x600</v>
      </c>
      <c r="AF80" s="21" t="str">
        <f t="shared" si="28"/>
        <v>BR_VW_AFS_dv360_DIS_PROG_CPM_STD_LDR_AAF_RON_CXD_After-Sales-Nova-VW-Reg02-LAL-Lead_PD_160x600</v>
      </c>
      <c r="AG80" s="21" t="str">
        <f t="shared" si="29"/>
        <v>VW_After-Sales-LAL-Lead_160x600_After-Sales-Nova-VW-Reg02-adserver</v>
      </c>
      <c r="AH80" s="21" t="str">
        <f t="shared" si="30"/>
        <v>https://posvendas.vw.com.br/?utm_source=dv360&amp;utm_medium=Programmatic&amp;utm_content=BR_VW_AFS_dv360_DIS_PROG_CPM_STD_LDR_AAF_RON_CXD_After-Sales-Nova-VW-Reg02-LAL-Lead_PD_160x600&amp;utm_campaign=BR_AAF_DSY_NONMS_ND_AS_2021Q1FEV_AFS_After-Sales&amp;utm_term=%epid!_%ecid!_%eaid!</v>
      </c>
      <c r="AI80" s="21" t="str">
        <f t="shared" si="31"/>
        <v>TAG</v>
      </c>
      <c r="AJ80" s="15" t="str">
        <f t="shared" si="24"/>
        <v>dv360</v>
      </c>
      <c r="AK80" s="15" t="str">
        <f t="shared" si="25"/>
        <v>Programmatic</v>
      </c>
      <c r="AL80" s="21" t="str">
        <f>Campanha!$B$3</f>
        <v>BR_AAF_DSY_NONMS_ND_AS_2021Q1FEV_AFS_After-Sales</v>
      </c>
      <c r="AM80" s="21" t="str">
        <f t="shared" si="32"/>
        <v>BR_VW_AFS_dv360_DIS_PROG_CPM_STD_LDR_AAF_RON_CXD_After-Sales-Nova-VW-Reg02-LAL-Lead_PD_160x600</v>
      </c>
      <c r="AN80" s="15" t="s">
        <v>809</v>
      </c>
    </row>
    <row r="81" spans="2:40" hidden="1" x14ac:dyDescent="0.25">
      <c r="B81" s="15" t="s">
        <v>1098</v>
      </c>
      <c r="C81" s="15" t="s">
        <v>1115</v>
      </c>
      <c r="D81" s="15" t="s">
        <v>886</v>
      </c>
      <c r="E81" s="22">
        <v>44246</v>
      </c>
      <c r="F81" s="22">
        <v>44255</v>
      </c>
      <c r="G81" s="31" t="s">
        <v>674</v>
      </c>
      <c r="H81" s="31" t="s">
        <v>811</v>
      </c>
      <c r="I81" s="31" t="s">
        <v>702</v>
      </c>
      <c r="J81" s="31" t="s">
        <v>325</v>
      </c>
      <c r="K81" s="31" t="s">
        <v>334</v>
      </c>
      <c r="L81" s="31" t="s">
        <v>358</v>
      </c>
      <c r="M81" s="31" t="s">
        <v>322</v>
      </c>
      <c r="N81" s="31" t="s">
        <v>708</v>
      </c>
      <c r="O81" s="31" t="s">
        <v>694</v>
      </c>
      <c r="P81" s="15" t="s">
        <v>882</v>
      </c>
      <c r="Q81" s="31" t="s">
        <v>850</v>
      </c>
      <c r="R81" s="15" t="s">
        <v>835</v>
      </c>
      <c r="S81" s="15" t="s">
        <v>348</v>
      </c>
      <c r="T81" s="31" t="s">
        <v>484</v>
      </c>
      <c r="AC81" s="23" t="s">
        <v>841</v>
      </c>
      <c r="AD81" s="15" t="str">
        <f t="shared" si="26"/>
        <v>296613642</v>
      </c>
      <c r="AE81" s="21" t="str">
        <f t="shared" si="27"/>
        <v>BR_VW_AFS_dv360_DIS_PROG_CPM_STD_LDR_AAF_RON_CXD_After-Sales-Nova-VW-Reg02-LAL-Lead_PD_300x50</v>
      </c>
      <c r="AF81" s="21" t="str">
        <f t="shared" si="28"/>
        <v>BR_VW_AFS_dv360_DIS_PROG_CPM_STD_LDR_AAF_RON_CXD_After-Sales-Nova-VW-Reg02-LAL-Lead_PD_300x50</v>
      </c>
      <c r="AG81" s="21" t="str">
        <f t="shared" si="29"/>
        <v>VW_After-Sales-LAL-Lead_300x50_After-Sales-Nova-VW-Reg02-adserver</v>
      </c>
      <c r="AH81" s="21" t="str">
        <f t="shared" si="30"/>
        <v>https://posvendas.vw.com.br/?utm_source=dv360&amp;utm_medium=Programmatic&amp;utm_content=BR_VW_AFS_dv360_DIS_PROG_CPM_STD_LDR_AAF_RON_CXD_After-Sales-Nova-VW-Reg02-LAL-Lead_PD_300x50&amp;utm_campaign=BR_AAF_DSY_NONMS_ND_AS_2021Q1FEV_AFS_After-Sales&amp;utm_term=%epid!_%ecid!_%eaid!</v>
      </c>
      <c r="AI81" s="21" t="str">
        <f t="shared" si="31"/>
        <v>TAG</v>
      </c>
      <c r="AJ81" s="15" t="str">
        <f t="shared" si="24"/>
        <v>dv360</v>
      </c>
      <c r="AK81" s="15" t="str">
        <f t="shared" si="25"/>
        <v>Programmatic</v>
      </c>
      <c r="AL81" s="21" t="str">
        <f>Campanha!$B$3</f>
        <v>BR_AAF_DSY_NONMS_ND_AS_2021Q1FEV_AFS_After-Sales</v>
      </c>
      <c r="AM81" s="21" t="str">
        <f t="shared" si="32"/>
        <v>BR_VW_AFS_dv360_DIS_PROG_CPM_STD_LDR_AAF_RON_CXD_After-Sales-Nova-VW-Reg02-LAL-Lead_PD_300x50</v>
      </c>
      <c r="AN81" s="15" t="s">
        <v>809</v>
      </c>
    </row>
    <row r="82" spans="2:40" hidden="1" x14ac:dyDescent="0.25">
      <c r="B82" s="15" t="s">
        <v>1098</v>
      </c>
      <c r="C82" s="15" t="s">
        <v>1115</v>
      </c>
      <c r="D82" s="15" t="s">
        <v>886</v>
      </c>
      <c r="E82" s="22">
        <v>44246</v>
      </c>
      <c r="F82" s="22">
        <v>44255</v>
      </c>
      <c r="G82" s="31" t="s">
        <v>674</v>
      </c>
      <c r="H82" s="31" t="s">
        <v>811</v>
      </c>
      <c r="I82" s="31" t="s">
        <v>702</v>
      </c>
      <c r="J82" s="31" t="s">
        <v>325</v>
      </c>
      <c r="K82" s="31" t="s">
        <v>334</v>
      </c>
      <c r="L82" s="31" t="s">
        <v>358</v>
      </c>
      <c r="M82" s="31" t="s">
        <v>322</v>
      </c>
      <c r="N82" s="31" t="s">
        <v>708</v>
      </c>
      <c r="O82" s="31" t="s">
        <v>694</v>
      </c>
      <c r="P82" s="15" t="s">
        <v>882</v>
      </c>
      <c r="Q82" s="31" t="s">
        <v>850</v>
      </c>
      <c r="R82" s="15" t="s">
        <v>835</v>
      </c>
      <c r="S82" s="15" t="s">
        <v>348</v>
      </c>
      <c r="T82" s="31" t="s">
        <v>478</v>
      </c>
      <c r="AC82" s="23" t="s">
        <v>841</v>
      </c>
      <c r="AD82" s="15" t="str">
        <f t="shared" si="26"/>
        <v>296613636</v>
      </c>
      <c r="AE82" s="21" t="str">
        <f t="shared" si="27"/>
        <v>BR_VW_AFS_dv360_DIS_PROG_CPM_STD_LDR_AAF_RON_CXD_After-Sales-Nova-VW-Reg02-LAL-Lead_PD_300x250</v>
      </c>
      <c r="AF82" s="21" t="str">
        <f t="shared" si="28"/>
        <v>BR_VW_AFS_dv360_DIS_PROG_CPM_STD_LDR_AAF_RON_CXD_After-Sales-Nova-VW-Reg02-LAL-Lead_PD_300x250</v>
      </c>
      <c r="AG82" s="21" t="str">
        <f t="shared" si="29"/>
        <v>VW_After-Sales-LAL-Lead_300x250_After-Sales-Nova-VW-Reg02-adserver</v>
      </c>
      <c r="AH82" s="21" t="str">
        <f t="shared" si="30"/>
        <v>https://posvendas.vw.com.br/?utm_source=dv360&amp;utm_medium=Programmatic&amp;utm_content=BR_VW_AFS_dv360_DIS_PROG_CPM_STD_LDR_AAF_RON_CXD_After-Sales-Nova-VW-Reg02-LAL-Lead_PD_300x250&amp;utm_campaign=BR_AAF_DSY_NONMS_ND_AS_2021Q1FEV_AFS_After-Sales&amp;utm_term=%epid!_%ecid!_%eaid!</v>
      </c>
      <c r="AI82" s="21" t="str">
        <f t="shared" si="31"/>
        <v>TAG</v>
      </c>
      <c r="AJ82" s="15" t="str">
        <f t="shared" si="24"/>
        <v>dv360</v>
      </c>
      <c r="AK82" s="15" t="str">
        <f t="shared" si="25"/>
        <v>Programmatic</v>
      </c>
      <c r="AL82" s="21" t="str">
        <f>Campanha!$B$3</f>
        <v>BR_AAF_DSY_NONMS_ND_AS_2021Q1FEV_AFS_After-Sales</v>
      </c>
      <c r="AM82" s="21" t="str">
        <f t="shared" si="32"/>
        <v>BR_VW_AFS_dv360_DIS_PROG_CPM_STD_LDR_AAF_RON_CXD_After-Sales-Nova-VW-Reg02-LAL-Lead_PD_300x250</v>
      </c>
      <c r="AN82" s="15" t="s">
        <v>809</v>
      </c>
    </row>
    <row r="83" spans="2:40" hidden="1" x14ac:dyDescent="0.25">
      <c r="B83" s="15" t="s">
        <v>1098</v>
      </c>
      <c r="C83" s="15" t="s">
        <v>1115</v>
      </c>
      <c r="D83" s="15" t="s">
        <v>886</v>
      </c>
      <c r="E83" s="22">
        <v>44246</v>
      </c>
      <c r="F83" s="22">
        <v>44255</v>
      </c>
      <c r="G83" s="31" t="s">
        <v>674</v>
      </c>
      <c r="H83" s="31" t="s">
        <v>811</v>
      </c>
      <c r="I83" s="31" t="s">
        <v>702</v>
      </c>
      <c r="J83" s="31" t="s">
        <v>325</v>
      </c>
      <c r="K83" s="31" t="s">
        <v>334</v>
      </c>
      <c r="L83" s="31" t="s">
        <v>358</v>
      </c>
      <c r="M83" s="31" t="s">
        <v>322</v>
      </c>
      <c r="N83" s="31" t="s">
        <v>708</v>
      </c>
      <c r="O83" s="31" t="s">
        <v>694</v>
      </c>
      <c r="P83" s="15" t="s">
        <v>882</v>
      </c>
      <c r="Q83" s="31" t="s">
        <v>850</v>
      </c>
      <c r="R83" s="15" t="s">
        <v>835</v>
      </c>
      <c r="S83" s="15" t="s">
        <v>348</v>
      </c>
      <c r="T83" s="31" t="s">
        <v>614</v>
      </c>
      <c r="AC83" s="23" t="s">
        <v>841</v>
      </c>
      <c r="AD83" s="15" t="str">
        <f t="shared" si="26"/>
        <v>296613630</v>
      </c>
      <c r="AE83" s="21" t="str">
        <f t="shared" si="27"/>
        <v>BR_VW_AFS_dv360_DIS_PROG_CPM_STD_LDR_AAF_RON_CXD_After-Sales-Nova-VW-Reg02-LAL-Lead_PD_728x90</v>
      </c>
      <c r="AF83" s="21" t="str">
        <f t="shared" si="28"/>
        <v>BR_VW_AFS_dv360_DIS_PROG_CPM_STD_LDR_AAF_RON_CXD_After-Sales-Nova-VW-Reg02-LAL-Lead_PD_728x90</v>
      </c>
      <c r="AG83" s="21" t="str">
        <f t="shared" si="29"/>
        <v>VW_After-Sales-LAL-Lead_728x90_After-Sales-Nova-VW-Reg02-adserver</v>
      </c>
      <c r="AH83" s="21" t="str">
        <f t="shared" si="30"/>
        <v>https://posvendas.vw.com.br/?utm_source=dv360&amp;utm_medium=Programmatic&amp;utm_content=BR_VW_AFS_dv360_DIS_PROG_CPM_STD_LDR_AAF_RON_CXD_After-Sales-Nova-VW-Reg02-LAL-Lead_PD_728x90&amp;utm_campaign=BR_AAF_DSY_NONMS_ND_AS_2021Q1FEV_AFS_After-Sales&amp;utm_term=%epid!_%ecid!_%eaid!</v>
      </c>
      <c r="AI83" s="21" t="str">
        <f t="shared" si="31"/>
        <v>TAG</v>
      </c>
      <c r="AJ83" s="15" t="str">
        <f t="shared" si="24"/>
        <v>dv360</v>
      </c>
      <c r="AK83" s="15" t="str">
        <f t="shared" si="25"/>
        <v>Programmatic</v>
      </c>
      <c r="AL83" s="21" t="str">
        <f>Campanha!$B$3</f>
        <v>BR_AAF_DSY_NONMS_ND_AS_2021Q1FEV_AFS_After-Sales</v>
      </c>
      <c r="AM83" s="21" t="str">
        <f t="shared" si="32"/>
        <v>BR_VW_AFS_dv360_DIS_PROG_CPM_STD_LDR_AAF_RON_CXD_After-Sales-Nova-VW-Reg02-LAL-Lead_PD_728x90</v>
      </c>
      <c r="AN83" s="15" t="s">
        <v>809</v>
      </c>
    </row>
    <row r="84" spans="2:40" hidden="1" x14ac:dyDescent="0.25">
      <c r="B84" s="15" t="s">
        <v>1098</v>
      </c>
      <c r="C84" s="15" t="s">
        <v>1115</v>
      </c>
      <c r="D84" s="15" t="s">
        <v>886</v>
      </c>
      <c r="E84" s="22">
        <v>44246</v>
      </c>
      <c r="F84" s="22">
        <v>44255</v>
      </c>
      <c r="G84" s="31" t="s">
        <v>674</v>
      </c>
      <c r="H84" s="31" t="s">
        <v>811</v>
      </c>
      <c r="I84" s="31" t="s">
        <v>702</v>
      </c>
      <c r="J84" s="31" t="s">
        <v>325</v>
      </c>
      <c r="K84" s="31" t="s">
        <v>334</v>
      </c>
      <c r="L84" s="31" t="s">
        <v>358</v>
      </c>
      <c r="M84" s="31" t="s">
        <v>322</v>
      </c>
      <c r="N84" s="31" t="s">
        <v>708</v>
      </c>
      <c r="O84" s="31" t="s">
        <v>694</v>
      </c>
      <c r="P84" s="15" t="s">
        <v>882</v>
      </c>
      <c r="Q84" s="31" t="s">
        <v>850</v>
      </c>
      <c r="R84" s="15" t="s">
        <v>835</v>
      </c>
      <c r="S84" s="15" t="s">
        <v>348</v>
      </c>
      <c r="T84" s="31" t="s">
        <v>652</v>
      </c>
      <c r="AC84" s="23" t="s">
        <v>841</v>
      </c>
      <c r="AD84" s="15" t="str">
        <f t="shared" si="26"/>
        <v>296613624</v>
      </c>
      <c r="AE84" s="21" t="str">
        <f t="shared" si="27"/>
        <v>BR_VW_AFS_dv360_DIS_PROG_CPM_STD_LDR_AAF_RON_CXD_After-Sales-Nova-VW-Reg02-LAL-Lead_PD_970x250</v>
      </c>
      <c r="AF84" s="21" t="str">
        <f t="shared" si="28"/>
        <v>BR_VW_AFS_dv360_DIS_PROG_CPM_STD_LDR_AAF_RON_CXD_After-Sales-Nova-VW-Reg02-LAL-Lead_PD_970x250</v>
      </c>
      <c r="AG84" s="21" t="str">
        <f t="shared" si="29"/>
        <v>VW_After-Sales-LAL-Lead_970x250_After-Sales-Nova-VW-Reg02-adserver</v>
      </c>
      <c r="AH84" s="21" t="str">
        <f t="shared" si="30"/>
        <v>https://posvendas.vw.com.br/?utm_source=dv360&amp;utm_medium=Programmatic&amp;utm_content=BR_VW_AFS_dv360_DIS_PROG_CPM_STD_LDR_AAF_RON_CXD_After-Sales-Nova-VW-Reg02-LAL-Lead_PD_970x250&amp;utm_campaign=BR_AAF_DSY_NONMS_ND_AS_2021Q1FEV_AFS_After-Sales&amp;utm_term=%epid!_%ecid!_%eaid!</v>
      </c>
      <c r="AI84" s="21" t="str">
        <f t="shared" si="31"/>
        <v>TAG</v>
      </c>
      <c r="AJ84" s="15" t="str">
        <f t="shared" si="24"/>
        <v>dv360</v>
      </c>
      <c r="AK84" s="15" t="str">
        <f t="shared" si="25"/>
        <v>Programmatic</v>
      </c>
      <c r="AL84" s="21" t="str">
        <f>Campanha!$B$3</f>
        <v>BR_AAF_DSY_NONMS_ND_AS_2021Q1FEV_AFS_After-Sales</v>
      </c>
      <c r="AM84" s="21" t="str">
        <f t="shared" si="32"/>
        <v>BR_VW_AFS_dv360_DIS_PROG_CPM_STD_LDR_AAF_RON_CXD_After-Sales-Nova-VW-Reg02-LAL-Lead_PD_970x250</v>
      </c>
      <c r="AN84" s="15" t="s">
        <v>809</v>
      </c>
    </row>
    <row r="85" spans="2:40" hidden="1" x14ac:dyDescent="0.25">
      <c r="B85" s="15" t="s">
        <v>1098</v>
      </c>
      <c r="C85" s="15" t="s">
        <v>1115</v>
      </c>
      <c r="D85" s="15" t="s">
        <v>886</v>
      </c>
      <c r="E85" s="22">
        <v>44246</v>
      </c>
      <c r="F85" s="22">
        <v>44255</v>
      </c>
      <c r="G85" s="31" t="s">
        <v>674</v>
      </c>
      <c r="H85" s="31" t="s">
        <v>811</v>
      </c>
      <c r="I85" s="31" t="s">
        <v>702</v>
      </c>
      <c r="J85" s="31" t="s">
        <v>325</v>
      </c>
      <c r="K85" s="31" t="s">
        <v>334</v>
      </c>
      <c r="L85" s="31" t="s">
        <v>358</v>
      </c>
      <c r="M85" s="31" t="s">
        <v>322</v>
      </c>
      <c r="N85" s="31" t="s">
        <v>708</v>
      </c>
      <c r="O85" s="31" t="s">
        <v>694</v>
      </c>
      <c r="P85" s="15" t="s">
        <v>882</v>
      </c>
      <c r="Q85" s="31" t="s">
        <v>849</v>
      </c>
      <c r="R85" s="15" t="s">
        <v>835</v>
      </c>
      <c r="S85" s="15" t="s">
        <v>348</v>
      </c>
      <c r="T85" s="31" t="s">
        <v>457</v>
      </c>
      <c r="AC85" s="23" t="s">
        <v>841</v>
      </c>
      <c r="AD85" s="15" t="str">
        <f t="shared" si="26"/>
        <v>296779879</v>
      </c>
      <c r="AE85" s="21" t="str">
        <f t="shared" si="27"/>
        <v>BR_VW_AFS_dv360_DIS_PROG_CPM_STD_LDR_AAF_RON_CXD_After-Sales-Nova-VW-Reg02-LAL-Addtocart_PD_160x600</v>
      </c>
      <c r="AF85" s="21" t="str">
        <f t="shared" si="28"/>
        <v>BR_VW_AFS_dv360_DIS_PROG_CPM_STD_LDR_AAF_RON_CXD_After-Sales-Nova-VW-Reg02-LAL-Addtocart_PD_160x600</v>
      </c>
      <c r="AG85" s="21" t="str">
        <f t="shared" si="29"/>
        <v>VW_After-Sales-LAL-Addtocart_160x600_After-Sales-Nova-VW-Reg02-adserver</v>
      </c>
      <c r="AH85" s="21" t="str">
        <f t="shared" si="30"/>
        <v>https://posvendas.vw.com.br/?utm_source=dv360&amp;utm_medium=Programmatic&amp;utm_content=BR_VW_AFS_dv360_DIS_PROG_CPM_STD_LDR_AAF_RON_CXD_After-Sales-Nova-VW-Reg02-LAL-Addtocart_PD_160x600&amp;utm_campaign=BR_AAF_DSY_NONMS_ND_AS_2021Q1FEV_AFS_After-Sales&amp;utm_term=%epid!_%ecid!_%eaid!</v>
      </c>
      <c r="AI85" s="21" t="str">
        <f t="shared" si="31"/>
        <v>TAG</v>
      </c>
      <c r="AJ85" s="15" t="str">
        <f t="shared" si="24"/>
        <v>dv360</v>
      </c>
      <c r="AK85" s="15" t="str">
        <f t="shared" si="25"/>
        <v>Programmatic</v>
      </c>
      <c r="AL85" s="21" t="str">
        <f>Campanha!$B$3</f>
        <v>BR_AAF_DSY_NONMS_ND_AS_2021Q1FEV_AFS_After-Sales</v>
      </c>
      <c r="AM85" s="21" t="str">
        <f t="shared" si="32"/>
        <v>BR_VW_AFS_dv360_DIS_PROG_CPM_STD_LDR_AAF_RON_CXD_After-Sales-Nova-VW-Reg02-LAL-Addtocart_PD_160x600</v>
      </c>
      <c r="AN85" s="15" t="s">
        <v>809</v>
      </c>
    </row>
    <row r="86" spans="2:40" hidden="1" x14ac:dyDescent="0.25">
      <c r="B86" s="15" t="s">
        <v>1098</v>
      </c>
      <c r="C86" s="15" t="s">
        <v>1115</v>
      </c>
      <c r="D86" s="15" t="s">
        <v>886</v>
      </c>
      <c r="E86" s="22">
        <v>44246</v>
      </c>
      <c r="F86" s="22">
        <v>44255</v>
      </c>
      <c r="G86" s="31" t="s">
        <v>674</v>
      </c>
      <c r="H86" s="31" t="s">
        <v>811</v>
      </c>
      <c r="I86" s="31" t="s">
        <v>702</v>
      </c>
      <c r="J86" s="31" t="s">
        <v>325</v>
      </c>
      <c r="K86" s="31" t="s">
        <v>334</v>
      </c>
      <c r="L86" s="31" t="s">
        <v>358</v>
      </c>
      <c r="M86" s="31" t="s">
        <v>322</v>
      </c>
      <c r="N86" s="31" t="s">
        <v>708</v>
      </c>
      <c r="O86" s="31" t="s">
        <v>694</v>
      </c>
      <c r="P86" s="15" t="s">
        <v>882</v>
      </c>
      <c r="Q86" s="31" t="s">
        <v>849</v>
      </c>
      <c r="R86" s="15" t="s">
        <v>835</v>
      </c>
      <c r="S86" s="15" t="s">
        <v>348</v>
      </c>
      <c r="T86" s="31" t="s">
        <v>484</v>
      </c>
      <c r="AC86" s="23" t="s">
        <v>841</v>
      </c>
      <c r="AD86" s="15" t="str">
        <f t="shared" si="26"/>
        <v>296779873</v>
      </c>
      <c r="AE86" s="21" t="str">
        <f t="shared" si="27"/>
        <v>BR_VW_AFS_dv360_DIS_PROG_CPM_STD_LDR_AAF_RON_CXD_After-Sales-Nova-VW-Reg02-LAL-Addtocart_PD_300x50</v>
      </c>
      <c r="AF86" s="21" t="str">
        <f t="shared" si="28"/>
        <v>BR_VW_AFS_dv360_DIS_PROG_CPM_STD_LDR_AAF_RON_CXD_After-Sales-Nova-VW-Reg02-LAL-Addtocart_PD_300x50</v>
      </c>
      <c r="AG86" s="21" t="str">
        <f t="shared" si="29"/>
        <v>VW_After-Sales-LAL-Addtocart_300x50_After-Sales-Nova-VW-Reg02-adserver</v>
      </c>
      <c r="AH86" s="21" t="str">
        <f t="shared" si="30"/>
        <v>https://posvendas.vw.com.br/?utm_source=dv360&amp;utm_medium=Programmatic&amp;utm_content=BR_VW_AFS_dv360_DIS_PROG_CPM_STD_LDR_AAF_RON_CXD_After-Sales-Nova-VW-Reg02-LAL-Addtocart_PD_300x50&amp;utm_campaign=BR_AAF_DSY_NONMS_ND_AS_2021Q1FEV_AFS_After-Sales&amp;utm_term=%epid!_%ecid!_%eaid!</v>
      </c>
      <c r="AI86" s="21" t="str">
        <f t="shared" si="31"/>
        <v>TAG</v>
      </c>
      <c r="AJ86" s="15" t="str">
        <f t="shared" si="24"/>
        <v>dv360</v>
      </c>
      <c r="AK86" s="15" t="str">
        <f t="shared" si="25"/>
        <v>Programmatic</v>
      </c>
      <c r="AL86" s="21" t="str">
        <f>Campanha!$B$3</f>
        <v>BR_AAF_DSY_NONMS_ND_AS_2021Q1FEV_AFS_After-Sales</v>
      </c>
      <c r="AM86" s="21" t="str">
        <f t="shared" si="32"/>
        <v>BR_VW_AFS_dv360_DIS_PROG_CPM_STD_LDR_AAF_RON_CXD_After-Sales-Nova-VW-Reg02-LAL-Addtocart_PD_300x50</v>
      </c>
      <c r="AN86" s="15" t="s">
        <v>809</v>
      </c>
    </row>
    <row r="87" spans="2:40" hidden="1" x14ac:dyDescent="0.25">
      <c r="B87" s="15" t="s">
        <v>1098</v>
      </c>
      <c r="C87" s="15" t="s">
        <v>1115</v>
      </c>
      <c r="D87" s="15" t="s">
        <v>886</v>
      </c>
      <c r="E87" s="22">
        <v>44246</v>
      </c>
      <c r="F87" s="22">
        <v>44255</v>
      </c>
      <c r="G87" s="31" t="s">
        <v>674</v>
      </c>
      <c r="H87" s="31" t="s">
        <v>811</v>
      </c>
      <c r="I87" s="31" t="s">
        <v>702</v>
      </c>
      <c r="J87" s="31" t="s">
        <v>325</v>
      </c>
      <c r="K87" s="31" t="s">
        <v>334</v>
      </c>
      <c r="L87" s="31" t="s">
        <v>358</v>
      </c>
      <c r="M87" s="31" t="s">
        <v>322</v>
      </c>
      <c r="N87" s="31" t="s">
        <v>708</v>
      </c>
      <c r="O87" s="31" t="s">
        <v>694</v>
      </c>
      <c r="P87" s="15" t="s">
        <v>882</v>
      </c>
      <c r="Q87" s="31" t="s">
        <v>849</v>
      </c>
      <c r="R87" s="15" t="s">
        <v>835</v>
      </c>
      <c r="S87" s="15" t="s">
        <v>348</v>
      </c>
      <c r="T87" s="31" t="s">
        <v>478</v>
      </c>
      <c r="AC87" s="23" t="s">
        <v>841</v>
      </c>
      <c r="AD87" s="15" t="str">
        <f t="shared" si="26"/>
        <v>296779867</v>
      </c>
      <c r="AE87" s="21" t="str">
        <f t="shared" si="27"/>
        <v>BR_VW_AFS_dv360_DIS_PROG_CPM_STD_LDR_AAF_RON_CXD_After-Sales-Nova-VW-Reg02-LAL-Addtocart_PD_300x250</v>
      </c>
      <c r="AF87" s="21" t="str">
        <f t="shared" si="28"/>
        <v>BR_VW_AFS_dv360_DIS_PROG_CPM_STD_LDR_AAF_RON_CXD_After-Sales-Nova-VW-Reg02-LAL-Addtocart_PD_300x250</v>
      </c>
      <c r="AG87" s="21" t="str">
        <f t="shared" si="29"/>
        <v>VW_After-Sales-LAL-Addtocart_300x250_After-Sales-Nova-VW-Reg02-adserver</v>
      </c>
      <c r="AH87" s="21" t="str">
        <f t="shared" si="30"/>
        <v>https://posvendas.vw.com.br/?utm_source=dv360&amp;utm_medium=Programmatic&amp;utm_content=BR_VW_AFS_dv360_DIS_PROG_CPM_STD_LDR_AAF_RON_CXD_After-Sales-Nova-VW-Reg02-LAL-Addtocart_PD_300x250&amp;utm_campaign=BR_AAF_DSY_NONMS_ND_AS_2021Q1FEV_AFS_After-Sales&amp;utm_term=%epid!_%ecid!_%eaid!</v>
      </c>
      <c r="AI87" s="21" t="str">
        <f t="shared" si="31"/>
        <v>TAG</v>
      </c>
      <c r="AJ87" s="15" t="str">
        <f t="shared" si="24"/>
        <v>dv360</v>
      </c>
      <c r="AK87" s="15" t="str">
        <f t="shared" si="25"/>
        <v>Programmatic</v>
      </c>
      <c r="AL87" s="21" t="str">
        <f>Campanha!$B$3</f>
        <v>BR_AAF_DSY_NONMS_ND_AS_2021Q1FEV_AFS_After-Sales</v>
      </c>
      <c r="AM87" s="21" t="str">
        <f t="shared" si="32"/>
        <v>BR_VW_AFS_dv360_DIS_PROG_CPM_STD_LDR_AAF_RON_CXD_After-Sales-Nova-VW-Reg02-LAL-Addtocart_PD_300x250</v>
      </c>
      <c r="AN87" s="15" t="s">
        <v>809</v>
      </c>
    </row>
    <row r="88" spans="2:40" hidden="1" x14ac:dyDescent="0.25">
      <c r="B88" s="15" t="s">
        <v>1098</v>
      </c>
      <c r="C88" s="15" t="s">
        <v>1115</v>
      </c>
      <c r="D88" s="15" t="s">
        <v>886</v>
      </c>
      <c r="E88" s="22">
        <v>44246</v>
      </c>
      <c r="F88" s="22">
        <v>44255</v>
      </c>
      <c r="G88" s="31" t="s">
        <v>674</v>
      </c>
      <c r="H88" s="31" t="s">
        <v>811</v>
      </c>
      <c r="I88" s="31" t="s">
        <v>702</v>
      </c>
      <c r="J88" s="31" t="s">
        <v>325</v>
      </c>
      <c r="K88" s="31" t="s">
        <v>334</v>
      </c>
      <c r="L88" s="31" t="s">
        <v>358</v>
      </c>
      <c r="M88" s="31" t="s">
        <v>322</v>
      </c>
      <c r="N88" s="31" t="s">
        <v>708</v>
      </c>
      <c r="O88" s="31" t="s">
        <v>694</v>
      </c>
      <c r="P88" s="15" t="s">
        <v>882</v>
      </c>
      <c r="Q88" s="31" t="s">
        <v>849</v>
      </c>
      <c r="R88" s="15" t="s">
        <v>835</v>
      </c>
      <c r="S88" s="15" t="s">
        <v>348</v>
      </c>
      <c r="T88" s="31" t="s">
        <v>614</v>
      </c>
      <c r="AC88" s="23" t="s">
        <v>841</v>
      </c>
      <c r="AD88" s="15" t="str">
        <f t="shared" si="26"/>
        <v>296779861</v>
      </c>
      <c r="AE88" s="21" t="str">
        <f t="shared" si="27"/>
        <v>BR_VW_AFS_dv360_DIS_PROG_CPM_STD_LDR_AAF_RON_CXD_After-Sales-Nova-VW-Reg02-LAL-Addtocart_PD_728x90</v>
      </c>
      <c r="AF88" s="21" t="str">
        <f t="shared" si="28"/>
        <v>BR_VW_AFS_dv360_DIS_PROG_CPM_STD_LDR_AAF_RON_CXD_After-Sales-Nova-VW-Reg02-LAL-Addtocart_PD_728x90</v>
      </c>
      <c r="AG88" s="21" t="str">
        <f t="shared" si="29"/>
        <v>VW_After-Sales-LAL-Addtocart_728x90_After-Sales-Nova-VW-Reg02-adserver</v>
      </c>
      <c r="AH88" s="21" t="str">
        <f t="shared" si="30"/>
        <v>https://posvendas.vw.com.br/?utm_source=dv360&amp;utm_medium=Programmatic&amp;utm_content=BR_VW_AFS_dv360_DIS_PROG_CPM_STD_LDR_AAF_RON_CXD_After-Sales-Nova-VW-Reg02-LAL-Addtocart_PD_728x90&amp;utm_campaign=BR_AAF_DSY_NONMS_ND_AS_2021Q1FEV_AFS_After-Sales&amp;utm_term=%epid!_%ecid!_%eaid!</v>
      </c>
      <c r="AI88" s="21" t="str">
        <f t="shared" si="31"/>
        <v>TAG</v>
      </c>
      <c r="AJ88" s="15" t="str">
        <f t="shared" si="24"/>
        <v>dv360</v>
      </c>
      <c r="AK88" s="15" t="str">
        <f t="shared" si="25"/>
        <v>Programmatic</v>
      </c>
      <c r="AL88" s="21" t="str">
        <f>Campanha!$B$3</f>
        <v>BR_AAF_DSY_NONMS_ND_AS_2021Q1FEV_AFS_After-Sales</v>
      </c>
      <c r="AM88" s="21" t="str">
        <f t="shared" si="32"/>
        <v>BR_VW_AFS_dv360_DIS_PROG_CPM_STD_LDR_AAF_RON_CXD_After-Sales-Nova-VW-Reg02-LAL-Addtocart_PD_728x90</v>
      </c>
      <c r="AN88" s="15" t="s">
        <v>809</v>
      </c>
    </row>
    <row r="89" spans="2:40" hidden="1" x14ac:dyDescent="0.25">
      <c r="B89" s="15" t="s">
        <v>1098</v>
      </c>
      <c r="C89" s="15" t="s">
        <v>1115</v>
      </c>
      <c r="D89" s="15" t="s">
        <v>886</v>
      </c>
      <c r="E89" s="22">
        <v>44246</v>
      </c>
      <c r="F89" s="22">
        <v>44255</v>
      </c>
      <c r="G89" s="31" t="s">
        <v>674</v>
      </c>
      <c r="H89" s="31" t="s">
        <v>811</v>
      </c>
      <c r="I89" s="31" t="s">
        <v>702</v>
      </c>
      <c r="J89" s="31" t="s">
        <v>325</v>
      </c>
      <c r="K89" s="31" t="s">
        <v>334</v>
      </c>
      <c r="L89" s="31" t="s">
        <v>358</v>
      </c>
      <c r="M89" s="31" t="s">
        <v>322</v>
      </c>
      <c r="N89" s="31" t="s">
        <v>708</v>
      </c>
      <c r="O89" s="31" t="s">
        <v>694</v>
      </c>
      <c r="P89" s="15" t="s">
        <v>882</v>
      </c>
      <c r="Q89" s="31" t="s">
        <v>849</v>
      </c>
      <c r="R89" s="15" t="s">
        <v>835</v>
      </c>
      <c r="S89" s="15" t="s">
        <v>348</v>
      </c>
      <c r="T89" s="31" t="s">
        <v>652</v>
      </c>
      <c r="AC89" s="23" t="s">
        <v>841</v>
      </c>
      <c r="AD89" s="15" t="str">
        <f t="shared" si="26"/>
        <v>296779858</v>
      </c>
      <c r="AE89" s="21" t="str">
        <f t="shared" si="27"/>
        <v>BR_VW_AFS_dv360_DIS_PROG_CPM_STD_LDR_AAF_RON_CXD_After-Sales-Nova-VW-Reg02-LAL-Addtocart_PD_970x250</v>
      </c>
      <c r="AF89" s="21" t="str">
        <f t="shared" si="28"/>
        <v>BR_VW_AFS_dv360_DIS_PROG_CPM_STD_LDR_AAF_RON_CXD_After-Sales-Nova-VW-Reg02-LAL-Addtocart_PD_970x250</v>
      </c>
      <c r="AG89" s="21" t="str">
        <f t="shared" si="29"/>
        <v>VW_After-Sales-LAL-Addtocart_970x250_After-Sales-Nova-VW-Reg02-adserver</v>
      </c>
      <c r="AH89" s="21" t="str">
        <f t="shared" si="30"/>
        <v>https://posvendas.vw.com.br/?utm_source=dv360&amp;utm_medium=Programmatic&amp;utm_content=BR_VW_AFS_dv360_DIS_PROG_CPM_STD_LDR_AAF_RON_CXD_After-Sales-Nova-VW-Reg02-LAL-Addtocart_PD_970x250&amp;utm_campaign=BR_AAF_DSY_NONMS_ND_AS_2021Q1FEV_AFS_After-Sales&amp;utm_term=%epid!_%ecid!_%eaid!</v>
      </c>
      <c r="AI89" s="21" t="str">
        <f t="shared" si="31"/>
        <v>TAG</v>
      </c>
      <c r="AJ89" s="15" t="str">
        <f t="shared" si="24"/>
        <v>dv360</v>
      </c>
      <c r="AK89" s="15" t="str">
        <f t="shared" si="25"/>
        <v>Programmatic</v>
      </c>
      <c r="AL89" s="21" t="str">
        <f>Campanha!$B$3</f>
        <v>BR_AAF_DSY_NONMS_ND_AS_2021Q1FEV_AFS_After-Sales</v>
      </c>
      <c r="AM89" s="21" t="str">
        <f t="shared" si="32"/>
        <v>BR_VW_AFS_dv360_DIS_PROG_CPM_STD_LDR_AAF_RON_CXD_After-Sales-Nova-VW-Reg02-LAL-Addtocart_PD_970x250</v>
      </c>
      <c r="AN89" s="15" t="s">
        <v>809</v>
      </c>
    </row>
    <row r="90" spans="2:40" hidden="1" x14ac:dyDescent="0.25">
      <c r="B90" s="15" t="s">
        <v>1098</v>
      </c>
      <c r="C90" s="15" t="s">
        <v>1115</v>
      </c>
      <c r="D90" s="15" t="s">
        <v>886</v>
      </c>
      <c r="E90" s="22">
        <v>44246</v>
      </c>
      <c r="F90" s="22">
        <v>44255</v>
      </c>
      <c r="G90" s="31" t="s">
        <v>674</v>
      </c>
      <c r="H90" s="31" t="s">
        <v>811</v>
      </c>
      <c r="I90" s="31" t="s">
        <v>702</v>
      </c>
      <c r="J90" s="31" t="s">
        <v>325</v>
      </c>
      <c r="K90" s="31" t="s">
        <v>334</v>
      </c>
      <c r="L90" s="31" t="s">
        <v>358</v>
      </c>
      <c r="M90" s="31" t="s">
        <v>322</v>
      </c>
      <c r="N90" s="31" t="s">
        <v>708</v>
      </c>
      <c r="O90" s="31" t="s">
        <v>694</v>
      </c>
      <c r="P90" s="15" t="s">
        <v>883</v>
      </c>
      <c r="Q90" s="31" t="s">
        <v>848</v>
      </c>
      <c r="R90" s="15" t="s">
        <v>835</v>
      </c>
      <c r="S90" s="15" t="s">
        <v>348</v>
      </c>
      <c r="T90" s="31" t="s">
        <v>457</v>
      </c>
      <c r="AC90" s="23" t="s">
        <v>885</v>
      </c>
      <c r="AD90" s="15" t="str">
        <f t="shared" si="26"/>
        <v>296779855</v>
      </c>
      <c r="AE90" s="21" t="str">
        <f t="shared" si="27"/>
        <v>BR_VW_AFS_dv360_DIS_PROG_CPM_STD_LDR_AAF_RON_CXD_After-Sales-Nova-VW-Reg05-LAL-Visita_PD_160x600</v>
      </c>
      <c r="AF90" s="21" t="str">
        <f t="shared" si="28"/>
        <v>BR_VW_AFS_dv360_DIS_PROG_CPM_STD_LDR_AAF_RON_CXD_After-Sales-Nova-VW-Reg05-LAL-Visita_PD_160x600</v>
      </c>
      <c r="AG90" s="21" t="str">
        <f t="shared" si="29"/>
        <v>VW_After-Sales-LAL-Visita_160x600_After-Sales-Nova-VW-Reg05-adserver</v>
      </c>
      <c r="AH90" s="21" t="str">
        <f t="shared" si="30"/>
        <v>https://posvendas.vw.com.br/product/oferta/62?utm_source=dv360&amp;utm_medium=Programmatic&amp;utm_content=BR_VW_AFS_dv360_DIS_PROG_CPM_STD_LDR_AAF_RON_CXD_After-Sales-Nova-VW-Reg05-LAL-Visita_PD_160x600&amp;utm_campaign=BR_AAF_DSY_NONMS_ND_AS_2021Q1FEV_AFS_After-Sales&amp;utm_term=%epid!_%ecid!_%eaid!</v>
      </c>
      <c r="AI90" s="21" t="str">
        <f t="shared" si="31"/>
        <v>TAG</v>
      </c>
      <c r="AJ90" s="15" t="str">
        <f t="shared" ref="AJ90:AJ153" si="33">H90</f>
        <v>dv360</v>
      </c>
      <c r="AK90" s="15" t="str">
        <f t="shared" ref="AK90:AK153" si="34">J90</f>
        <v>Programmatic</v>
      </c>
      <c r="AL90" s="21" t="str">
        <f>Campanha!$B$3</f>
        <v>BR_AAF_DSY_NONMS_ND_AS_2021Q1FEV_AFS_After-Sales</v>
      </c>
      <c r="AM90" s="21" t="str">
        <f t="shared" si="32"/>
        <v>BR_VW_AFS_dv360_DIS_PROG_CPM_STD_LDR_AAF_RON_CXD_After-Sales-Nova-VW-Reg05-LAL-Visita_PD_160x600</v>
      </c>
      <c r="AN90" s="15" t="s">
        <v>809</v>
      </c>
    </row>
    <row r="91" spans="2:40" hidden="1" x14ac:dyDescent="0.25">
      <c r="B91" s="15" t="s">
        <v>1098</v>
      </c>
      <c r="C91" s="15" t="s">
        <v>1115</v>
      </c>
      <c r="D91" s="15" t="s">
        <v>886</v>
      </c>
      <c r="E91" s="22">
        <v>44246</v>
      </c>
      <c r="F91" s="22">
        <v>44255</v>
      </c>
      <c r="G91" s="31" t="s">
        <v>674</v>
      </c>
      <c r="H91" s="31" t="s">
        <v>811</v>
      </c>
      <c r="I91" s="31" t="s">
        <v>702</v>
      </c>
      <c r="J91" s="31" t="s">
        <v>325</v>
      </c>
      <c r="K91" s="31" t="s">
        <v>334</v>
      </c>
      <c r="L91" s="31" t="s">
        <v>358</v>
      </c>
      <c r="M91" s="31" t="s">
        <v>322</v>
      </c>
      <c r="N91" s="31" t="s">
        <v>708</v>
      </c>
      <c r="O91" s="31" t="s">
        <v>694</v>
      </c>
      <c r="P91" s="15" t="s">
        <v>883</v>
      </c>
      <c r="Q91" s="31" t="s">
        <v>848</v>
      </c>
      <c r="R91" s="15" t="s">
        <v>835</v>
      </c>
      <c r="S91" s="15" t="s">
        <v>348</v>
      </c>
      <c r="T91" s="31" t="s">
        <v>484</v>
      </c>
      <c r="AC91" s="23" t="s">
        <v>885</v>
      </c>
      <c r="AD91" s="15" t="str">
        <f t="shared" si="26"/>
        <v>296779852</v>
      </c>
      <c r="AE91" s="21" t="str">
        <f t="shared" si="27"/>
        <v>BR_VW_AFS_dv360_DIS_PROG_CPM_STD_LDR_AAF_RON_CXD_After-Sales-Nova-VW-Reg05-LAL-Visita_PD_300x50</v>
      </c>
      <c r="AF91" s="21" t="str">
        <f t="shared" si="28"/>
        <v>BR_VW_AFS_dv360_DIS_PROG_CPM_STD_LDR_AAF_RON_CXD_After-Sales-Nova-VW-Reg05-LAL-Visita_PD_300x50</v>
      </c>
      <c r="AG91" s="21" t="str">
        <f t="shared" si="29"/>
        <v>VW_After-Sales-LAL-Visita_300x50_After-Sales-Nova-VW-Reg05-adserver</v>
      </c>
      <c r="AH91" s="21" t="str">
        <f t="shared" si="30"/>
        <v>https://posvendas.vw.com.br/product/oferta/62?utm_source=dv360&amp;utm_medium=Programmatic&amp;utm_content=BR_VW_AFS_dv360_DIS_PROG_CPM_STD_LDR_AAF_RON_CXD_After-Sales-Nova-VW-Reg05-LAL-Visita_PD_300x50&amp;utm_campaign=BR_AAF_DSY_NONMS_ND_AS_2021Q1FEV_AFS_After-Sales&amp;utm_term=%epid!_%ecid!_%eaid!</v>
      </c>
      <c r="AI91" s="21" t="str">
        <f t="shared" si="31"/>
        <v>TAG</v>
      </c>
      <c r="AJ91" s="15" t="str">
        <f t="shared" si="33"/>
        <v>dv360</v>
      </c>
      <c r="AK91" s="15" t="str">
        <f t="shared" si="34"/>
        <v>Programmatic</v>
      </c>
      <c r="AL91" s="21" t="str">
        <f>Campanha!$B$3</f>
        <v>BR_AAF_DSY_NONMS_ND_AS_2021Q1FEV_AFS_After-Sales</v>
      </c>
      <c r="AM91" s="21" t="str">
        <f t="shared" si="32"/>
        <v>BR_VW_AFS_dv360_DIS_PROG_CPM_STD_LDR_AAF_RON_CXD_After-Sales-Nova-VW-Reg05-LAL-Visita_PD_300x50</v>
      </c>
      <c r="AN91" s="15" t="s">
        <v>809</v>
      </c>
    </row>
    <row r="92" spans="2:40" hidden="1" x14ac:dyDescent="0.25">
      <c r="B92" s="15" t="s">
        <v>1098</v>
      </c>
      <c r="C92" s="15" t="s">
        <v>1115</v>
      </c>
      <c r="D92" s="15" t="s">
        <v>886</v>
      </c>
      <c r="E92" s="22">
        <v>44246</v>
      </c>
      <c r="F92" s="22">
        <v>44255</v>
      </c>
      <c r="G92" s="31" t="s">
        <v>674</v>
      </c>
      <c r="H92" s="31" t="s">
        <v>811</v>
      </c>
      <c r="I92" s="31" t="s">
        <v>702</v>
      </c>
      <c r="J92" s="31" t="s">
        <v>325</v>
      </c>
      <c r="K92" s="31" t="s">
        <v>334</v>
      </c>
      <c r="L92" s="31" t="s">
        <v>358</v>
      </c>
      <c r="M92" s="31" t="s">
        <v>322</v>
      </c>
      <c r="N92" s="31" t="s">
        <v>708</v>
      </c>
      <c r="O92" s="31" t="s">
        <v>694</v>
      </c>
      <c r="P92" s="15" t="s">
        <v>883</v>
      </c>
      <c r="Q92" s="31" t="s">
        <v>848</v>
      </c>
      <c r="R92" s="15" t="s">
        <v>835</v>
      </c>
      <c r="S92" s="15" t="s">
        <v>348</v>
      </c>
      <c r="T92" s="31" t="s">
        <v>478</v>
      </c>
      <c r="AC92" s="23" t="s">
        <v>885</v>
      </c>
      <c r="AD92" s="15" t="str">
        <f t="shared" si="26"/>
        <v>296779849</v>
      </c>
      <c r="AE92" s="21" t="str">
        <f t="shared" si="27"/>
        <v>BR_VW_AFS_dv360_DIS_PROG_CPM_STD_LDR_AAF_RON_CXD_After-Sales-Nova-VW-Reg05-LAL-Visita_PD_300x250</v>
      </c>
      <c r="AF92" s="21" t="str">
        <f t="shared" si="28"/>
        <v>BR_VW_AFS_dv360_DIS_PROG_CPM_STD_LDR_AAF_RON_CXD_After-Sales-Nova-VW-Reg05-LAL-Visita_PD_300x250</v>
      </c>
      <c r="AG92" s="21" t="str">
        <f t="shared" si="29"/>
        <v>VW_After-Sales-LAL-Visita_300x250_After-Sales-Nova-VW-Reg05-adserver</v>
      </c>
      <c r="AH92" s="21" t="str">
        <f t="shared" si="30"/>
        <v>https://posvendas.vw.com.br/product/oferta/62?utm_source=dv360&amp;utm_medium=Programmatic&amp;utm_content=BR_VW_AFS_dv360_DIS_PROG_CPM_STD_LDR_AAF_RON_CXD_After-Sales-Nova-VW-Reg05-LAL-Visita_PD_300x250&amp;utm_campaign=BR_AAF_DSY_NONMS_ND_AS_2021Q1FEV_AFS_After-Sales&amp;utm_term=%epid!_%ecid!_%eaid!</v>
      </c>
      <c r="AI92" s="21" t="str">
        <f t="shared" si="31"/>
        <v>TAG</v>
      </c>
      <c r="AJ92" s="15" t="str">
        <f t="shared" si="33"/>
        <v>dv360</v>
      </c>
      <c r="AK92" s="15" t="str">
        <f t="shared" si="34"/>
        <v>Programmatic</v>
      </c>
      <c r="AL92" s="21" t="str">
        <f>Campanha!$B$3</f>
        <v>BR_AAF_DSY_NONMS_ND_AS_2021Q1FEV_AFS_After-Sales</v>
      </c>
      <c r="AM92" s="21" t="str">
        <f t="shared" si="32"/>
        <v>BR_VW_AFS_dv360_DIS_PROG_CPM_STD_LDR_AAF_RON_CXD_After-Sales-Nova-VW-Reg05-LAL-Visita_PD_300x250</v>
      </c>
      <c r="AN92" s="15" t="s">
        <v>809</v>
      </c>
    </row>
    <row r="93" spans="2:40" hidden="1" x14ac:dyDescent="0.25">
      <c r="B93" s="15" t="s">
        <v>1098</v>
      </c>
      <c r="C93" s="15" t="s">
        <v>1115</v>
      </c>
      <c r="D93" s="15" t="s">
        <v>886</v>
      </c>
      <c r="E93" s="22">
        <v>44246</v>
      </c>
      <c r="F93" s="22">
        <v>44255</v>
      </c>
      <c r="G93" s="31" t="s">
        <v>674</v>
      </c>
      <c r="H93" s="31" t="s">
        <v>811</v>
      </c>
      <c r="I93" s="31" t="s">
        <v>702</v>
      </c>
      <c r="J93" s="31" t="s">
        <v>325</v>
      </c>
      <c r="K93" s="31" t="s">
        <v>334</v>
      </c>
      <c r="L93" s="31" t="s">
        <v>358</v>
      </c>
      <c r="M93" s="31" t="s">
        <v>322</v>
      </c>
      <c r="N93" s="31" t="s">
        <v>708</v>
      </c>
      <c r="O93" s="31" t="s">
        <v>694</v>
      </c>
      <c r="P93" s="15" t="s">
        <v>883</v>
      </c>
      <c r="Q93" s="31" t="s">
        <v>848</v>
      </c>
      <c r="R93" s="15" t="s">
        <v>835</v>
      </c>
      <c r="S93" s="15" t="s">
        <v>348</v>
      </c>
      <c r="T93" s="31" t="s">
        <v>614</v>
      </c>
      <c r="AC93" s="23" t="s">
        <v>885</v>
      </c>
      <c r="AD93" s="15" t="str">
        <f t="shared" si="26"/>
        <v>296779846</v>
      </c>
      <c r="AE93" s="21" t="str">
        <f t="shared" si="27"/>
        <v>BR_VW_AFS_dv360_DIS_PROG_CPM_STD_LDR_AAF_RON_CXD_After-Sales-Nova-VW-Reg05-LAL-Visita_PD_728x90</v>
      </c>
      <c r="AF93" s="21" t="str">
        <f t="shared" si="28"/>
        <v>BR_VW_AFS_dv360_DIS_PROG_CPM_STD_LDR_AAF_RON_CXD_After-Sales-Nova-VW-Reg05-LAL-Visita_PD_728x90</v>
      </c>
      <c r="AG93" s="21" t="str">
        <f t="shared" si="29"/>
        <v>VW_After-Sales-LAL-Visita_728x90_After-Sales-Nova-VW-Reg05-adserver</v>
      </c>
      <c r="AH93" s="21" t="str">
        <f t="shared" si="30"/>
        <v>https://posvendas.vw.com.br/product/oferta/62?utm_source=dv360&amp;utm_medium=Programmatic&amp;utm_content=BR_VW_AFS_dv360_DIS_PROG_CPM_STD_LDR_AAF_RON_CXD_After-Sales-Nova-VW-Reg05-LAL-Visita_PD_728x90&amp;utm_campaign=BR_AAF_DSY_NONMS_ND_AS_2021Q1FEV_AFS_After-Sales&amp;utm_term=%epid!_%ecid!_%eaid!</v>
      </c>
      <c r="AI93" s="21" t="str">
        <f t="shared" si="31"/>
        <v>TAG</v>
      </c>
      <c r="AJ93" s="15" t="str">
        <f t="shared" si="33"/>
        <v>dv360</v>
      </c>
      <c r="AK93" s="15" t="str">
        <f t="shared" si="34"/>
        <v>Programmatic</v>
      </c>
      <c r="AL93" s="21" t="str">
        <f>Campanha!$B$3</f>
        <v>BR_AAF_DSY_NONMS_ND_AS_2021Q1FEV_AFS_After-Sales</v>
      </c>
      <c r="AM93" s="21" t="str">
        <f t="shared" si="32"/>
        <v>BR_VW_AFS_dv360_DIS_PROG_CPM_STD_LDR_AAF_RON_CXD_After-Sales-Nova-VW-Reg05-LAL-Visita_PD_728x90</v>
      </c>
      <c r="AN93" s="15" t="s">
        <v>809</v>
      </c>
    </row>
    <row r="94" spans="2:40" hidden="1" x14ac:dyDescent="0.25">
      <c r="B94" s="15" t="s">
        <v>1098</v>
      </c>
      <c r="C94" s="15" t="s">
        <v>1115</v>
      </c>
      <c r="D94" s="15" t="s">
        <v>886</v>
      </c>
      <c r="E94" s="22">
        <v>44246</v>
      </c>
      <c r="F94" s="22">
        <v>44255</v>
      </c>
      <c r="G94" s="31" t="s">
        <v>674</v>
      </c>
      <c r="H94" s="31" t="s">
        <v>811</v>
      </c>
      <c r="I94" s="31" t="s">
        <v>702</v>
      </c>
      <c r="J94" s="31" t="s">
        <v>325</v>
      </c>
      <c r="K94" s="31" t="s">
        <v>334</v>
      </c>
      <c r="L94" s="31" t="s">
        <v>358</v>
      </c>
      <c r="M94" s="31" t="s">
        <v>322</v>
      </c>
      <c r="N94" s="31" t="s">
        <v>708</v>
      </c>
      <c r="O94" s="31" t="s">
        <v>694</v>
      </c>
      <c r="P94" s="15" t="s">
        <v>883</v>
      </c>
      <c r="Q94" s="31" t="s">
        <v>848</v>
      </c>
      <c r="R94" s="15" t="s">
        <v>835</v>
      </c>
      <c r="S94" s="15" t="s">
        <v>348</v>
      </c>
      <c r="T94" s="31" t="s">
        <v>652</v>
      </c>
      <c r="AC94" s="23" t="s">
        <v>885</v>
      </c>
      <c r="AD94" s="15" t="str">
        <f t="shared" si="26"/>
        <v>296779843</v>
      </c>
      <c r="AE94" s="21" t="str">
        <f t="shared" si="27"/>
        <v>BR_VW_AFS_dv360_DIS_PROG_CPM_STD_LDR_AAF_RON_CXD_After-Sales-Nova-VW-Reg05-LAL-Visita_PD_970x250</v>
      </c>
      <c r="AF94" s="21" t="str">
        <f t="shared" si="28"/>
        <v>BR_VW_AFS_dv360_DIS_PROG_CPM_STD_LDR_AAF_RON_CXD_After-Sales-Nova-VW-Reg05-LAL-Visita_PD_970x250</v>
      </c>
      <c r="AG94" s="21" t="str">
        <f t="shared" si="29"/>
        <v>VW_After-Sales-LAL-Visita_970x250_After-Sales-Nova-VW-Reg05-adserver</v>
      </c>
      <c r="AH94" s="21" t="str">
        <f t="shared" si="30"/>
        <v>https://posvendas.vw.com.br/product/oferta/62?utm_source=dv360&amp;utm_medium=Programmatic&amp;utm_content=BR_VW_AFS_dv360_DIS_PROG_CPM_STD_LDR_AAF_RON_CXD_After-Sales-Nova-VW-Reg05-LAL-Visita_PD_970x250&amp;utm_campaign=BR_AAF_DSY_NONMS_ND_AS_2021Q1FEV_AFS_After-Sales&amp;utm_term=%epid!_%ecid!_%eaid!</v>
      </c>
      <c r="AI94" s="21" t="str">
        <f t="shared" si="31"/>
        <v>TAG</v>
      </c>
      <c r="AJ94" s="15" t="str">
        <f t="shared" si="33"/>
        <v>dv360</v>
      </c>
      <c r="AK94" s="15" t="str">
        <f t="shared" si="34"/>
        <v>Programmatic</v>
      </c>
      <c r="AL94" s="21" t="str">
        <f>Campanha!$B$3</f>
        <v>BR_AAF_DSY_NONMS_ND_AS_2021Q1FEV_AFS_After-Sales</v>
      </c>
      <c r="AM94" s="21" t="str">
        <f t="shared" si="32"/>
        <v>BR_VW_AFS_dv360_DIS_PROG_CPM_STD_LDR_AAF_RON_CXD_After-Sales-Nova-VW-Reg05-LAL-Visita_PD_970x250</v>
      </c>
      <c r="AN94" s="15" t="s">
        <v>809</v>
      </c>
    </row>
    <row r="95" spans="2:40" hidden="1" x14ac:dyDescent="0.25">
      <c r="B95" s="15" t="s">
        <v>1098</v>
      </c>
      <c r="C95" s="15" t="s">
        <v>1115</v>
      </c>
      <c r="D95" s="15" t="s">
        <v>886</v>
      </c>
      <c r="E95" s="22">
        <v>44246</v>
      </c>
      <c r="F95" s="22">
        <v>44255</v>
      </c>
      <c r="G95" s="31" t="s">
        <v>674</v>
      </c>
      <c r="H95" s="31" t="s">
        <v>811</v>
      </c>
      <c r="I95" s="31" t="s">
        <v>702</v>
      </c>
      <c r="J95" s="31" t="s">
        <v>325</v>
      </c>
      <c r="K95" s="31" t="s">
        <v>334</v>
      </c>
      <c r="L95" s="31" t="s">
        <v>358</v>
      </c>
      <c r="M95" s="31" t="s">
        <v>322</v>
      </c>
      <c r="N95" s="31" t="s">
        <v>708</v>
      </c>
      <c r="O95" s="31" t="s">
        <v>694</v>
      </c>
      <c r="P95" s="15" t="s">
        <v>883</v>
      </c>
      <c r="Q95" s="31" t="s">
        <v>850</v>
      </c>
      <c r="R95" s="15" t="s">
        <v>835</v>
      </c>
      <c r="S95" s="15" t="s">
        <v>348</v>
      </c>
      <c r="T95" s="31" t="s">
        <v>457</v>
      </c>
      <c r="AC95" s="23" t="s">
        <v>885</v>
      </c>
      <c r="AD95" s="15" t="str">
        <f t="shared" si="26"/>
        <v>296779840</v>
      </c>
      <c r="AE95" s="21" t="str">
        <f t="shared" si="27"/>
        <v>BR_VW_AFS_dv360_DIS_PROG_CPM_STD_LDR_AAF_RON_CXD_After-Sales-Nova-VW-Reg05-LAL-Lead_PD_160x600</v>
      </c>
      <c r="AF95" s="21" t="str">
        <f t="shared" si="28"/>
        <v>BR_VW_AFS_dv360_DIS_PROG_CPM_STD_LDR_AAF_RON_CXD_After-Sales-Nova-VW-Reg05-LAL-Lead_PD_160x600</v>
      </c>
      <c r="AG95" s="21" t="str">
        <f t="shared" si="29"/>
        <v>VW_After-Sales-LAL-Lead_160x600_After-Sales-Nova-VW-Reg05-adserver</v>
      </c>
      <c r="AH95" s="21" t="str">
        <f t="shared" si="30"/>
        <v>https://posvendas.vw.com.br/product/oferta/62?utm_source=dv360&amp;utm_medium=Programmatic&amp;utm_content=BR_VW_AFS_dv360_DIS_PROG_CPM_STD_LDR_AAF_RON_CXD_After-Sales-Nova-VW-Reg05-LAL-Lead_PD_160x600&amp;utm_campaign=BR_AAF_DSY_NONMS_ND_AS_2021Q1FEV_AFS_After-Sales&amp;utm_term=%epid!_%ecid!_%eaid!</v>
      </c>
      <c r="AI95" s="21" t="str">
        <f t="shared" si="31"/>
        <v>TAG</v>
      </c>
      <c r="AJ95" s="15" t="str">
        <f t="shared" si="33"/>
        <v>dv360</v>
      </c>
      <c r="AK95" s="15" t="str">
        <f t="shared" si="34"/>
        <v>Programmatic</v>
      </c>
      <c r="AL95" s="21" t="str">
        <f>Campanha!$B$3</f>
        <v>BR_AAF_DSY_NONMS_ND_AS_2021Q1FEV_AFS_After-Sales</v>
      </c>
      <c r="AM95" s="21" t="str">
        <f t="shared" si="32"/>
        <v>BR_VW_AFS_dv360_DIS_PROG_CPM_STD_LDR_AAF_RON_CXD_After-Sales-Nova-VW-Reg05-LAL-Lead_PD_160x600</v>
      </c>
      <c r="AN95" s="15" t="s">
        <v>809</v>
      </c>
    </row>
    <row r="96" spans="2:40" hidden="1" x14ac:dyDescent="0.25">
      <c r="B96" s="15" t="s">
        <v>1098</v>
      </c>
      <c r="C96" s="15" t="s">
        <v>1115</v>
      </c>
      <c r="D96" s="15" t="s">
        <v>886</v>
      </c>
      <c r="E96" s="22">
        <v>44246</v>
      </c>
      <c r="F96" s="22">
        <v>44255</v>
      </c>
      <c r="G96" s="31" t="s">
        <v>674</v>
      </c>
      <c r="H96" s="31" t="s">
        <v>811</v>
      </c>
      <c r="I96" s="31" t="s">
        <v>702</v>
      </c>
      <c r="J96" s="31" t="s">
        <v>325</v>
      </c>
      <c r="K96" s="31" t="s">
        <v>334</v>
      </c>
      <c r="L96" s="31" t="s">
        <v>358</v>
      </c>
      <c r="M96" s="31" t="s">
        <v>322</v>
      </c>
      <c r="N96" s="31" t="s">
        <v>708</v>
      </c>
      <c r="O96" s="31" t="s">
        <v>694</v>
      </c>
      <c r="P96" s="15" t="s">
        <v>883</v>
      </c>
      <c r="Q96" s="31" t="s">
        <v>850</v>
      </c>
      <c r="R96" s="15" t="s">
        <v>835</v>
      </c>
      <c r="S96" s="15" t="s">
        <v>348</v>
      </c>
      <c r="T96" s="31" t="s">
        <v>484</v>
      </c>
      <c r="AC96" s="23" t="s">
        <v>885</v>
      </c>
      <c r="AD96" s="15" t="str">
        <f t="shared" si="26"/>
        <v>296779837</v>
      </c>
      <c r="AE96" s="21" t="str">
        <f t="shared" si="27"/>
        <v>BR_VW_AFS_dv360_DIS_PROG_CPM_STD_LDR_AAF_RON_CXD_After-Sales-Nova-VW-Reg05-LAL-Lead_PD_300x50</v>
      </c>
      <c r="AF96" s="21" t="str">
        <f t="shared" si="28"/>
        <v>BR_VW_AFS_dv360_DIS_PROG_CPM_STD_LDR_AAF_RON_CXD_After-Sales-Nova-VW-Reg05-LAL-Lead_PD_300x50</v>
      </c>
      <c r="AG96" s="21" t="str">
        <f t="shared" si="29"/>
        <v>VW_After-Sales-LAL-Lead_300x50_After-Sales-Nova-VW-Reg05-adserver</v>
      </c>
      <c r="AH96" s="21" t="str">
        <f t="shared" si="30"/>
        <v>https://posvendas.vw.com.br/product/oferta/62?utm_source=dv360&amp;utm_medium=Programmatic&amp;utm_content=BR_VW_AFS_dv360_DIS_PROG_CPM_STD_LDR_AAF_RON_CXD_After-Sales-Nova-VW-Reg05-LAL-Lead_PD_300x50&amp;utm_campaign=BR_AAF_DSY_NONMS_ND_AS_2021Q1FEV_AFS_After-Sales&amp;utm_term=%epid!_%ecid!_%eaid!</v>
      </c>
      <c r="AI96" s="21" t="str">
        <f t="shared" si="31"/>
        <v>TAG</v>
      </c>
      <c r="AJ96" s="15" t="str">
        <f t="shared" si="33"/>
        <v>dv360</v>
      </c>
      <c r="AK96" s="15" t="str">
        <f t="shared" si="34"/>
        <v>Programmatic</v>
      </c>
      <c r="AL96" s="21" t="str">
        <f>Campanha!$B$3</f>
        <v>BR_AAF_DSY_NONMS_ND_AS_2021Q1FEV_AFS_After-Sales</v>
      </c>
      <c r="AM96" s="21" t="str">
        <f t="shared" si="32"/>
        <v>BR_VW_AFS_dv360_DIS_PROG_CPM_STD_LDR_AAF_RON_CXD_After-Sales-Nova-VW-Reg05-LAL-Lead_PD_300x50</v>
      </c>
      <c r="AN96" s="15" t="s">
        <v>809</v>
      </c>
    </row>
    <row r="97" spans="2:40" hidden="1" x14ac:dyDescent="0.25">
      <c r="B97" s="15" t="s">
        <v>1098</v>
      </c>
      <c r="C97" s="15" t="s">
        <v>1115</v>
      </c>
      <c r="D97" s="15" t="s">
        <v>886</v>
      </c>
      <c r="E97" s="22">
        <v>44246</v>
      </c>
      <c r="F97" s="22">
        <v>44255</v>
      </c>
      <c r="G97" s="31" t="s">
        <v>674</v>
      </c>
      <c r="H97" s="31" t="s">
        <v>811</v>
      </c>
      <c r="I97" s="31" t="s">
        <v>702</v>
      </c>
      <c r="J97" s="31" t="s">
        <v>325</v>
      </c>
      <c r="K97" s="31" t="s">
        <v>334</v>
      </c>
      <c r="L97" s="31" t="s">
        <v>358</v>
      </c>
      <c r="M97" s="31" t="s">
        <v>322</v>
      </c>
      <c r="N97" s="31" t="s">
        <v>708</v>
      </c>
      <c r="O97" s="31" t="s">
        <v>694</v>
      </c>
      <c r="P97" s="15" t="s">
        <v>883</v>
      </c>
      <c r="Q97" s="31" t="s">
        <v>850</v>
      </c>
      <c r="R97" s="15" t="s">
        <v>835</v>
      </c>
      <c r="S97" s="15" t="s">
        <v>348</v>
      </c>
      <c r="T97" s="31" t="s">
        <v>478</v>
      </c>
      <c r="AC97" s="23" t="s">
        <v>885</v>
      </c>
      <c r="AD97" s="15" t="str">
        <f t="shared" si="26"/>
        <v>296779834</v>
      </c>
      <c r="AE97" s="21" t="str">
        <f t="shared" si="27"/>
        <v>BR_VW_AFS_dv360_DIS_PROG_CPM_STD_LDR_AAF_RON_CXD_After-Sales-Nova-VW-Reg05-LAL-Lead_PD_300x250</v>
      </c>
      <c r="AF97" s="21" t="str">
        <f t="shared" si="28"/>
        <v>BR_VW_AFS_dv360_DIS_PROG_CPM_STD_LDR_AAF_RON_CXD_After-Sales-Nova-VW-Reg05-LAL-Lead_PD_300x250</v>
      </c>
      <c r="AG97" s="21" t="str">
        <f t="shared" si="29"/>
        <v>VW_After-Sales-LAL-Lead_300x250_After-Sales-Nova-VW-Reg05-adserver</v>
      </c>
      <c r="AH97" s="21" t="str">
        <f t="shared" si="30"/>
        <v>https://posvendas.vw.com.br/product/oferta/62?utm_source=dv360&amp;utm_medium=Programmatic&amp;utm_content=BR_VW_AFS_dv360_DIS_PROG_CPM_STD_LDR_AAF_RON_CXD_After-Sales-Nova-VW-Reg05-LAL-Lead_PD_300x250&amp;utm_campaign=BR_AAF_DSY_NONMS_ND_AS_2021Q1FEV_AFS_After-Sales&amp;utm_term=%epid!_%ecid!_%eaid!</v>
      </c>
      <c r="AI97" s="21" t="str">
        <f t="shared" si="31"/>
        <v>TAG</v>
      </c>
      <c r="AJ97" s="15" t="str">
        <f t="shared" si="33"/>
        <v>dv360</v>
      </c>
      <c r="AK97" s="15" t="str">
        <f t="shared" si="34"/>
        <v>Programmatic</v>
      </c>
      <c r="AL97" s="21" t="str">
        <f>Campanha!$B$3</f>
        <v>BR_AAF_DSY_NONMS_ND_AS_2021Q1FEV_AFS_After-Sales</v>
      </c>
      <c r="AM97" s="21" t="str">
        <f t="shared" si="32"/>
        <v>BR_VW_AFS_dv360_DIS_PROG_CPM_STD_LDR_AAF_RON_CXD_After-Sales-Nova-VW-Reg05-LAL-Lead_PD_300x250</v>
      </c>
      <c r="AN97" s="15" t="s">
        <v>809</v>
      </c>
    </row>
    <row r="98" spans="2:40" hidden="1" x14ac:dyDescent="0.25">
      <c r="B98" s="15" t="s">
        <v>1098</v>
      </c>
      <c r="C98" s="15" t="s">
        <v>1115</v>
      </c>
      <c r="D98" s="15" t="s">
        <v>886</v>
      </c>
      <c r="E98" s="22">
        <v>44246</v>
      </c>
      <c r="F98" s="22">
        <v>44255</v>
      </c>
      <c r="G98" s="31" t="s">
        <v>674</v>
      </c>
      <c r="H98" s="31" t="s">
        <v>811</v>
      </c>
      <c r="I98" s="31" t="s">
        <v>702</v>
      </c>
      <c r="J98" s="31" t="s">
        <v>325</v>
      </c>
      <c r="K98" s="31" t="s">
        <v>334</v>
      </c>
      <c r="L98" s="31" t="s">
        <v>358</v>
      </c>
      <c r="M98" s="31" t="s">
        <v>322</v>
      </c>
      <c r="N98" s="31" t="s">
        <v>708</v>
      </c>
      <c r="O98" s="31" t="s">
        <v>694</v>
      </c>
      <c r="P98" s="15" t="s">
        <v>883</v>
      </c>
      <c r="Q98" s="31" t="s">
        <v>850</v>
      </c>
      <c r="R98" s="15" t="s">
        <v>835</v>
      </c>
      <c r="S98" s="15" t="s">
        <v>348</v>
      </c>
      <c r="T98" s="31" t="s">
        <v>614</v>
      </c>
      <c r="AC98" s="23" t="s">
        <v>885</v>
      </c>
      <c r="AD98" s="15" t="str">
        <f t="shared" si="26"/>
        <v>296779831</v>
      </c>
      <c r="AE98" s="21" t="str">
        <f t="shared" si="27"/>
        <v>BR_VW_AFS_dv360_DIS_PROG_CPM_STD_LDR_AAF_RON_CXD_After-Sales-Nova-VW-Reg05-LAL-Lead_PD_728x90</v>
      </c>
      <c r="AF98" s="21" t="str">
        <f t="shared" si="28"/>
        <v>BR_VW_AFS_dv360_DIS_PROG_CPM_STD_LDR_AAF_RON_CXD_After-Sales-Nova-VW-Reg05-LAL-Lead_PD_728x90</v>
      </c>
      <c r="AG98" s="21" t="str">
        <f t="shared" si="29"/>
        <v>VW_After-Sales-LAL-Lead_728x90_After-Sales-Nova-VW-Reg05-adserver</v>
      </c>
      <c r="AH98" s="21" t="str">
        <f t="shared" si="30"/>
        <v>https://posvendas.vw.com.br/product/oferta/62?utm_source=dv360&amp;utm_medium=Programmatic&amp;utm_content=BR_VW_AFS_dv360_DIS_PROG_CPM_STD_LDR_AAF_RON_CXD_After-Sales-Nova-VW-Reg05-LAL-Lead_PD_728x90&amp;utm_campaign=BR_AAF_DSY_NONMS_ND_AS_2021Q1FEV_AFS_After-Sales&amp;utm_term=%epid!_%ecid!_%eaid!</v>
      </c>
      <c r="AI98" s="21" t="str">
        <f t="shared" si="31"/>
        <v>TAG</v>
      </c>
      <c r="AJ98" s="15" t="str">
        <f t="shared" si="33"/>
        <v>dv360</v>
      </c>
      <c r="AK98" s="15" t="str">
        <f t="shared" si="34"/>
        <v>Programmatic</v>
      </c>
      <c r="AL98" s="21" t="str">
        <f>Campanha!$B$3</f>
        <v>BR_AAF_DSY_NONMS_ND_AS_2021Q1FEV_AFS_After-Sales</v>
      </c>
      <c r="AM98" s="21" t="str">
        <f t="shared" si="32"/>
        <v>BR_VW_AFS_dv360_DIS_PROG_CPM_STD_LDR_AAF_RON_CXD_After-Sales-Nova-VW-Reg05-LAL-Lead_PD_728x90</v>
      </c>
      <c r="AN98" s="15" t="s">
        <v>809</v>
      </c>
    </row>
    <row r="99" spans="2:40" hidden="1" x14ac:dyDescent="0.25">
      <c r="B99" s="15" t="s">
        <v>1098</v>
      </c>
      <c r="C99" s="15" t="s">
        <v>1115</v>
      </c>
      <c r="D99" s="15" t="s">
        <v>886</v>
      </c>
      <c r="E99" s="22">
        <v>44246</v>
      </c>
      <c r="F99" s="22">
        <v>44255</v>
      </c>
      <c r="G99" s="31" t="s">
        <v>674</v>
      </c>
      <c r="H99" s="31" t="s">
        <v>811</v>
      </c>
      <c r="I99" s="31" t="s">
        <v>702</v>
      </c>
      <c r="J99" s="31" t="s">
        <v>325</v>
      </c>
      <c r="K99" s="31" t="s">
        <v>334</v>
      </c>
      <c r="L99" s="31" t="s">
        <v>358</v>
      </c>
      <c r="M99" s="31" t="s">
        <v>322</v>
      </c>
      <c r="N99" s="31" t="s">
        <v>708</v>
      </c>
      <c r="O99" s="31" t="s">
        <v>694</v>
      </c>
      <c r="P99" s="15" t="s">
        <v>883</v>
      </c>
      <c r="Q99" s="31" t="s">
        <v>850</v>
      </c>
      <c r="R99" s="15" t="s">
        <v>835</v>
      </c>
      <c r="S99" s="15" t="s">
        <v>348</v>
      </c>
      <c r="T99" s="31" t="s">
        <v>652</v>
      </c>
      <c r="AC99" s="23" t="s">
        <v>885</v>
      </c>
      <c r="AD99" s="15" t="str">
        <f t="shared" ref="AD99:AD158" si="35">VLOOKUP(AE99,id_placement,2,FALSE)</f>
        <v>296779828</v>
      </c>
      <c r="AE99" s="21" t="str">
        <f t="shared" si="27"/>
        <v>BR_VW_AFS_dv360_DIS_PROG_CPM_STD_LDR_AAF_RON_CXD_After-Sales-Nova-VW-Reg05-LAL-Lead_PD_970x250</v>
      </c>
      <c r="AF99" s="21" t="str">
        <f t="shared" si="28"/>
        <v>BR_VW_AFS_dv360_DIS_PROG_CPM_STD_LDR_AAF_RON_CXD_After-Sales-Nova-VW-Reg05-LAL-Lead_PD_970x250</v>
      </c>
      <c r="AG99" s="21" t="str">
        <f t="shared" si="29"/>
        <v>VW_After-Sales-LAL-Lead_970x250_After-Sales-Nova-VW-Reg05-adserver</v>
      </c>
      <c r="AH99" s="21" t="str">
        <f t="shared" si="30"/>
        <v>https://posvendas.vw.com.br/product/oferta/62?utm_source=dv360&amp;utm_medium=Programmatic&amp;utm_content=BR_VW_AFS_dv360_DIS_PROG_CPM_STD_LDR_AAF_RON_CXD_After-Sales-Nova-VW-Reg05-LAL-Lead_PD_970x250&amp;utm_campaign=BR_AAF_DSY_NONMS_ND_AS_2021Q1FEV_AFS_After-Sales&amp;utm_term=%epid!_%ecid!_%eaid!</v>
      </c>
      <c r="AI99" s="21" t="str">
        <f t="shared" si="31"/>
        <v>TAG</v>
      </c>
      <c r="AJ99" s="15" t="str">
        <f t="shared" si="33"/>
        <v>dv360</v>
      </c>
      <c r="AK99" s="15" t="str">
        <f t="shared" si="34"/>
        <v>Programmatic</v>
      </c>
      <c r="AL99" s="21" t="str">
        <f>Campanha!$B$3</f>
        <v>BR_AAF_DSY_NONMS_ND_AS_2021Q1FEV_AFS_After-Sales</v>
      </c>
      <c r="AM99" s="21" t="str">
        <f t="shared" si="32"/>
        <v>BR_VW_AFS_dv360_DIS_PROG_CPM_STD_LDR_AAF_RON_CXD_After-Sales-Nova-VW-Reg05-LAL-Lead_PD_970x250</v>
      </c>
      <c r="AN99" s="15" t="s">
        <v>809</v>
      </c>
    </row>
    <row r="100" spans="2:40" hidden="1" x14ac:dyDescent="0.25">
      <c r="B100" s="15" t="s">
        <v>1098</v>
      </c>
      <c r="C100" s="15" t="s">
        <v>1115</v>
      </c>
      <c r="D100" s="15" t="s">
        <v>886</v>
      </c>
      <c r="E100" s="22">
        <v>44246</v>
      </c>
      <c r="F100" s="22">
        <v>44255</v>
      </c>
      <c r="G100" s="31" t="s">
        <v>674</v>
      </c>
      <c r="H100" s="31" t="s">
        <v>811</v>
      </c>
      <c r="I100" s="31" t="s">
        <v>702</v>
      </c>
      <c r="J100" s="31" t="s">
        <v>325</v>
      </c>
      <c r="K100" s="31" t="s">
        <v>334</v>
      </c>
      <c r="L100" s="31" t="s">
        <v>358</v>
      </c>
      <c r="M100" s="31" t="s">
        <v>322</v>
      </c>
      <c r="N100" s="31" t="s">
        <v>708</v>
      </c>
      <c r="O100" s="31" t="s">
        <v>694</v>
      </c>
      <c r="P100" s="15" t="s">
        <v>883</v>
      </c>
      <c r="Q100" s="31" t="s">
        <v>849</v>
      </c>
      <c r="R100" s="15" t="s">
        <v>835</v>
      </c>
      <c r="S100" s="15" t="s">
        <v>348</v>
      </c>
      <c r="T100" s="31" t="s">
        <v>457</v>
      </c>
      <c r="AC100" s="23" t="s">
        <v>885</v>
      </c>
      <c r="AD100" s="15" t="str">
        <f t="shared" si="35"/>
        <v>296779825</v>
      </c>
      <c r="AE100" s="21" t="str">
        <f t="shared" si="27"/>
        <v>BR_VW_AFS_dv360_DIS_PROG_CPM_STD_LDR_AAF_RON_CXD_After-Sales-Nova-VW-Reg05-LAL-Addtocart_PD_160x600</v>
      </c>
      <c r="AF100" s="21" t="str">
        <f t="shared" si="28"/>
        <v>BR_VW_AFS_dv360_DIS_PROG_CPM_STD_LDR_AAF_RON_CXD_After-Sales-Nova-VW-Reg05-LAL-Addtocart_PD_160x600</v>
      </c>
      <c r="AG100" s="21" t="str">
        <f t="shared" si="29"/>
        <v>VW_After-Sales-LAL-Addtocart_160x600_After-Sales-Nova-VW-Reg05-adserver</v>
      </c>
      <c r="AH100" s="21" t="str">
        <f t="shared" si="30"/>
        <v>https://posvendas.vw.com.br/product/oferta/62?utm_source=dv360&amp;utm_medium=Programmatic&amp;utm_content=BR_VW_AFS_dv360_DIS_PROG_CPM_STD_LDR_AAF_RON_CXD_After-Sales-Nova-VW-Reg05-LAL-Addtocart_PD_160x600&amp;utm_campaign=BR_AAF_DSY_NONMS_ND_AS_2021Q1FEV_AFS_After-Sales&amp;utm_term=%epid!_%ecid!_%eaid!</v>
      </c>
      <c r="AI100" s="21" t="str">
        <f t="shared" si="31"/>
        <v>TAG</v>
      </c>
      <c r="AJ100" s="15" t="str">
        <f t="shared" si="33"/>
        <v>dv360</v>
      </c>
      <c r="AK100" s="15" t="str">
        <f t="shared" si="34"/>
        <v>Programmatic</v>
      </c>
      <c r="AL100" s="21" t="str">
        <f>Campanha!$B$3</f>
        <v>BR_AAF_DSY_NONMS_ND_AS_2021Q1FEV_AFS_After-Sales</v>
      </c>
      <c r="AM100" s="21" t="str">
        <f t="shared" si="32"/>
        <v>BR_VW_AFS_dv360_DIS_PROG_CPM_STD_LDR_AAF_RON_CXD_After-Sales-Nova-VW-Reg05-LAL-Addtocart_PD_160x600</v>
      </c>
      <c r="AN100" s="15" t="s">
        <v>809</v>
      </c>
    </row>
    <row r="101" spans="2:40" hidden="1" x14ac:dyDescent="0.25">
      <c r="B101" s="15" t="s">
        <v>1098</v>
      </c>
      <c r="C101" s="15" t="s">
        <v>1115</v>
      </c>
      <c r="D101" s="15" t="s">
        <v>886</v>
      </c>
      <c r="E101" s="22">
        <v>44246</v>
      </c>
      <c r="F101" s="22">
        <v>44255</v>
      </c>
      <c r="G101" s="31" t="s">
        <v>674</v>
      </c>
      <c r="H101" s="31" t="s">
        <v>811</v>
      </c>
      <c r="I101" s="31" t="s">
        <v>702</v>
      </c>
      <c r="J101" s="31" t="s">
        <v>325</v>
      </c>
      <c r="K101" s="31" t="s">
        <v>334</v>
      </c>
      <c r="L101" s="31" t="s">
        <v>358</v>
      </c>
      <c r="M101" s="31" t="s">
        <v>322</v>
      </c>
      <c r="N101" s="31" t="s">
        <v>708</v>
      </c>
      <c r="O101" s="31" t="s">
        <v>694</v>
      </c>
      <c r="P101" s="15" t="s">
        <v>883</v>
      </c>
      <c r="Q101" s="31" t="s">
        <v>849</v>
      </c>
      <c r="R101" s="15" t="s">
        <v>835</v>
      </c>
      <c r="S101" s="15" t="s">
        <v>348</v>
      </c>
      <c r="T101" s="31" t="s">
        <v>484</v>
      </c>
      <c r="AC101" s="23" t="s">
        <v>885</v>
      </c>
      <c r="AD101" s="15" t="str">
        <f t="shared" si="35"/>
        <v>296779822</v>
      </c>
      <c r="AE101" s="21" t="str">
        <f t="shared" si="27"/>
        <v>BR_VW_AFS_dv360_DIS_PROG_CPM_STD_LDR_AAF_RON_CXD_After-Sales-Nova-VW-Reg05-LAL-Addtocart_PD_300x50</v>
      </c>
      <c r="AF101" s="21" t="str">
        <f t="shared" si="28"/>
        <v>BR_VW_AFS_dv360_DIS_PROG_CPM_STD_LDR_AAF_RON_CXD_After-Sales-Nova-VW-Reg05-LAL-Addtocart_PD_300x50</v>
      </c>
      <c r="AG101" s="21" t="str">
        <f t="shared" si="29"/>
        <v>VW_After-Sales-LAL-Addtocart_300x50_After-Sales-Nova-VW-Reg05-adserver</v>
      </c>
      <c r="AH101" s="21" t="str">
        <f t="shared" si="30"/>
        <v>https://posvendas.vw.com.br/product/oferta/62?utm_source=dv360&amp;utm_medium=Programmatic&amp;utm_content=BR_VW_AFS_dv360_DIS_PROG_CPM_STD_LDR_AAF_RON_CXD_After-Sales-Nova-VW-Reg05-LAL-Addtocart_PD_300x50&amp;utm_campaign=BR_AAF_DSY_NONMS_ND_AS_2021Q1FEV_AFS_After-Sales&amp;utm_term=%epid!_%ecid!_%eaid!</v>
      </c>
      <c r="AI101" s="21" t="str">
        <f t="shared" si="31"/>
        <v>TAG</v>
      </c>
      <c r="AJ101" s="15" t="str">
        <f t="shared" si="33"/>
        <v>dv360</v>
      </c>
      <c r="AK101" s="15" t="str">
        <f t="shared" si="34"/>
        <v>Programmatic</v>
      </c>
      <c r="AL101" s="21" t="str">
        <f>Campanha!$B$3</f>
        <v>BR_AAF_DSY_NONMS_ND_AS_2021Q1FEV_AFS_After-Sales</v>
      </c>
      <c r="AM101" s="21" t="str">
        <f t="shared" si="32"/>
        <v>BR_VW_AFS_dv360_DIS_PROG_CPM_STD_LDR_AAF_RON_CXD_After-Sales-Nova-VW-Reg05-LAL-Addtocart_PD_300x50</v>
      </c>
      <c r="AN101" s="15" t="s">
        <v>809</v>
      </c>
    </row>
    <row r="102" spans="2:40" hidden="1" x14ac:dyDescent="0.25">
      <c r="B102" s="15" t="s">
        <v>1098</v>
      </c>
      <c r="C102" s="15" t="s">
        <v>1115</v>
      </c>
      <c r="D102" s="15" t="s">
        <v>886</v>
      </c>
      <c r="E102" s="22">
        <v>44246</v>
      </c>
      <c r="F102" s="22">
        <v>44255</v>
      </c>
      <c r="G102" s="31" t="s">
        <v>674</v>
      </c>
      <c r="H102" s="31" t="s">
        <v>811</v>
      </c>
      <c r="I102" s="31" t="s">
        <v>702</v>
      </c>
      <c r="J102" s="31" t="s">
        <v>325</v>
      </c>
      <c r="K102" s="31" t="s">
        <v>334</v>
      </c>
      <c r="L102" s="31" t="s">
        <v>358</v>
      </c>
      <c r="M102" s="31" t="s">
        <v>322</v>
      </c>
      <c r="N102" s="31" t="s">
        <v>708</v>
      </c>
      <c r="O102" s="31" t="s">
        <v>694</v>
      </c>
      <c r="P102" s="15" t="s">
        <v>883</v>
      </c>
      <c r="Q102" s="31" t="s">
        <v>849</v>
      </c>
      <c r="R102" s="15" t="s">
        <v>835</v>
      </c>
      <c r="S102" s="15" t="s">
        <v>348</v>
      </c>
      <c r="T102" s="31" t="s">
        <v>478</v>
      </c>
      <c r="AC102" s="23" t="s">
        <v>885</v>
      </c>
      <c r="AD102" s="15" t="str">
        <f t="shared" si="35"/>
        <v>296779819</v>
      </c>
      <c r="AE102" s="21" t="str">
        <f t="shared" si="27"/>
        <v>BR_VW_AFS_dv360_DIS_PROG_CPM_STD_LDR_AAF_RON_CXD_After-Sales-Nova-VW-Reg05-LAL-Addtocart_PD_300x250</v>
      </c>
      <c r="AF102" s="21" t="str">
        <f t="shared" si="28"/>
        <v>BR_VW_AFS_dv360_DIS_PROG_CPM_STD_LDR_AAF_RON_CXD_After-Sales-Nova-VW-Reg05-LAL-Addtocart_PD_300x250</v>
      </c>
      <c r="AG102" s="21" t="str">
        <f t="shared" si="29"/>
        <v>VW_After-Sales-LAL-Addtocart_300x250_After-Sales-Nova-VW-Reg05-adserver</v>
      </c>
      <c r="AH102" s="21" t="str">
        <f t="shared" si="30"/>
        <v>https://posvendas.vw.com.br/product/oferta/62?utm_source=dv360&amp;utm_medium=Programmatic&amp;utm_content=BR_VW_AFS_dv360_DIS_PROG_CPM_STD_LDR_AAF_RON_CXD_After-Sales-Nova-VW-Reg05-LAL-Addtocart_PD_300x250&amp;utm_campaign=BR_AAF_DSY_NONMS_ND_AS_2021Q1FEV_AFS_After-Sales&amp;utm_term=%epid!_%ecid!_%eaid!</v>
      </c>
      <c r="AI102" s="21" t="str">
        <f t="shared" si="31"/>
        <v>TAG</v>
      </c>
      <c r="AJ102" s="15" t="str">
        <f t="shared" si="33"/>
        <v>dv360</v>
      </c>
      <c r="AK102" s="15" t="str">
        <f t="shared" si="34"/>
        <v>Programmatic</v>
      </c>
      <c r="AL102" s="21" t="str">
        <f>Campanha!$B$3</f>
        <v>BR_AAF_DSY_NONMS_ND_AS_2021Q1FEV_AFS_After-Sales</v>
      </c>
      <c r="AM102" s="21" t="str">
        <f t="shared" si="32"/>
        <v>BR_VW_AFS_dv360_DIS_PROG_CPM_STD_LDR_AAF_RON_CXD_After-Sales-Nova-VW-Reg05-LAL-Addtocart_PD_300x250</v>
      </c>
      <c r="AN102" s="15" t="s">
        <v>809</v>
      </c>
    </row>
    <row r="103" spans="2:40" hidden="1" x14ac:dyDescent="0.25">
      <c r="B103" s="15" t="s">
        <v>1098</v>
      </c>
      <c r="C103" s="15" t="s">
        <v>1115</v>
      </c>
      <c r="D103" s="15" t="s">
        <v>886</v>
      </c>
      <c r="E103" s="22">
        <v>44246</v>
      </c>
      <c r="F103" s="22">
        <v>44255</v>
      </c>
      <c r="G103" s="31" t="s">
        <v>674</v>
      </c>
      <c r="H103" s="31" t="s">
        <v>811</v>
      </c>
      <c r="I103" s="31" t="s">
        <v>702</v>
      </c>
      <c r="J103" s="31" t="s">
        <v>325</v>
      </c>
      <c r="K103" s="31" t="s">
        <v>334</v>
      </c>
      <c r="L103" s="31" t="s">
        <v>358</v>
      </c>
      <c r="M103" s="31" t="s">
        <v>322</v>
      </c>
      <c r="N103" s="31" t="s">
        <v>708</v>
      </c>
      <c r="O103" s="31" t="s">
        <v>694</v>
      </c>
      <c r="P103" s="15" t="s">
        <v>883</v>
      </c>
      <c r="Q103" s="31" t="s">
        <v>849</v>
      </c>
      <c r="R103" s="15" t="s">
        <v>835</v>
      </c>
      <c r="S103" s="15" t="s">
        <v>348</v>
      </c>
      <c r="T103" s="31" t="s">
        <v>614</v>
      </c>
      <c r="AC103" s="23" t="s">
        <v>885</v>
      </c>
      <c r="AD103" s="15" t="str">
        <f t="shared" si="35"/>
        <v>296779816</v>
      </c>
      <c r="AE103" s="21" t="str">
        <f t="shared" si="27"/>
        <v>BR_VW_AFS_dv360_DIS_PROG_CPM_STD_LDR_AAF_RON_CXD_After-Sales-Nova-VW-Reg05-LAL-Addtocart_PD_728x90</v>
      </c>
      <c r="AF103" s="21" t="str">
        <f t="shared" si="28"/>
        <v>BR_VW_AFS_dv360_DIS_PROG_CPM_STD_LDR_AAF_RON_CXD_After-Sales-Nova-VW-Reg05-LAL-Addtocart_PD_728x90</v>
      </c>
      <c r="AG103" s="21" t="str">
        <f t="shared" si="29"/>
        <v>VW_After-Sales-LAL-Addtocart_728x90_After-Sales-Nova-VW-Reg05-adserver</v>
      </c>
      <c r="AH103" s="21" t="str">
        <f t="shared" si="30"/>
        <v>https://posvendas.vw.com.br/product/oferta/62?utm_source=dv360&amp;utm_medium=Programmatic&amp;utm_content=BR_VW_AFS_dv360_DIS_PROG_CPM_STD_LDR_AAF_RON_CXD_After-Sales-Nova-VW-Reg05-LAL-Addtocart_PD_728x90&amp;utm_campaign=BR_AAF_DSY_NONMS_ND_AS_2021Q1FEV_AFS_After-Sales&amp;utm_term=%epid!_%ecid!_%eaid!</v>
      </c>
      <c r="AI103" s="21" t="str">
        <f t="shared" si="31"/>
        <v>TAG</v>
      </c>
      <c r="AJ103" s="15" t="str">
        <f t="shared" si="33"/>
        <v>dv360</v>
      </c>
      <c r="AK103" s="15" t="str">
        <f t="shared" si="34"/>
        <v>Programmatic</v>
      </c>
      <c r="AL103" s="21" t="str">
        <f>Campanha!$B$3</f>
        <v>BR_AAF_DSY_NONMS_ND_AS_2021Q1FEV_AFS_After-Sales</v>
      </c>
      <c r="AM103" s="21" t="str">
        <f t="shared" si="32"/>
        <v>BR_VW_AFS_dv360_DIS_PROG_CPM_STD_LDR_AAF_RON_CXD_After-Sales-Nova-VW-Reg05-LAL-Addtocart_PD_728x90</v>
      </c>
      <c r="AN103" s="15" t="s">
        <v>809</v>
      </c>
    </row>
    <row r="104" spans="2:40" hidden="1" x14ac:dyDescent="0.25">
      <c r="B104" s="15" t="s">
        <v>1098</v>
      </c>
      <c r="C104" s="15" t="s">
        <v>1115</v>
      </c>
      <c r="D104" s="15" t="s">
        <v>886</v>
      </c>
      <c r="E104" s="22">
        <v>44246</v>
      </c>
      <c r="F104" s="22">
        <v>44255</v>
      </c>
      <c r="G104" s="31" t="s">
        <v>674</v>
      </c>
      <c r="H104" s="31" t="s">
        <v>811</v>
      </c>
      <c r="I104" s="31" t="s">
        <v>702</v>
      </c>
      <c r="J104" s="31" t="s">
        <v>325</v>
      </c>
      <c r="K104" s="31" t="s">
        <v>334</v>
      </c>
      <c r="L104" s="31" t="s">
        <v>358</v>
      </c>
      <c r="M104" s="31" t="s">
        <v>322</v>
      </c>
      <c r="N104" s="31" t="s">
        <v>708</v>
      </c>
      <c r="O104" s="31" t="s">
        <v>694</v>
      </c>
      <c r="P104" s="15" t="s">
        <v>883</v>
      </c>
      <c r="Q104" s="31" t="s">
        <v>849</v>
      </c>
      <c r="R104" s="15" t="s">
        <v>835</v>
      </c>
      <c r="S104" s="15" t="s">
        <v>348</v>
      </c>
      <c r="T104" s="31" t="s">
        <v>652</v>
      </c>
      <c r="AC104" s="23" t="s">
        <v>885</v>
      </c>
      <c r="AD104" s="15" t="str">
        <f t="shared" si="35"/>
        <v>296779813</v>
      </c>
      <c r="AE104" s="21" t="str">
        <f t="shared" si="27"/>
        <v>BR_VW_AFS_dv360_DIS_PROG_CPM_STD_LDR_AAF_RON_CXD_After-Sales-Nova-VW-Reg05-LAL-Addtocart_PD_970x250</v>
      </c>
      <c r="AF104" s="21" t="str">
        <f t="shared" si="28"/>
        <v>BR_VW_AFS_dv360_DIS_PROG_CPM_STD_LDR_AAF_RON_CXD_After-Sales-Nova-VW-Reg05-LAL-Addtocart_PD_970x250</v>
      </c>
      <c r="AG104" s="21" t="str">
        <f t="shared" si="29"/>
        <v>VW_After-Sales-LAL-Addtocart_970x250_After-Sales-Nova-VW-Reg05-adserver</v>
      </c>
      <c r="AH104" s="21" t="str">
        <f t="shared" si="30"/>
        <v>https://posvendas.vw.com.br/product/oferta/62?utm_source=dv360&amp;utm_medium=Programmatic&amp;utm_content=BR_VW_AFS_dv360_DIS_PROG_CPM_STD_LDR_AAF_RON_CXD_After-Sales-Nova-VW-Reg05-LAL-Addtocart_PD_970x250&amp;utm_campaign=BR_AAF_DSY_NONMS_ND_AS_2021Q1FEV_AFS_After-Sales&amp;utm_term=%epid!_%ecid!_%eaid!</v>
      </c>
      <c r="AI104" s="21" t="str">
        <f t="shared" si="31"/>
        <v>TAG</v>
      </c>
      <c r="AJ104" s="15" t="str">
        <f t="shared" si="33"/>
        <v>dv360</v>
      </c>
      <c r="AK104" s="15" t="str">
        <f t="shared" si="34"/>
        <v>Programmatic</v>
      </c>
      <c r="AL104" s="21" t="str">
        <f>Campanha!$B$3</f>
        <v>BR_AAF_DSY_NONMS_ND_AS_2021Q1FEV_AFS_After-Sales</v>
      </c>
      <c r="AM104" s="21" t="str">
        <f t="shared" si="32"/>
        <v>BR_VW_AFS_dv360_DIS_PROG_CPM_STD_LDR_AAF_RON_CXD_After-Sales-Nova-VW-Reg05-LAL-Addtocart_PD_970x250</v>
      </c>
      <c r="AN104" s="15" t="s">
        <v>809</v>
      </c>
    </row>
    <row r="105" spans="2:40" hidden="1" x14ac:dyDescent="0.25">
      <c r="B105" s="15" t="s">
        <v>1098</v>
      </c>
      <c r="C105" s="15" t="s">
        <v>1115</v>
      </c>
      <c r="D105" s="15" t="s">
        <v>886</v>
      </c>
      <c r="E105" s="22">
        <v>44246</v>
      </c>
      <c r="F105" s="22">
        <v>44255</v>
      </c>
      <c r="G105" s="31" t="s">
        <v>674</v>
      </c>
      <c r="H105" s="31" t="s">
        <v>811</v>
      </c>
      <c r="I105" s="31" t="s">
        <v>702</v>
      </c>
      <c r="J105" s="31" t="s">
        <v>325</v>
      </c>
      <c r="K105" s="31" t="s">
        <v>334</v>
      </c>
      <c r="L105" s="31" t="s">
        <v>358</v>
      </c>
      <c r="M105" s="31" t="s">
        <v>322</v>
      </c>
      <c r="N105" s="31" t="s">
        <v>708</v>
      </c>
      <c r="O105" s="31" t="s">
        <v>694</v>
      </c>
      <c r="P105" s="15" t="s">
        <v>884</v>
      </c>
      <c r="Q105" s="31" t="s">
        <v>887</v>
      </c>
      <c r="R105" s="15" t="s">
        <v>835</v>
      </c>
      <c r="S105" s="15" t="s">
        <v>348</v>
      </c>
      <c r="T105" s="31" t="s">
        <v>457</v>
      </c>
      <c r="AC105" s="23" t="s">
        <v>885</v>
      </c>
      <c r="AD105" s="15" t="str">
        <f t="shared" si="35"/>
        <v>296779810</v>
      </c>
      <c r="AE105" s="21" t="str">
        <f t="shared" si="27"/>
        <v>BR_VW_AFS_dv360_DIS_PROG_CPM_STD_LDR_AAF_RON_CXD_After-Sales-Nova-VW-Reg06-LAL-visita_PD_160x600</v>
      </c>
      <c r="AF105" s="21" t="str">
        <f t="shared" si="28"/>
        <v>BR_VW_AFS_dv360_DIS_PROG_CPM_STD_LDR_AAF_RON_CXD_After-Sales-Nova-VW-Reg06-LAL-visita_PD_160x600</v>
      </c>
      <c r="AG105" s="21" t="str">
        <f t="shared" si="29"/>
        <v>VW_After-Sales-LAL-visita_160x600_After-Sales-Nova-VW-Reg06-adserver</v>
      </c>
      <c r="AH105" s="21" t="str">
        <f t="shared" si="30"/>
        <v>https://posvendas.vw.com.br/product/oferta/62?utm_source=dv360&amp;utm_medium=Programmatic&amp;utm_content=BR_VW_AFS_dv360_DIS_PROG_CPM_STD_LDR_AAF_RON_CXD_After-Sales-Nova-VW-Reg06-LAL-visita_PD_160x600&amp;utm_campaign=BR_AAF_DSY_NONMS_ND_AS_2021Q1FEV_AFS_After-Sales&amp;utm_term=%epid!_%ecid!_%eaid!</v>
      </c>
      <c r="AI105" s="21" t="str">
        <f t="shared" si="31"/>
        <v>TAG</v>
      </c>
      <c r="AJ105" s="15" t="str">
        <f t="shared" si="33"/>
        <v>dv360</v>
      </c>
      <c r="AK105" s="15" t="str">
        <f t="shared" si="34"/>
        <v>Programmatic</v>
      </c>
      <c r="AL105" s="21" t="str">
        <f>Campanha!$B$3</f>
        <v>BR_AAF_DSY_NONMS_ND_AS_2021Q1FEV_AFS_After-Sales</v>
      </c>
      <c r="AM105" s="21" t="str">
        <f t="shared" si="32"/>
        <v>BR_VW_AFS_dv360_DIS_PROG_CPM_STD_LDR_AAF_RON_CXD_After-Sales-Nova-VW-Reg06-LAL-visita_PD_160x600</v>
      </c>
      <c r="AN105" s="15" t="s">
        <v>809</v>
      </c>
    </row>
    <row r="106" spans="2:40" hidden="1" x14ac:dyDescent="0.25">
      <c r="B106" s="15" t="s">
        <v>1098</v>
      </c>
      <c r="C106" s="15" t="s">
        <v>1115</v>
      </c>
      <c r="D106" s="15" t="s">
        <v>886</v>
      </c>
      <c r="E106" s="22">
        <v>44246</v>
      </c>
      <c r="F106" s="22">
        <v>44255</v>
      </c>
      <c r="G106" s="31" t="s">
        <v>674</v>
      </c>
      <c r="H106" s="31" t="s">
        <v>811</v>
      </c>
      <c r="I106" s="31" t="s">
        <v>702</v>
      </c>
      <c r="J106" s="31" t="s">
        <v>325</v>
      </c>
      <c r="K106" s="31" t="s">
        <v>334</v>
      </c>
      <c r="L106" s="31" t="s">
        <v>358</v>
      </c>
      <c r="M106" s="31" t="s">
        <v>322</v>
      </c>
      <c r="N106" s="31" t="s">
        <v>708</v>
      </c>
      <c r="O106" s="31" t="s">
        <v>694</v>
      </c>
      <c r="P106" s="15" t="s">
        <v>884</v>
      </c>
      <c r="Q106" s="31" t="s">
        <v>887</v>
      </c>
      <c r="R106" s="15" t="s">
        <v>835</v>
      </c>
      <c r="S106" s="15" t="s">
        <v>348</v>
      </c>
      <c r="T106" s="31" t="s">
        <v>484</v>
      </c>
      <c r="AC106" s="23" t="s">
        <v>885</v>
      </c>
      <c r="AD106" s="15" t="str">
        <f t="shared" si="35"/>
        <v>296779807</v>
      </c>
      <c r="AE106" s="21" t="str">
        <f t="shared" si="27"/>
        <v>BR_VW_AFS_dv360_DIS_PROG_CPM_STD_LDR_AAF_RON_CXD_After-Sales-Nova-VW-Reg06-LAL-visita_PD_300x50</v>
      </c>
      <c r="AF106" s="21" t="str">
        <f t="shared" si="28"/>
        <v>BR_VW_AFS_dv360_DIS_PROG_CPM_STD_LDR_AAF_RON_CXD_After-Sales-Nova-VW-Reg06-LAL-visita_PD_300x50</v>
      </c>
      <c r="AG106" s="21" t="str">
        <f t="shared" si="29"/>
        <v>VW_After-Sales-LAL-visita_300x50_After-Sales-Nova-VW-Reg06-adserver</v>
      </c>
      <c r="AH106" s="21" t="str">
        <f t="shared" si="30"/>
        <v>https://posvendas.vw.com.br/product/oferta/62?utm_source=dv360&amp;utm_medium=Programmatic&amp;utm_content=BR_VW_AFS_dv360_DIS_PROG_CPM_STD_LDR_AAF_RON_CXD_After-Sales-Nova-VW-Reg06-LAL-visita_PD_300x50&amp;utm_campaign=BR_AAF_DSY_NONMS_ND_AS_2021Q1FEV_AFS_After-Sales&amp;utm_term=%epid!_%ecid!_%eaid!</v>
      </c>
      <c r="AI106" s="21" t="str">
        <f t="shared" si="31"/>
        <v>TAG</v>
      </c>
      <c r="AJ106" s="15" t="str">
        <f t="shared" si="33"/>
        <v>dv360</v>
      </c>
      <c r="AK106" s="15" t="str">
        <f t="shared" si="34"/>
        <v>Programmatic</v>
      </c>
      <c r="AL106" s="21" t="str">
        <f>Campanha!$B$3</f>
        <v>BR_AAF_DSY_NONMS_ND_AS_2021Q1FEV_AFS_After-Sales</v>
      </c>
      <c r="AM106" s="21" t="str">
        <f t="shared" si="32"/>
        <v>BR_VW_AFS_dv360_DIS_PROG_CPM_STD_LDR_AAF_RON_CXD_After-Sales-Nova-VW-Reg06-LAL-visita_PD_300x50</v>
      </c>
      <c r="AN106" s="15" t="s">
        <v>809</v>
      </c>
    </row>
    <row r="107" spans="2:40" hidden="1" x14ac:dyDescent="0.25">
      <c r="B107" s="15" t="s">
        <v>1098</v>
      </c>
      <c r="C107" s="15" t="s">
        <v>1115</v>
      </c>
      <c r="D107" s="15" t="s">
        <v>886</v>
      </c>
      <c r="E107" s="22">
        <v>44246</v>
      </c>
      <c r="F107" s="22">
        <v>44255</v>
      </c>
      <c r="G107" s="31" t="s">
        <v>674</v>
      </c>
      <c r="H107" s="31" t="s">
        <v>811</v>
      </c>
      <c r="I107" s="31" t="s">
        <v>702</v>
      </c>
      <c r="J107" s="31" t="s">
        <v>325</v>
      </c>
      <c r="K107" s="31" t="s">
        <v>334</v>
      </c>
      <c r="L107" s="31" t="s">
        <v>358</v>
      </c>
      <c r="M107" s="31" t="s">
        <v>322</v>
      </c>
      <c r="N107" s="31" t="s">
        <v>708</v>
      </c>
      <c r="O107" s="31" t="s">
        <v>694</v>
      </c>
      <c r="P107" s="15" t="s">
        <v>884</v>
      </c>
      <c r="Q107" s="31" t="s">
        <v>887</v>
      </c>
      <c r="R107" s="15" t="s">
        <v>835</v>
      </c>
      <c r="S107" s="15" t="s">
        <v>348</v>
      </c>
      <c r="T107" s="31" t="s">
        <v>478</v>
      </c>
      <c r="AC107" s="23" t="s">
        <v>885</v>
      </c>
      <c r="AD107" s="15" t="str">
        <f t="shared" si="35"/>
        <v>296613675</v>
      </c>
      <c r="AE107" s="21" t="str">
        <f t="shared" si="27"/>
        <v>BR_VW_AFS_dv360_DIS_PROG_CPM_STD_LDR_AAF_RON_CXD_After-Sales-Nova-VW-Reg06-LAL-visita_PD_300x250</v>
      </c>
      <c r="AF107" s="21" t="str">
        <f t="shared" si="28"/>
        <v>BR_VW_AFS_dv360_DIS_PROG_CPM_STD_LDR_AAF_RON_CXD_After-Sales-Nova-VW-Reg06-LAL-visita_PD_300x250</v>
      </c>
      <c r="AG107" s="21" t="str">
        <f t="shared" si="29"/>
        <v>VW_After-Sales-LAL-visita_300x250_After-Sales-Nova-VW-Reg06-adserver</v>
      </c>
      <c r="AH107" s="21" t="str">
        <f t="shared" si="30"/>
        <v>https://posvendas.vw.com.br/product/oferta/62?utm_source=dv360&amp;utm_medium=Programmatic&amp;utm_content=BR_VW_AFS_dv360_DIS_PROG_CPM_STD_LDR_AAF_RON_CXD_After-Sales-Nova-VW-Reg06-LAL-visita_PD_300x250&amp;utm_campaign=BR_AAF_DSY_NONMS_ND_AS_2021Q1FEV_AFS_After-Sales&amp;utm_term=%epid!_%ecid!_%eaid!</v>
      </c>
      <c r="AI107" s="21" t="str">
        <f t="shared" si="31"/>
        <v>TAG</v>
      </c>
      <c r="AJ107" s="15" t="str">
        <f t="shared" si="33"/>
        <v>dv360</v>
      </c>
      <c r="AK107" s="15" t="str">
        <f t="shared" si="34"/>
        <v>Programmatic</v>
      </c>
      <c r="AL107" s="21" t="str">
        <f>Campanha!$B$3</f>
        <v>BR_AAF_DSY_NONMS_ND_AS_2021Q1FEV_AFS_After-Sales</v>
      </c>
      <c r="AM107" s="21" t="str">
        <f t="shared" si="32"/>
        <v>BR_VW_AFS_dv360_DIS_PROG_CPM_STD_LDR_AAF_RON_CXD_After-Sales-Nova-VW-Reg06-LAL-visita_PD_300x250</v>
      </c>
      <c r="AN107" s="15" t="s">
        <v>809</v>
      </c>
    </row>
    <row r="108" spans="2:40" hidden="1" x14ac:dyDescent="0.25">
      <c r="B108" s="15" t="s">
        <v>1098</v>
      </c>
      <c r="C108" s="15" t="s">
        <v>1115</v>
      </c>
      <c r="D108" s="15" t="s">
        <v>886</v>
      </c>
      <c r="E108" s="22">
        <v>44246</v>
      </c>
      <c r="F108" s="22">
        <v>44255</v>
      </c>
      <c r="G108" s="31" t="s">
        <v>674</v>
      </c>
      <c r="H108" s="31" t="s">
        <v>811</v>
      </c>
      <c r="I108" s="31" t="s">
        <v>702</v>
      </c>
      <c r="J108" s="31" t="s">
        <v>325</v>
      </c>
      <c r="K108" s="31" t="s">
        <v>334</v>
      </c>
      <c r="L108" s="31" t="s">
        <v>358</v>
      </c>
      <c r="M108" s="31" t="s">
        <v>322</v>
      </c>
      <c r="N108" s="31" t="s">
        <v>708</v>
      </c>
      <c r="O108" s="31" t="s">
        <v>694</v>
      </c>
      <c r="P108" s="15" t="s">
        <v>884</v>
      </c>
      <c r="Q108" s="31" t="s">
        <v>887</v>
      </c>
      <c r="R108" s="15" t="s">
        <v>835</v>
      </c>
      <c r="S108" s="15" t="s">
        <v>348</v>
      </c>
      <c r="T108" s="31" t="s">
        <v>614</v>
      </c>
      <c r="AC108" s="23" t="s">
        <v>885</v>
      </c>
      <c r="AD108" s="15" t="str">
        <f t="shared" si="35"/>
        <v>296613669</v>
      </c>
      <c r="AE108" s="21" t="str">
        <f t="shared" si="27"/>
        <v>BR_VW_AFS_dv360_DIS_PROG_CPM_STD_LDR_AAF_RON_CXD_After-Sales-Nova-VW-Reg06-LAL-visita_PD_728x90</v>
      </c>
      <c r="AF108" s="21" t="str">
        <f t="shared" si="28"/>
        <v>BR_VW_AFS_dv360_DIS_PROG_CPM_STD_LDR_AAF_RON_CXD_After-Sales-Nova-VW-Reg06-LAL-visita_PD_728x90</v>
      </c>
      <c r="AG108" s="21" t="str">
        <f t="shared" si="29"/>
        <v>VW_After-Sales-LAL-visita_728x90_After-Sales-Nova-VW-Reg06-adserver</v>
      </c>
      <c r="AH108" s="21" t="str">
        <f t="shared" si="30"/>
        <v>https://posvendas.vw.com.br/product/oferta/62?utm_source=dv360&amp;utm_medium=Programmatic&amp;utm_content=BR_VW_AFS_dv360_DIS_PROG_CPM_STD_LDR_AAF_RON_CXD_After-Sales-Nova-VW-Reg06-LAL-visita_PD_728x90&amp;utm_campaign=BR_AAF_DSY_NONMS_ND_AS_2021Q1FEV_AFS_After-Sales&amp;utm_term=%epid!_%ecid!_%eaid!</v>
      </c>
      <c r="AI108" s="21" t="str">
        <f t="shared" si="31"/>
        <v>TAG</v>
      </c>
      <c r="AJ108" s="15" t="str">
        <f t="shared" si="33"/>
        <v>dv360</v>
      </c>
      <c r="AK108" s="15" t="str">
        <f t="shared" si="34"/>
        <v>Programmatic</v>
      </c>
      <c r="AL108" s="21" t="str">
        <f>Campanha!$B$3</f>
        <v>BR_AAF_DSY_NONMS_ND_AS_2021Q1FEV_AFS_After-Sales</v>
      </c>
      <c r="AM108" s="21" t="str">
        <f t="shared" si="32"/>
        <v>BR_VW_AFS_dv360_DIS_PROG_CPM_STD_LDR_AAF_RON_CXD_After-Sales-Nova-VW-Reg06-LAL-visita_PD_728x90</v>
      </c>
      <c r="AN108" s="15" t="s">
        <v>809</v>
      </c>
    </row>
    <row r="109" spans="2:40" hidden="1" x14ac:dyDescent="0.25">
      <c r="B109" s="15" t="s">
        <v>1098</v>
      </c>
      <c r="C109" s="15" t="s">
        <v>1115</v>
      </c>
      <c r="D109" s="15" t="s">
        <v>886</v>
      </c>
      <c r="E109" s="22">
        <v>44246</v>
      </c>
      <c r="F109" s="22">
        <v>44255</v>
      </c>
      <c r="G109" s="31" t="s">
        <v>674</v>
      </c>
      <c r="H109" s="31" t="s">
        <v>811</v>
      </c>
      <c r="I109" s="31" t="s">
        <v>702</v>
      </c>
      <c r="J109" s="31" t="s">
        <v>325</v>
      </c>
      <c r="K109" s="31" t="s">
        <v>334</v>
      </c>
      <c r="L109" s="31" t="s">
        <v>358</v>
      </c>
      <c r="M109" s="31" t="s">
        <v>322</v>
      </c>
      <c r="N109" s="31" t="s">
        <v>708</v>
      </c>
      <c r="O109" s="31" t="s">
        <v>694</v>
      </c>
      <c r="P109" s="15" t="s">
        <v>884</v>
      </c>
      <c r="Q109" s="31" t="s">
        <v>887</v>
      </c>
      <c r="R109" s="15" t="s">
        <v>835</v>
      </c>
      <c r="S109" s="15" t="s">
        <v>348</v>
      </c>
      <c r="T109" s="31" t="s">
        <v>652</v>
      </c>
      <c r="AC109" s="23" t="s">
        <v>885</v>
      </c>
      <c r="AD109" s="15" t="str">
        <f t="shared" si="35"/>
        <v>296613663</v>
      </c>
      <c r="AE109" s="21" t="str">
        <f t="shared" si="27"/>
        <v>BR_VW_AFS_dv360_DIS_PROG_CPM_STD_LDR_AAF_RON_CXD_After-Sales-Nova-VW-Reg06-LAL-visita_PD_970x250</v>
      </c>
      <c r="AF109" s="21" t="str">
        <f t="shared" si="28"/>
        <v>BR_VW_AFS_dv360_DIS_PROG_CPM_STD_LDR_AAF_RON_CXD_After-Sales-Nova-VW-Reg06-LAL-visita_PD_970x250</v>
      </c>
      <c r="AG109" s="21" t="str">
        <f t="shared" si="29"/>
        <v>VW_After-Sales-LAL-visita_970x250_After-Sales-Nova-VW-Reg06-adserver</v>
      </c>
      <c r="AH109" s="21" t="str">
        <f t="shared" si="30"/>
        <v>https://posvendas.vw.com.br/product/oferta/62?utm_source=dv360&amp;utm_medium=Programmatic&amp;utm_content=BR_VW_AFS_dv360_DIS_PROG_CPM_STD_LDR_AAF_RON_CXD_After-Sales-Nova-VW-Reg06-LAL-visita_PD_970x250&amp;utm_campaign=BR_AAF_DSY_NONMS_ND_AS_2021Q1FEV_AFS_After-Sales&amp;utm_term=%epid!_%ecid!_%eaid!</v>
      </c>
      <c r="AI109" s="21" t="str">
        <f t="shared" si="31"/>
        <v>TAG</v>
      </c>
      <c r="AJ109" s="15" t="str">
        <f t="shared" si="33"/>
        <v>dv360</v>
      </c>
      <c r="AK109" s="15" t="str">
        <f t="shared" si="34"/>
        <v>Programmatic</v>
      </c>
      <c r="AL109" s="21" t="str">
        <f>Campanha!$B$3</f>
        <v>BR_AAF_DSY_NONMS_ND_AS_2021Q1FEV_AFS_After-Sales</v>
      </c>
      <c r="AM109" s="21" t="str">
        <f t="shared" si="32"/>
        <v>BR_VW_AFS_dv360_DIS_PROG_CPM_STD_LDR_AAF_RON_CXD_After-Sales-Nova-VW-Reg06-LAL-visita_PD_970x250</v>
      </c>
      <c r="AN109" s="15" t="s">
        <v>809</v>
      </c>
    </row>
    <row r="110" spans="2:40" hidden="1" x14ac:dyDescent="0.25">
      <c r="B110" s="15" t="s">
        <v>1098</v>
      </c>
      <c r="C110" s="15" t="s">
        <v>1115</v>
      </c>
      <c r="D110" s="15" t="s">
        <v>886</v>
      </c>
      <c r="E110" s="22">
        <v>44246</v>
      </c>
      <c r="F110" s="22">
        <v>44255</v>
      </c>
      <c r="G110" s="31" t="s">
        <v>674</v>
      </c>
      <c r="H110" s="31" t="s">
        <v>811</v>
      </c>
      <c r="I110" s="31" t="s">
        <v>702</v>
      </c>
      <c r="J110" s="31" t="s">
        <v>325</v>
      </c>
      <c r="K110" s="31" t="s">
        <v>334</v>
      </c>
      <c r="L110" s="31" t="s">
        <v>358</v>
      </c>
      <c r="M110" s="31" t="s">
        <v>322</v>
      </c>
      <c r="N110" s="31" t="s">
        <v>708</v>
      </c>
      <c r="O110" s="31" t="s">
        <v>694</v>
      </c>
      <c r="P110" s="15" t="s">
        <v>884</v>
      </c>
      <c r="Q110" s="31" t="s">
        <v>850</v>
      </c>
      <c r="R110" s="15" t="s">
        <v>835</v>
      </c>
      <c r="S110" s="15" t="s">
        <v>348</v>
      </c>
      <c r="T110" s="31" t="s">
        <v>457</v>
      </c>
      <c r="AC110" s="23" t="s">
        <v>885</v>
      </c>
      <c r="AD110" s="15" t="str">
        <f t="shared" si="35"/>
        <v>296613657</v>
      </c>
      <c r="AE110" s="21" t="str">
        <f t="shared" si="27"/>
        <v>BR_VW_AFS_dv360_DIS_PROG_CPM_STD_LDR_AAF_RON_CXD_After-Sales-Nova-VW-Reg06-LAL-Lead_PD_160x600</v>
      </c>
      <c r="AF110" s="21" t="str">
        <f t="shared" si="28"/>
        <v>BR_VW_AFS_dv360_DIS_PROG_CPM_STD_LDR_AAF_RON_CXD_After-Sales-Nova-VW-Reg06-LAL-Lead_PD_160x600</v>
      </c>
      <c r="AG110" s="21" t="str">
        <f t="shared" si="29"/>
        <v>VW_After-Sales-LAL-Lead_160x600_After-Sales-Nova-VW-Reg06-adserver</v>
      </c>
      <c r="AH110" s="21" t="str">
        <f t="shared" si="30"/>
        <v>https://posvendas.vw.com.br/product/oferta/62?utm_source=dv360&amp;utm_medium=Programmatic&amp;utm_content=BR_VW_AFS_dv360_DIS_PROG_CPM_STD_LDR_AAF_RON_CXD_After-Sales-Nova-VW-Reg06-LAL-Lead_PD_160x600&amp;utm_campaign=BR_AAF_DSY_NONMS_ND_AS_2021Q1FEV_AFS_After-Sales&amp;utm_term=%epid!_%ecid!_%eaid!</v>
      </c>
      <c r="AI110" s="21" t="str">
        <f t="shared" si="31"/>
        <v>TAG</v>
      </c>
      <c r="AJ110" s="15" t="str">
        <f t="shared" si="33"/>
        <v>dv360</v>
      </c>
      <c r="AK110" s="15" t="str">
        <f t="shared" si="34"/>
        <v>Programmatic</v>
      </c>
      <c r="AL110" s="21" t="str">
        <f>Campanha!$B$3</f>
        <v>BR_AAF_DSY_NONMS_ND_AS_2021Q1FEV_AFS_After-Sales</v>
      </c>
      <c r="AM110" s="21" t="str">
        <f t="shared" si="32"/>
        <v>BR_VW_AFS_dv360_DIS_PROG_CPM_STD_LDR_AAF_RON_CXD_After-Sales-Nova-VW-Reg06-LAL-Lead_PD_160x600</v>
      </c>
      <c r="AN110" s="15" t="s">
        <v>809</v>
      </c>
    </row>
    <row r="111" spans="2:40" hidden="1" x14ac:dyDescent="0.25">
      <c r="B111" s="15" t="s">
        <v>1098</v>
      </c>
      <c r="C111" s="15" t="s">
        <v>1115</v>
      </c>
      <c r="D111" s="15" t="s">
        <v>886</v>
      </c>
      <c r="E111" s="22">
        <v>44246</v>
      </c>
      <c r="F111" s="22">
        <v>44255</v>
      </c>
      <c r="G111" s="31" t="s">
        <v>674</v>
      </c>
      <c r="H111" s="31" t="s">
        <v>811</v>
      </c>
      <c r="I111" s="31" t="s">
        <v>702</v>
      </c>
      <c r="J111" s="31" t="s">
        <v>325</v>
      </c>
      <c r="K111" s="31" t="s">
        <v>334</v>
      </c>
      <c r="L111" s="31" t="s">
        <v>358</v>
      </c>
      <c r="M111" s="31" t="s">
        <v>322</v>
      </c>
      <c r="N111" s="31" t="s">
        <v>708</v>
      </c>
      <c r="O111" s="31" t="s">
        <v>694</v>
      </c>
      <c r="P111" s="15" t="s">
        <v>884</v>
      </c>
      <c r="Q111" s="31" t="s">
        <v>850</v>
      </c>
      <c r="R111" s="15" t="s">
        <v>835</v>
      </c>
      <c r="S111" s="15" t="s">
        <v>348</v>
      </c>
      <c r="T111" s="31" t="s">
        <v>484</v>
      </c>
      <c r="AC111" s="23" t="s">
        <v>885</v>
      </c>
      <c r="AD111" s="15" t="str">
        <f t="shared" si="35"/>
        <v>296613651</v>
      </c>
      <c r="AE111" s="21" t="str">
        <f t="shared" si="27"/>
        <v>BR_VW_AFS_dv360_DIS_PROG_CPM_STD_LDR_AAF_RON_CXD_After-Sales-Nova-VW-Reg06-LAL-Lead_PD_300x50</v>
      </c>
      <c r="AF111" s="21" t="str">
        <f t="shared" si="28"/>
        <v>BR_VW_AFS_dv360_DIS_PROG_CPM_STD_LDR_AAF_RON_CXD_After-Sales-Nova-VW-Reg06-LAL-Lead_PD_300x50</v>
      </c>
      <c r="AG111" s="21" t="str">
        <f t="shared" si="29"/>
        <v>VW_After-Sales-LAL-Lead_300x50_After-Sales-Nova-VW-Reg06-adserver</v>
      </c>
      <c r="AH111" s="21" t="str">
        <f t="shared" si="30"/>
        <v>https://posvendas.vw.com.br/product/oferta/62?utm_source=dv360&amp;utm_medium=Programmatic&amp;utm_content=BR_VW_AFS_dv360_DIS_PROG_CPM_STD_LDR_AAF_RON_CXD_After-Sales-Nova-VW-Reg06-LAL-Lead_PD_300x50&amp;utm_campaign=BR_AAF_DSY_NONMS_ND_AS_2021Q1FEV_AFS_After-Sales&amp;utm_term=%epid!_%ecid!_%eaid!</v>
      </c>
      <c r="AI111" s="21" t="str">
        <f t="shared" si="31"/>
        <v>TAG</v>
      </c>
      <c r="AJ111" s="15" t="str">
        <f t="shared" si="33"/>
        <v>dv360</v>
      </c>
      <c r="AK111" s="15" t="str">
        <f t="shared" si="34"/>
        <v>Programmatic</v>
      </c>
      <c r="AL111" s="21" t="str">
        <f>Campanha!$B$3</f>
        <v>BR_AAF_DSY_NONMS_ND_AS_2021Q1FEV_AFS_After-Sales</v>
      </c>
      <c r="AM111" s="21" t="str">
        <f t="shared" si="32"/>
        <v>BR_VW_AFS_dv360_DIS_PROG_CPM_STD_LDR_AAF_RON_CXD_After-Sales-Nova-VW-Reg06-LAL-Lead_PD_300x50</v>
      </c>
      <c r="AN111" s="15" t="s">
        <v>809</v>
      </c>
    </row>
    <row r="112" spans="2:40" hidden="1" x14ac:dyDescent="0.25">
      <c r="B112" s="15" t="s">
        <v>1098</v>
      </c>
      <c r="C112" s="15" t="s">
        <v>1115</v>
      </c>
      <c r="D112" s="15" t="s">
        <v>886</v>
      </c>
      <c r="E112" s="22">
        <v>44246</v>
      </c>
      <c r="F112" s="22">
        <v>44255</v>
      </c>
      <c r="G112" s="31" t="s">
        <v>674</v>
      </c>
      <c r="H112" s="31" t="s">
        <v>811</v>
      </c>
      <c r="I112" s="31" t="s">
        <v>702</v>
      </c>
      <c r="J112" s="31" t="s">
        <v>325</v>
      </c>
      <c r="K112" s="31" t="s">
        <v>334</v>
      </c>
      <c r="L112" s="31" t="s">
        <v>358</v>
      </c>
      <c r="M112" s="31" t="s">
        <v>322</v>
      </c>
      <c r="N112" s="31" t="s">
        <v>708</v>
      </c>
      <c r="O112" s="31" t="s">
        <v>694</v>
      </c>
      <c r="P112" s="15" t="s">
        <v>884</v>
      </c>
      <c r="Q112" s="31" t="s">
        <v>850</v>
      </c>
      <c r="R112" s="15" t="s">
        <v>835</v>
      </c>
      <c r="S112" s="15" t="s">
        <v>348</v>
      </c>
      <c r="T112" s="31" t="s">
        <v>478</v>
      </c>
      <c r="AC112" s="23" t="s">
        <v>885</v>
      </c>
      <c r="AD112" s="15" t="str">
        <f t="shared" si="35"/>
        <v>296613645</v>
      </c>
      <c r="AE112" s="21" t="str">
        <f t="shared" si="27"/>
        <v>BR_VW_AFS_dv360_DIS_PROG_CPM_STD_LDR_AAF_RON_CXD_After-Sales-Nova-VW-Reg06-LAL-Lead_PD_300x250</v>
      </c>
      <c r="AF112" s="21" t="str">
        <f t="shared" si="28"/>
        <v>BR_VW_AFS_dv360_DIS_PROG_CPM_STD_LDR_AAF_RON_CXD_After-Sales-Nova-VW-Reg06-LAL-Lead_PD_300x250</v>
      </c>
      <c r="AG112" s="21" t="str">
        <f t="shared" si="29"/>
        <v>VW_After-Sales-LAL-Lead_300x250_After-Sales-Nova-VW-Reg06-adserver</v>
      </c>
      <c r="AH112" s="21" t="str">
        <f t="shared" si="30"/>
        <v>https://posvendas.vw.com.br/product/oferta/62?utm_source=dv360&amp;utm_medium=Programmatic&amp;utm_content=BR_VW_AFS_dv360_DIS_PROG_CPM_STD_LDR_AAF_RON_CXD_After-Sales-Nova-VW-Reg06-LAL-Lead_PD_300x250&amp;utm_campaign=BR_AAF_DSY_NONMS_ND_AS_2021Q1FEV_AFS_After-Sales&amp;utm_term=%epid!_%ecid!_%eaid!</v>
      </c>
      <c r="AI112" s="21" t="str">
        <f t="shared" si="31"/>
        <v>TAG</v>
      </c>
      <c r="AJ112" s="15" t="str">
        <f t="shared" si="33"/>
        <v>dv360</v>
      </c>
      <c r="AK112" s="15" t="str">
        <f t="shared" si="34"/>
        <v>Programmatic</v>
      </c>
      <c r="AL112" s="21" t="str">
        <f>Campanha!$B$3</f>
        <v>BR_AAF_DSY_NONMS_ND_AS_2021Q1FEV_AFS_After-Sales</v>
      </c>
      <c r="AM112" s="21" t="str">
        <f t="shared" si="32"/>
        <v>BR_VW_AFS_dv360_DIS_PROG_CPM_STD_LDR_AAF_RON_CXD_After-Sales-Nova-VW-Reg06-LAL-Lead_PD_300x250</v>
      </c>
      <c r="AN112" s="15" t="s">
        <v>809</v>
      </c>
    </row>
    <row r="113" spans="2:40" hidden="1" x14ac:dyDescent="0.25">
      <c r="B113" s="15" t="s">
        <v>1098</v>
      </c>
      <c r="C113" s="15" t="s">
        <v>1115</v>
      </c>
      <c r="D113" s="15" t="s">
        <v>886</v>
      </c>
      <c r="E113" s="22">
        <v>44246</v>
      </c>
      <c r="F113" s="22">
        <v>44255</v>
      </c>
      <c r="G113" s="31" t="s">
        <v>674</v>
      </c>
      <c r="H113" s="31" t="s">
        <v>811</v>
      </c>
      <c r="I113" s="31" t="s">
        <v>702</v>
      </c>
      <c r="J113" s="31" t="s">
        <v>325</v>
      </c>
      <c r="K113" s="31" t="s">
        <v>334</v>
      </c>
      <c r="L113" s="31" t="s">
        <v>358</v>
      </c>
      <c r="M113" s="31" t="s">
        <v>322</v>
      </c>
      <c r="N113" s="31" t="s">
        <v>708</v>
      </c>
      <c r="O113" s="31" t="s">
        <v>694</v>
      </c>
      <c r="P113" s="15" t="s">
        <v>884</v>
      </c>
      <c r="Q113" s="31" t="s">
        <v>850</v>
      </c>
      <c r="R113" s="15" t="s">
        <v>835</v>
      </c>
      <c r="S113" s="15" t="s">
        <v>348</v>
      </c>
      <c r="T113" s="31" t="s">
        <v>614</v>
      </c>
      <c r="AC113" s="23" t="s">
        <v>885</v>
      </c>
      <c r="AD113" s="15" t="str">
        <f t="shared" si="35"/>
        <v>296613639</v>
      </c>
      <c r="AE113" s="21" t="str">
        <f t="shared" si="27"/>
        <v>BR_VW_AFS_dv360_DIS_PROG_CPM_STD_LDR_AAF_RON_CXD_After-Sales-Nova-VW-Reg06-LAL-Lead_PD_728x90</v>
      </c>
      <c r="AF113" s="21" t="str">
        <f t="shared" si="28"/>
        <v>BR_VW_AFS_dv360_DIS_PROG_CPM_STD_LDR_AAF_RON_CXD_After-Sales-Nova-VW-Reg06-LAL-Lead_PD_728x90</v>
      </c>
      <c r="AG113" s="21" t="str">
        <f t="shared" si="29"/>
        <v>VW_After-Sales-LAL-Lead_728x90_After-Sales-Nova-VW-Reg06-adserver</v>
      </c>
      <c r="AH113" s="21" t="str">
        <f t="shared" si="30"/>
        <v>https://posvendas.vw.com.br/product/oferta/62?utm_source=dv360&amp;utm_medium=Programmatic&amp;utm_content=BR_VW_AFS_dv360_DIS_PROG_CPM_STD_LDR_AAF_RON_CXD_After-Sales-Nova-VW-Reg06-LAL-Lead_PD_728x90&amp;utm_campaign=BR_AAF_DSY_NONMS_ND_AS_2021Q1FEV_AFS_After-Sales&amp;utm_term=%epid!_%ecid!_%eaid!</v>
      </c>
      <c r="AI113" s="21" t="str">
        <f t="shared" si="31"/>
        <v>TAG</v>
      </c>
      <c r="AJ113" s="15" t="str">
        <f t="shared" si="33"/>
        <v>dv360</v>
      </c>
      <c r="AK113" s="15" t="str">
        <f t="shared" si="34"/>
        <v>Programmatic</v>
      </c>
      <c r="AL113" s="21" t="str">
        <f>Campanha!$B$3</f>
        <v>BR_AAF_DSY_NONMS_ND_AS_2021Q1FEV_AFS_After-Sales</v>
      </c>
      <c r="AM113" s="21" t="str">
        <f t="shared" si="32"/>
        <v>BR_VW_AFS_dv360_DIS_PROG_CPM_STD_LDR_AAF_RON_CXD_After-Sales-Nova-VW-Reg06-LAL-Lead_PD_728x90</v>
      </c>
      <c r="AN113" s="15" t="s">
        <v>809</v>
      </c>
    </row>
    <row r="114" spans="2:40" hidden="1" x14ac:dyDescent="0.25">
      <c r="B114" s="15" t="s">
        <v>1098</v>
      </c>
      <c r="C114" s="15" t="s">
        <v>1115</v>
      </c>
      <c r="D114" s="15" t="s">
        <v>886</v>
      </c>
      <c r="E114" s="22">
        <v>44246</v>
      </c>
      <c r="F114" s="22">
        <v>44255</v>
      </c>
      <c r="G114" s="31" t="s">
        <v>674</v>
      </c>
      <c r="H114" s="31" t="s">
        <v>811</v>
      </c>
      <c r="I114" s="31" t="s">
        <v>702</v>
      </c>
      <c r="J114" s="31" t="s">
        <v>325</v>
      </c>
      <c r="K114" s="31" t="s">
        <v>334</v>
      </c>
      <c r="L114" s="31" t="s">
        <v>358</v>
      </c>
      <c r="M114" s="31" t="s">
        <v>322</v>
      </c>
      <c r="N114" s="31" t="s">
        <v>708</v>
      </c>
      <c r="O114" s="31" t="s">
        <v>694</v>
      </c>
      <c r="P114" s="15" t="s">
        <v>884</v>
      </c>
      <c r="Q114" s="31" t="s">
        <v>850</v>
      </c>
      <c r="R114" s="15" t="s">
        <v>835</v>
      </c>
      <c r="S114" s="15" t="s">
        <v>348</v>
      </c>
      <c r="T114" s="31" t="s">
        <v>652</v>
      </c>
      <c r="AC114" s="23" t="s">
        <v>885</v>
      </c>
      <c r="AD114" s="15" t="str">
        <f t="shared" si="35"/>
        <v>296613633</v>
      </c>
      <c r="AE114" s="21" t="str">
        <f t="shared" si="27"/>
        <v>BR_VW_AFS_dv360_DIS_PROG_CPM_STD_LDR_AAF_RON_CXD_After-Sales-Nova-VW-Reg06-LAL-Lead_PD_970x250</v>
      </c>
      <c r="AF114" s="21" t="str">
        <f t="shared" si="28"/>
        <v>BR_VW_AFS_dv360_DIS_PROG_CPM_STD_LDR_AAF_RON_CXD_After-Sales-Nova-VW-Reg06-LAL-Lead_PD_970x250</v>
      </c>
      <c r="AG114" s="21" t="str">
        <f t="shared" si="29"/>
        <v>VW_After-Sales-LAL-Lead_970x250_After-Sales-Nova-VW-Reg06-adserver</v>
      </c>
      <c r="AH114" s="21" t="str">
        <f t="shared" si="30"/>
        <v>https://posvendas.vw.com.br/product/oferta/62?utm_source=dv360&amp;utm_medium=Programmatic&amp;utm_content=BR_VW_AFS_dv360_DIS_PROG_CPM_STD_LDR_AAF_RON_CXD_After-Sales-Nova-VW-Reg06-LAL-Lead_PD_970x250&amp;utm_campaign=BR_AAF_DSY_NONMS_ND_AS_2021Q1FEV_AFS_After-Sales&amp;utm_term=%epid!_%ecid!_%eaid!</v>
      </c>
      <c r="AI114" s="21" t="str">
        <f t="shared" si="31"/>
        <v>TAG</v>
      </c>
      <c r="AJ114" s="15" t="str">
        <f t="shared" si="33"/>
        <v>dv360</v>
      </c>
      <c r="AK114" s="15" t="str">
        <f t="shared" si="34"/>
        <v>Programmatic</v>
      </c>
      <c r="AL114" s="21" t="str">
        <f>Campanha!$B$3</f>
        <v>BR_AAF_DSY_NONMS_ND_AS_2021Q1FEV_AFS_After-Sales</v>
      </c>
      <c r="AM114" s="21" t="str">
        <f t="shared" si="32"/>
        <v>BR_VW_AFS_dv360_DIS_PROG_CPM_STD_LDR_AAF_RON_CXD_After-Sales-Nova-VW-Reg06-LAL-Lead_PD_970x250</v>
      </c>
      <c r="AN114" s="15" t="s">
        <v>809</v>
      </c>
    </row>
    <row r="115" spans="2:40" hidden="1" x14ac:dyDescent="0.25">
      <c r="B115" s="15" t="s">
        <v>1098</v>
      </c>
      <c r="C115" s="15" t="s">
        <v>1115</v>
      </c>
      <c r="D115" s="15" t="s">
        <v>886</v>
      </c>
      <c r="E115" s="22">
        <v>44246</v>
      </c>
      <c r="F115" s="22">
        <v>44255</v>
      </c>
      <c r="G115" s="31" t="s">
        <v>674</v>
      </c>
      <c r="H115" s="31" t="s">
        <v>811</v>
      </c>
      <c r="I115" s="31" t="s">
        <v>702</v>
      </c>
      <c r="J115" s="31" t="s">
        <v>325</v>
      </c>
      <c r="K115" s="31" t="s">
        <v>334</v>
      </c>
      <c r="L115" s="31" t="s">
        <v>358</v>
      </c>
      <c r="M115" s="31" t="s">
        <v>322</v>
      </c>
      <c r="N115" s="31" t="s">
        <v>708</v>
      </c>
      <c r="O115" s="31" t="s">
        <v>694</v>
      </c>
      <c r="P115" s="15" t="s">
        <v>884</v>
      </c>
      <c r="Q115" s="31" t="s">
        <v>849</v>
      </c>
      <c r="R115" s="15" t="s">
        <v>835</v>
      </c>
      <c r="S115" s="15" t="s">
        <v>348</v>
      </c>
      <c r="T115" s="31" t="s">
        <v>457</v>
      </c>
      <c r="AC115" s="23" t="s">
        <v>885</v>
      </c>
      <c r="AD115" s="15" t="str">
        <f t="shared" si="35"/>
        <v>296613627</v>
      </c>
      <c r="AE115" s="21" t="str">
        <f t="shared" si="27"/>
        <v>BR_VW_AFS_dv360_DIS_PROG_CPM_STD_LDR_AAF_RON_CXD_After-Sales-Nova-VW-Reg06-LAL-Addtocart_PD_160x600</v>
      </c>
      <c r="AF115" s="21" t="str">
        <f t="shared" si="28"/>
        <v>BR_VW_AFS_dv360_DIS_PROG_CPM_STD_LDR_AAF_RON_CXD_After-Sales-Nova-VW-Reg06-LAL-Addtocart_PD_160x600</v>
      </c>
      <c r="AG115" s="21" t="str">
        <f t="shared" si="29"/>
        <v>VW_After-Sales-LAL-Addtocart_160x600_After-Sales-Nova-VW-Reg06-adserver</v>
      </c>
      <c r="AH115" s="21" t="str">
        <f t="shared" si="30"/>
        <v>https://posvendas.vw.com.br/product/oferta/62?utm_source=dv360&amp;utm_medium=Programmatic&amp;utm_content=BR_VW_AFS_dv360_DIS_PROG_CPM_STD_LDR_AAF_RON_CXD_After-Sales-Nova-VW-Reg06-LAL-Addtocart_PD_160x600&amp;utm_campaign=BR_AAF_DSY_NONMS_ND_AS_2021Q1FEV_AFS_After-Sales&amp;utm_term=%epid!_%ecid!_%eaid!</v>
      </c>
      <c r="AI115" s="21" t="str">
        <f t="shared" si="31"/>
        <v>TAG</v>
      </c>
      <c r="AJ115" s="15" t="str">
        <f t="shared" si="33"/>
        <v>dv360</v>
      </c>
      <c r="AK115" s="15" t="str">
        <f t="shared" si="34"/>
        <v>Programmatic</v>
      </c>
      <c r="AL115" s="21" t="str">
        <f>Campanha!$B$3</f>
        <v>BR_AAF_DSY_NONMS_ND_AS_2021Q1FEV_AFS_After-Sales</v>
      </c>
      <c r="AM115" s="21" t="str">
        <f t="shared" si="32"/>
        <v>BR_VW_AFS_dv360_DIS_PROG_CPM_STD_LDR_AAF_RON_CXD_After-Sales-Nova-VW-Reg06-LAL-Addtocart_PD_160x600</v>
      </c>
      <c r="AN115" s="15" t="s">
        <v>809</v>
      </c>
    </row>
    <row r="116" spans="2:40" hidden="1" x14ac:dyDescent="0.25">
      <c r="B116" s="15" t="s">
        <v>1098</v>
      </c>
      <c r="C116" s="15" t="s">
        <v>1115</v>
      </c>
      <c r="D116" s="15" t="s">
        <v>886</v>
      </c>
      <c r="E116" s="22">
        <v>44246</v>
      </c>
      <c r="F116" s="22">
        <v>44255</v>
      </c>
      <c r="G116" s="31" t="s">
        <v>674</v>
      </c>
      <c r="H116" s="31" t="s">
        <v>811</v>
      </c>
      <c r="I116" s="31" t="s">
        <v>702</v>
      </c>
      <c r="J116" s="31" t="s">
        <v>325</v>
      </c>
      <c r="K116" s="31" t="s">
        <v>334</v>
      </c>
      <c r="L116" s="31" t="s">
        <v>358</v>
      </c>
      <c r="M116" s="31" t="s">
        <v>322</v>
      </c>
      <c r="N116" s="31" t="s">
        <v>708</v>
      </c>
      <c r="O116" s="31" t="s">
        <v>694</v>
      </c>
      <c r="P116" s="15" t="s">
        <v>884</v>
      </c>
      <c r="Q116" s="31" t="s">
        <v>849</v>
      </c>
      <c r="R116" s="15" t="s">
        <v>835</v>
      </c>
      <c r="S116" s="15" t="s">
        <v>348</v>
      </c>
      <c r="T116" s="31" t="s">
        <v>484</v>
      </c>
      <c r="AC116" s="23" t="s">
        <v>885</v>
      </c>
      <c r="AD116" s="15" t="str">
        <f t="shared" si="35"/>
        <v>296779882</v>
      </c>
      <c r="AE116" s="21" t="str">
        <f t="shared" si="27"/>
        <v>BR_VW_AFS_dv360_DIS_PROG_CPM_STD_LDR_AAF_RON_CXD_After-Sales-Nova-VW-Reg06-LAL-Addtocart_PD_300x50</v>
      </c>
      <c r="AF116" s="21" t="str">
        <f t="shared" si="28"/>
        <v>BR_VW_AFS_dv360_DIS_PROG_CPM_STD_LDR_AAF_RON_CXD_After-Sales-Nova-VW-Reg06-LAL-Addtocart_PD_300x50</v>
      </c>
      <c r="AG116" s="21" t="str">
        <f t="shared" si="29"/>
        <v>VW_After-Sales-LAL-Addtocart_300x50_After-Sales-Nova-VW-Reg06-adserver</v>
      </c>
      <c r="AH116" s="21" t="str">
        <f t="shared" si="30"/>
        <v>https://posvendas.vw.com.br/product/oferta/62?utm_source=dv360&amp;utm_medium=Programmatic&amp;utm_content=BR_VW_AFS_dv360_DIS_PROG_CPM_STD_LDR_AAF_RON_CXD_After-Sales-Nova-VW-Reg06-LAL-Addtocart_PD_300x50&amp;utm_campaign=BR_AAF_DSY_NONMS_ND_AS_2021Q1FEV_AFS_After-Sales&amp;utm_term=%epid!_%ecid!_%eaid!</v>
      </c>
      <c r="AI116" s="21" t="str">
        <f t="shared" si="31"/>
        <v>TAG</v>
      </c>
      <c r="AJ116" s="15" t="str">
        <f t="shared" si="33"/>
        <v>dv360</v>
      </c>
      <c r="AK116" s="15" t="str">
        <f t="shared" si="34"/>
        <v>Programmatic</v>
      </c>
      <c r="AL116" s="21" t="str">
        <f>Campanha!$B$3</f>
        <v>BR_AAF_DSY_NONMS_ND_AS_2021Q1FEV_AFS_After-Sales</v>
      </c>
      <c r="AM116" s="21" t="str">
        <f t="shared" si="32"/>
        <v>BR_VW_AFS_dv360_DIS_PROG_CPM_STD_LDR_AAF_RON_CXD_After-Sales-Nova-VW-Reg06-LAL-Addtocart_PD_300x50</v>
      </c>
      <c r="AN116" s="15" t="s">
        <v>809</v>
      </c>
    </row>
    <row r="117" spans="2:40" hidden="1" x14ac:dyDescent="0.25">
      <c r="B117" s="15" t="s">
        <v>1098</v>
      </c>
      <c r="C117" s="15" t="s">
        <v>1115</v>
      </c>
      <c r="D117" s="15" t="s">
        <v>886</v>
      </c>
      <c r="E117" s="22">
        <v>44246</v>
      </c>
      <c r="F117" s="22">
        <v>44255</v>
      </c>
      <c r="G117" s="31" t="s">
        <v>674</v>
      </c>
      <c r="H117" s="31" t="s">
        <v>811</v>
      </c>
      <c r="I117" s="31" t="s">
        <v>702</v>
      </c>
      <c r="J117" s="31" t="s">
        <v>325</v>
      </c>
      <c r="K117" s="31" t="s">
        <v>334</v>
      </c>
      <c r="L117" s="31" t="s">
        <v>358</v>
      </c>
      <c r="M117" s="31" t="s">
        <v>322</v>
      </c>
      <c r="N117" s="31" t="s">
        <v>708</v>
      </c>
      <c r="O117" s="31" t="s">
        <v>694</v>
      </c>
      <c r="P117" s="15" t="s">
        <v>884</v>
      </c>
      <c r="Q117" s="31" t="s">
        <v>849</v>
      </c>
      <c r="R117" s="15" t="s">
        <v>835</v>
      </c>
      <c r="S117" s="15" t="s">
        <v>348</v>
      </c>
      <c r="T117" s="31" t="s">
        <v>478</v>
      </c>
      <c r="AC117" s="23" t="s">
        <v>885</v>
      </c>
      <c r="AD117" s="15" t="str">
        <f t="shared" si="35"/>
        <v>296779876</v>
      </c>
      <c r="AE117" s="21" t="str">
        <f t="shared" si="27"/>
        <v>BR_VW_AFS_dv360_DIS_PROG_CPM_STD_LDR_AAF_RON_CXD_After-Sales-Nova-VW-Reg06-LAL-Addtocart_PD_300x250</v>
      </c>
      <c r="AF117" s="21" t="str">
        <f t="shared" si="28"/>
        <v>BR_VW_AFS_dv360_DIS_PROG_CPM_STD_LDR_AAF_RON_CXD_After-Sales-Nova-VW-Reg06-LAL-Addtocart_PD_300x250</v>
      </c>
      <c r="AG117" s="21" t="str">
        <f t="shared" si="29"/>
        <v>VW_After-Sales-LAL-Addtocart_300x250_After-Sales-Nova-VW-Reg06-adserver</v>
      </c>
      <c r="AH117" s="21" t="str">
        <f t="shared" si="30"/>
        <v>https://posvendas.vw.com.br/product/oferta/62?utm_source=dv360&amp;utm_medium=Programmatic&amp;utm_content=BR_VW_AFS_dv360_DIS_PROG_CPM_STD_LDR_AAF_RON_CXD_After-Sales-Nova-VW-Reg06-LAL-Addtocart_PD_300x250&amp;utm_campaign=BR_AAF_DSY_NONMS_ND_AS_2021Q1FEV_AFS_After-Sales&amp;utm_term=%epid!_%ecid!_%eaid!</v>
      </c>
      <c r="AI117" s="21" t="str">
        <f t="shared" si="31"/>
        <v>TAG</v>
      </c>
      <c r="AJ117" s="15" t="str">
        <f t="shared" si="33"/>
        <v>dv360</v>
      </c>
      <c r="AK117" s="15" t="str">
        <f t="shared" si="34"/>
        <v>Programmatic</v>
      </c>
      <c r="AL117" s="21" t="str">
        <f>Campanha!$B$3</f>
        <v>BR_AAF_DSY_NONMS_ND_AS_2021Q1FEV_AFS_After-Sales</v>
      </c>
      <c r="AM117" s="21" t="str">
        <f t="shared" si="32"/>
        <v>BR_VW_AFS_dv360_DIS_PROG_CPM_STD_LDR_AAF_RON_CXD_After-Sales-Nova-VW-Reg06-LAL-Addtocart_PD_300x250</v>
      </c>
      <c r="AN117" s="15" t="s">
        <v>809</v>
      </c>
    </row>
    <row r="118" spans="2:40" hidden="1" x14ac:dyDescent="0.25">
      <c r="B118" s="15" t="s">
        <v>1098</v>
      </c>
      <c r="C118" s="15" t="s">
        <v>1115</v>
      </c>
      <c r="D118" s="15" t="s">
        <v>886</v>
      </c>
      <c r="E118" s="22">
        <v>44246</v>
      </c>
      <c r="F118" s="22">
        <v>44255</v>
      </c>
      <c r="G118" s="31" t="s">
        <v>674</v>
      </c>
      <c r="H118" s="31" t="s">
        <v>811</v>
      </c>
      <c r="I118" s="31" t="s">
        <v>702</v>
      </c>
      <c r="J118" s="31" t="s">
        <v>325</v>
      </c>
      <c r="K118" s="31" t="s">
        <v>334</v>
      </c>
      <c r="L118" s="31" t="s">
        <v>358</v>
      </c>
      <c r="M118" s="31" t="s">
        <v>322</v>
      </c>
      <c r="N118" s="31" t="s">
        <v>708</v>
      </c>
      <c r="O118" s="31" t="s">
        <v>694</v>
      </c>
      <c r="P118" s="15" t="s">
        <v>884</v>
      </c>
      <c r="Q118" s="31" t="s">
        <v>849</v>
      </c>
      <c r="R118" s="15" t="s">
        <v>835</v>
      </c>
      <c r="S118" s="15" t="s">
        <v>348</v>
      </c>
      <c r="T118" s="31" t="s">
        <v>614</v>
      </c>
      <c r="AC118" s="23" t="s">
        <v>885</v>
      </c>
      <c r="AD118" s="15" t="str">
        <f t="shared" si="35"/>
        <v>296779870</v>
      </c>
      <c r="AE118" s="21" t="str">
        <f t="shared" si="27"/>
        <v>BR_VW_AFS_dv360_DIS_PROG_CPM_STD_LDR_AAF_RON_CXD_After-Sales-Nova-VW-Reg06-LAL-Addtocart_PD_728x90</v>
      </c>
      <c r="AF118" s="21" t="str">
        <f t="shared" si="28"/>
        <v>BR_VW_AFS_dv360_DIS_PROG_CPM_STD_LDR_AAF_RON_CXD_After-Sales-Nova-VW-Reg06-LAL-Addtocart_PD_728x90</v>
      </c>
      <c r="AG118" s="21" t="str">
        <f t="shared" si="29"/>
        <v>VW_After-Sales-LAL-Addtocart_728x90_After-Sales-Nova-VW-Reg06-adserver</v>
      </c>
      <c r="AH118" s="21" t="str">
        <f t="shared" si="30"/>
        <v>https://posvendas.vw.com.br/product/oferta/62?utm_source=dv360&amp;utm_medium=Programmatic&amp;utm_content=BR_VW_AFS_dv360_DIS_PROG_CPM_STD_LDR_AAF_RON_CXD_After-Sales-Nova-VW-Reg06-LAL-Addtocart_PD_728x90&amp;utm_campaign=BR_AAF_DSY_NONMS_ND_AS_2021Q1FEV_AFS_After-Sales&amp;utm_term=%epid!_%ecid!_%eaid!</v>
      </c>
      <c r="AI118" s="21" t="str">
        <f t="shared" si="31"/>
        <v>TAG</v>
      </c>
      <c r="AJ118" s="15" t="str">
        <f t="shared" si="33"/>
        <v>dv360</v>
      </c>
      <c r="AK118" s="15" t="str">
        <f t="shared" si="34"/>
        <v>Programmatic</v>
      </c>
      <c r="AL118" s="21" t="str">
        <f>Campanha!$B$3</f>
        <v>BR_AAF_DSY_NONMS_ND_AS_2021Q1FEV_AFS_After-Sales</v>
      </c>
      <c r="AM118" s="21" t="str">
        <f t="shared" si="32"/>
        <v>BR_VW_AFS_dv360_DIS_PROG_CPM_STD_LDR_AAF_RON_CXD_After-Sales-Nova-VW-Reg06-LAL-Addtocart_PD_728x90</v>
      </c>
      <c r="AN118" s="15" t="s">
        <v>809</v>
      </c>
    </row>
    <row r="119" spans="2:40" hidden="1" x14ac:dyDescent="0.25">
      <c r="B119" s="15" t="s">
        <v>1098</v>
      </c>
      <c r="C119" s="15" t="s">
        <v>1115</v>
      </c>
      <c r="D119" s="15" t="s">
        <v>886</v>
      </c>
      <c r="E119" s="22">
        <v>44246</v>
      </c>
      <c r="F119" s="22">
        <v>44255</v>
      </c>
      <c r="G119" s="31" t="s">
        <v>674</v>
      </c>
      <c r="H119" s="31" t="s">
        <v>811</v>
      </c>
      <c r="I119" s="31" t="s">
        <v>702</v>
      </c>
      <c r="J119" s="31" t="s">
        <v>325</v>
      </c>
      <c r="K119" s="31" t="s">
        <v>334</v>
      </c>
      <c r="L119" s="31" t="s">
        <v>358</v>
      </c>
      <c r="M119" s="31" t="s">
        <v>322</v>
      </c>
      <c r="N119" s="31" t="s">
        <v>708</v>
      </c>
      <c r="O119" s="31" t="s">
        <v>694</v>
      </c>
      <c r="P119" s="15" t="s">
        <v>884</v>
      </c>
      <c r="Q119" s="31" t="s">
        <v>849</v>
      </c>
      <c r="R119" s="15" t="s">
        <v>835</v>
      </c>
      <c r="S119" s="15" t="s">
        <v>348</v>
      </c>
      <c r="T119" s="31" t="s">
        <v>652</v>
      </c>
      <c r="AC119" s="23" t="s">
        <v>885</v>
      </c>
      <c r="AD119" s="15" t="str">
        <f t="shared" si="35"/>
        <v>296779864</v>
      </c>
      <c r="AE119" s="21" t="str">
        <f t="shared" si="27"/>
        <v>BR_VW_AFS_dv360_DIS_PROG_CPM_STD_LDR_AAF_RON_CXD_After-Sales-Nova-VW-Reg06-LAL-Addtocart_PD_970x250</v>
      </c>
      <c r="AF119" s="21" t="str">
        <f t="shared" si="28"/>
        <v>BR_VW_AFS_dv360_DIS_PROG_CPM_STD_LDR_AAF_RON_CXD_After-Sales-Nova-VW-Reg06-LAL-Addtocart_PD_970x250</v>
      </c>
      <c r="AG119" s="21" t="str">
        <f t="shared" si="29"/>
        <v>VW_After-Sales-LAL-Addtocart_970x250_After-Sales-Nova-VW-Reg06-adserver</v>
      </c>
      <c r="AH119" s="21" t="str">
        <f t="shared" si="30"/>
        <v>https://posvendas.vw.com.br/product/oferta/62?utm_source=dv360&amp;utm_medium=Programmatic&amp;utm_content=BR_VW_AFS_dv360_DIS_PROG_CPM_STD_LDR_AAF_RON_CXD_After-Sales-Nova-VW-Reg06-LAL-Addtocart_PD_970x250&amp;utm_campaign=BR_AAF_DSY_NONMS_ND_AS_2021Q1FEV_AFS_After-Sales&amp;utm_term=%epid!_%ecid!_%eaid!</v>
      </c>
      <c r="AI119" s="21" t="str">
        <f t="shared" si="31"/>
        <v>TAG</v>
      </c>
      <c r="AJ119" s="15" t="str">
        <f t="shared" si="33"/>
        <v>dv360</v>
      </c>
      <c r="AK119" s="15" t="str">
        <f t="shared" si="34"/>
        <v>Programmatic</v>
      </c>
      <c r="AL119" s="21" t="str">
        <f>Campanha!$B$3</f>
        <v>BR_AAF_DSY_NONMS_ND_AS_2021Q1FEV_AFS_After-Sales</v>
      </c>
      <c r="AM119" s="21" t="str">
        <f t="shared" si="32"/>
        <v>BR_VW_AFS_dv360_DIS_PROG_CPM_STD_LDR_AAF_RON_CXD_After-Sales-Nova-VW-Reg06-LAL-Addtocart_PD_970x250</v>
      </c>
      <c r="AN119" s="15" t="s">
        <v>809</v>
      </c>
    </row>
    <row r="120" spans="2:40" hidden="1" x14ac:dyDescent="0.25">
      <c r="B120" s="15" t="s">
        <v>1104</v>
      </c>
      <c r="C120" s="15" t="s">
        <v>1103</v>
      </c>
      <c r="D120" s="15" t="s">
        <v>1099</v>
      </c>
      <c r="E120" s="22">
        <v>44264</v>
      </c>
      <c r="F120" s="22">
        <v>44316</v>
      </c>
      <c r="G120" s="15" t="s">
        <v>672</v>
      </c>
      <c r="H120" s="15" t="s">
        <v>843</v>
      </c>
      <c r="I120" s="15" t="s">
        <v>702</v>
      </c>
      <c r="J120" s="15" t="s">
        <v>313</v>
      </c>
      <c r="K120" s="15" t="s">
        <v>323</v>
      </c>
      <c r="L120" s="15" t="s">
        <v>358</v>
      </c>
      <c r="M120" s="15" t="s">
        <v>322</v>
      </c>
      <c r="N120" s="15" t="s">
        <v>708</v>
      </c>
      <c r="O120" s="15" t="s">
        <v>694</v>
      </c>
      <c r="P120" s="15" t="s">
        <v>1100</v>
      </c>
      <c r="Q120" s="15" t="s">
        <v>837</v>
      </c>
      <c r="R120" s="15" t="s">
        <v>835</v>
      </c>
      <c r="S120" s="15" t="s">
        <v>348</v>
      </c>
      <c r="T120" s="15" t="s">
        <v>842</v>
      </c>
      <c r="AC120" s="32" t="s">
        <v>1101</v>
      </c>
      <c r="AD120" s="15" t="e">
        <f t="shared" si="35"/>
        <v>#N/A</v>
      </c>
      <c r="AE120" s="21" t="str">
        <f t="shared" si="27"/>
        <v>BR_VW_AFS_verizon_DIS_DRCT_CPC_STD_LDR_AAF_RON_CXD_After-Sales-Promo-Nacional-Interesses_PD_native</v>
      </c>
      <c r="AF120" s="21" t="str">
        <f t="shared" si="28"/>
        <v>BR_VW_AFS_verizon_DIS_DRCT_CPC_STD_LDR_AAF_RON_CXD_After-Sales-Promo-Nacional-Interesses_PD_native</v>
      </c>
      <c r="AG120" s="21" t="str">
        <f t="shared" si="29"/>
        <v>VW_After-Sales-Interesses_native_After-Sales-Promo-Nacional-verizon</v>
      </c>
      <c r="AH120" s="21" t="str">
        <f t="shared" si="30"/>
        <v>https://posvendas.vw.com.br/product/oferta/63?utm_source=verizon&amp;utm_medium=Direct&amp;utm_content=BR_VW_AFS_verizon_DIS_DRCT_CPC_STD_LDR_AAF_RON_CXD_After-Sales-Promo-Nacional-Interesses_PD_native&amp;utm_campaign=BR_AAF_DSY_NONMS_ND_AS_2021Q1FEV_AFS_After-Sales&amp;utm_term=%epid!_%ecid!_%eaid!</v>
      </c>
      <c r="AI120" s="21" t="str">
        <f t="shared" si="31"/>
        <v>https://ad.doubleclick.net/ddm/trackclk/N9487.3646218VERIZONBR/B25305913.297877254;dc_trk_aid=491072431;dc_trk_cid=145818780;dc_lat=;dc_rdid=;tag_for_child_directed_treatment=;tfua=</v>
      </c>
      <c r="AJ120" s="15" t="str">
        <f t="shared" si="33"/>
        <v>verizon</v>
      </c>
      <c r="AK120" s="15" t="str">
        <f t="shared" si="34"/>
        <v>Direct</v>
      </c>
      <c r="AL120" s="21" t="str">
        <f>Campanha!$B$3</f>
        <v>BR_AAF_DSY_NONMS_ND_AS_2021Q1FEV_AFS_After-Sales</v>
      </c>
      <c r="AM120" s="21" t="str">
        <f t="shared" si="32"/>
        <v>BR_VW_AFS_verizon_DIS_DRCT_CPC_STD_LDR_AAF_RON_CXD_After-Sales-Promo-Nacional-Interesses_PD_native</v>
      </c>
      <c r="AN120" s="15" t="s">
        <v>809</v>
      </c>
    </row>
    <row r="121" spans="2:40" hidden="1" x14ac:dyDescent="0.25">
      <c r="B121" s="15" t="s">
        <v>1104</v>
      </c>
      <c r="C121" s="15" t="s">
        <v>1103</v>
      </c>
      <c r="D121" s="15" t="s">
        <v>1099</v>
      </c>
      <c r="E121" s="22">
        <v>44264</v>
      </c>
      <c r="F121" s="22">
        <v>44316</v>
      </c>
      <c r="G121" s="15" t="s">
        <v>672</v>
      </c>
      <c r="H121" s="15" t="s">
        <v>843</v>
      </c>
      <c r="I121" s="15" t="s">
        <v>702</v>
      </c>
      <c r="J121" s="15" t="s">
        <v>313</v>
      </c>
      <c r="K121" s="15" t="s">
        <v>323</v>
      </c>
      <c r="L121" s="15" t="s">
        <v>358</v>
      </c>
      <c r="M121" s="15" t="s">
        <v>322</v>
      </c>
      <c r="N121" s="15" t="s">
        <v>708</v>
      </c>
      <c r="O121" s="15" t="s">
        <v>694</v>
      </c>
      <c r="P121" s="15" t="s">
        <v>1100</v>
      </c>
      <c r="Q121" s="15" t="s">
        <v>848</v>
      </c>
      <c r="R121" s="15" t="s">
        <v>835</v>
      </c>
      <c r="S121" s="15" t="s">
        <v>348</v>
      </c>
      <c r="T121" s="15" t="s">
        <v>842</v>
      </c>
      <c r="AC121" s="32" t="s">
        <v>1101</v>
      </c>
      <c r="AD121" s="15" t="e">
        <f t="shared" si="35"/>
        <v>#N/A</v>
      </c>
      <c r="AE121" s="21" t="str">
        <f t="shared" si="27"/>
        <v>BR_VW_AFS_verizon_DIS_DRCT_CPC_STD_LDR_AAF_RON_CXD_After-Sales-Promo-Nacional-LAL-Visita_PD_native</v>
      </c>
      <c r="AF121" s="21" t="str">
        <f t="shared" si="28"/>
        <v>BR_VW_AFS_verizon_DIS_DRCT_CPC_STD_LDR_AAF_RON_CXD_After-Sales-Promo-Nacional-LAL-Visita_PD_native</v>
      </c>
      <c r="AG121" s="21" t="str">
        <f t="shared" si="29"/>
        <v>VW_After-Sales-LAL-Visita_native_After-Sales-Promo-Nacional-verizon</v>
      </c>
      <c r="AH121" s="21" t="str">
        <f t="shared" si="30"/>
        <v>https://posvendas.vw.com.br/product/oferta/63?utm_source=verizon&amp;utm_medium=Direct&amp;utm_content=BR_VW_AFS_verizon_DIS_DRCT_CPC_STD_LDR_AAF_RON_CXD_After-Sales-Promo-Nacional-LAL-Visita_PD_native&amp;utm_campaign=BR_AAF_DSY_NONMS_ND_AS_2021Q1FEV_AFS_After-Sales&amp;utm_term=%epid!_%ecid!_%eaid!</v>
      </c>
      <c r="AI121" s="21" t="str">
        <f t="shared" si="31"/>
        <v>https://ad.doubleclick.net/ddm/trackclk/N9487.3646218VERIZONBR/B25305913.297877251;dc_trk_aid=491072428;dc_trk_cid=145818780;dc_lat=;dc_rdid=;tag_for_child_directed_treatment=;tfua=</v>
      </c>
      <c r="AJ121" s="15" t="str">
        <f t="shared" si="33"/>
        <v>verizon</v>
      </c>
      <c r="AK121" s="15" t="str">
        <f t="shared" si="34"/>
        <v>Direct</v>
      </c>
      <c r="AL121" s="21" t="str">
        <f>Campanha!$B$3</f>
        <v>BR_AAF_DSY_NONMS_ND_AS_2021Q1FEV_AFS_After-Sales</v>
      </c>
      <c r="AM121" s="21" t="str">
        <f t="shared" si="32"/>
        <v>BR_VW_AFS_verizon_DIS_DRCT_CPC_STD_LDR_AAF_RON_CXD_After-Sales-Promo-Nacional-LAL-Visita_PD_native</v>
      </c>
      <c r="AN121" s="15" t="s">
        <v>809</v>
      </c>
    </row>
    <row r="122" spans="2:40" hidden="1" x14ac:dyDescent="0.25">
      <c r="B122" s="15" t="s">
        <v>1104</v>
      </c>
      <c r="C122" s="15" t="s">
        <v>1103</v>
      </c>
      <c r="D122" s="15" t="s">
        <v>1099</v>
      </c>
      <c r="E122" s="22">
        <v>44264</v>
      </c>
      <c r="F122" s="22">
        <v>44316</v>
      </c>
      <c r="G122" s="15" t="s">
        <v>672</v>
      </c>
      <c r="H122" s="15" t="s">
        <v>843</v>
      </c>
      <c r="I122" s="15" t="s">
        <v>702</v>
      </c>
      <c r="J122" s="15" t="s">
        <v>313</v>
      </c>
      <c r="K122" s="15" t="s">
        <v>323</v>
      </c>
      <c r="L122" s="15" t="s">
        <v>358</v>
      </c>
      <c r="M122" s="15" t="s">
        <v>322</v>
      </c>
      <c r="N122" s="15" t="s">
        <v>708</v>
      </c>
      <c r="O122" s="15" t="s">
        <v>694</v>
      </c>
      <c r="P122" s="15" t="s">
        <v>1100</v>
      </c>
      <c r="Q122" s="15" t="s">
        <v>849</v>
      </c>
      <c r="R122" s="15" t="s">
        <v>835</v>
      </c>
      <c r="S122" s="15" t="s">
        <v>348</v>
      </c>
      <c r="T122" s="15" t="s">
        <v>842</v>
      </c>
      <c r="AC122" s="32" t="s">
        <v>1101</v>
      </c>
      <c r="AD122" s="15" t="e">
        <f t="shared" si="35"/>
        <v>#N/A</v>
      </c>
      <c r="AE122" s="21" t="str">
        <f t="shared" si="27"/>
        <v>BR_VW_AFS_verizon_DIS_DRCT_CPC_STD_LDR_AAF_RON_CXD_After-Sales-Promo-Nacional-LAL-Addtocart_PD_native</v>
      </c>
      <c r="AF122" s="21" t="str">
        <f t="shared" si="28"/>
        <v>BR_VW_AFS_verizon_DIS_DRCT_CPC_STD_LDR_AAF_RON_CXD_After-Sales-Promo-Nacional-LAL-Addtocart_PD_native</v>
      </c>
      <c r="AG122" s="21" t="str">
        <f t="shared" si="29"/>
        <v>VW_After-Sales-LAL-Addtocart_native_After-Sales-Promo-Nacional-verizon</v>
      </c>
      <c r="AH122" s="21" t="str">
        <f t="shared" si="30"/>
        <v>https://posvendas.vw.com.br/product/oferta/63?utm_source=verizon&amp;utm_medium=Direct&amp;utm_content=BR_VW_AFS_verizon_DIS_DRCT_CPC_STD_LDR_AAF_RON_CXD_After-Sales-Promo-Nacional-LAL-Addtocart_PD_native&amp;utm_campaign=BR_AAF_DSY_NONMS_ND_AS_2021Q1FEV_AFS_After-Sales&amp;utm_term=%epid!_%ecid!_%eaid!</v>
      </c>
      <c r="AI122" s="21" t="str">
        <f t="shared" si="31"/>
        <v>https://ad.doubleclick.net/ddm/trackclk/N9487.3646218VERIZONBR/B25305913.297877248;dc_trk_aid=491072425;dc_trk_cid=145818780;dc_lat=;dc_rdid=;tag_for_child_directed_treatment=;tfua=</v>
      </c>
      <c r="AJ122" s="15" t="str">
        <f t="shared" si="33"/>
        <v>verizon</v>
      </c>
      <c r="AK122" s="15" t="str">
        <f t="shared" si="34"/>
        <v>Direct</v>
      </c>
      <c r="AL122" s="21" t="str">
        <f>Campanha!$B$3</f>
        <v>BR_AAF_DSY_NONMS_ND_AS_2021Q1FEV_AFS_After-Sales</v>
      </c>
      <c r="AM122" s="21" t="str">
        <f t="shared" si="32"/>
        <v>BR_VW_AFS_verizon_DIS_DRCT_CPC_STD_LDR_AAF_RON_CXD_After-Sales-Promo-Nacional-LAL-Addtocart_PD_native</v>
      </c>
      <c r="AN122" s="15" t="s">
        <v>809</v>
      </c>
    </row>
    <row r="123" spans="2:40" hidden="1" x14ac:dyDescent="0.25">
      <c r="B123" s="15" t="s">
        <v>1104</v>
      </c>
      <c r="C123" s="15" t="s">
        <v>1103</v>
      </c>
      <c r="D123" s="15" t="s">
        <v>1099</v>
      </c>
      <c r="E123" s="22">
        <v>44264</v>
      </c>
      <c r="F123" s="22">
        <v>44316</v>
      </c>
      <c r="G123" s="15" t="s">
        <v>672</v>
      </c>
      <c r="H123" s="15" t="s">
        <v>843</v>
      </c>
      <c r="I123" s="15" t="s">
        <v>702</v>
      </c>
      <c r="J123" s="15" t="s">
        <v>313</v>
      </c>
      <c r="K123" s="15" t="s">
        <v>323</v>
      </c>
      <c r="L123" s="15" t="s">
        <v>358</v>
      </c>
      <c r="M123" s="15" t="s">
        <v>322</v>
      </c>
      <c r="N123" s="15" t="s">
        <v>708</v>
      </c>
      <c r="O123" s="15" t="s">
        <v>694</v>
      </c>
      <c r="P123" s="15" t="s">
        <v>1100</v>
      </c>
      <c r="Q123" s="15" t="s">
        <v>850</v>
      </c>
      <c r="R123" s="15" t="s">
        <v>835</v>
      </c>
      <c r="S123" s="15" t="s">
        <v>348</v>
      </c>
      <c r="T123" s="15" t="s">
        <v>842</v>
      </c>
      <c r="AC123" s="32" t="s">
        <v>1101</v>
      </c>
      <c r="AD123" s="15" t="e">
        <f t="shared" si="35"/>
        <v>#N/A</v>
      </c>
      <c r="AE123" s="21" t="str">
        <f t="shared" si="27"/>
        <v>BR_VW_AFS_verizon_DIS_DRCT_CPC_STD_LDR_AAF_RON_CXD_After-Sales-Promo-Nacional-LAL-Lead_PD_native</v>
      </c>
      <c r="AF123" s="21" t="str">
        <f t="shared" si="28"/>
        <v>BR_VW_AFS_verizon_DIS_DRCT_CPC_STD_LDR_AAF_RON_CXD_After-Sales-Promo-Nacional-LAL-Lead_PD_native</v>
      </c>
      <c r="AG123" s="21" t="str">
        <f t="shared" si="29"/>
        <v>VW_After-Sales-LAL-Lead_native_After-Sales-Promo-Nacional-verizon</v>
      </c>
      <c r="AH123" s="21" t="str">
        <f t="shared" si="30"/>
        <v>https://posvendas.vw.com.br/product/oferta/63?utm_source=verizon&amp;utm_medium=Direct&amp;utm_content=BR_VW_AFS_verizon_DIS_DRCT_CPC_STD_LDR_AAF_RON_CXD_After-Sales-Promo-Nacional-LAL-Lead_PD_native&amp;utm_campaign=BR_AAF_DSY_NONMS_ND_AS_2021Q1FEV_AFS_After-Sales&amp;utm_term=%epid!_%ecid!_%eaid!</v>
      </c>
      <c r="AI123" s="21" t="str">
        <f t="shared" si="31"/>
        <v>https://ad.doubleclick.net/ddm/trackclk/N9487.3646218VERIZONBR/B25305913.297877245;dc_trk_aid=491072422;dc_trk_cid=145818780;dc_lat=;dc_rdid=;tag_for_child_directed_treatment=;tfua=</v>
      </c>
      <c r="AJ123" s="15" t="str">
        <f t="shared" si="33"/>
        <v>verizon</v>
      </c>
      <c r="AK123" s="15" t="str">
        <f t="shared" si="34"/>
        <v>Direct</v>
      </c>
      <c r="AL123" s="21" t="str">
        <f>Campanha!$B$3</f>
        <v>BR_AAF_DSY_NONMS_ND_AS_2021Q1FEV_AFS_After-Sales</v>
      </c>
      <c r="AM123" s="21" t="str">
        <f t="shared" si="32"/>
        <v>BR_VW_AFS_verizon_DIS_DRCT_CPC_STD_LDR_AAF_RON_CXD_After-Sales-Promo-Nacional-LAL-Lead_PD_native</v>
      </c>
      <c r="AN123" s="15" t="s">
        <v>809</v>
      </c>
    </row>
    <row r="124" spans="2:40" x14ac:dyDescent="0.25">
      <c r="B124" s="15" t="s">
        <v>1104</v>
      </c>
      <c r="C124" s="15" t="s">
        <v>1116</v>
      </c>
      <c r="D124" s="15" t="s">
        <v>1099</v>
      </c>
      <c r="E124" s="22">
        <v>44264</v>
      </c>
      <c r="F124" s="22">
        <v>44316</v>
      </c>
      <c r="G124" s="31" t="s">
        <v>674</v>
      </c>
      <c r="H124" s="31" t="s">
        <v>811</v>
      </c>
      <c r="I124" s="31" t="s">
        <v>702</v>
      </c>
      <c r="J124" s="31" t="s">
        <v>325</v>
      </c>
      <c r="K124" s="31" t="s">
        <v>334</v>
      </c>
      <c r="L124" s="31" t="s">
        <v>358</v>
      </c>
      <c r="M124" s="31" t="s">
        <v>322</v>
      </c>
      <c r="N124" s="31" t="s">
        <v>708</v>
      </c>
      <c r="O124" s="31" t="s">
        <v>694</v>
      </c>
      <c r="P124" s="15" t="s">
        <v>1100</v>
      </c>
      <c r="Q124" s="31" t="s">
        <v>878</v>
      </c>
      <c r="R124" s="15" t="s">
        <v>835</v>
      </c>
      <c r="S124" s="15" t="s">
        <v>348</v>
      </c>
      <c r="T124" s="31" t="s">
        <v>457</v>
      </c>
      <c r="AC124" s="32" t="s">
        <v>1101</v>
      </c>
      <c r="AD124" s="15" t="str">
        <f t="shared" si="35"/>
        <v>298293682</v>
      </c>
      <c r="AE124" s="21" t="str">
        <f t="shared" si="27"/>
        <v>BR_VW_AFS_dv360_DIS_PROG_CPM_STD_LDR_AAF_RON_CXD_After-Sales-Promo-Nacional-KWs_PD_160x600</v>
      </c>
      <c r="AF124" s="21" t="str">
        <f t="shared" si="28"/>
        <v>BR_VW_AFS_dv360_DIS_PROG_CPM_STD_LDR_AAF_RON_CXD_After-Sales-Promo-Nacional-KWs_PD_160x600</v>
      </c>
      <c r="AG124" s="21" t="str">
        <f t="shared" si="29"/>
        <v>VW_After-Sales-KWs_160x600_After-Sales-Promo-Nacional-adserver</v>
      </c>
      <c r="AH124" s="21" t="str">
        <f t="shared" si="30"/>
        <v>https://posvendas.vw.com.br/product/oferta/63?utm_source=dv360&amp;utm_medium=Programmatic&amp;utm_content=BR_VW_AFS_dv360_DIS_PROG_CPM_STD_LDR_AAF_RON_CXD_After-Sales-Promo-Nacional-KWs_PD_160x600&amp;utm_campaign=BR_AAF_DSY_NONMS_ND_AS_2021Q1FEV_AFS_After-Sales&amp;utm_term=%epid!_%ecid!_%eaid!</v>
      </c>
      <c r="AI124" s="21" t="str">
        <f t="shared" si="31"/>
        <v>TAG</v>
      </c>
      <c r="AJ124" s="15" t="str">
        <f t="shared" si="33"/>
        <v>dv360</v>
      </c>
      <c r="AK124" s="15" t="str">
        <f t="shared" si="34"/>
        <v>Programmatic</v>
      </c>
      <c r="AL124" s="21" t="str">
        <f>Campanha!$B$3</f>
        <v>BR_AAF_DSY_NONMS_ND_AS_2021Q1FEV_AFS_After-Sales</v>
      </c>
      <c r="AM124" s="21" t="str">
        <f t="shared" si="32"/>
        <v>BR_VW_AFS_dv360_DIS_PROG_CPM_STD_LDR_AAF_RON_CXD_After-Sales-Promo-Nacional-KWs_PD_160x600</v>
      </c>
      <c r="AN124" s="15" t="s">
        <v>809</v>
      </c>
    </row>
    <row r="125" spans="2:40" x14ac:dyDescent="0.25">
      <c r="B125" s="15" t="s">
        <v>1104</v>
      </c>
      <c r="C125" s="15" t="s">
        <v>1116</v>
      </c>
      <c r="D125" s="15" t="s">
        <v>1099</v>
      </c>
      <c r="E125" s="22">
        <v>44264</v>
      </c>
      <c r="F125" s="22">
        <v>44316</v>
      </c>
      <c r="G125" s="31" t="s">
        <v>674</v>
      </c>
      <c r="H125" s="31" t="s">
        <v>811</v>
      </c>
      <c r="I125" s="31" t="s">
        <v>702</v>
      </c>
      <c r="J125" s="31" t="s">
        <v>325</v>
      </c>
      <c r="K125" s="31" t="s">
        <v>334</v>
      </c>
      <c r="L125" s="31" t="s">
        <v>358</v>
      </c>
      <c r="M125" s="31" t="s">
        <v>322</v>
      </c>
      <c r="N125" s="31" t="s">
        <v>708</v>
      </c>
      <c r="O125" s="31" t="s">
        <v>694</v>
      </c>
      <c r="P125" s="15" t="s">
        <v>1100</v>
      </c>
      <c r="Q125" s="31" t="s">
        <v>878</v>
      </c>
      <c r="R125" s="15" t="s">
        <v>835</v>
      </c>
      <c r="S125" s="15" t="s">
        <v>348</v>
      </c>
      <c r="T125" s="31" t="s">
        <v>484</v>
      </c>
      <c r="AC125" s="32" t="s">
        <v>1101</v>
      </c>
      <c r="AD125" s="15" t="str">
        <f t="shared" si="35"/>
        <v>298293676</v>
      </c>
      <c r="AE125" s="21" t="str">
        <f t="shared" si="27"/>
        <v>BR_VW_AFS_dv360_DIS_PROG_CPM_STD_LDR_AAF_RON_CXD_After-Sales-Promo-Nacional-KWs_PD_300x50</v>
      </c>
      <c r="AF125" s="21" t="str">
        <f t="shared" si="28"/>
        <v>BR_VW_AFS_dv360_DIS_PROG_CPM_STD_LDR_AAF_RON_CXD_After-Sales-Promo-Nacional-KWs_PD_300x50</v>
      </c>
      <c r="AG125" s="21" t="str">
        <f t="shared" si="29"/>
        <v>VW_After-Sales-KWs_300x50_After-Sales-Promo-Nacional-adserver</v>
      </c>
      <c r="AH125" s="21" t="str">
        <f t="shared" si="30"/>
        <v>https://posvendas.vw.com.br/product/oferta/63?utm_source=dv360&amp;utm_medium=Programmatic&amp;utm_content=BR_VW_AFS_dv360_DIS_PROG_CPM_STD_LDR_AAF_RON_CXD_After-Sales-Promo-Nacional-KWs_PD_300x50&amp;utm_campaign=BR_AAF_DSY_NONMS_ND_AS_2021Q1FEV_AFS_After-Sales&amp;utm_term=%epid!_%ecid!_%eaid!</v>
      </c>
      <c r="AI125" s="21" t="str">
        <f t="shared" si="31"/>
        <v>TAG</v>
      </c>
      <c r="AJ125" s="15" t="str">
        <f t="shared" si="33"/>
        <v>dv360</v>
      </c>
      <c r="AK125" s="15" t="str">
        <f t="shared" si="34"/>
        <v>Programmatic</v>
      </c>
      <c r="AL125" s="21" t="str">
        <f>Campanha!$B$3</f>
        <v>BR_AAF_DSY_NONMS_ND_AS_2021Q1FEV_AFS_After-Sales</v>
      </c>
      <c r="AM125" s="21" t="str">
        <f t="shared" si="32"/>
        <v>BR_VW_AFS_dv360_DIS_PROG_CPM_STD_LDR_AAF_RON_CXD_After-Sales-Promo-Nacional-KWs_PD_300x50</v>
      </c>
      <c r="AN125" s="15" t="s">
        <v>809</v>
      </c>
    </row>
    <row r="126" spans="2:40" x14ac:dyDescent="0.25">
      <c r="B126" s="15" t="s">
        <v>1104</v>
      </c>
      <c r="C126" s="15" t="s">
        <v>1116</v>
      </c>
      <c r="D126" s="15" t="s">
        <v>1099</v>
      </c>
      <c r="E126" s="22">
        <v>44264</v>
      </c>
      <c r="F126" s="22">
        <v>44316</v>
      </c>
      <c r="G126" s="31" t="s">
        <v>674</v>
      </c>
      <c r="H126" s="31" t="s">
        <v>811</v>
      </c>
      <c r="I126" s="31" t="s">
        <v>702</v>
      </c>
      <c r="J126" s="31" t="s">
        <v>325</v>
      </c>
      <c r="K126" s="31" t="s">
        <v>334</v>
      </c>
      <c r="L126" s="31" t="s">
        <v>358</v>
      </c>
      <c r="M126" s="31" t="s">
        <v>322</v>
      </c>
      <c r="N126" s="31" t="s">
        <v>708</v>
      </c>
      <c r="O126" s="31" t="s">
        <v>694</v>
      </c>
      <c r="P126" s="15" t="s">
        <v>1100</v>
      </c>
      <c r="Q126" s="31" t="s">
        <v>878</v>
      </c>
      <c r="R126" s="15" t="s">
        <v>835</v>
      </c>
      <c r="S126" s="15" t="s">
        <v>348</v>
      </c>
      <c r="T126" s="31" t="s">
        <v>478</v>
      </c>
      <c r="AC126" s="32" t="s">
        <v>1101</v>
      </c>
      <c r="AD126" s="15" t="str">
        <f t="shared" si="35"/>
        <v>298293670</v>
      </c>
      <c r="AE126" s="21" t="str">
        <f t="shared" si="27"/>
        <v>BR_VW_AFS_dv360_DIS_PROG_CPM_STD_LDR_AAF_RON_CXD_After-Sales-Promo-Nacional-KWs_PD_300x250</v>
      </c>
      <c r="AF126" s="21" t="str">
        <f t="shared" si="28"/>
        <v>BR_VW_AFS_dv360_DIS_PROG_CPM_STD_LDR_AAF_RON_CXD_After-Sales-Promo-Nacional-KWs_PD_300x250</v>
      </c>
      <c r="AG126" s="21" t="str">
        <f t="shared" si="29"/>
        <v>VW_After-Sales-KWs_300x250_After-Sales-Promo-Nacional-adserver</v>
      </c>
      <c r="AH126" s="21" t="str">
        <f t="shared" si="30"/>
        <v>https://posvendas.vw.com.br/product/oferta/63?utm_source=dv360&amp;utm_medium=Programmatic&amp;utm_content=BR_VW_AFS_dv360_DIS_PROG_CPM_STD_LDR_AAF_RON_CXD_After-Sales-Promo-Nacional-KWs_PD_300x250&amp;utm_campaign=BR_AAF_DSY_NONMS_ND_AS_2021Q1FEV_AFS_After-Sales&amp;utm_term=%epid!_%ecid!_%eaid!</v>
      </c>
      <c r="AI126" s="21" t="str">
        <f t="shared" si="31"/>
        <v>TAG</v>
      </c>
      <c r="AJ126" s="15" t="str">
        <f t="shared" si="33"/>
        <v>dv360</v>
      </c>
      <c r="AK126" s="15" t="str">
        <f t="shared" si="34"/>
        <v>Programmatic</v>
      </c>
      <c r="AL126" s="21" t="str">
        <f>Campanha!$B$3</f>
        <v>BR_AAF_DSY_NONMS_ND_AS_2021Q1FEV_AFS_After-Sales</v>
      </c>
      <c r="AM126" s="21" t="str">
        <f t="shared" si="32"/>
        <v>BR_VW_AFS_dv360_DIS_PROG_CPM_STD_LDR_AAF_RON_CXD_After-Sales-Promo-Nacional-KWs_PD_300x250</v>
      </c>
      <c r="AN126" s="15" t="s">
        <v>809</v>
      </c>
    </row>
    <row r="127" spans="2:40" x14ac:dyDescent="0.25">
      <c r="B127" s="15" t="s">
        <v>1104</v>
      </c>
      <c r="C127" s="15" t="s">
        <v>1116</v>
      </c>
      <c r="D127" s="15" t="s">
        <v>1099</v>
      </c>
      <c r="E127" s="22">
        <v>44264</v>
      </c>
      <c r="F127" s="22">
        <v>44316</v>
      </c>
      <c r="G127" s="31" t="s">
        <v>674</v>
      </c>
      <c r="H127" s="31" t="s">
        <v>811</v>
      </c>
      <c r="I127" s="31" t="s">
        <v>702</v>
      </c>
      <c r="J127" s="31" t="s">
        <v>325</v>
      </c>
      <c r="K127" s="31" t="s">
        <v>334</v>
      </c>
      <c r="L127" s="31" t="s">
        <v>358</v>
      </c>
      <c r="M127" s="31" t="s">
        <v>322</v>
      </c>
      <c r="N127" s="31" t="s">
        <v>708</v>
      </c>
      <c r="O127" s="31" t="s">
        <v>694</v>
      </c>
      <c r="P127" s="15" t="s">
        <v>1100</v>
      </c>
      <c r="Q127" s="31" t="s">
        <v>878</v>
      </c>
      <c r="R127" s="15" t="s">
        <v>835</v>
      </c>
      <c r="S127" s="15" t="s">
        <v>348</v>
      </c>
      <c r="T127" s="31" t="s">
        <v>614</v>
      </c>
      <c r="AC127" s="32" t="s">
        <v>1101</v>
      </c>
      <c r="AD127" s="15" t="str">
        <f t="shared" si="35"/>
        <v>298293664</v>
      </c>
      <c r="AE127" s="21" t="str">
        <f t="shared" si="27"/>
        <v>BR_VW_AFS_dv360_DIS_PROG_CPM_STD_LDR_AAF_RON_CXD_After-Sales-Promo-Nacional-KWs_PD_728x90</v>
      </c>
      <c r="AF127" s="21" t="str">
        <f t="shared" si="28"/>
        <v>BR_VW_AFS_dv360_DIS_PROG_CPM_STD_LDR_AAF_RON_CXD_After-Sales-Promo-Nacional-KWs_PD_728x90</v>
      </c>
      <c r="AG127" s="21" t="str">
        <f t="shared" si="29"/>
        <v>VW_After-Sales-KWs_728x90_After-Sales-Promo-Nacional-adserver</v>
      </c>
      <c r="AH127" s="21" t="str">
        <f t="shared" si="30"/>
        <v>https://posvendas.vw.com.br/product/oferta/63?utm_source=dv360&amp;utm_medium=Programmatic&amp;utm_content=BR_VW_AFS_dv360_DIS_PROG_CPM_STD_LDR_AAF_RON_CXD_After-Sales-Promo-Nacional-KWs_PD_728x90&amp;utm_campaign=BR_AAF_DSY_NONMS_ND_AS_2021Q1FEV_AFS_After-Sales&amp;utm_term=%epid!_%ecid!_%eaid!</v>
      </c>
      <c r="AI127" s="21" t="str">
        <f t="shared" si="31"/>
        <v>TAG</v>
      </c>
      <c r="AJ127" s="15" t="str">
        <f t="shared" si="33"/>
        <v>dv360</v>
      </c>
      <c r="AK127" s="15" t="str">
        <f t="shared" si="34"/>
        <v>Programmatic</v>
      </c>
      <c r="AL127" s="21" t="str">
        <f>Campanha!$B$3</f>
        <v>BR_AAF_DSY_NONMS_ND_AS_2021Q1FEV_AFS_After-Sales</v>
      </c>
      <c r="AM127" s="21" t="str">
        <f t="shared" si="32"/>
        <v>BR_VW_AFS_dv360_DIS_PROG_CPM_STD_LDR_AAF_RON_CXD_After-Sales-Promo-Nacional-KWs_PD_728x90</v>
      </c>
      <c r="AN127" s="15" t="s">
        <v>809</v>
      </c>
    </row>
    <row r="128" spans="2:40" x14ac:dyDescent="0.25">
      <c r="B128" s="15" t="s">
        <v>1104</v>
      </c>
      <c r="C128" s="15" t="s">
        <v>1116</v>
      </c>
      <c r="D128" s="15" t="s">
        <v>1099</v>
      </c>
      <c r="E128" s="22">
        <v>44264</v>
      </c>
      <c r="F128" s="22">
        <v>44316</v>
      </c>
      <c r="G128" s="31" t="s">
        <v>674</v>
      </c>
      <c r="H128" s="31" t="s">
        <v>811</v>
      </c>
      <c r="I128" s="31" t="s">
        <v>702</v>
      </c>
      <c r="J128" s="31" t="s">
        <v>325</v>
      </c>
      <c r="K128" s="31" t="s">
        <v>334</v>
      </c>
      <c r="L128" s="31" t="s">
        <v>358</v>
      </c>
      <c r="M128" s="31" t="s">
        <v>322</v>
      </c>
      <c r="N128" s="31" t="s">
        <v>708</v>
      </c>
      <c r="O128" s="31" t="s">
        <v>694</v>
      </c>
      <c r="P128" s="15" t="s">
        <v>1100</v>
      </c>
      <c r="Q128" s="31" t="s">
        <v>878</v>
      </c>
      <c r="R128" s="15" t="s">
        <v>835</v>
      </c>
      <c r="S128" s="15" t="s">
        <v>348</v>
      </c>
      <c r="T128" s="31" t="s">
        <v>652</v>
      </c>
      <c r="AC128" s="32" t="s">
        <v>1101</v>
      </c>
      <c r="AD128" s="15" t="str">
        <f t="shared" si="35"/>
        <v>298293658</v>
      </c>
      <c r="AE128" s="21" t="str">
        <f t="shared" si="27"/>
        <v>BR_VW_AFS_dv360_DIS_PROG_CPM_STD_LDR_AAF_RON_CXD_After-Sales-Promo-Nacional-KWs_PD_970x250</v>
      </c>
      <c r="AF128" s="21" t="str">
        <f t="shared" si="28"/>
        <v>BR_VW_AFS_dv360_DIS_PROG_CPM_STD_LDR_AAF_RON_CXD_After-Sales-Promo-Nacional-KWs_PD_970x250</v>
      </c>
      <c r="AG128" s="21" t="str">
        <f t="shared" si="29"/>
        <v>VW_After-Sales-KWs_970x250_After-Sales-Promo-Nacional-adserver</v>
      </c>
      <c r="AH128" s="21" t="str">
        <f t="shared" si="30"/>
        <v>https://posvendas.vw.com.br/product/oferta/63?utm_source=dv360&amp;utm_medium=Programmatic&amp;utm_content=BR_VW_AFS_dv360_DIS_PROG_CPM_STD_LDR_AAF_RON_CXD_After-Sales-Promo-Nacional-KWs_PD_970x250&amp;utm_campaign=BR_AAF_DSY_NONMS_ND_AS_2021Q1FEV_AFS_After-Sales&amp;utm_term=%epid!_%ecid!_%eaid!</v>
      </c>
      <c r="AI128" s="21" t="str">
        <f t="shared" si="31"/>
        <v>TAG</v>
      </c>
      <c r="AJ128" s="15" t="str">
        <f t="shared" si="33"/>
        <v>dv360</v>
      </c>
      <c r="AK128" s="15" t="str">
        <f t="shared" si="34"/>
        <v>Programmatic</v>
      </c>
      <c r="AL128" s="21" t="str">
        <f>Campanha!$B$3</f>
        <v>BR_AAF_DSY_NONMS_ND_AS_2021Q1FEV_AFS_After-Sales</v>
      </c>
      <c r="AM128" s="21" t="str">
        <f t="shared" si="32"/>
        <v>BR_VW_AFS_dv360_DIS_PROG_CPM_STD_LDR_AAF_RON_CXD_After-Sales-Promo-Nacional-KWs_PD_970x250</v>
      </c>
      <c r="AN128" s="15" t="s">
        <v>809</v>
      </c>
    </row>
    <row r="129" spans="2:40" x14ac:dyDescent="0.25">
      <c r="B129" s="15" t="s">
        <v>1104</v>
      </c>
      <c r="C129" s="15" t="s">
        <v>1116</v>
      </c>
      <c r="D129" s="15" t="s">
        <v>1099</v>
      </c>
      <c r="E129" s="22">
        <v>44264</v>
      </c>
      <c r="F129" s="22">
        <v>44316</v>
      </c>
      <c r="G129" s="31" t="s">
        <v>674</v>
      </c>
      <c r="H129" s="31" t="s">
        <v>811</v>
      </c>
      <c r="I129" s="31" t="s">
        <v>702</v>
      </c>
      <c r="J129" s="31" t="s">
        <v>325</v>
      </c>
      <c r="K129" s="31" t="s">
        <v>334</v>
      </c>
      <c r="L129" s="31" t="s">
        <v>358</v>
      </c>
      <c r="M129" s="31" t="s">
        <v>322</v>
      </c>
      <c r="N129" s="31" t="s">
        <v>708</v>
      </c>
      <c r="O129" s="31" t="s">
        <v>694</v>
      </c>
      <c r="P129" s="15" t="s">
        <v>1100</v>
      </c>
      <c r="Q129" s="31" t="s">
        <v>879</v>
      </c>
      <c r="R129" s="15" t="s">
        <v>835</v>
      </c>
      <c r="S129" s="15" t="s">
        <v>348</v>
      </c>
      <c r="T129" s="31" t="s">
        <v>457</v>
      </c>
      <c r="AC129" s="32" t="s">
        <v>1101</v>
      </c>
      <c r="AD129" s="15" t="str">
        <f t="shared" si="35"/>
        <v>298293655</v>
      </c>
      <c r="AE129" s="21" t="str">
        <f t="shared" si="27"/>
        <v>BR_VW_AFS_dv360_DIS_PROG_CPM_STD_LDR_AAF_RON_CXD_After-Sales-Promo-Nacional-Categories_PD_160x600</v>
      </c>
      <c r="AF129" s="21" t="str">
        <f t="shared" si="28"/>
        <v>BR_VW_AFS_dv360_DIS_PROG_CPM_STD_LDR_AAF_RON_CXD_After-Sales-Promo-Nacional-Categories_PD_160x600</v>
      </c>
      <c r="AG129" s="21" t="str">
        <f t="shared" si="29"/>
        <v>VW_After-Sales-Categories_160x600_After-Sales-Promo-Nacional-adserver</v>
      </c>
      <c r="AH129" s="21" t="str">
        <f t="shared" si="30"/>
        <v>https://posvendas.vw.com.br/product/oferta/63?utm_source=dv360&amp;utm_medium=Programmatic&amp;utm_content=BR_VW_AFS_dv360_DIS_PROG_CPM_STD_LDR_AAF_RON_CXD_After-Sales-Promo-Nacional-Categories_PD_160x600&amp;utm_campaign=BR_AAF_DSY_NONMS_ND_AS_2021Q1FEV_AFS_After-Sales&amp;utm_term=%epid!_%ecid!_%eaid!</v>
      </c>
      <c r="AI129" s="21" t="str">
        <f t="shared" si="31"/>
        <v>TAG</v>
      </c>
      <c r="AJ129" s="15" t="str">
        <f t="shared" si="33"/>
        <v>dv360</v>
      </c>
      <c r="AK129" s="15" t="str">
        <f t="shared" si="34"/>
        <v>Programmatic</v>
      </c>
      <c r="AL129" s="21" t="str">
        <f>Campanha!$B$3</f>
        <v>BR_AAF_DSY_NONMS_ND_AS_2021Q1FEV_AFS_After-Sales</v>
      </c>
      <c r="AM129" s="21" t="str">
        <f t="shared" si="32"/>
        <v>BR_VW_AFS_dv360_DIS_PROG_CPM_STD_LDR_AAF_RON_CXD_After-Sales-Promo-Nacional-Categories_PD_160x600</v>
      </c>
      <c r="AN129" s="15" t="s">
        <v>809</v>
      </c>
    </row>
    <row r="130" spans="2:40" x14ac:dyDescent="0.25">
      <c r="B130" s="15" t="s">
        <v>1104</v>
      </c>
      <c r="C130" s="15" t="s">
        <v>1116</v>
      </c>
      <c r="D130" s="15" t="s">
        <v>1099</v>
      </c>
      <c r="E130" s="22">
        <v>44264</v>
      </c>
      <c r="F130" s="22">
        <v>44316</v>
      </c>
      <c r="G130" s="31" t="s">
        <v>674</v>
      </c>
      <c r="H130" s="31" t="s">
        <v>811</v>
      </c>
      <c r="I130" s="31" t="s">
        <v>702</v>
      </c>
      <c r="J130" s="31" t="s">
        <v>325</v>
      </c>
      <c r="K130" s="31" t="s">
        <v>334</v>
      </c>
      <c r="L130" s="31" t="s">
        <v>358</v>
      </c>
      <c r="M130" s="31" t="s">
        <v>322</v>
      </c>
      <c r="N130" s="31" t="s">
        <v>708</v>
      </c>
      <c r="O130" s="31" t="s">
        <v>694</v>
      </c>
      <c r="P130" s="15" t="s">
        <v>1100</v>
      </c>
      <c r="Q130" s="31" t="s">
        <v>879</v>
      </c>
      <c r="R130" s="15" t="s">
        <v>835</v>
      </c>
      <c r="S130" s="15" t="s">
        <v>348</v>
      </c>
      <c r="T130" s="31" t="s">
        <v>484</v>
      </c>
      <c r="AC130" s="32" t="s">
        <v>1101</v>
      </c>
      <c r="AD130" s="15" t="str">
        <f t="shared" si="35"/>
        <v>298293652</v>
      </c>
      <c r="AE130" s="21" t="str">
        <f t="shared" si="27"/>
        <v>BR_VW_AFS_dv360_DIS_PROG_CPM_STD_LDR_AAF_RON_CXD_After-Sales-Promo-Nacional-Categories_PD_300x50</v>
      </c>
      <c r="AF130" s="21" t="str">
        <f t="shared" si="28"/>
        <v>BR_VW_AFS_dv360_DIS_PROG_CPM_STD_LDR_AAF_RON_CXD_After-Sales-Promo-Nacional-Categories_PD_300x50</v>
      </c>
      <c r="AG130" s="21" t="str">
        <f t="shared" si="29"/>
        <v>VW_After-Sales-Categories_300x50_After-Sales-Promo-Nacional-adserver</v>
      </c>
      <c r="AH130" s="21" t="str">
        <f t="shared" si="30"/>
        <v>https://posvendas.vw.com.br/product/oferta/63?utm_source=dv360&amp;utm_medium=Programmatic&amp;utm_content=BR_VW_AFS_dv360_DIS_PROG_CPM_STD_LDR_AAF_RON_CXD_After-Sales-Promo-Nacional-Categories_PD_300x50&amp;utm_campaign=BR_AAF_DSY_NONMS_ND_AS_2021Q1FEV_AFS_After-Sales&amp;utm_term=%epid!_%ecid!_%eaid!</v>
      </c>
      <c r="AI130" s="21" t="str">
        <f t="shared" si="31"/>
        <v>TAG</v>
      </c>
      <c r="AJ130" s="15" t="str">
        <f t="shared" si="33"/>
        <v>dv360</v>
      </c>
      <c r="AK130" s="15" t="str">
        <f t="shared" si="34"/>
        <v>Programmatic</v>
      </c>
      <c r="AL130" s="21" t="str">
        <f>Campanha!$B$3</f>
        <v>BR_AAF_DSY_NONMS_ND_AS_2021Q1FEV_AFS_After-Sales</v>
      </c>
      <c r="AM130" s="21" t="str">
        <f t="shared" si="32"/>
        <v>BR_VW_AFS_dv360_DIS_PROG_CPM_STD_LDR_AAF_RON_CXD_After-Sales-Promo-Nacional-Categories_PD_300x50</v>
      </c>
      <c r="AN130" s="15" t="s">
        <v>809</v>
      </c>
    </row>
    <row r="131" spans="2:40" x14ac:dyDescent="0.25">
      <c r="B131" s="15" t="s">
        <v>1104</v>
      </c>
      <c r="C131" s="15" t="s">
        <v>1116</v>
      </c>
      <c r="D131" s="15" t="s">
        <v>1099</v>
      </c>
      <c r="E131" s="22">
        <v>44264</v>
      </c>
      <c r="F131" s="22">
        <v>44316</v>
      </c>
      <c r="G131" s="31" t="s">
        <v>674</v>
      </c>
      <c r="H131" s="31" t="s">
        <v>811</v>
      </c>
      <c r="I131" s="31" t="s">
        <v>702</v>
      </c>
      <c r="J131" s="31" t="s">
        <v>325</v>
      </c>
      <c r="K131" s="31" t="s">
        <v>334</v>
      </c>
      <c r="L131" s="31" t="s">
        <v>358</v>
      </c>
      <c r="M131" s="31" t="s">
        <v>322</v>
      </c>
      <c r="N131" s="31" t="s">
        <v>708</v>
      </c>
      <c r="O131" s="31" t="s">
        <v>694</v>
      </c>
      <c r="P131" s="15" t="s">
        <v>1100</v>
      </c>
      <c r="Q131" s="31" t="s">
        <v>879</v>
      </c>
      <c r="R131" s="15" t="s">
        <v>835</v>
      </c>
      <c r="S131" s="15" t="s">
        <v>348</v>
      </c>
      <c r="T131" s="31" t="s">
        <v>478</v>
      </c>
      <c r="AC131" s="32" t="s">
        <v>1101</v>
      </c>
      <c r="AD131" s="15" t="str">
        <f t="shared" si="35"/>
        <v>298293649</v>
      </c>
      <c r="AE131" s="21" t="str">
        <f t="shared" si="27"/>
        <v>BR_VW_AFS_dv360_DIS_PROG_CPM_STD_LDR_AAF_RON_CXD_After-Sales-Promo-Nacional-Categories_PD_300x250</v>
      </c>
      <c r="AF131" s="21" t="str">
        <f t="shared" si="28"/>
        <v>BR_VW_AFS_dv360_DIS_PROG_CPM_STD_LDR_AAF_RON_CXD_After-Sales-Promo-Nacional-Categories_PD_300x250</v>
      </c>
      <c r="AG131" s="21" t="str">
        <f t="shared" si="29"/>
        <v>VW_After-Sales-Categories_300x250_After-Sales-Promo-Nacional-adserver</v>
      </c>
      <c r="AH131" s="21" t="str">
        <f t="shared" si="30"/>
        <v>https://posvendas.vw.com.br/product/oferta/63?utm_source=dv360&amp;utm_medium=Programmatic&amp;utm_content=BR_VW_AFS_dv360_DIS_PROG_CPM_STD_LDR_AAF_RON_CXD_After-Sales-Promo-Nacional-Categories_PD_300x250&amp;utm_campaign=BR_AAF_DSY_NONMS_ND_AS_2021Q1FEV_AFS_After-Sales&amp;utm_term=%epid!_%ecid!_%eaid!</v>
      </c>
      <c r="AI131" s="21" t="str">
        <f t="shared" si="31"/>
        <v>TAG</v>
      </c>
      <c r="AJ131" s="15" t="str">
        <f t="shared" si="33"/>
        <v>dv360</v>
      </c>
      <c r="AK131" s="15" t="str">
        <f t="shared" si="34"/>
        <v>Programmatic</v>
      </c>
      <c r="AL131" s="21" t="str">
        <f>Campanha!$B$3</f>
        <v>BR_AAF_DSY_NONMS_ND_AS_2021Q1FEV_AFS_After-Sales</v>
      </c>
      <c r="AM131" s="21" t="str">
        <f t="shared" si="32"/>
        <v>BR_VW_AFS_dv360_DIS_PROG_CPM_STD_LDR_AAF_RON_CXD_After-Sales-Promo-Nacional-Categories_PD_300x250</v>
      </c>
      <c r="AN131" s="15" t="s">
        <v>809</v>
      </c>
    </row>
    <row r="132" spans="2:40" x14ac:dyDescent="0.25">
      <c r="B132" s="15" t="s">
        <v>1104</v>
      </c>
      <c r="C132" s="15" t="s">
        <v>1116</v>
      </c>
      <c r="D132" s="15" t="s">
        <v>1099</v>
      </c>
      <c r="E132" s="22">
        <v>44264</v>
      </c>
      <c r="F132" s="22">
        <v>44316</v>
      </c>
      <c r="G132" s="31" t="s">
        <v>674</v>
      </c>
      <c r="H132" s="31" t="s">
        <v>811</v>
      </c>
      <c r="I132" s="31" t="s">
        <v>702</v>
      </c>
      <c r="J132" s="31" t="s">
        <v>325</v>
      </c>
      <c r="K132" s="31" t="s">
        <v>334</v>
      </c>
      <c r="L132" s="31" t="s">
        <v>358</v>
      </c>
      <c r="M132" s="31" t="s">
        <v>322</v>
      </c>
      <c r="N132" s="31" t="s">
        <v>708</v>
      </c>
      <c r="O132" s="31" t="s">
        <v>694</v>
      </c>
      <c r="P132" s="15" t="s">
        <v>1100</v>
      </c>
      <c r="Q132" s="31" t="s">
        <v>879</v>
      </c>
      <c r="R132" s="15" t="s">
        <v>835</v>
      </c>
      <c r="S132" s="15" t="s">
        <v>348</v>
      </c>
      <c r="T132" s="31" t="s">
        <v>614</v>
      </c>
      <c r="AC132" s="32" t="s">
        <v>1101</v>
      </c>
      <c r="AD132" s="15" t="str">
        <f t="shared" si="35"/>
        <v>298293646</v>
      </c>
      <c r="AE132" s="21" t="str">
        <f t="shared" ref="AE132:AE158" si="36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IF(col_servidopor="adserver-rotacionar",col_segmentacao,CONCATENATE(col_localfreetype,"-",col_segmentacao)),"_",VLOOKUP(col_paidvsav,tab_paidvsav,2,FALSE),"_",col_size))</f>
        <v>BR_VW_AFS_dv360_DIS_PROG_CPM_STD_LDR_AAF_RON_CXD_After-Sales-Promo-Nacional-Categories_PD_728x90</v>
      </c>
      <c r="AF132" s="21" t="str">
        <f t="shared" ref="AF132:AF158" si="37">faxineiro(CONCATENATE(VLOOKUP(cel_country,tab_country,2,FALSE),"_","VW","_",VLOOKUP(cel_modelvariant,tab_modelvariant,2,FALSE),"_",col_supplier,"_",VLOOKUP(col_submediachannel,tab_submediachannel,2,FALSE),"_",VLOOKUP(col_buyingtype,tab_buyingtype,2,FALSE),"_",VLOOKUP(col_buyingmetric,tab_buyingmetric,2,FALSE),"_",VLOOKUP(col_trackingtype,tab_trackingtype,2,FALSE),"_",VLOOKUP(col_unitname,tab_unitname,2,FALSE),"_",VLOOKUP(cel_planningprinciple,tab_planningprinciple,2,FALSE),"_",VLOOKUP(col_sitesection,tab_sitesection,2,FALSE),"_",VLOOKUP(col_device,tab_device,2,FALSE),"_",col_localfreetype,"-",col_segmentacao,"_",VLOOKUP(col_paidvsav,tab_paidvsav,2,FALSE),"_",col_size))</f>
        <v>BR_VW_AFS_dv360_DIS_PROG_CPM_STD_LDR_AAF_RON_CXD_After-Sales-Promo-Nacional-Categories_PD_728x90</v>
      </c>
      <c r="AG132" s="21" t="str">
        <f t="shared" ref="AG132:AG158" si="38">CONCATENATE("VW","_",cel_modelvariant,"-",col_segmentacao,"_",col_size,"_",col_localfreetype,"-",IF(col_servidopor="portal",col_supplier,"adserver"))</f>
        <v>VW_After-Sales-Categories_728x90_After-Sales-Promo-Nacional-adserver</v>
      </c>
      <c r="AH132" s="21" t="str">
        <f t="shared" ref="AH132:AH158" si="39">faxineiro(CONCATENATE(col_url,IF(ISNUMBER(FIND("?",col_url)),"&amp;","?"),"utm_source=",col_utmsource,"&amp;utm_medium=",col_utmmedium,"&amp;utm_content=",col_utmcontent,"&amp;utm_campaign=",col_utmcampaign,"&amp;utm_term=",col_keyword))</f>
        <v>https://posvendas.vw.com.br/product/oferta/63?utm_source=dv360&amp;utm_medium=Programmatic&amp;utm_content=BR_VW_AFS_dv360_DIS_PROG_CPM_STD_LDR_AAF_RON_CXD_After-Sales-Promo-Nacional-Categories_PD_728x90&amp;utm_campaign=BR_AAF_DSY_NONMS_ND_AS_2021Q1FEV_AFS_After-Sales&amp;utm_term=%epid!_%ecid!_%eaid!</v>
      </c>
      <c r="AI132" s="21" t="str">
        <f t="shared" ref="AI132:AI158" si="40">IFERROR(IF(col_servidopor="portal",VLOOKUP(col_placement,tab_contadores,2,FALSE),"TAG"),"Contador")</f>
        <v>TAG</v>
      </c>
      <c r="AJ132" s="15" t="str">
        <f t="shared" si="33"/>
        <v>dv360</v>
      </c>
      <c r="AK132" s="15" t="str">
        <f t="shared" si="34"/>
        <v>Programmatic</v>
      </c>
      <c r="AL132" s="21" t="str">
        <f>Campanha!$B$3</f>
        <v>BR_AAF_DSY_NONMS_ND_AS_2021Q1FEV_AFS_After-Sales</v>
      </c>
      <c r="AM132" s="21" t="str">
        <f t="shared" ref="AM132:AM158" si="41">col_adname</f>
        <v>BR_VW_AFS_dv360_DIS_PROG_CPM_STD_LDR_AAF_RON_CXD_After-Sales-Promo-Nacional-Categories_PD_728x90</v>
      </c>
      <c r="AN132" s="15" t="s">
        <v>809</v>
      </c>
    </row>
    <row r="133" spans="2:40" x14ac:dyDescent="0.25">
      <c r="B133" s="15" t="s">
        <v>1104</v>
      </c>
      <c r="C133" s="15" t="s">
        <v>1116</v>
      </c>
      <c r="D133" s="15" t="s">
        <v>1099</v>
      </c>
      <c r="E133" s="22">
        <v>44264</v>
      </c>
      <c r="F133" s="22">
        <v>44316</v>
      </c>
      <c r="G133" s="31" t="s">
        <v>674</v>
      </c>
      <c r="H133" s="31" t="s">
        <v>811</v>
      </c>
      <c r="I133" s="31" t="s">
        <v>702</v>
      </c>
      <c r="J133" s="31" t="s">
        <v>325</v>
      </c>
      <c r="K133" s="31" t="s">
        <v>334</v>
      </c>
      <c r="L133" s="31" t="s">
        <v>358</v>
      </c>
      <c r="M133" s="31" t="s">
        <v>322</v>
      </c>
      <c r="N133" s="31" t="s">
        <v>708</v>
      </c>
      <c r="O133" s="31" t="s">
        <v>694</v>
      </c>
      <c r="P133" s="15" t="s">
        <v>1100</v>
      </c>
      <c r="Q133" s="31" t="s">
        <v>879</v>
      </c>
      <c r="R133" s="15" t="s">
        <v>835</v>
      </c>
      <c r="S133" s="15" t="s">
        <v>348</v>
      </c>
      <c r="T133" s="31" t="s">
        <v>652</v>
      </c>
      <c r="AC133" s="32" t="s">
        <v>1101</v>
      </c>
      <c r="AD133" s="15" t="str">
        <f t="shared" si="35"/>
        <v>298293643</v>
      </c>
      <c r="AE133" s="21" t="str">
        <f t="shared" si="36"/>
        <v>BR_VW_AFS_dv360_DIS_PROG_CPM_STD_LDR_AAF_RON_CXD_After-Sales-Promo-Nacional-Categories_PD_970x250</v>
      </c>
      <c r="AF133" s="21" t="str">
        <f t="shared" si="37"/>
        <v>BR_VW_AFS_dv360_DIS_PROG_CPM_STD_LDR_AAF_RON_CXD_After-Sales-Promo-Nacional-Categories_PD_970x250</v>
      </c>
      <c r="AG133" s="21" t="str">
        <f t="shared" si="38"/>
        <v>VW_After-Sales-Categories_970x250_After-Sales-Promo-Nacional-adserver</v>
      </c>
      <c r="AH133" s="21" t="str">
        <f t="shared" si="39"/>
        <v>https://posvendas.vw.com.br/product/oferta/63?utm_source=dv360&amp;utm_medium=Programmatic&amp;utm_content=BR_VW_AFS_dv360_DIS_PROG_CPM_STD_LDR_AAF_RON_CXD_After-Sales-Promo-Nacional-Categories_PD_970x250&amp;utm_campaign=BR_AAF_DSY_NONMS_ND_AS_2021Q1FEV_AFS_After-Sales&amp;utm_term=%epid!_%ecid!_%eaid!</v>
      </c>
      <c r="AI133" s="21" t="str">
        <f t="shared" si="40"/>
        <v>TAG</v>
      </c>
      <c r="AJ133" s="15" t="str">
        <f t="shared" si="33"/>
        <v>dv360</v>
      </c>
      <c r="AK133" s="15" t="str">
        <f t="shared" si="34"/>
        <v>Programmatic</v>
      </c>
      <c r="AL133" s="21" t="str">
        <f>Campanha!$B$3</f>
        <v>BR_AAF_DSY_NONMS_ND_AS_2021Q1FEV_AFS_After-Sales</v>
      </c>
      <c r="AM133" s="21" t="str">
        <f t="shared" si="41"/>
        <v>BR_VW_AFS_dv360_DIS_PROG_CPM_STD_LDR_AAF_RON_CXD_After-Sales-Promo-Nacional-Categories_PD_970x250</v>
      </c>
      <c r="AN133" s="15" t="s">
        <v>809</v>
      </c>
    </row>
    <row r="134" spans="2:40" x14ac:dyDescent="0.25">
      <c r="B134" s="15" t="s">
        <v>1104</v>
      </c>
      <c r="C134" s="15" t="s">
        <v>1116</v>
      </c>
      <c r="D134" s="15" t="s">
        <v>1099</v>
      </c>
      <c r="E134" s="22">
        <v>44264</v>
      </c>
      <c r="F134" s="22">
        <v>44316</v>
      </c>
      <c r="G134" s="31" t="s">
        <v>674</v>
      </c>
      <c r="H134" s="31" t="s">
        <v>811</v>
      </c>
      <c r="I134" s="31" t="s">
        <v>702</v>
      </c>
      <c r="J134" s="31" t="s">
        <v>325</v>
      </c>
      <c r="K134" s="31" t="s">
        <v>334</v>
      </c>
      <c r="L134" s="31" t="s">
        <v>358</v>
      </c>
      <c r="M134" s="31" t="s">
        <v>322</v>
      </c>
      <c r="N134" s="31" t="s">
        <v>708</v>
      </c>
      <c r="O134" s="31" t="s">
        <v>694</v>
      </c>
      <c r="P134" s="15" t="s">
        <v>1100</v>
      </c>
      <c r="Q134" s="31" t="s">
        <v>880</v>
      </c>
      <c r="R134" s="15" t="s">
        <v>835</v>
      </c>
      <c r="S134" s="15" t="s">
        <v>348</v>
      </c>
      <c r="T134" s="31" t="s">
        <v>457</v>
      </c>
      <c r="AC134" s="32" t="s">
        <v>1101</v>
      </c>
      <c r="AD134" s="15" t="str">
        <f t="shared" si="35"/>
        <v>298293640</v>
      </c>
      <c r="AE134" s="21" t="str">
        <f t="shared" si="36"/>
        <v>BR_VW_AFS_dv360_DIS_PROG_CPM_STD_LDR_AAF_RON_CXD_After-Sales-Promo-Nacional-In-Market_PD_160x600</v>
      </c>
      <c r="AF134" s="21" t="str">
        <f t="shared" si="37"/>
        <v>BR_VW_AFS_dv360_DIS_PROG_CPM_STD_LDR_AAF_RON_CXD_After-Sales-Promo-Nacional-In-Market_PD_160x600</v>
      </c>
      <c r="AG134" s="21" t="str">
        <f t="shared" si="38"/>
        <v>VW_After-Sales-In-Market_160x600_After-Sales-Promo-Nacional-adserver</v>
      </c>
      <c r="AH134" s="21" t="str">
        <f t="shared" si="39"/>
        <v>https://posvendas.vw.com.br/product/oferta/63?utm_source=dv360&amp;utm_medium=Programmatic&amp;utm_content=BR_VW_AFS_dv360_DIS_PROG_CPM_STD_LDR_AAF_RON_CXD_After-Sales-Promo-Nacional-In-Market_PD_160x600&amp;utm_campaign=BR_AAF_DSY_NONMS_ND_AS_2021Q1FEV_AFS_After-Sales&amp;utm_term=%epid!_%ecid!_%eaid!</v>
      </c>
      <c r="AI134" s="21" t="str">
        <f t="shared" si="40"/>
        <v>TAG</v>
      </c>
      <c r="AJ134" s="15" t="str">
        <f t="shared" si="33"/>
        <v>dv360</v>
      </c>
      <c r="AK134" s="15" t="str">
        <f t="shared" si="34"/>
        <v>Programmatic</v>
      </c>
      <c r="AL134" s="21" t="str">
        <f>Campanha!$B$3</f>
        <v>BR_AAF_DSY_NONMS_ND_AS_2021Q1FEV_AFS_After-Sales</v>
      </c>
      <c r="AM134" s="21" t="str">
        <f t="shared" si="41"/>
        <v>BR_VW_AFS_dv360_DIS_PROG_CPM_STD_LDR_AAF_RON_CXD_After-Sales-Promo-Nacional-In-Market_PD_160x600</v>
      </c>
      <c r="AN134" s="15" t="s">
        <v>809</v>
      </c>
    </row>
    <row r="135" spans="2:40" x14ac:dyDescent="0.25">
      <c r="B135" s="15" t="s">
        <v>1104</v>
      </c>
      <c r="C135" s="15" t="s">
        <v>1116</v>
      </c>
      <c r="D135" s="15" t="s">
        <v>1099</v>
      </c>
      <c r="E135" s="22">
        <v>44264</v>
      </c>
      <c r="F135" s="22">
        <v>44316</v>
      </c>
      <c r="G135" s="31" t="s">
        <v>674</v>
      </c>
      <c r="H135" s="31" t="s">
        <v>811</v>
      </c>
      <c r="I135" s="31" t="s">
        <v>702</v>
      </c>
      <c r="J135" s="31" t="s">
        <v>325</v>
      </c>
      <c r="K135" s="31" t="s">
        <v>334</v>
      </c>
      <c r="L135" s="31" t="s">
        <v>358</v>
      </c>
      <c r="M135" s="31" t="s">
        <v>322</v>
      </c>
      <c r="N135" s="31" t="s">
        <v>708</v>
      </c>
      <c r="O135" s="31" t="s">
        <v>694</v>
      </c>
      <c r="P135" s="15" t="s">
        <v>1100</v>
      </c>
      <c r="Q135" s="31" t="s">
        <v>880</v>
      </c>
      <c r="R135" s="15" t="s">
        <v>835</v>
      </c>
      <c r="S135" s="15" t="s">
        <v>348</v>
      </c>
      <c r="T135" s="31" t="s">
        <v>484</v>
      </c>
      <c r="AC135" s="32" t="s">
        <v>1101</v>
      </c>
      <c r="AD135" s="15" t="str">
        <f t="shared" si="35"/>
        <v>298293637</v>
      </c>
      <c r="AE135" s="21" t="str">
        <f t="shared" si="36"/>
        <v>BR_VW_AFS_dv360_DIS_PROG_CPM_STD_LDR_AAF_RON_CXD_After-Sales-Promo-Nacional-In-Market_PD_300x50</v>
      </c>
      <c r="AF135" s="21" t="str">
        <f t="shared" si="37"/>
        <v>BR_VW_AFS_dv360_DIS_PROG_CPM_STD_LDR_AAF_RON_CXD_After-Sales-Promo-Nacional-In-Market_PD_300x50</v>
      </c>
      <c r="AG135" s="21" t="str">
        <f t="shared" si="38"/>
        <v>VW_After-Sales-In-Market_300x50_After-Sales-Promo-Nacional-adserver</v>
      </c>
      <c r="AH135" s="21" t="str">
        <f t="shared" si="39"/>
        <v>https://posvendas.vw.com.br/product/oferta/63?utm_source=dv360&amp;utm_medium=Programmatic&amp;utm_content=BR_VW_AFS_dv360_DIS_PROG_CPM_STD_LDR_AAF_RON_CXD_After-Sales-Promo-Nacional-In-Market_PD_300x50&amp;utm_campaign=BR_AAF_DSY_NONMS_ND_AS_2021Q1FEV_AFS_After-Sales&amp;utm_term=%epid!_%ecid!_%eaid!</v>
      </c>
      <c r="AI135" s="21" t="str">
        <f t="shared" si="40"/>
        <v>TAG</v>
      </c>
      <c r="AJ135" s="15" t="str">
        <f t="shared" si="33"/>
        <v>dv360</v>
      </c>
      <c r="AK135" s="15" t="str">
        <f t="shared" si="34"/>
        <v>Programmatic</v>
      </c>
      <c r="AL135" s="21" t="str">
        <f>Campanha!$B$3</f>
        <v>BR_AAF_DSY_NONMS_ND_AS_2021Q1FEV_AFS_After-Sales</v>
      </c>
      <c r="AM135" s="21" t="str">
        <f t="shared" si="41"/>
        <v>BR_VW_AFS_dv360_DIS_PROG_CPM_STD_LDR_AAF_RON_CXD_After-Sales-Promo-Nacional-In-Market_PD_300x50</v>
      </c>
      <c r="AN135" s="15" t="s">
        <v>809</v>
      </c>
    </row>
    <row r="136" spans="2:40" x14ac:dyDescent="0.25">
      <c r="B136" s="15" t="s">
        <v>1104</v>
      </c>
      <c r="C136" s="15" t="s">
        <v>1116</v>
      </c>
      <c r="D136" s="15" t="s">
        <v>1099</v>
      </c>
      <c r="E136" s="22">
        <v>44264</v>
      </c>
      <c r="F136" s="22">
        <v>44316</v>
      </c>
      <c r="G136" s="31" t="s">
        <v>674</v>
      </c>
      <c r="H136" s="31" t="s">
        <v>811</v>
      </c>
      <c r="I136" s="31" t="s">
        <v>702</v>
      </c>
      <c r="J136" s="31" t="s">
        <v>325</v>
      </c>
      <c r="K136" s="31" t="s">
        <v>334</v>
      </c>
      <c r="L136" s="31" t="s">
        <v>358</v>
      </c>
      <c r="M136" s="31" t="s">
        <v>322</v>
      </c>
      <c r="N136" s="31" t="s">
        <v>708</v>
      </c>
      <c r="O136" s="31" t="s">
        <v>694</v>
      </c>
      <c r="P136" s="15" t="s">
        <v>1100</v>
      </c>
      <c r="Q136" s="31" t="s">
        <v>880</v>
      </c>
      <c r="R136" s="15" t="s">
        <v>835</v>
      </c>
      <c r="S136" s="15" t="s">
        <v>348</v>
      </c>
      <c r="T136" s="31" t="s">
        <v>478</v>
      </c>
      <c r="AC136" s="32" t="s">
        <v>1101</v>
      </c>
      <c r="AD136" s="15" t="str">
        <f t="shared" si="35"/>
        <v>298293634</v>
      </c>
      <c r="AE136" s="21" t="str">
        <f t="shared" si="36"/>
        <v>BR_VW_AFS_dv360_DIS_PROG_CPM_STD_LDR_AAF_RON_CXD_After-Sales-Promo-Nacional-In-Market_PD_300x250</v>
      </c>
      <c r="AF136" s="21" t="str">
        <f t="shared" si="37"/>
        <v>BR_VW_AFS_dv360_DIS_PROG_CPM_STD_LDR_AAF_RON_CXD_After-Sales-Promo-Nacional-In-Market_PD_300x250</v>
      </c>
      <c r="AG136" s="21" t="str">
        <f t="shared" si="38"/>
        <v>VW_After-Sales-In-Market_300x250_After-Sales-Promo-Nacional-adserver</v>
      </c>
      <c r="AH136" s="21" t="str">
        <f t="shared" si="39"/>
        <v>https://posvendas.vw.com.br/product/oferta/63?utm_source=dv360&amp;utm_medium=Programmatic&amp;utm_content=BR_VW_AFS_dv360_DIS_PROG_CPM_STD_LDR_AAF_RON_CXD_After-Sales-Promo-Nacional-In-Market_PD_300x250&amp;utm_campaign=BR_AAF_DSY_NONMS_ND_AS_2021Q1FEV_AFS_After-Sales&amp;utm_term=%epid!_%ecid!_%eaid!</v>
      </c>
      <c r="AI136" s="21" t="str">
        <f t="shared" si="40"/>
        <v>TAG</v>
      </c>
      <c r="AJ136" s="15" t="str">
        <f t="shared" si="33"/>
        <v>dv360</v>
      </c>
      <c r="AK136" s="15" t="str">
        <f t="shared" si="34"/>
        <v>Programmatic</v>
      </c>
      <c r="AL136" s="21" t="str">
        <f>Campanha!$B$3</f>
        <v>BR_AAF_DSY_NONMS_ND_AS_2021Q1FEV_AFS_After-Sales</v>
      </c>
      <c r="AM136" s="21" t="str">
        <f t="shared" si="41"/>
        <v>BR_VW_AFS_dv360_DIS_PROG_CPM_STD_LDR_AAF_RON_CXD_After-Sales-Promo-Nacional-In-Market_PD_300x250</v>
      </c>
      <c r="AN136" s="15" t="s">
        <v>809</v>
      </c>
    </row>
    <row r="137" spans="2:40" x14ac:dyDescent="0.25">
      <c r="B137" s="15" t="s">
        <v>1104</v>
      </c>
      <c r="C137" s="15" t="s">
        <v>1116</v>
      </c>
      <c r="D137" s="15" t="s">
        <v>1099</v>
      </c>
      <c r="E137" s="22">
        <v>44264</v>
      </c>
      <c r="F137" s="22">
        <v>44316</v>
      </c>
      <c r="G137" s="31" t="s">
        <v>674</v>
      </c>
      <c r="H137" s="31" t="s">
        <v>811</v>
      </c>
      <c r="I137" s="31" t="s">
        <v>702</v>
      </c>
      <c r="J137" s="31" t="s">
        <v>325</v>
      </c>
      <c r="K137" s="31" t="s">
        <v>334</v>
      </c>
      <c r="L137" s="31" t="s">
        <v>358</v>
      </c>
      <c r="M137" s="31" t="s">
        <v>322</v>
      </c>
      <c r="N137" s="31" t="s">
        <v>708</v>
      </c>
      <c r="O137" s="31" t="s">
        <v>694</v>
      </c>
      <c r="P137" s="15" t="s">
        <v>1100</v>
      </c>
      <c r="Q137" s="31" t="s">
        <v>880</v>
      </c>
      <c r="R137" s="15" t="s">
        <v>835</v>
      </c>
      <c r="S137" s="15" t="s">
        <v>348</v>
      </c>
      <c r="T137" s="31" t="s">
        <v>614</v>
      </c>
      <c r="AC137" s="32" t="s">
        <v>1101</v>
      </c>
      <c r="AD137" s="15" t="str">
        <f t="shared" si="35"/>
        <v>298293631</v>
      </c>
      <c r="AE137" s="21" t="str">
        <f t="shared" si="36"/>
        <v>BR_VW_AFS_dv360_DIS_PROG_CPM_STD_LDR_AAF_RON_CXD_After-Sales-Promo-Nacional-In-Market_PD_728x90</v>
      </c>
      <c r="AF137" s="21" t="str">
        <f t="shared" si="37"/>
        <v>BR_VW_AFS_dv360_DIS_PROG_CPM_STD_LDR_AAF_RON_CXD_After-Sales-Promo-Nacional-In-Market_PD_728x90</v>
      </c>
      <c r="AG137" s="21" t="str">
        <f t="shared" si="38"/>
        <v>VW_After-Sales-In-Market_728x90_After-Sales-Promo-Nacional-adserver</v>
      </c>
      <c r="AH137" s="21" t="str">
        <f t="shared" si="39"/>
        <v>https://posvendas.vw.com.br/product/oferta/63?utm_source=dv360&amp;utm_medium=Programmatic&amp;utm_content=BR_VW_AFS_dv360_DIS_PROG_CPM_STD_LDR_AAF_RON_CXD_After-Sales-Promo-Nacional-In-Market_PD_728x90&amp;utm_campaign=BR_AAF_DSY_NONMS_ND_AS_2021Q1FEV_AFS_After-Sales&amp;utm_term=%epid!_%ecid!_%eaid!</v>
      </c>
      <c r="AI137" s="21" t="str">
        <f t="shared" si="40"/>
        <v>TAG</v>
      </c>
      <c r="AJ137" s="15" t="str">
        <f t="shared" si="33"/>
        <v>dv360</v>
      </c>
      <c r="AK137" s="15" t="str">
        <f t="shared" si="34"/>
        <v>Programmatic</v>
      </c>
      <c r="AL137" s="21" t="str">
        <f>Campanha!$B$3</f>
        <v>BR_AAF_DSY_NONMS_ND_AS_2021Q1FEV_AFS_After-Sales</v>
      </c>
      <c r="AM137" s="21" t="str">
        <f t="shared" si="41"/>
        <v>BR_VW_AFS_dv360_DIS_PROG_CPM_STD_LDR_AAF_RON_CXD_After-Sales-Promo-Nacional-In-Market_PD_728x90</v>
      </c>
      <c r="AN137" s="15" t="s">
        <v>809</v>
      </c>
    </row>
    <row r="138" spans="2:40" x14ac:dyDescent="0.25">
      <c r="B138" s="15" t="s">
        <v>1104</v>
      </c>
      <c r="C138" s="15" t="s">
        <v>1116</v>
      </c>
      <c r="D138" s="15" t="s">
        <v>1099</v>
      </c>
      <c r="E138" s="22">
        <v>44264</v>
      </c>
      <c r="F138" s="22">
        <v>44316</v>
      </c>
      <c r="G138" s="31" t="s">
        <v>674</v>
      </c>
      <c r="H138" s="31" t="s">
        <v>811</v>
      </c>
      <c r="I138" s="31" t="s">
        <v>702</v>
      </c>
      <c r="J138" s="31" t="s">
        <v>325</v>
      </c>
      <c r="K138" s="31" t="s">
        <v>334</v>
      </c>
      <c r="L138" s="31" t="s">
        <v>358</v>
      </c>
      <c r="M138" s="31" t="s">
        <v>322</v>
      </c>
      <c r="N138" s="31" t="s">
        <v>708</v>
      </c>
      <c r="O138" s="31" t="s">
        <v>694</v>
      </c>
      <c r="P138" s="15" t="s">
        <v>1100</v>
      </c>
      <c r="Q138" s="31" t="s">
        <v>880</v>
      </c>
      <c r="R138" s="15" t="s">
        <v>835</v>
      </c>
      <c r="S138" s="15" t="s">
        <v>348</v>
      </c>
      <c r="T138" s="31" t="s">
        <v>652</v>
      </c>
      <c r="AC138" s="32" t="s">
        <v>1101</v>
      </c>
      <c r="AD138" s="15" t="str">
        <f t="shared" si="35"/>
        <v>298293628</v>
      </c>
      <c r="AE138" s="21" t="str">
        <f t="shared" si="36"/>
        <v>BR_VW_AFS_dv360_DIS_PROG_CPM_STD_LDR_AAF_RON_CXD_After-Sales-Promo-Nacional-In-Market_PD_970x250</v>
      </c>
      <c r="AF138" s="21" t="str">
        <f t="shared" si="37"/>
        <v>BR_VW_AFS_dv360_DIS_PROG_CPM_STD_LDR_AAF_RON_CXD_After-Sales-Promo-Nacional-In-Market_PD_970x250</v>
      </c>
      <c r="AG138" s="21" t="str">
        <f t="shared" si="38"/>
        <v>VW_After-Sales-In-Market_970x250_After-Sales-Promo-Nacional-adserver</v>
      </c>
      <c r="AH138" s="21" t="str">
        <f t="shared" si="39"/>
        <v>https://posvendas.vw.com.br/product/oferta/63?utm_source=dv360&amp;utm_medium=Programmatic&amp;utm_content=BR_VW_AFS_dv360_DIS_PROG_CPM_STD_LDR_AAF_RON_CXD_After-Sales-Promo-Nacional-In-Market_PD_970x250&amp;utm_campaign=BR_AAF_DSY_NONMS_ND_AS_2021Q1FEV_AFS_After-Sales&amp;utm_term=%epid!_%ecid!_%eaid!</v>
      </c>
      <c r="AI138" s="21" t="str">
        <f t="shared" si="40"/>
        <v>TAG</v>
      </c>
      <c r="AJ138" s="15" t="str">
        <f t="shared" si="33"/>
        <v>dv360</v>
      </c>
      <c r="AK138" s="15" t="str">
        <f t="shared" si="34"/>
        <v>Programmatic</v>
      </c>
      <c r="AL138" s="21" t="str">
        <f>Campanha!$B$3</f>
        <v>BR_AAF_DSY_NONMS_ND_AS_2021Q1FEV_AFS_After-Sales</v>
      </c>
      <c r="AM138" s="21" t="str">
        <f t="shared" si="41"/>
        <v>BR_VW_AFS_dv360_DIS_PROG_CPM_STD_LDR_AAF_RON_CXD_After-Sales-Promo-Nacional-In-Market_PD_970x250</v>
      </c>
      <c r="AN138" s="15" t="s">
        <v>809</v>
      </c>
    </row>
    <row r="139" spans="2:40" x14ac:dyDescent="0.25">
      <c r="B139" s="15" t="s">
        <v>1104</v>
      </c>
      <c r="C139" s="15" t="s">
        <v>1116</v>
      </c>
      <c r="D139" s="15" t="s">
        <v>1099</v>
      </c>
      <c r="E139" s="22">
        <v>44264</v>
      </c>
      <c r="F139" s="22">
        <v>44316</v>
      </c>
      <c r="G139" s="31" t="s">
        <v>674</v>
      </c>
      <c r="H139" s="31" t="s">
        <v>811</v>
      </c>
      <c r="I139" s="31" t="s">
        <v>702</v>
      </c>
      <c r="J139" s="31" t="s">
        <v>325</v>
      </c>
      <c r="K139" s="31" t="s">
        <v>334</v>
      </c>
      <c r="L139" s="31" t="s">
        <v>358</v>
      </c>
      <c r="M139" s="31" t="s">
        <v>322</v>
      </c>
      <c r="N139" s="31" t="s">
        <v>708</v>
      </c>
      <c r="O139" s="31" t="s">
        <v>694</v>
      </c>
      <c r="P139" s="15" t="s">
        <v>1100</v>
      </c>
      <c r="Q139" s="31" t="s">
        <v>881</v>
      </c>
      <c r="R139" s="15" t="s">
        <v>835</v>
      </c>
      <c r="S139" s="15" t="s">
        <v>348</v>
      </c>
      <c r="T139" s="31" t="s">
        <v>457</v>
      </c>
      <c r="AC139" s="32" t="s">
        <v>1101</v>
      </c>
      <c r="AD139" s="15" t="str">
        <f t="shared" si="35"/>
        <v>298293625</v>
      </c>
      <c r="AE139" s="21" t="str">
        <f t="shared" si="36"/>
        <v>BR_VW_AFS_dv360_DIS_PROG_CPM_STD_LDR_AAF_RON_CXD_After-Sales-Promo-Nacional-3rdparty_PD_160x600</v>
      </c>
      <c r="AF139" s="21" t="str">
        <f t="shared" si="37"/>
        <v>BR_VW_AFS_dv360_DIS_PROG_CPM_STD_LDR_AAF_RON_CXD_After-Sales-Promo-Nacional-3rdparty_PD_160x600</v>
      </c>
      <c r="AG139" s="21" t="str">
        <f t="shared" si="38"/>
        <v>VW_After-Sales-3rdparty_160x600_After-Sales-Promo-Nacional-adserver</v>
      </c>
      <c r="AH139" s="21" t="str">
        <f t="shared" si="39"/>
        <v>https://posvendas.vw.com.br/product/oferta/63?utm_source=dv360&amp;utm_medium=Programmatic&amp;utm_content=BR_VW_AFS_dv360_DIS_PROG_CPM_STD_LDR_AAF_RON_CXD_After-Sales-Promo-Nacional-3rdparty_PD_160x600&amp;utm_campaign=BR_AAF_DSY_NONMS_ND_AS_2021Q1FEV_AFS_After-Sales&amp;utm_term=%epid!_%ecid!_%eaid!</v>
      </c>
      <c r="AI139" s="21" t="str">
        <f t="shared" si="40"/>
        <v>TAG</v>
      </c>
      <c r="AJ139" s="15" t="str">
        <f t="shared" si="33"/>
        <v>dv360</v>
      </c>
      <c r="AK139" s="15" t="str">
        <f t="shared" si="34"/>
        <v>Programmatic</v>
      </c>
      <c r="AL139" s="21" t="str">
        <f>Campanha!$B$3</f>
        <v>BR_AAF_DSY_NONMS_ND_AS_2021Q1FEV_AFS_After-Sales</v>
      </c>
      <c r="AM139" s="21" t="str">
        <f t="shared" si="41"/>
        <v>BR_VW_AFS_dv360_DIS_PROG_CPM_STD_LDR_AAF_RON_CXD_After-Sales-Promo-Nacional-3rdparty_PD_160x600</v>
      </c>
      <c r="AN139" s="15" t="s">
        <v>809</v>
      </c>
    </row>
    <row r="140" spans="2:40" x14ac:dyDescent="0.25">
      <c r="B140" s="15" t="s">
        <v>1104</v>
      </c>
      <c r="C140" s="15" t="s">
        <v>1116</v>
      </c>
      <c r="D140" s="15" t="s">
        <v>1099</v>
      </c>
      <c r="E140" s="22">
        <v>44264</v>
      </c>
      <c r="F140" s="22">
        <v>44316</v>
      </c>
      <c r="G140" s="31" t="s">
        <v>674</v>
      </c>
      <c r="H140" s="31" t="s">
        <v>811</v>
      </c>
      <c r="I140" s="31" t="s">
        <v>702</v>
      </c>
      <c r="J140" s="31" t="s">
        <v>325</v>
      </c>
      <c r="K140" s="31" t="s">
        <v>334</v>
      </c>
      <c r="L140" s="31" t="s">
        <v>358</v>
      </c>
      <c r="M140" s="31" t="s">
        <v>322</v>
      </c>
      <c r="N140" s="31" t="s">
        <v>708</v>
      </c>
      <c r="O140" s="31" t="s">
        <v>694</v>
      </c>
      <c r="P140" s="15" t="s">
        <v>1100</v>
      </c>
      <c r="Q140" s="31" t="s">
        <v>881</v>
      </c>
      <c r="R140" s="15" t="s">
        <v>835</v>
      </c>
      <c r="S140" s="15" t="s">
        <v>348</v>
      </c>
      <c r="T140" s="31" t="s">
        <v>484</v>
      </c>
      <c r="AC140" s="32" t="s">
        <v>1101</v>
      </c>
      <c r="AD140" s="15" t="str">
        <f t="shared" si="35"/>
        <v>298293679</v>
      </c>
      <c r="AE140" s="21" t="str">
        <f t="shared" si="36"/>
        <v>BR_VW_AFS_dv360_DIS_PROG_CPM_STD_LDR_AAF_RON_CXD_After-Sales-Promo-Nacional-3rdparty_PD_300x50</v>
      </c>
      <c r="AF140" s="21" t="str">
        <f t="shared" si="37"/>
        <v>BR_VW_AFS_dv360_DIS_PROG_CPM_STD_LDR_AAF_RON_CXD_After-Sales-Promo-Nacional-3rdparty_PD_300x50</v>
      </c>
      <c r="AG140" s="21" t="str">
        <f t="shared" si="38"/>
        <v>VW_After-Sales-3rdparty_300x50_After-Sales-Promo-Nacional-adserver</v>
      </c>
      <c r="AH140" s="21" t="str">
        <f t="shared" si="39"/>
        <v>https://posvendas.vw.com.br/product/oferta/63?utm_source=dv360&amp;utm_medium=Programmatic&amp;utm_content=BR_VW_AFS_dv360_DIS_PROG_CPM_STD_LDR_AAF_RON_CXD_After-Sales-Promo-Nacional-3rdparty_PD_300x50&amp;utm_campaign=BR_AAF_DSY_NONMS_ND_AS_2021Q1FEV_AFS_After-Sales&amp;utm_term=%epid!_%ecid!_%eaid!</v>
      </c>
      <c r="AI140" s="21" t="str">
        <f t="shared" si="40"/>
        <v>TAG</v>
      </c>
      <c r="AJ140" s="15" t="str">
        <f t="shared" si="33"/>
        <v>dv360</v>
      </c>
      <c r="AK140" s="15" t="str">
        <f t="shared" si="34"/>
        <v>Programmatic</v>
      </c>
      <c r="AL140" s="21" t="str">
        <f>Campanha!$B$3</f>
        <v>BR_AAF_DSY_NONMS_ND_AS_2021Q1FEV_AFS_After-Sales</v>
      </c>
      <c r="AM140" s="21" t="str">
        <f t="shared" si="41"/>
        <v>BR_VW_AFS_dv360_DIS_PROG_CPM_STD_LDR_AAF_RON_CXD_After-Sales-Promo-Nacional-3rdparty_PD_300x50</v>
      </c>
      <c r="AN140" s="15" t="s">
        <v>809</v>
      </c>
    </row>
    <row r="141" spans="2:40" x14ac:dyDescent="0.25">
      <c r="B141" s="15" t="s">
        <v>1104</v>
      </c>
      <c r="C141" s="15" t="s">
        <v>1116</v>
      </c>
      <c r="D141" s="15" t="s">
        <v>1099</v>
      </c>
      <c r="E141" s="22">
        <v>44264</v>
      </c>
      <c r="F141" s="22">
        <v>44316</v>
      </c>
      <c r="G141" s="31" t="s">
        <v>674</v>
      </c>
      <c r="H141" s="31" t="s">
        <v>811</v>
      </c>
      <c r="I141" s="31" t="s">
        <v>702</v>
      </c>
      <c r="J141" s="31" t="s">
        <v>325</v>
      </c>
      <c r="K141" s="31" t="s">
        <v>334</v>
      </c>
      <c r="L141" s="31" t="s">
        <v>358</v>
      </c>
      <c r="M141" s="31" t="s">
        <v>322</v>
      </c>
      <c r="N141" s="31" t="s">
        <v>708</v>
      </c>
      <c r="O141" s="31" t="s">
        <v>694</v>
      </c>
      <c r="P141" s="15" t="s">
        <v>1100</v>
      </c>
      <c r="Q141" s="31" t="s">
        <v>881</v>
      </c>
      <c r="R141" s="15" t="s">
        <v>835</v>
      </c>
      <c r="S141" s="15" t="s">
        <v>348</v>
      </c>
      <c r="T141" s="31" t="s">
        <v>478</v>
      </c>
      <c r="AC141" s="32" t="s">
        <v>1101</v>
      </c>
      <c r="AD141" s="15" t="str">
        <f t="shared" si="35"/>
        <v>298293673</v>
      </c>
      <c r="AE141" s="21" t="str">
        <f t="shared" si="36"/>
        <v>BR_VW_AFS_dv360_DIS_PROG_CPM_STD_LDR_AAF_RON_CXD_After-Sales-Promo-Nacional-3rdparty_PD_300x250</v>
      </c>
      <c r="AF141" s="21" t="str">
        <f t="shared" si="37"/>
        <v>BR_VW_AFS_dv360_DIS_PROG_CPM_STD_LDR_AAF_RON_CXD_After-Sales-Promo-Nacional-3rdparty_PD_300x250</v>
      </c>
      <c r="AG141" s="21" t="str">
        <f t="shared" si="38"/>
        <v>VW_After-Sales-3rdparty_300x250_After-Sales-Promo-Nacional-adserver</v>
      </c>
      <c r="AH141" s="21" t="str">
        <f t="shared" si="39"/>
        <v>https://posvendas.vw.com.br/product/oferta/63?utm_source=dv360&amp;utm_medium=Programmatic&amp;utm_content=BR_VW_AFS_dv360_DIS_PROG_CPM_STD_LDR_AAF_RON_CXD_After-Sales-Promo-Nacional-3rdparty_PD_300x250&amp;utm_campaign=BR_AAF_DSY_NONMS_ND_AS_2021Q1FEV_AFS_After-Sales&amp;utm_term=%epid!_%ecid!_%eaid!</v>
      </c>
      <c r="AI141" s="21" t="str">
        <f t="shared" si="40"/>
        <v>TAG</v>
      </c>
      <c r="AJ141" s="15" t="str">
        <f t="shared" si="33"/>
        <v>dv360</v>
      </c>
      <c r="AK141" s="15" t="str">
        <f t="shared" si="34"/>
        <v>Programmatic</v>
      </c>
      <c r="AL141" s="21" t="str">
        <f>Campanha!$B$3</f>
        <v>BR_AAF_DSY_NONMS_ND_AS_2021Q1FEV_AFS_After-Sales</v>
      </c>
      <c r="AM141" s="21" t="str">
        <f t="shared" si="41"/>
        <v>BR_VW_AFS_dv360_DIS_PROG_CPM_STD_LDR_AAF_RON_CXD_After-Sales-Promo-Nacional-3rdparty_PD_300x250</v>
      </c>
      <c r="AN141" s="15" t="s">
        <v>809</v>
      </c>
    </row>
    <row r="142" spans="2:40" x14ac:dyDescent="0.25">
      <c r="B142" s="15" t="s">
        <v>1104</v>
      </c>
      <c r="C142" s="15" t="s">
        <v>1116</v>
      </c>
      <c r="D142" s="15" t="s">
        <v>1099</v>
      </c>
      <c r="E142" s="22">
        <v>44264</v>
      </c>
      <c r="F142" s="22">
        <v>44316</v>
      </c>
      <c r="G142" s="31" t="s">
        <v>674</v>
      </c>
      <c r="H142" s="31" t="s">
        <v>811</v>
      </c>
      <c r="I142" s="31" t="s">
        <v>702</v>
      </c>
      <c r="J142" s="31" t="s">
        <v>325</v>
      </c>
      <c r="K142" s="31" t="s">
        <v>334</v>
      </c>
      <c r="L142" s="31" t="s">
        <v>358</v>
      </c>
      <c r="M142" s="31" t="s">
        <v>322</v>
      </c>
      <c r="N142" s="31" t="s">
        <v>708</v>
      </c>
      <c r="O142" s="31" t="s">
        <v>694</v>
      </c>
      <c r="P142" s="15" t="s">
        <v>1100</v>
      </c>
      <c r="Q142" s="31" t="s">
        <v>881</v>
      </c>
      <c r="R142" s="15" t="s">
        <v>835</v>
      </c>
      <c r="S142" s="15" t="s">
        <v>348</v>
      </c>
      <c r="T142" s="31" t="s">
        <v>614</v>
      </c>
      <c r="AC142" s="32" t="s">
        <v>1101</v>
      </c>
      <c r="AD142" s="15" t="str">
        <f t="shared" si="35"/>
        <v>298293667</v>
      </c>
      <c r="AE142" s="21" t="str">
        <f t="shared" si="36"/>
        <v>BR_VW_AFS_dv360_DIS_PROG_CPM_STD_LDR_AAF_RON_CXD_After-Sales-Promo-Nacional-3rdparty_PD_728x90</v>
      </c>
      <c r="AF142" s="21" t="str">
        <f t="shared" si="37"/>
        <v>BR_VW_AFS_dv360_DIS_PROG_CPM_STD_LDR_AAF_RON_CXD_After-Sales-Promo-Nacional-3rdparty_PD_728x90</v>
      </c>
      <c r="AG142" s="21" t="str">
        <f t="shared" si="38"/>
        <v>VW_After-Sales-3rdparty_728x90_After-Sales-Promo-Nacional-adserver</v>
      </c>
      <c r="AH142" s="21" t="str">
        <f t="shared" si="39"/>
        <v>https://posvendas.vw.com.br/product/oferta/63?utm_source=dv360&amp;utm_medium=Programmatic&amp;utm_content=BR_VW_AFS_dv360_DIS_PROG_CPM_STD_LDR_AAF_RON_CXD_After-Sales-Promo-Nacional-3rdparty_PD_728x90&amp;utm_campaign=BR_AAF_DSY_NONMS_ND_AS_2021Q1FEV_AFS_After-Sales&amp;utm_term=%epid!_%ecid!_%eaid!</v>
      </c>
      <c r="AI142" s="21" t="str">
        <f t="shared" si="40"/>
        <v>TAG</v>
      </c>
      <c r="AJ142" s="15" t="str">
        <f t="shared" si="33"/>
        <v>dv360</v>
      </c>
      <c r="AK142" s="15" t="str">
        <f t="shared" si="34"/>
        <v>Programmatic</v>
      </c>
      <c r="AL142" s="21" t="str">
        <f>Campanha!$B$3</f>
        <v>BR_AAF_DSY_NONMS_ND_AS_2021Q1FEV_AFS_After-Sales</v>
      </c>
      <c r="AM142" s="21" t="str">
        <f t="shared" si="41"/>
        <v>BR_VW_AFS_dv360_DIS_PROG_CPM_STD_LDR_AAF_RON_CXD_After-Sales-Promo-Nacional-3rdparty_PD_728x90</v>
      </c>
      <c r="AN142" s="15" t="s">
        <v>809</v>
      </c>
    </row>
    <row r="143" spans="2:40" x14ac:dyDescent="0.25">
      <c r="B143" s="15" t="s">
        <v>1104</v>
      </c>
      <c r="C143" s="15" t="s">
        <v>1116</v>
      </c>
      <c r="D143" s="15" t="s">
        <v>1099</v>
      </c>
      <c r="E143" s="22">
        <v>44264</v>
      </c>
      <c r="F143" s="22">
        <v>44316</v>
      </c>
      <c r="G143" s="31" t="s">
        <v>674</v>
      </c>
      <c r="H143" s="31" t="s">
        <v>811</v>
      </c>
      <c r="I143" s="31" t="s">
        <v>702</v>
      </c>
      <c r="J143" s="31" t="s">
        <v>325</v>
      </c>
      <c r="K143" s="31" t="s">
        <v>334</v>
      </c>
      <c r="L143" s="31" t="s">
        <v>358</v>
      </c>
      <c r="M143" s="31" t="s">
        <v>322</v>
      </c>
      <c r="N143" s="31" t="s">
        <v>708</v>
      </c>
      <c r="O143" s="31" t="s">
        <v>694</v>
      </c>
      <c r="P143" s="15" t="s">
        <v>1100</v>
      </c>
      <c r="Q143" s="31" t="s">
        <v>881</v>
      </c>
      <c r="R143" s="15" t="s">
        <v>835</v>
      </c>
      <c r="S143" s="15" t="s">
        <v>348</v>
      </c>
      <c r="T143" s="31" t="s">
        <v>652</v>
      </c>
      <c r="AC143" s="32" t="s">
        <v>1101</v>
      </c>
      <c r="AD143" s="15" t="str">
        <f t="shared" si="35"/>
        <v>298293661</v>
      </c>
      <c r="AE143" s="21" t="str">
        <f t="shared" si="36"/>
        <v>BR_VW_AFS_dv360_DIS_PROG_CPM_STD_LDR_AAF_RON_CXD_After-Sales-Promo-Nacional-3rdparty_PD_970x250</v>
      </c>
      <c r="AF143" s="21" t="str">
        <f t="shared" si="37"/>
        <v>BR_VW_AFS_dv360_DIS_PROG_CPM_STD_LDR_AAF_RON_CXD_After-Sales-Promo-Nacional-3rdparty_PD_970x250</v>
      </c>
      <c r="AG143" s="21" t="str">
        <f t="shared" si="38"/>
        <v>VW_After-Sales-3rdparty_970x250_After-Sales-Promo-Nacional-adserver</v>
      </c>
      <c r="AH143" s="21" t="str">
        <f t="shared" si="39"/>
        <v>https://posvendas.vw.com.br/product/oferta/63?utm_source=dv360&amp;utm_medium=Programmatic&amp;utm_content=BR_VW_AFS_dv360_DIS_PROG_CPM_STD_LDR_AAF_RON_CXD_After-Sales-Promo-Nacional-3rdparty_PD_970x250&amp;utm_campaign=BR_AAF_DSY_NONMS_ND_AS_2021Q1FEV_AFS_After-Sales&amp;utm_term=%epid!_%ecid!_%eaid!</v>
      </c>
      <c r="AI143" s="21" t="str">
        <f t="shared" si="40"/>
        <v>TAG</v>
      </c>
      <c r="AJ143" s="15" t="str">
        <f t="shared" si="33"/>
        <v>dv360</v>
      </c>
      <c r="AK143" s="15" t="str">
        <f t="shared" si="34"/>
        <v>Programmatic</v>
      </c>
      <c r="AL143" s="21" t="str">
        <f>Campanha!$B$3</f>
        <v>BR_AAF_DSY_NONMS_ND_AS_2021Q1FEV_AFS_After-Sales</v>
      </c>
      <c r="AM143" s="21" t="str">
        <f t="shared" si="41"/>
        <v>BR_VW_AFS_dv360_DIS_PROG_CPM_STD_LDR_AAF_RON_CXD_After-Sales-Promo-Nacional-3rdparty_PD_970x250</v>
      </c>
      <c r="AN143" s="15" t="s">
        <v>809</v>
      </c>
    </row>
    <row r="144" spans="2:40" hidden="1" x14ac:dyDescent="0.25">
      <c r="B144" s="15" t="s">
        <v>1102</v>
      </c>
      <c r="C144" s="15"/>
      <c r="D144" s="15" t="s">
        <v>1099</v>
      </c>
      <c r="E144" s="22">
        <v>44264</v>
      </c>
      <c r="F144" s="22">
        <v>44316</v>
      </c>
      <c r="G144" s="31" t="s">
        <v>674</v>
      </c>
      <c r="H144" s="31" t="s">
        <v>811</v>
      </c>
      <c r="I144" s="31" t="s">
        <v>702</v>
      </c>
      <c r="J144" s="31" t="s">
        <v>325</v>
      </c>
      <c r="K144" s="31" t="s">
        <v>334</v>
      </c>
      <c r="L144" s="31" t="s">
        <v>358</v>
      </c>
      <c r="M144" s="31" t="s">
        <v>322</v>
      </c>
      <c r="N144" s="31" t="s">
        <v>708</v>
      </c>
      <c r="O144" s="31" t="s">
        <v>694</v>
      </c>
      <c r="P144" s="15" t="s">
        <v>1100</v>
      </c>
      <c r="Q144" s="31" t="s">
        <v>887</v>
      </c>
      <c r="R144" s="15" t="s">
        <v>835</v>
      </c>
      <c r="S144" s="15" t="s">
        <v>348</v>
      </c>
      <c r="T144" s="31" t="s">
        <v>457</v>
      </c>
      <c r="AC144" s="32" t="s">
        <v>1101</v>
      </c>
      <c r="AD144" s="15" t="e">
        <f t="shared" si="35"/>
        <v>#N/A</v>
      </c>
      <c r="AE144" s="21" t="str">
        <f t="shared" si="36"/>
        <v>BR_VW_AFS_dv360_DIS_PROG_CPM_STD_LDR_AAF_RON_CXD_After-Sales-Promo-Nacional-LAL-visita_PD_160x600</v>
      </c>
      <c r="AF144" s="21" t="str">
        <f t="shared" si="37"/>
        <v>BR_VW_AFS_dv360_DIS_PROG_CPM_STD_LDR_AAF_RON_CXD_After-Sales-Promo-Nacional-LAL-visita_PD_160x600</v>
      </c>
      <c r="AG144" s="21" t="str">
        <f t="shared" si="38"/>
        <v>VW_After-Sales-LAL-visita_160x600_After-Sales-Promo-Nacional-adserver</v>
      </c>
      <c r="AH144" s="21" t="str">
        <f t="shared" si="39"/>
        <v>https://posvendas.vw.com.br/product/oferta/63?utm_source=dv360&amp;utm_medium=Programmatic&amp;utm_content=BR_VW_AFS_dv360_DIS_PROG_CPM_STD_LDR_AAF_RON_CXD_After-Sales-Promo-Nacional-LAL-visita_PD_160x600&amp;utm_campaign=BR_AAF_DSY_NONMS_ND_AS_2021Q1FEV_AFS_After-Sales&amp;utm_term=%epid!_%ecid!_%eaid!</v>
      </c>
      <c r="AI144" s="21" t="str">
        <f t="shared" si="40"/>
        <v>TAG</v>
      </c>
      <c r="AJ144" s="15" t="str">
        <f t="shared" si="33"/>
        <v>dv360</v>
      </c>
      <c r="AK144" s="15" t="str">
        <f t="shared" si="34"/>
        <v>Programmatic</v>
      </c>
      <c r="AL144" s="21" t="str">
        <f>Campanha!$B$3</f>
        <v>BR_AAF_DSY_NONMS_ND_AS_2021Q1FEV_AFS_After-Sales</v>
      </c>
      <c r="AM144" s="21" t="str">
        <f t="shared" si="41"/>
        <v>BR_VW_AFS_dv360_DIS_PROG_CPM_STD_LDR_AAF_RON_CXD_After-Sales-Promo-Nacional-LAL-visita_PD_160x600</v>
      </c>
      <c r="AN144" s="15" t="s">
        <v>809</v>
      </c>
    </row>
    <row r="145" spans="2:40" hidden="1" x14ac:dyDescent="0.25">
      <c r="B145" s="15" t="s">
        <v>1102</v>
      </c>
      <c r="C145" s="15"/>
      <c r="D145" s="15" t="s">
        <v>1099</v>
      </c>
      <c r="E145" s="22">
        <v>44264</v>
      </c>
      <c r="F145" s="22">
        <v>44316</v>
      </c>
      <c r="G145" s="31" t="s">
        <v>674</v>
      </c>
      <c r="H145" s="31" t="s">
        <v>811</v>
      </c>
      <c r="I145" s="31" t="s">
        <v>702</v>
      </c>
      <c r="J145" s="31" t="s">
        <v>325</v>
      </c>
      <c r="K145" s="31" t="s">
        <v>334</v>
      </c>
      <c r="L145" s="31" t="s">
        <v>358</v>
      </c>
      <c r="M145" s="31" t="s">
        <v>322</v>
      </c>
      <c r="N145" s="31" t="s">
        <v>708</v>
      </c>
      <c r="O145" s="31" t="s">
        <v>694</v>
      </c>
      <c r="P145" s="15" t="s">
        <v>1100</v>
      </c>
      <c r="Q145" s="31" t="s">
        <v>887</v>
      </c>
      <c r="R145" s="15" t="s">
        <v>835</v>
      </c>
      <c r="S145" s="15" t="s">
        <v>348</v>
      </c>
      <c r="T145" s="31" t="s">
        <v>484</v>
      </c>
      <c r="AC145" s="32" t="s">
        <v>1101</v>
      </c>
      <c r="AD145" s="15" t="e">
        <f t="shared" si="35"/>
        <v>#N/A</v>
      </c>
      <c r="AE145" s="21" t="str">
        <f t="shared" si="36"/>
        <v>BR_VW_AFS_dv360_DIS_PROG_CPM_STD_LDR_AAF_RON_CXD_After-Sales-Promo-Nacional-LAL-visita_PD_300x50</v>
      </c>
      <c r="AF145" s="21" t="str">
        <f t="shared" si="37"/>
        <v>BR_VW_AFS_dv360_DIS_PROG_CPM_STD_LDR_AAF_RON_CXD_After-Sales-Promo-Nacional-LAL-visita_PD_300x50</v>
      </c>
      <c r="AG145" s="21" t="str">
        <f t="shared" si="38"/>
        <v>VW_After-Sales-LAL-visita_300x50_After-Sales-Promo-Nacional-adserver</v>
      </c>
      <c r="AH145" s="21" t="str">
        <f t="shared" si="39"/>
        <v>https://posvendas.vw.com.br/product/oferta/63?utm_source=dv360&amp;utm_medium=Programmatic&amp;utm_content=BR_VW_AFS_dv360_DIS_PROG_CPM_STD_LDR_AAF_RON_CXD_After-Sales-Promo-Nacional-LAL-visita_PD_300x50&amp;utm_campaign=BR_AAF_DSY_NONMS_ND_AS_2021Q1FEV_AFS_After-Sales&amp;utm_term=%epid!_%ecid!_%eaid!</v>
      </c>
      <c r="AI145" s="21" t="str">
        <f t="shared" si="40"/>
        <v>TAG</v>
      </c>
      <c r="AJ145" s="15" t="str">
        <f t="shared" si="33"/>
        <v>dv360</v>
      </c>
      <c r="AK145" s="15" t="str">
        <f t="shared" si="34"/>
        <v>Programmatic</v>
      </c>
      <c r="AL145" s="21" t="str">
        <f>Campanha!$B$3</f>
        <v>BR_AAF_DSY_NONMS_ND_AS_2021Q1FEV_AFS_After-Sales</v>
      </c>
      <c r="AM145" s="21" t="str">
        <f t="shared" si="41"/>
        <v>BR_VW_AFS_dv360_DIS_PROG_CPM_STD_LDR_AAF_RON_CXD_After-Sales-Promo-Nacional-LAL-visita_PD_300x50</v>
      </c>
      <c r="AN145" s="15" t="s">
        <v>809</v>
      </c>
    </row>
    <row r="146" spans="2:40" hidden="1" x14ac:dyDescent="0.25">
      <c r="B146" s="15" t="s">
        <v>1102</v>
      </c>
      <c r="C146" s="15"/>
      <c r="D146" s="15" t="s">
        <v>1099</v>
      </c>
      <c r="E146" s="22">
        <v>44264</v>
      </c>
      <c r="F146" s="22">
        <v>44316</v>
      </c>
      <c r="G146" s="31" t="s">
        <v>674</v>
      </c>
      <c r="H146" s="31" t="s">
        <v>811</v>
      </c>
      <c r="I146" s="31" t="s">
        <v>702</v>
      </c>
      <c r="J146" s="31" t="s">
        <v>325</v>
      </c>
      <c r="K146" s="31" t="s">
        <v>334</v>
      </c>
      <c r="L146" s="31" t="s">
        <v>358</v>
      </c>
      <c r="M146" s="31" t="s">
        <v>322</v>
      </c>
      <c r="N146" s="31" t="s">
        <v>708</v>
      </c>
      <c r="O146" s="31" t="s">
        <v>694</v>
      </c>
      <c r="P146" s="15" t="s">
        <v>1100</v>
      </c>
      <c r="Q146" s="31" t="s">
        <v>887</v>
      </c>
      <c r="R146" s="15" t="s">
        <v>835</v>
      </c>
      <c r="S146" s="15" t="s">
        <v>348</v>
      </c>
      <c r="T146" s="31" t="s">
        <v>478</v>
      </c>
      <c r="AC146" s="32" t="s">
        <v>1101</v>
      </c>
      <c r="AD146" s="15" t="e">
        <f t="shared" si="35"/>
        <v>#N/A</v>
      </c>
      <c r="AE146" s="21" t="str">
        <f t="shared" si="36"/>
        <v>BR_VW_AFS_dv360_DIS_PROG_CPM_STD_LDR_AAF_RON_CXD_After-Sales-Promo-Nacional-LAL-visita_PD_300x250</v>
      </c>
      <c r="AF146" s="21" t="str">
        <f t="shared" si="37"/>
        <v>BR_VW_AFS_dv360_DIS_PROG_CPM_STD_LDR_AAF_RON_CXD_After-Sales-Promo-Nacional-LAL-visita_PD_300x250</v>
      </c>
      <c r="AG146" s="21" t="str">
        <f t="shared" si="38"/>
        <v>VW_After-Sales-LAL-visita_300x250_After-Sales-Promo-Nacional-adserver</v>
      </c>
      <c r="AH146" s="21" t="str">
        <f t="shared" si="39"/>
        <v>https://posvendas.vw.com.br/product/oferta/63?utm_source=dv360&amp;utm_medium=Programmatic&amp;utm_content=BR_VW_AFS_dv360_DIS_PROG_CPM_STD_LDR_AAF_RON_CXD_After-Sales-Promo-Nacional-LAL-visita_PD_300x250&amp;utm_campaign=BR_AAF_DSY_NONMS_ND_AS_2021Q1FEV_AFS_After-Sales&amp;utm_term=%epid!_%ecid!_%eaid!</v>
      </c>
      <c r="AI146" s="21" t="str">
        <f t="shared" si="40"/>
        <v>TAG</v>
      </c>
      <c r="AJ146" s="15" t="str">
        <f t="shared" si="33"/>
        <v>dv360</v>
      </c>
      <c r="AK146" s="15" t="str">
        <f t="shared" si="34"/>
        <v>Programmatic</v>
      </c>
      <c r="AL146" s="21" t="str">
        <f>Campanha!$B$3</f>
        <v>BR_AAF_DSY_NONMS_ND_AS_2021Q1FEV_AFS_After-Sales</v>
      </c>
      <c r="AM146" s="21" t="str">
        <f t="shared" si="41"/>
        <v>BR_VW_AFS_dv360_DIS_PROG_CPM_STD_LDR_AAF_RON_CXD_After-Sales-Promo-Nacional-LAL-visita_PD_300x250</v>
      </c>
      <c r="AN146" s="15" t="s">
        <v>809</v>
      </c>
    </row>
    <row r="147" spans="2:40" hidden="1" x14ac:dyDescent="0.25">
      <c r="B147" s="15" t="s">
        <v>1102</v>
      </c>
      <c r="C147" s="15"/>
      <c r="D147" s="15" t="s">
        <v>1099</v>
      </c>
      <c r="E147" s="22">
        <v>44264</v>
      </c>
      <c r="F147" s="22">
        <v>44316</v>
      </c>
      <c r="G147" s="31" t="s">
        <v>674</v>
      </c>
      <c r="H147" s="31" t="s">
        <v>811</v>
      </c>
      <c r="I147" s="31" t="s">
        <v>702</v>
      </c>
      <c r="J147" s="31" t="s">
        <v>325</v>
      </c>
      <c r="K147" s="31" t="s">
        <v>334</v>
      </c>
      <c r="L147" s="31" t="s">
        <v>358</v>
      </c>
      <c r="M147" s="31" t="s">
        <v>322</v>
      </c>
      <c r="N147" s="31" t="s">
        <v>708</v>
      </c>
      <c r="O147" s="31" t="s">
        <v>694</v>
      </c>
      <c r="P147" s="15" t="s">
        <v>1100</v>
      </c>
      <c r="Q147" s="31" t="s">
        <v>887</v>
      </c>
      <c r="R147" s="15" t="s">
        <v>835</v>
      </c>
      <c r="S147" s="15" t="s">
        <v>348</v>
      </c>
      <c r="T147" s="31" t="s">
        <v>614</v>
      </c>
      <c r="AC147" s="32" t="s">
        <v>1101</v>
      </c>
      <c r="AD147" s="15" t="e">
        <f t="shared" si="35"/>
        <v>#N/A</v>
      </c>
      <c r="AE147" s="21" t="str">
        <f t="shared" si="36"/>
        <v>BR_VW_AFS_dv360_DIS_PROG_CPM_STD_LDR_AAF_RON_CXD_After-Sales-Promo-Nacional-LAL-visita_PD_728x90</v>
      </c>
      <c r="AF147" s="21" t="str">
        <f t="shared" si="37"/>
        <v>BR_VW_AFS_dv360_DIS_PROG_CPM_STD_LDR_AAF_RON_CXD_After-Sales-Promo-Nacional-LAL-visita_PD_728x90</v>
      </c>
      <c r="AG147" s="21" t="str">
        <f t="shared" si="38"/>
        <v>VW_After-Sales-LAL-visita_728x90_After-Sales-Promo-Nacional-adserver</v>
      </c>
      <c r="AH147" s="21" t="str">
        <f t="shared" si="39"/>
        <v>https://posvendas.vw.com.br/product/oferta/63?utm_source=dv360&amp;utm_medium=Programmatic&amp;utm_content=BR_VW_AFS_dv360_DIS_PROG_CPM_STD_LDR_AAF_RON_CXD_After-Sales-Promo-Nacional-LAL-visita_PD_728x90&amp;utm_campaign=BR_AAF_DSY_NONMS_ND_AS_2021Q1FEV_AFS_After-Sales&amp;utm_term=%epid!_%ecid!_%eaid!</v>
      </c>
      <c r="AI147" s="21" t="str">
        <f t="shared" si="40"/>
        <v>TAG</v>
      </c>
      <c r="AJ147" s="15" t="str">
        <f t="shared" si="33"/>
        <v>dv360</v>
      </c>
      <c r="AK147" s="15" t="str">
        <f t="shared" si="34"/>
        <v>Programmatic</v>
      </c>
      <c r="AL147" s="21" t="str">
        <f>Campanha!$B$3</f>
        <v>BR_AAF_DSY_NONMS_ND_AS_2021Q1FEV_AFS_After-Sales</v>
      </c>
      <c r="AM147" s="21" t="str">
        <f t="shared" si="41"/>
        <v>BR_VW_AFS_dv360_DIS_PROG_CPM_STD_LDR_AAF_RON_CXD_After-Sales-Promo-Nacional-LAL-visita_PD_728x90</v>
      </c>
      <c r="AN147" s="15" t="s">
        <v>809</v>
      </c>
    </row>
    <row r="148" spans="2:40" hidden="1" x14ac:dyDescent="0.25">
      <c r="B148" s="15" t="s">
        <v>1102</v>
      </c>
      <c r="C148" s="15"/>
      <c r="D148" s="15" t="s">
        <v>1099</v>
      </c>
      <c r="E148" s="22">
        <v>44264</v>
      </c>
      <c r="F148" s="22">
        <v>44316</v>
      </c>
      <c r="G148" s="31" t="s">
        <v>674</v>
      </c>
      <c r="H148" s="31" t="s">
        <v>811</v>
      </c>
      <c r="I148" s="31" t="s">
        <v>702</v>
      </c>
      <c r="J148" s="31" t="s">
        <v>325</v>
      </c>
      <c r="K148" s="31" t="s">
        <v>334</v>
      </c>
      <c r="L148" s="31" t="s">
        <v>358</v>
      </c>
      <c r="M148" s="31" t="s">
        <v>322</v>
      </c>
      <c r="N148" s="31" t="s">
        <v>708</v>
      </c>
      <c r="O148" s="31" t="s">
        <v>694</v>
      </c>
      <c r="P148" s="15" t="s">
        <v>1100</v>
      </c>
      <c r="Q148" s="31" t="s">
        <v>887</v>
      </c>
      <c r="R148" s="15" t="s">
        <v>835</v>
      </c>
      <c r="S148" s="15" t="s">
        <v>348</v>
      </c>
      <c r="T148" s="31" t="s">
        <v>652</v>
      </c>
      <c r="AC148" s="32" t="s">
        <v>1101</v>
      </c>
      <c r="AD148" s="15" t="e">
        <f t="shared" si="35"/>
        <v>#N/A</v>
      </c>
      <c r="AE148" s="21" t="str">
        <f t="shared" si="36"/>
        <v>BR_VW_AFS_dv360_DIS_PROG_CPM_STD_LDR_AAF_RON_CXD_After-Sales-Promo-Nacional-LAL-visita_PD_970x250</v>
      </c>
      <c r="AF148" s="21" t="str">
        <f t="shared" si="37"/>
        <v>BR_VW_AFS_dv360_DIS_PROG_CPM_STD_LDR_AAF_RON_CXD_After-Sales-Promo-Nacional-LAL-visita_PD_970x250</v>
      </c>
      <c r="AG148" s="21" t="str">
        <f t="shared" si="38"/>
        <v>VW_After-Sales-LAL-visita_970x250_After-Sales-Promo-Nacional-adserver</v>
      </c>
      <c r="AH148" s="21" t="str">
        <f t="shared" si="39"/>
        <v>https://posvendas.vw.com.br/product/oferta/63?utm_source=dv360&amp;utm_medium=Programmatic&amp;utm_content=BR_VW_AFS_dv360_DIS_PROG_CPM_STD_LDR_AAF_RON_CXD_After-Sales-Promo-Nacional-LAL-visita_PD_970x250&amp;utm_campaign=BR_AAF_DSY_NONMS_ND_AS_2021Q1FEV_AFS_After-Sales&amp;utm_term=%epid!_%ecid!_%eaid!</v>
      </c>
      <c r="AI148" s="21" t="str">
        <f t="shared" si="40"/>
        <v>TAG</v>
      </c>
      <c r="AJ148" s="15" t="str">
        <f t="shared" si="33"/>
        <v>dv360</v>
      </c>
      <c r="AK148" s="15" t="str">
        <f t="shared" si="34"/>
        <v>Programmatic</v>
      </c>
      <c r="AL148" s="21" t="str">
        <f>Campanha!$B$3</f>
        <v>BR_AAF_DSY_NONMS_ND_AS_2021Q1FEV_AFS_After-Sales</v>
      </c>
      <c r="AM148" s="21" t="str">
        <f t="shared" si="41"/>
        <v>BR_VW_AFS_dv360_DIS_PROG_CPM_STD_LDR_AAF_RON_CXD_After-Sales-Promo-Nacional-LAL-visita_PD_970x250</v>
      </c>
      <c r="AN148" s="15" t="s">
        <v>809</v>
      </c>
    </row>
    <row r="149" spans="2:40" hidden="1" x14ac:dyDescent="0.25">
      <c r="B149" s="15" t="s">
        <v>1102</v>
      </c>
      <c r="C149" s="15"/>
      <c r="D149" s="15" t="s">
        <v>1099</v>
      </c>
      <c r="E149" s="22">
        <v>44264</v>
      </c>
      <c r="F149" s="22">
        <v>44316</v>
      </c>
      <c r="G149" s="31" t="s">
        <v>674</v>
      </c>
      <c r="H149" s="31" t="s">
        <v>811</v>
      </c>
      <c r="I149" s="31" t="s">
        <v>702</v>
      </c>
      <c r="J149" s="31" t="s">
        <v>325</v>
      </c>
      <c r="K149" s="31" t="s">
        <v>334</v>
      </c>
      <c r="L149" s="31" t="s">
        <v>358</v>
      </c>
      <c r="M149" s="31" t="s">
        <v>322</v>
      </c>
      <c r="N149" s="31" t="s">
        <v>708</v>
      </c>
      <c r="O149" s="31" t="s">
        <v>694</v>
      </c>
      <c r="P149" s="15" t="s">
        <v>1100</v>
      </c>
      <c r="Q149" s="31" t="s">
        <v>850</v>
      </c>
      <c r="R149" s="15" t="s">
        <v>835</v>
      </c>
      <c r="S149" s="15" t="s">
        <v>348</v>
      </c>
      <c r="T149" s="31" t="s">
        <v>457</v>
      </c>
      <c r="AC149" s="32" t="s">
        <v>1101</v>
      </c>
      <c r="AD149" s="15" t="e">
        <f t="shared" si="35"/>
        <v>#N/A</v>
      </c>
      <c r="AE149" s="21" t="str">
        <f t="shared" si="36"/>
        <v>BR_VW_AFS_dv360_DIS_PROG_CPM_STD_LDR_AAF_RON_CXD_After-Sales-Promo-Nacional-LAL-Lead_PD_160x600</v>
      </c>
      <c r="AF149" s="21" t="str">
        <f t="shared" si="37"/>
        <v>BR_VW_AFS_dv360_DIS_PROG_CPM_STD_LDR_AAF_RON_CXD_After-Sales-Promo-Nacional-LAL-Lead_PD_160x600</v>
      </c>
      <c r="AG149" s="21" t="str">
        <f t="shared" si="38"/>
        <v>VW_After-Sales-LAL-Lead_160x600_After-Sales-Promo-Nacional-adserver</v>
      </c>
      <c r="AH149" s="21" t="str">
        <f t="shared" si="39"/>
        <v>https://posvendas.vw.com.br/product/oferta/63?utm_source=dv360&amp;utm_medium=Programmatic&amp;utm_content=BR_VW_AFS_dv360_DIS_PROG_CPM_STD_LDR_AAF_RON_CXD_After-Sales-Promo-Nacional-LAL-Lead_PD_160x600&amp;utm_campaign=BR_AAF_DSY_NONMS_ND_AS_2021Q1FEV_AFS_After-Sales&amp;utm_term=%epid!_%ecid!_%eaid!</v>
      </c>
      <c r="AI149" s="21" t="str">
        <f t="shared" si="40"/>
        <v>TAG</v>
      </c>
      <c r="AJ149" s="15" t="str">
        <f t="shared" si="33"/>
        <v>dv360</v>
      </c>
      <c r="AK149" s="15" t="str">
        <f t="shared" si="34"/>
        <v>Programmatic</v>
      </c>
      <c r="AL149" s="21" t="str">
        <f>Campanha!$B$3</f>
        <v>BR_AAF_DSY_NONMS_ND_AS_2021Q1FEV_AFS_After-Sales</v>
      </c>
      <c r="AM149" s="21" t="str">
        <f t="shared" si="41"/>
        <v>BR_VW_AFS_dv360_DIS_PROG_CPM_STD_LDR_AAF_RON_CXD_After-Sales-Promo-Nacional-LAL-Lead_PD_160x600</v>
      </c>
      <c r="AN149" s="15" t="s">
        <v>809</v>
      </c>
    </row>
    <row r="150" spans="2:40" hidden="1" x14ac:dyDescent="0.25">
      <c r="B150" s="15" t="s">
        <v>1102</v>
      </c>
      <c r="C150" s="15"/>
      <c r="D150" s="15" t="s">
        <v>1099</v>
      </c>
      <c r="E150" s="22">
        <v>44264</v>
      </c>
      <c r="F150" s="22">
        <v>44316</v>
      </c>
      <c r="G150" s="31" t="s">
        <v>674</v>
      </c>
      <c r="H150" s="31" t="s">
        <v>811</v>
      </c>
      <c r="I150" s="31" t="s">
        <v>702</v>
      </c>
      <c r="J150" s="31" t="s">
        <v>325</v>
      </c>
      <c r="K150" s="31" t="s">
        <v>334</v>
      </c>
      <c r="L150" s="31" t="s">
        <v>358</v>
      </c>
      <c r="M150" s="31" t="s">
        <v>322</v>
      </c>
      <c r="N150" s="31" t="s">
        <v>708</v>
      </c>
      <c r="O150" s="31" t="s">
        <v>694</v>
      </c>
      <c r="P150" s="15" t="s">
        <v>1100</v>
      </c>
      <c r="Q150" s="31" t="s">
        <v>850</v>
      </c>
      <c r="R150" s="15" t="s">
        <v>835</v>
      </c>
      <c r="S150" s="15" t="s">
        <v>348</v>
      </c>
      <c r="T150" s="31" t="s">
        <v>484</v>
      </c>
      <c r="AC150" s="32" t="s">
        <v>1101</v>
      </c>
      <c r="AD150" s="15" t="e">
        <f t="shared" si="35"/>
        <v>#N/A</v>
      </c>
      <c r="AE150" s="21" t="str">
        <f t="shared" si="36"/>
        <v>BR_VW_AFS_dv360_DIS_PROG_CPM_STD_LDR_AAF_RON_CXD_After-Sales-Promo-Nacional-LAL-Lead_PD_300x50</v>
      </c>
      <c r="AF150" s="21" t="str">
        <f t="shared" si="37"/>
        <v>BR_VW_AFS_dv360_DIS_PROG_CPM_STD_LDR_AAF_RON_CXD_After-Sales-Promo-Nacional-LAL-Lead_PD_300x50</v>
      </c>
      <c r="AG150" s="21" t="str">
        <f t="shared" si="38"/>
        <v>VW_After-Sales-LAL-Lead_300x50_After-Sales-Promo-Nacional-adserver</v>
      </c>
      <c r="AH150" s="21" t="str">
        <f t="shared" si="39"/>
        <v>https://posvendas.vw.com.br/product/oferta/63?utm_source=dv360&amp;utm_medium=Programmatic&amp;utm_content=BR_VW_AFS_dv360_DIS_PROG_CPM_STD_LDR_AAF_RON_CXD_After-Sales-Promo-Nacional-LAL-Lead_PD_300x50&amp;utm_campaign=BR_AAF_DSY_NONMS_ND_AS_2021Q1FEV_AFS_After-Sales&amp;utm_term=%epid!_%ecid!_%eaid!</v>
      </c>
      <c r="AI150" s="21" t="str">
        <f t="shared" si="40"/>
        <v>TAG</v>
      </c>
      <c r="AJ150" s="15" t="str">
        <f t="shared" si="33"/>
        <v>dv360</v>
      </c>
      <c r="AK150" s="15" t="str">
        <f t="shared" si="34"/>
        <v>Programmatic</v>
      </c>
      <c r="AL150" s="21" t="str">
        <f>Campanha!$B$3</f>
        <v>BR_AAF_DSY_NONMS_ND_AS_2021Q1FEV_AFS_After-Sales</v>
      </c>
      <c r="AM150" s="21" t="str">
        <f t="shared" si="41"/>
        <v>BR_VW_AFS_dv360_DIS_PROG_CPM_STD_LDR_AAF_RON_CXD_After-Sales-Promo-Nacional-LAL-Lead_PD_300x50</v>
      </c>
      <c r="AN150" s="15" t="s">
        <v>809</v>
      </c>
    </row>
    <row r="151" spans="2:40" hidden="1" x14ac:dyDescent="0.25">
      <c r="B151" s="15" t="s">
        <v>1102</v>
      </c>
      <c r="C151" s="15"/>
      <c r="D151" s="15" t="s">
        <v>1099</v>
      </c>
      <c r="E151" s="22">
        <v>44264</v>
      </c>
      <c r="F151" s="22">
        <v>44316</v>
      </c>
      <c r="G151" s="31" t="s">
        <v>674</v>
      </c>
      <c r="H151" s="31" t="s">
        <v>811</v>
      </c>
      <c r="I151" s="31" t="s">
        <v>702</v>
      </c>
      <c r="J151" s="31" t="s">
        <v>325</v>
      </c>
      <c r="K151" s="31" t="s">
        <v>334</v>
      </c>
      <c r="L151" s="31" t="s">
        <v>358</v>
      </c>
      <c r="M151" s="31" t="s">
        <v>322</v>
      </c>
      <c r="N151" s="31" t="s">
        <v>708</v>
      </c>
      <c r="O151" s="31" t="s">
        <v>694</v>
      </c>
      <c r="P151" s="15" t="s">
        <v>1100</v>
      </c>
      <c r="Q151" s="31" t="s">
        <v>850</v>
      </c>
      <c r="R151" s="15" t="s">
        <v>835</v>
      </c>
      <c r="S151" s="15" t="s">
        <v>348</v>
      </c>
      <c r="T151" s="31" t="s">
        <v>478</v>
      </c>
      <c r="AC151" s="32" t="s">
        <v>1101</v>
      </c>
      <c r="AD151" s="15" t="e">
        <f t="shared" si="35"/>
        <v>#N/A</v>
      </c>
      <c r="AE151" s="21" t="str">
        <f t="shared" si="36"/>
        <v>BR_VW_AFS_dv360_DIS_PROG_CPM_STD_LDR_AAF_RON_CXD_After-Sales-Promo-Nacional-LAL-Lead_PD_300x250</v>
      </c>
      <c r="AF151" s="21" t="str">
        <f t="shared" si="37"/>
        <v>BR_VW_AFS_dv360_DIS_PROG_CPM_STD_LDR_AAF_RON_CXD_After-Sales-Promo-Nacional-LAL-Lead_PD_300x250</v>
      </c>
      <c r="AG151" s="21" t="str">
        <f t="shared" si="38"/>
        <v>VW_After-Sales-LAL-Lead_300x250_After-Sales-Promo-Nacional-adserver</v>
      </c>
      <c r="AH151" s="21" t="str">
        <f t="shared" si="39"/>
        <v>https://posvendas.vw.com.br/product/oferta/63?utm_source=dv360&amp;utm_medium=Programmatic&amp;utm_content=BR_VW_AFS_dv360_DIS_PROG_CPM_STD_LDR_AAF_RON_CXD_After-Sales-Promo-Nacional-LAL-Lead_PD_300x250&amp;utm_campaign=BR_AAF_DSY_NONMS_ND_AS_2021Q1FEV_AFS_After-Sales&amp;utm_term=%epid!_%ecid!_%eaid!</v>
      </c>
      <c r="AI151" s="21" t="str">
        <f t="shared" si="40"/>
        <v>TAG</v>
      </c>
      <c r="AJ151" s="15" t="str">
        <f t="shared" si="33"/>
        <v>dv360</v>
      </c>
      <c r="AK151" s="15" t="str">
        <f t="shared" si="34"/>
        <v>Programmatic</v>
      </c>
      <c r="AL151" s="21" t="str">
        <f>Campanha!$B$3</f>
        <v>BR_AAF_DSY_NONMS_ND_AS_2021Q1FEV_AFS_After-Sales</v>
      </c>
      <c r="AM151" s="21" t="str">
        <f t="shared" si="41"/>
        <v>BR_VW_AFS_dv360_DIS_PROG_CPM_STD_LDR_AAF_RON_CXD_After-Sales-Promo-Nacional-LAL-Lead_PD_300x250</v>
      </c>
      <c r="AN151" s="15" t="s">
        <v>809</v>
      </c>
    </row>
    <row r="152" spans="2:40" hidden="1" x14ac:dyDescent="0.25">
      <c r="B152" s="15" t="s">
        <v>1102</v>
      </c>
      <c r="C152" s="15"/>
      <c r="D152" s="15" t="s">
        <v>1099</v>
      </c>
      <c r="E152" s="22">
        <v>44264</v>
      </c>
      <c r="F152" s="22">
        <v>44316</v>
      </c>
      <c r="G152" s="31" t="s">
        <v>674</v>
      </c>
      <c r="H152" s="31" t="s">
        <v>811</v>
      </c>
      <c r="I152" s="31" t="s">
        <v>702</v>
      </c>
      <c r="J152" s="31" t="s">
        <v>325</v>
      </c>
      <c r="K152" s="31" t="s">
        <v>334</v>
      </c>
      <c r="L152" s="31" t="s">
        <v>358</v>
      </c>
      <c r="M152" s="31" t="s">
        <v>322</v>
      </c>
      <c r="N152" s="31" t="s">
        <v>708</v>
      </c>
      <c r="O152" s="31" t="s">
        <v>694</v>
      </c>
      <c r="P152" s="15" t="s">
        <v>1100</v>
      </c>
      <c r="Q152" s="31" t="s">
        <v>850</v>
      </c>
      <c r="R152" s="15" t="s">
        <v>835</v>
      </c>
      <c r="S152" s="15" t="s">
        <v>348</v>
      </c>
      <c r="T152" s="31" t="s">
        <v>614</v>
      </c>
      <c r="AC152" s="32" t="s">
        <v>1101</v>
      </c>
      <c r="AD152" s="15" t="e">
        <f t="shared" si="35"/>
        <v>#N/A</v>
      </c>
      <c r="AE152" s="21" t="str">
        <f t="shared" si="36"/>
        <v>BR_VW_AFS_dv360_DIS_PROG_CPM_STD_LDR_AAF_RON_CXD_After-Sales-Promo-Nacional-LAL-Lead_PD_728x90</v>
      </c>
      <c r="AF152" s="21" t="str">
        <f t="shared" si="37"/>
        <v>BR_VW_AFS_dv360_DIS_PROG_CPM_STD_LDR_AAF_RON_CXD_After-Sales-Promo-Nacional-LAL-Lead_PD_728x90</v>
      </c>
      <c r="AG152" s="21" t="str">
        <f t="shared" si="38"/>
        <v>VW_After-Sales-LAL-Lead_728x90_After-Sales-Promo-Nacional-adserver</v>
      </c>
      <c r="AH152" s="21" t="str">
        <f t="shared" si="39"/>
        <v>https://posvendas.vw.com.br/product/oferta/63?utm_source=dv360&amp;utm_medium=Programmatic&amp;utm_content=BR_VW_AFS_dv360_DIS_PROG_CPM_STD_LDR_AAF_RON_CXD_After-Sales-Promo-Nacional-LAL-Lead_PD_728x90&amp;utm_campaign=BR_AAF_DSY_NONMS_ND_AS_2021Q1FEV_AFS_After-Sales&amp;utm_term=%epid!_%ecid!_%eaid!</v>
      </c>
      <c r="AI152" s="21" t="str">
        <f t="shared" si="40"/>
        <v>TAG</v>
      </c>
      <c r="AJ152" s="15" t="str">
        <f t="shared" si="33"/>
        <v>dv360</v>
      </c>
      <c r="AK152" s="15" t="str">
        <f t="shared" si="34"/>
        <v>Programmatic</v>
      </c>
      <c r="AL152" s="21" t="str">
        <f>Campanha!$B$3</f>
        <v>BR_AAF_DSY_NONMS_ND_AS_2021Q1FEV_AFS_After-Sales</v>
      </c>
      <c r="AM152" s="21" t="str">
        <f t="shared" si="41"/>
        <v>BR_VW_AFS_dv360_DIS_PROG_CPM_STD_LDR_AAF_RON_CXD_After-Sales-Promo-Nacional-LAL-Lead_PD_728x90</v>
      </c>
      <c r="AN152" s="15" t="s">
        <v>809</v>
      </c>
    </row>
    <row r="153" spans="2:40" hidden="1" x14ac:dyDescent="0.25">
      <c r="B153" s="15" t="s">
        <v>1102</v>
      </c>
      <c r="C153" s="15"/>
      <c r="D153" s="15" t="s">
        <v>1099</v>
      </c>
      <c r="E153" s="22">
        <v>44264</v>
      </c>
      <c r="F153" s="22">
        <v>44316</v>
      </c>
      <c r="G153" s="31" t="s">
        <v>674</v>
      </c>
      <c r="H153" s="31" t="s">
        <v>811</v>
      </c>
      <c r="I153" s="31" t="s">
        <v>702</v>
      </c>
      <c r="J153" s="31" t="s">
        <v>325</v>
      </c>
      <c r="K153" s="31" t="s">
        <v>334</v>
      </c>
      <c r="L153" s="31" t="s">
        <v>358</v>
      </c>
      <c r="M153" s="31" t="s">
        <v>322</v>
      </c>
      <c r="N153" s="31" t="s">
        <v>708</v>
      </c>
      <c r="O153" s="31" t="s">
        <v>694</v>
      </c>
      <c r="P153" s="15" t="s">
        <v>1100</v>
      </c>
      <c r="Q153" s="31" t="s">
        <v>850</v>
      </c>
      <c r="R153" s="15" t="s">
        <v>835</v>
      </c>
      <c r="S153" s="15" t="s">
        <v>348</v>
      </c>
      <c r="T153" s="31" t="s">
        <v>652</v>
      </c>
      <c r="AC153" s="32" t="s">
        <v>1101</v>
      </c>
      <c r="AD153" s="15" t="e">
        <f t="shared" si="35"/>
        <v>#N/A</v>
      </c>
      <c r="AE153" s="21" t="str">
        <f t="shared" si="36"/>
        <v>BR_VW_AFS_dv360_DIS_PROG_CPM_STD_LDR_AAF_RON_CXD_After-Sales-Promo-Nacional-LAL-Lead_PD_970x250</v>
      </c>
      <c r="AF153" s="21" t="str">
        <f t="shared" si="37"/>
        <v>BR_VW_AFS_dv360_DIS_PROG_CPM_STD_LDR_AAF_RON_CXD_After-Sales-Promo-Nacional-LAL-Lead_PD_970x250</v>
      </c>
      <c r="AG153" s="21" t="str">
        <f t="shared" si="38"/>
        <v>VW_After-Sales-LAL-Lead_970x250_After-Sales-Promo-Nacional-adserver</v>
      </c>
      <c r="AH153" s="21" t="str">
        <f t="shared" si="39"/>
        <v>https://posvendas.vw.com.br/product/oferta/63?utm_source=dv360&amp;utm_medium=Programmatic&amp;utm_content=BR_VW_AFS_dv360_DIS_PROG_CPM_STD_LDR_AAF_RON_CXD_After-Sales-Promo-Nacional-LAL-Lead_PD_970x250&amp;utm_campaign=BR_AAF_DSY_NONMS_ND_AS_2021Q1FEV_AFS_After-Sales&amp;utm_term=%epid!_%ecid!_%eaid!</v>
      </c>
      <c r="AI153" s="21" t="str">
        <f t="shared" si="40"/>
        <v>TAG</v>
      </c>
      <c r="AJ153" s="15" t="str">
        <f t="shared" si="33"/>
        <v>dv360</v>
      </c>
      <c r="AK153" s="15" t="str">
        <f t="shared" si="34"/>
        <v>Programmatic</v>
      </c>
      <c r="AL153" s="21" t="str">
        <f>Campanha!$B$3</f>
        <v>BR_AAF_DSY_NONMS_ND_AS_2021Q1FEV_AFS_After-Sales</v>
      </c>
      <c r="AM153" s="21" t="str">
        <f t="shared" si="41"/>
        <v>BR_VW_AFS_dv360_DIS_PROG_CPM_STD_LDR_AAF_RON_CXD_After-Sales-Promo-Nacional-LAL-Lead_PD_970x250</v>
      </c>
      <c r="AN153" s="15" t="s">
        <v>809</v>
      </c>
    </row>
    <row r="154" spans="2:40" hidden="1" x14ac:dyDescent="0.25">
      <c r="B154" s="15" t="s">
        <v>1102</v>
      </c>
      <c r="C154" s="15"/>
      <c r="D154" s="15" t="s">
        <v>1099</v>
      </c>
      <c r="E154" s="22">
        <v>44264</v>
      </c>
      <c r="F154" s="22">
        <v>44316</v>
      </c>
      <c r="G154" s="31" t="s">
        <v>674</v>
      </c>
      <c r="H154" s="31" t="s">
        <v>811</v>
      </c>
      <c r="I154" s="31" t="s">
        <v>702</v>
      </c>
      <c r="J154" s="31" t="s">
        <v>325</v>
      </c>
      <c r="K154" s="31" t="s">
        <v>334</v>
      </c>
      <c r="L154" s="31" t="s">
        <v>358</v>
      </c>
      <c r="M154" s="31" t="s">
        <v>322</v>
      </c>
      <c r="N154" s="31" t="s">
        <v>708</v>
      </c>
      <c r="O154" s="31" t="s">
        <v>694</v>
      </c>
      <c r="P154" s="15" t="s">
        <v>1100</v>
      </c>
      <c r="Q154" s="31" t="s">
        <v>849</v>
      </c>
      <c r="R154" s="15" t="s">
        <v>835</v>
      </c>
      <c r="S154" s="15" t="s">
        <v>348</v>
      </c>
      <c r="T154" s="31" t="s">
        <v>457</v>
      </c>
      <c r="AC154" s="32" t="s">
        <v>1101</v>
      </c>
      <c r="AD154" s="15" t="e">
        <f t="shared" si="35"/>
        <v>#N/A</v>
      </c>
      <c r="AE154" s="21" t="str">
        <f t="shared" si="36"/>
        <v>BR_VW_AFS_dv360_DIS_PROG_CPM_STD_LDR_AAF_RON_CXD_After-Sales-Promo-Nacional-LAL-Addtocart_PD_160x600</v>
      </c>
      <c r="AF154" s="21" t="str">
        <f t="shared" si="37"/>
        <v>BR_VW_AFS_dv360_DIS_PROG_CPM_STD_LDR_AAF_RON_CXD_After-Sales-Promo-Nacional-LAL-Addtocart_PD_160x600</v>
      </c>
      <c r="AG154" s="21" t="str">
        <f t="shared" si="38"/>
        <v>VW_After-Sales-LAL-Addtocart_160x600_After-Sales-Promo-Nacional-adserver</v>
      </c>
      <c r="AH154" s="21" t="str">
        <f t="shared" si="39"/>
        <v>https://posvendas.vw.com.br/product/oferta/63?utm_source=dv360&amp;utm_medium=Programmatic&amp;utm_content=BR_VW_AFS_dv360_DIS_PROG_CPM_STD_LDR_AAF_RON_CXD_After-Sales-Promo-Nacional-LAL-Addtocart_PD_160x600&amp;utm_campaign=BR_AAF_DSY_NONMS_ND_AS_2021Q1FEV_AFS_After-Sales&amp;utm_term=%epid!_%ecid!_%eaid!</v>
      </c>
      <c r="AI154" s="21" t="str">
        <f t="shared" si="40"/>
        <v>TAG</v>
      </c>
      <c r="AJ154" s="15" t="str">
        <f t="shared" ref="AJ154:AJ158" si="42">H154</f>
        <v>dv360</v>
      </c>
      <c r="AK154" s="15" t="str">
        <f t="shared" ref="AK154:AK158" si="43">J154</f>
        <v>Programmatic</v>
      </c>
      <c r="AL154" s="21" t="str">
        <f>Campanha!$B$3</f>
        <v>BR_AAF_DSY_NONMS_ND_AS_2021Q1FEV_AFS_After-Sales</v>
      </c>
      <c r="AM154" s="21" t="str">
        <f t="shared" si="41"/>
        <v>BR_VW_AFS_dv360_DIS_PROG_CPM_STD_LDR_AAF_RON_CXD_After-Sales-Promo-Nacional-LAL-Addtocart_PD_160x600</v>
      </c>
      <c r="AN154" s="15" t="s">
        <v>809</v>
      </c>
    </row>
    <row r="155" spans="2:40" hidden="1" x14ac:dyDescent="0.25">
      <c r="B155" s="15" t="s">
        <v>1102</v>
      </c>
      <c r="C155" s="15"/>
      <c r="D155" s="15" t="s">
        <v>1099</v>
      </c>
      <c r="E155" s="22">
        <v>44264</v>
      </c>
      <c r="F155" s="22">
        <v>44316</v>
      </c>
      <c r="G155" s="31" t="s">
        <v>674</v>
      </c>
      <c r="H155" s="31" t="s">
        <v>811</v>
      </c>
      <c r="I155" s="31" t="s">
        <v>702</v>
      </c>
      <c r="J155" s="31" t="s">
        <v>325</v>
      </c>
      <c r="K155" s="31" t="s">
        <v>334</v>
      </c>
      <c r="L155" s="31" t="s">
        <v>358</v>
      </c>
      <c r="M155" s="31" t="s">
        <v>322</v>
      </c>
      <c r="N155" s="31" t="s">
        <v>708</v>
      </c>
      <c r="O155" s="31" t="s">
        <v>694</v>
      </c>
      <c r="P155" s="15" t="s">
        <v>1100</v>
      </c>
      <c r="Q155" s="31" t="s">
        <v>849</v>
      </c>
      <c r="R155" s="15" t="s">
        <v>835</v>
      </c>
      <c r="S155" s="15" t="s">
        <v>348</v>
      </c>
      <c r="T155" s="31" t="s">
        <v>484</v>
      </c>
      <c r="AC155" s="32" t="s">
        <v>1101</v>
      </c>
      <c r="AD155" s="15" t="e">
        <f t="shared" si="35"/>
        <v>#N/A</v>
      </c>
      <c r="AE155" s="21" t="str">
        <f t="shared" si="36"/>
        <v>BR_VW_AFS_dv360_DIS_PROG_CPM_STD_LDR_AAF_RON_CXD_After-Sales-Promo-Nacional-LAL-Addtocart_PD_300x50</v>
      </c>
      <c r="AF155" s="21" t="str">
        <f t="shared" si="37"/>
        <v>BR_VW_AFS_dv360_DIS_PROG_CPM_STD_LDR_AAF_RON_CXD_After-Sales-Promo-Nacional-LAL-Addtocart_PD_300x50</v>
      </c>
      <c r="AG155" s="21" t="str">
        <f t="shared" si="38"/>
        <v>VW_After-Sales-LAL-Addtocart_300x50_After-Sales-Promo-Nacional-adserver</v>
      </c>
      <c r="AH155" s="21" t="str">
        <f t="shared" si="39"/>
        <v>https://posvendas.vw.com.br/product/oferta/63?utm_source=dv360&amp;utm_medium=Programmatic&amp;utm_content=BR_VW_AFS_dv360_DIS_PROG_CPM_STD_LDR_AAF_RON_CXD_After-Sales-Promo-Nacional-LAL-Addtocart_PD_300x50&amp;utm_campaign=BR_AAF_DSY_NONMS_ND_AS_2021Q1FEV_AFS_After-Sales&amp;utm_term=%epid!_%ecid!_%eaid!</v>
      </c>
      <c r="AI155" s="21" t="str">
        <f t="shared" si="40"/>
        <v>TAG</v>
      </c>
      <c r="AJ155" s="15" t="str">
        <f t="shared" si="42"/>
        <v>dv360</v>
      </c>
      <c r="AK155" s="15" t="str">
        <f t="shared" si="43"/>
        <v>Programmatic</v>
      </c>
      <c r="AL155" s="21" t="str">
        <f>Campanha!$B$3</f>
        <v>BR_AAF_DSY_NONMS_ND_AS_2021Q1FEV_AFS_After-Sales</v>
      </c>
      <c r="AM155" s="21" t="str">
        <f t="shared" si="41"/>
        <v>BR_VW_AFS_dv360_DIS_PROG_CPM_STD_LDR_AAF_RON_CXD_After-Sales-Promo-Nacional-LAL-Addtocart_PD_300x50</v>
      </c>
      <c r="AN155" s="15" t="s">
        <v>809</v>
      </c>
    </row>
    <row r="156" spans="2:40" hidden="1" x14ac:dyDescent="0.25">
      <c r="B156" s="15" t="s">
        <v>1102</v>
      </c>
      <c r="C156" s="15"/>
      <c r="D156" s="15" t="s">
        <v>1099</v>
      </c>
      <c r="E156" s="22">
        <v>44264</v>
      </c>
      <c r="F156" s="22">
        <v>44316</v>
      </c>
      <c r="G156" s="31" t="s">
        <v>674</v>
      </c>
      <c r="H156" s="31" t="s">
        <v>811</v>
      </c>
      <c r="I156" s="31" t="s">
        <v>702</v>
      </c>
      <c r="J156" s="31" t="s">
        <v>325</v>
      </c>
      <c r="K156" s="31" t="s">
        <v>334</v>
      </c>
      <c r="L156" s="31" t="s">
        <v>358</v>
      </c>
      <c r="M156" s="31" t="s">
        <v>322</v>
      </c>
      <c r="N156" s="31" t="s">
        <v>708</v>
      </c>
      <c r="O156" s="31" t="s">
        <v>694</v>
      </c>
      <c r="P156" s="15" t="s">
        <v>1100</v>
      </c>
      <c r="Q156" s="31" t="s">
        <v>849</v>
      </c>
      <c r="R156" s="15" t="s">
        <v>835</v>
      </c>
      <c r="S156" s="15" t="s">
        <v>348</v>
      </c>
      <c r="T156" s="31" t="s">
        <v>478</v>
      </c>
      <c r="AC156" s="32" t="s">
        <v>1101</v>
      </c>
      <c r="AD156" s="15" t="e">
        <f t="shared" si="35"/>
        <v>#N/A</v>
      </c>
      <c r="AE156" s="21" t="str">
        <f t="shared" si="36"/>
        <v>BR_VW_AFS_dv360_DIS_PROG_CPM_STD_LDR_AAF_RON_CXD_After-Sales-Promo-Nacional-LAL-Addtocart_PD_300x250</v>
      </c>
      <c r="AF156" s="21" t="str">
        <f t="shared" si="37"/>
        <v>BR_VW_AFS_dv360_DIS_PROG_CPM_STD_LDR_AAF_RON_CXD_After-Sales-Promo-Nacional-LAL-Addtocart_PD_300x250</v>
      </c>
      <c r="AG156" s="21" t="str">
        <f t="shared" si="38"/>
        <v>VW_After-Sales-LAL-Addtocart_300x250_After-Sales-Promo-Nacional-adserver</v>
      </c>
      <c r="AH156" s="21" t="str">
        <f t="shared" si="39"/>
        <v>https://posvendas.vw.com.br/product/oferta/63?utm_source=dv360&amp;utm_medium=Programmatic&amp;utm_content=BR_VW_AFS_dv360_DIS_PROG_CPM_STD_LDR_AAF_RON_CXD_After-Sales-Promo-Nacional-LAL-Addtocart_PD_300x250&amp;utm_campaign=BR_AAF_DSY_NONMS_ND_AS_2021Q1FEV_AFS_After-Sales&amp;utm_term=%epid!_%ecid!_%eaid!</v>
      </c>
      <c r="AI156" s="21" t="str">
        <f t="shared" si="40"/>
        <v>TAG</v>
      </c>
      <c r="AJ156" s="15" t="str">
        <f t="shared" si="42"/>
        <v>dv360</v>
      </c>
      <c r="AK156" s="15" t="str">
        <f t="shared" si="43"/>
        <v>Programmatic</v>
      </c>
      <c r="AL156" s="21" t="str">
        <f>Campanha!$B$3</f>
        <v>BR_AAF_DSY_NONMS_ND_AS_2021Q1FEV_AFS_After-Sales</v>
      </c>
      <c r="AM156" s="21" t="str">
        <f t="shared" si="41"/>
        <v>BR_VW_AFS_dv360_DIS_PROG_CPM_STD_LDR_AAF_RON_CXD_After-Sales-Promo-Nacional-LAL-Addtocart_PD_300x250</v>
      </c>
      <c r="AN156" s="15" t="s">
        <v>809</v>
      </c>
    </row>
    <row r="157" spans="2:40" hidden="1" x14ac:dyDescent="0.25">
      <c r="B157" s="15" t="s">
        <v>1102</v>
      </c>
      <c r="C157" s="15"/>
      <c r="D157" s="15" t="s">
        <v>1099</v>
      </c>
      <c r="E157" s="22">
        <v>44264</v>
      </c>
      <c r="F157" s="22">
        <v>44316</v>
      </c>
      <c r="G157" s="31" t="s">
        <v>674</v>
      </c>
      <c r="H157" s="31" t="s">
        <v>811</v>
      </c>
      <c r="I157" s="31" t="s">
        <v>702</v>
      </c>
      <c r="J157" s="31" t="s">
        <v>325</v>
      </c>
      <c r="K157" s="31" t="s">
        <v>334</v>
      </c>
      <c r="L157" s="31" t="s">
        <v>358</v>
      </c>
      <c r="M157" s="31" t="s">
        <v>322</v>
      </c>
      <c r="N157" s="31" t="s">
        <v>708</v>
      </c>
      <c r="O157" s="31" t="s">
        <v>694</v>
      </c>
      <c r="P157" s="15" t="s">
        <v>1100</v>
      </c>
      <c r="Q157" s="31" t="s">
        <v>849</v>
      </c>
      <c r="R157" s="15" t="s">
        <v>835</v>
      </c>
      <c r="S157" s="15" t="s">
        <v>348</v>
      </c>
      <c r="T157" s="31" t="s">
        <v>614</v>
      </c>
      <c r="AC157" s="32" t="s">
        <v>1101</v>
      </c>
      <c r="AD157" s="15" t="e">
        <f t="shared" si="35"/>
        <v>#N/A</v>
      </c>
      <c r="AE157" s="21" t="str">
        <f t="shared" si="36"/>
        <v>BR_VW_AFS_dv360_DIS_PROG_CPM_STD_LDR_AAF_RON_CXD_After-Sales-Promo-Nacional-LAL-Addtocart_PD_728x90</v>
      </c>
      <c r="AF157" s="21" t="str">
        <f t="shared" si="37"/>
        <v>BR_VW_AFS_dv360_DIS_PROG_CPM_STD_LDR_AAF_RON_CXD_After-Sales-Promo-Nacional-LAL-Addtocart_PD_728x90</v>
      </c>
      <c r="AG157" s="21" t="str">
        <f t="shared" si="38"/>
        <v>VW_After-Sales-LAL-Addtocart_728x90_After-Sales-Promo-Nacional-adserver</v>
      </c>
      <c r="AH157" s="21" t="str">
        <f t="shared" si="39"/>
        <v>https://posvendas.vw.com.br/product/oferta/63?utm_source=dv360&amp;utm_medium=Programmatic&amp;utm_content=BR_VW_AFS_dv360_DIS_PROG_CPM_STD_LDR_AAF_RON_CXD_After-Sales-Promo-Nacional-LAL-Addtocart_PD_728x90&amp;utm_campaign=BR_AAF_DSY_NONMS_ND_AS_2021Q1FEV_AFS_After-Sales&amp;utm_term=%epid!_%ecid!_%eaid!</v>
      </c>
      <c r="AI157" s="21" t="str">
        <f t="shared" si="40"/>
        <v>TAG</v>
      </c>
      <c r="AJ157" s="15" t="str">
        <f t="shared" si="42"/>
        <v>dv360</v>
      </c>
      <c r="AK157" s="15" t="str">
        <f t="shared" si="43"/>
        <v>Programmatic</v>
      </c>
      <c r="AL157" s="21" t="str">
        <f>Campanha!$B$3</f>
        <v>BR_AAF_DSY_NONMS_ND_AS_2021Q1FEV_AFS_After-Sales</v>
      </c>
      <c r="AM157" s="21" t="str">
        <f t="shared" si="41"/>
        <v>BR_VW_AFS_dv360_DIS_PROG_CPM_STD_LDR_AAF_RON_CXD_After-Sales-Promo-Nacional-LAL-Addtocart_PD_728x90</v>
      </c>
      <c r="AN157" s="15" t="s">
        <v>809</v>
      </c>
    </row>
    <row r="158" spans="2:40" hidden="1" x14ac:dyDescent="0.25">
      <c r="B158" s="15" t="s">
        <v>1102</v>
      </c>
      <c r="C158" s="15"/>
      <c r="D158" s="15" t="s">
        <v>1099</v>
      </c>
      <c r="E158" s="22">
        <v>44264</v>
      </c>
      <c r="F158" s="22">
        <v>44316</v>
      </c>
      <c r="G158" s="31" t="s">
        <v>674</v>
      </c>
      <c r="H158" s="31" t="s">
        <v>811</v>
      </c>
      <c r="I158" s="31" t="s">
        <v>702</v>
      </c>
      <c r="J158" s="31" t="s">
        <v>325</v>
      </c>
      <c r="K158" s="31" t="s">
        <v>334</v>
      </c>
      <c r="L158" s="31" t="s">
        <v>358</v>
      </c>
      <c r="M158" s="31" t="s">
        <v>322</v>
      </c>
      <c r="N158" s="31" t="s">
        <v>708</v>
      </c>
      <c r="O158" s="31" t="s">
        <v>694</v>
      </c>
      <c r="P158" s="15" t="s">
        <v>1100</v>
      </c>
      <c r="Q158" s="31" t="s">
        <v>849</v>
      </c>
      <c r="R158" s="15" t="s">
        <v>835</v>
      </c>
      <c r="S158" s="15" t="s">
        <v>348</v>
      </c>
      <c r="T158" s="31" t="s">
        <v>652</v>
      </c>
      <c r="AC158" s="32" t="s">
        <v>1101</v>
      </c>
      <c r="AD158" s="15" t="e">
        <f t="shared" si="35"/>
        <v>#N/A</v>
      </c>
      <c r="AE158" s="21" t="str">
        <f t="shared" si="36"/>
        <v>BR_VW_AFS_dv360_DIS_PROG_CPM_STD_LDR_AAF_RON_CXD_After-Sales-Promo-Nacional-LAL-Addtocart_PD_970x250</v>
      </c>
      <c r="AF158" s="21" t="str">
        <f t="shared" si="37"/>
        <v>BR_VW_AFS_dv360_DIS_PROG_CPM_STD_LDR_AAF_RON_CXD_After-Sales-Promo-Nacional-LAL-Addtocart_PD_970x250</v>
      </c>
      <c r="AG158" s="21" t="str">
        <f t="shared" si="38"/>
        <v>VW_After-Sales-LAL-Addtocart_970x250_After-Sales-Promo-Nacional-adserver</v>
      </c>
      <c r="AH158" s="21" t="str">
        <f t="shared" si="39"/>
        <v>https://posvendas.vw.com.br/product/oferta/63?utm_source=dv360&amp;utm_medium=Programmatic&amp;utm_content=BR_VW_AFS_dv360_DIS_PROG_CPM_STD_LDR_AAF_RON_CXD_After-Sales-Promo-Nacional-LAL-Addtocart_PD_970x250&amp;utm_campaign=BR_AAF_DSY_NONMS_ND_AS_2021Q1FEV_AFS_After-Sales&amp;utm_term=%epid!_%ecid!_%eaid!</v>
      </c>
      <c r="AI158" s="21" t="str">
        <f t="shared" si="40"/>
        <v>TAG</v>
      </c>
      <c r="AJ158" s="15" t="str">
        <f t="shared" si="42"/>
        <v>dv360</v>
      </c>
      <c r="AK158" s="15" t="str">
        <f t="shared" si="43"/>
        <v>Programmatic</v>
      </c>
      <c r="AL158" s="21" t="str">
        <f>Campanha!$B$3</f>
        <v>BR_AAF_DSY_NONMS_ND_AS_2021Q1FEV_AFS_After-Sales</v>
      </c>
      <c r="AM158" s="21" t="str">
        <f t="shared" si="41"/>
        <v>BR_VW_AFS_dv360_DIS_PROG_CPM_STD_LDR_AAF_RON_CXD_After-Sales-Promo-Nacional-LAL-Addtocart_PD_970x250</v>
      </c>
      <c r="AN158" s="15" t="s">
        <v>809</v>
      </c>
    </row>
  </sheetData>
  <autoFilter ref="B2:AN158" xr:uid="{127A89B6-CF51-439B-AC55-8665B823249F}">
    <filterColumn colId="0">
      <filters>
        <filter val="Inserir"/>
      </filters>
    </filterColumn>
  </autoFilter>
  <phoneticPr fontId="8" type="noConversion"/>
  <dataValidations count="10">
    <dataValidation type="list" allowBlank="1" showInputMessage="1" showErrorMessage="1" sqref="I3:I158" xr:uid="{D74FCCF6-C02A-4CF9-93D1-A149F74353EA}">
      <formula1>list_submediachannel</formula1>
    </dataValidation>
    <dataValidation type="list" allowBlank="1" showInputMessage="1" showErrorMessage="1" sqref="B3:B158" xr:uid="{29AC5E17-7D1C-4382-9932-53ADE6558719}">
      <formula1>"Inativar,Aguardando Material,Aguardando Correção,Manter / No Ar,Inserir,Ativar,Reenviar,Alterar Tipo de Compra, Substituir Criativo,Pausado, Atualizar"</formula1>
    </dataValidation>
    <dataValidation type="list" allowBlank="1" showInputMessage="1" showErrorMessage="1" sqref="J3:J158" xr:uid="{C2664176-F527-4B55-B433-1E2C6205AFC7}">
      <formula1>list_buyingtype</formula1>
    </dataValidation>
    <dataValidation type="list" allowBlank="1" showInputMessage="1" showErrorMessage="1" sqref="K3:K158" xr:uid="{22A81EB8-9C2C-43CB-B30C-7CC7B938313D}">
      <formula1>list_buyingmetric</formula1>
    </dataValidation>
    <dataValidation type="list" allowBlank="1" showInputMessage="1" showErrorMessage="1" sqref="L3:L158" xr:uid="{D4EEE80F-2CD8-4552-9944-26A69F28393E}">
      <formula1>list_trackingtype</formula1>
    </dataValidation>
    <dataValidation type="list" allowBlank="1" showInputMessage="1" showErrorMessage="1" sqref="N3:N158" xr:uid="{4B1F7BED-A7E2-445C-807C-9324117A8B28}">
      <formula1>list_sitesection</formula1>
    </dataValidation>
    <dataValidation type="list" allowBlank="1" showInputMessage="1" showErrorMessage="1" sqref="O3:O158" xr:uid="{1D225AAC-DC24-41D6-A800-49B61341B485}">
      <formula1>list_device</formula1>
    </dataValidation>
    <dataValidation type="list" allowBlank="1" showInputMessage="1" showErrorMessage="1" sqref="S3:S158" xr:uid="{1B400641-824A-4EF4-A4E5-8C1E8BE3F96F}">
      <formula1>list_paidvsav</formula1>
    </dataValidation>
    <dataValidation type="list" allowBlank="1" showInputMessage="1" showErrorMessage="1" sqref="G3:G158" xr:uid="{F3EDD462-CAB6-4096-9138-038E80268201}">
      <formula1>list_servidopor</formula1>
    </dataValidation>
    <dataValidation type="list" allowBlank="1" showInputMessage="1" showErrorMessage="1" sqref="H15:H119 H124:H158" xr:uid="{FE0D060E-3C22-4F12-B73A-536FC1179BE4}">
      <formula1>list_site</formula1>
    </dataValidation>
  </dataValidations>
  <hyperlinks>
    <hyperlink ref="AC15" r:id="rId1" display="https://urldefense.com/v3/__https:/posvendas.vw.com.br/__;!!HhhKMSGjjQV-!u_Pta8GrqW-t8GqQR4acXySRMcWNXwN5zT811fK-284wplc7yLHzOmfYkwEOus9kADE$" xr:uid="{94C5B9FD-C84A-48E2-8C64-AA8CE5BC99C4}"/>
    <hyperlink ref="AC35" r:id="rId2" display="https://urldefense.com/v3/__https:/posvendas.vw.com.br/product/oferta/62__;!!HhhKMSGjjQV-!u_Pta8GrqW-t8GqQR4acXySRMcWNXwN5zT811fK-284wplc7yLHzOmfYkwEOgYw7piY$" xr:uid="{899805D3-0BAC-4AD8-8F9F-869994F2A44D}"/>
    <hyperlink ref="AC36" r:id="rId3" display="https://urldefense.com/v3/__https:/posvendas.vw.com.br/product/oferta/62__;!!HhhKMSGjjQV-!u_Pta8GrqW-t8GqQR4acXySRMcWNXwN5zT811fK-284wplc7yLHzOmfYkwEOgYw7piY$" xr:uid="{DF960CFC-7F26-49E5-AC48-0835B51882ED}"/>
    <hyperlink ref="AC37" r:id="rId4" display="https://urldefense.com/v3/__https:/posvendas.vw.com.br/product/oferta/62__;!!HhhKMSGjjQV-!u_Pta8GrqW-t8GqQR4acXySRMcWNXwN5zT811fK-284wplc7yLHzOmfYkwEOgYw7piY$" xr:uid="{E627493E-8DCC-4900-8104-68B92B7AC1C6}"/>
    <hyperlink ref="AC39" r:id="rId5" display="https://urldefense.com/v3/__https:/posvendas.vw.com.br/product/oferta/62__;!!HhhKMSGjjQV-!u_Pta8GrqW-t8GqQR4acXySRMcWNXwN5zT811fK-284wplc7yLHzOmfYkwEOgYw7piY$" xr:uid="{A643A070-92A2-444C-B172-EEA14E6783A3}"/>
    <hyperlink ref="AC41" r:id="rId6" display="https://urldefense.com/v3/__https:/posvendas.vw.com.br/product/oferta/62__;!!HhhKMSGjjQV-!u_Pta8GrqW-t8GqQR4acXySRMcWNXwN5zT811fK-284wplc7yLHzOmfYkwEOgYw7piY$" xr:uid="{B285A0DC-2569-4A44-8165-3E52FFD90E9B}"/>
    <hyperlink ref="AC43" r:id="rId7" display="https://urldefense.com/v3/__https:/posvendas.vw.com.br/product/oferta/62__;!!HhhKMSGjjQV-!u_Pta8GrqW-t8GqQR4acXySRMcWNXwN5zT811fK-284wplc7yLHzOmfYkwEOgYw7piY$" xr:uid="{8B1601E1-6440-474A-9FE9-46B7D3C8B8F8}"/>
    <hyperlink ref="AC45" r:id="rId8" display="https://urldefense.com/v3/__https:/posvendas.vw.com.br/product/oferta/62__;!!HhhKMSGjjQV-!u_Pta8GrqW-t8GqQR4acXySRMcWNXwN5zT811fK-284wplc7yLHzOmfYkwEOgYw7piY$" xr:uid="{B836F984-25DB-4F9E-9515-4B5154DF9DCA}"/>
    <hyperlink ref="AC47" r:id="rId9" display="https://urldefense.com/v3/__https:/posvendas.vw.com.br/product/oferta/62__;!!HhhKMSGjjQV-!u_Pta8GrqW-t8GqQR4acXySRMcWNXwN5zT811fK-284wplc7yLHzOmfYkwEOgYw7piY$" xr:uid="{3975CB9F-90BD-4ADB-AA37-53748D53C8E4}"/>
    <hyperlink ref="AC49" r:id="rId10" display="https://urldefense.com/v3/__https:/posvendas.vw.com.br/product/oferta/62__;!!HhhKMSGjjQV-!u_Pta8GrqW-t8GqQR4acXySRMcWNXwN5zT811fK-284wplc7yLHzOmfYkwEOgYw7piY$" xr:uid="{844101CB-A9BA-4C4E-AD38-A70BC8EBB849}"/>
    <hyperlink ref="AC51" r:id="rId11" display="https://urldefense.com/v3/__https:/posvendas.vw.com.br/product/oferta/62__;!!HhhKMSGjjQV-!u_Pta8GrqW-t8GqQR4acXySRMcWNXwN5zT811fK-284wplc7yLHzOmfYkwEOgYw7piY$" xr:uid="{A1549BBF-1C80-4C04-9777-C86A8499CC07}"/>
    <hyperlink ref="AC53" r:id="rId12" display="https://urldefense.com/v3/__https:/posvendas.vw.com.br/product/oferta/62__;!!HhhKMSGjjQV-!u_Pta8GrqW-t8GqQR4acXySRMcWNXwN5zT811fK-284wplc7yLHzOmfYkwEOgYw7piY$" xr:uid="{6FBFB200-3028-40D8-86B6-69D43B7D3359}"/>
    <hyperlink ref="AC55" r:id="rId13" display="https://urldefense.com/v3/__https:/posvendas.vw.com.br/product/oferta/62__;!!HhhKMSGjjQV-!u_Pta8GrqW-t8GqQR4acXySRMcWNXwN5zT811fK-284wplc7yLHzOmfYkwEOgYw7piY$" xr:uid="{4CC3B679-9824-44EA-B3E0-87A7124E887F}"/>
    <hyperlink ref="AC57" r:id="rId14" display="https://urldefense.com/v3/__https:/posvendas.vw.com.br/product/oferta/62__;!!HhhKMSGjjQV-!u_Pta8GrqW-t8GqQR4acXySRMcWNXwN5zT811fK-284wplc7yLHzOmfYkwEOgYw7piY$" xr:uid="{0D2B728B-2A6E-41A9-9ED5-3218ED1075BA}"/>
    <hyperlink ref="AC59" r:id="rId15" display="https://urldefense.com/v3/__https:/posvendas.vw.com.br/product/oferta/62__;!!HhhKMSGjjQV-!u_Pta8GrqW-t8GqQR4acXySRMcWNXwN5zT811fK-284wplc7yLHzOmfYkwEOgYw7piY$" xr:uid="{EBF3B9F9-DFD3-4207-9FB0-BABFC9615A2F}"/>
    <hyperlink ref="AC61" r:id="rId16" display="https://urldefense.com/v3/__https:/posvendas.vw.com.br/product/oferta/62__;!!HhhKMSGjjQV-!u_Pta8GrqW-t8GqQR4acXySRMcWNXwN5zT811fK-284wplc7yLHzOmfYkwEOgYw7piY$" xr:uid="{4E2FD02C-F28E-453B-AC6B-3A866A802268}"/>
    <hyperlink ref="AC63" r:id="rId17" display="https://urldefense.com/v3/__https:/posvendas.vw.com.br/product/oferta/62__;!!HhhKMSGjjQV-!u_Pta8GrqW-t8GqQR4acXySRMcWNXwN5zT811fK-284wplc7yLHzOmfYkwEOgYw7piY$" xr:uid="{518547FE-C652-4095-96B1-B36B0AC3F929}"/>
    <hyperlink ref="AC65" r:id="rId18" display="https://urldefense.com/v3/__https:/posvendas.vw.com.br/product/oferta/62__;!!HhhKMSGjjQV-!u_Pta8GrqW-t8GqQR4acXySRMcWNXwN5zT811fK-284wplc7yLHzOmfYkwEOgYw7piY$" xr:uid="{28E5F541-4476-42AA-B697-D05BC11573D6}"/>
    <hyperlink ref="AC67" r:id="rId19" display="https://urldefense.com/v3/__https:/posvendas.vw.com.br/product/oferta/62__;!!HhhKMSGjjQV-!u_Pta8GrqW-t8GqQR4acXySRMcWNXwN5zT811fK-284wplc7yLHzOmfYkwEOgYw7piY$" xr:uid="{EAC55D60-63F6-4B9B-8696-490F871B519C}"/>
    <hyperlink ref="AC69" r:id="rId20" display="https://urldefense.com/v3/__https:/posvendas.vw.com.br/product/oferta/62__;!!HhhKMSGjjQV-!u_Pta8GrqW-t8GqQR4acXySRMcWNXwN5zT811fK-284wplc7yLHzOmfYkwEOgYw7piY$" xr:uid="{5CD5FDB1-FA56-4492-9B84-1DE788CAF0E5}"/>
    <hyperlink ref="AC71" r:id="rId21" display="https://urldefense.com/v3/__https:/posvendas.vw.com.br/product/oferta/62__;!!HhhKMSGjjQV-!u_Pta8GrqW-t8GqQR4acXySRMcWNXwN5zT811fK-284wplc7yLHzOmfYkwEOgYw7piY$" xr:uid="{45EF0C36-0C67-45C1-B099-CDC2C509DFD2}"/>
    <hyperlink ref="AC73" r:id="rId22" display="https://urldefense.com/v3/__https:/posvendas.vw.com.br/product/oferta/62__;!!HhhKMSGjjQV-!u_Pta8GrqW-t8GqQR4acXySRMcWNXwN5zT811fK-284wplc7yLHzOmfYkwEOgYw7piY$" xr:uid="{8B1B0420-806B-42FB-8C12-DE86FB953F06}"/>
    <hyperlink ref="AC38" r:id="rId23" display="https://urldefense.com/v3/__https:/posvendas.vw.com.br/product/oferta/62__;!!HhhKMSGjjQV-!u_Pta8GrqW-t8GqQR4acXySRMcWNXwN5zT811fK-284wplc7yLHzOmfYkwEOgYw7piY$" xr:uid="{7688D076-9CC0-4A21-A787-191B84C5935E}"/>
    <hyperlink ref="AC40" r:id="rId24" display="https://urldefense.com/v3/__https:/posvendas.vw.com.br/product/oferta/62__;!!HhhKMSGjjQV-!u_Pta8GrqW-t8GqQR4acXySRMcWNXwN5zT811fK-284wplc7yLHzOmfYkwEOgYw7piY$" xr:uid="{73108E8C-F998-4769-B9B1-9DB681585B9E}"/>
    <hyperlink ref="AC42" r:id="rId25" display="https://urldefense.com/v3/__https:/posvendas.vw.com.br/product/oferta/62__;!!HhhKMSGjjQV-!u_Pta8GrqW-t8GqQR4acXySRMcWNXwN5zT811fK-284wplc7yLHzOmfYkwEOgYw7piY$" xr:uid="{AE05FE17-F4E9-401C-94A2-2DE1A0CBB57D}"/>
    <hyperlink ref="AC44" r:id="rId26" display="https://urldefense.com/v3/__https:/posvendas.vw.com.br/product/oferta/62__;!!HhhKMSGjjQV-!u_Pta8GrqW-t8GqQR4acXySRMcWNXwN5zT811fK-284wplc7yLHzOmfYkwEOgYw7piY$" xr:uid="{6E00295C-D393-458E-ABB4-540A0C3BAEDF}"/>
    <hyperlink ref="AC46" r:id="rId27" display="https://urldefense.com/v3/__https:/posvendas.vw.com.br/product/oferta/62__;!!HhhKMSGjjQV-!u_Pta8GrqW-t8GqQR4acXySRMcWNXwN5zT811fK-284wplc7yLHzOmfYkwEOgYw7piY$" xr:uid="{0F8598D7-163F-4B30-AD95-264B004C2BF6}"/>
    <hyperlink ref="AC48" r:id="rId28" display="https://urldefense.com/v3/__https:/posvendas.vw.com.br/product/oferta/62__;!!HhhKMSGjjQV-!u_Pta8GrqW-t8GqQR4acXySRMcWNXwN5zT811fK-284wplc7yLHzOmfYkwEOgYw7piY$" xr:uid="{8EF798C0-3DF5-4685-B76D-24DF606297B2}"/>
    <hyperlink ref="AC50" r:id="rId29" display="https://urldefense.com/v3/__https:/posvendas.vw.com.br/product/oferta/62__;!!HhhKMSGjjQV-!u_Pta8GrqW-t8GqQR4acXySRMcWNXwN5zT811fK-284wplc7yLHzOmfYkwEOgYw7piY$" xr:uid="{81FFE400-063B-49AC-A332-4E483E79D3B3}"/>
    <hyperlink ref="AC52" r:id="rId30" display="https://urldefense.com/v3/__https:/posvendas.vw.com.br/product/oferta/62__;!!HhhKMSGjjQV-!u_Pta8GrqW-t8GqQR4acXySRMcWNXwN5zT811fK-284wplc7yLHzOmfYkwEOgYw7piY$" xr:uid="{B6670E0F-AEB5-4F2B-BA06-9DFF61D4D8F0}"/>
    <hyperlink ref="AC54" r:id="rId31" display="https://urldefense.com/v3/__https:/posvendas.vw.com.br/product/oferta/62__;!!HhhKMSGjjQV-!u_Pta8GrqW-t8GqQR4acXySRMcWNXwN5zT811fK-284wplc7yLHzOmfYkwEOgYw7piY$" xr:uid="{5FDB3C7F-55E8-4208-9FC4-16B1937409E9}"/>
    <hyperlink ref="AC56" r:id="rId32" display="https://urldefense.com/v3/__https:/posvendas.vw.com.br/product/oferta/62__;!!HhhKMSGjjQV-!u_Pta8GrqW-t8GqQR4acXySRMcWNXwN5zT811fK-284wplc7yLHzOmfYkwEOgYw7piY$" xr:uid="{133A01A6-B607-4006-B458-8A8B2EA55169}"/>
    <hyperlink ref="AC58" r:id="rId33" display="https://urldefense.com/v3/__https:/posvendas.vw.com.br/product/oferta/62__;!!HhhKMSGjjQV-!u_Pta8GrqW-t8GqQR4acXySRMcWNXwN5zT811fK-284wplc7yLHzOmfYkwEOgYw7piY$" xr:uid="{AE10EEFA-7DBA-4370-B7C2-3DDDBF66BA99}"/>
    <hyperlink ref="AC60" r:id="rId34" display="https://urldefense.com/v3/__https:/posvendas.vw.com.br/product/oferta/62__;!!HhhKMSGjjQV-!u_Pta8GrqW-t8GqQR4acXySRMcWNXwN5zT811fK-284wplc7yLHzOmfYkwEOgYw7piY$" xr:uid="{628EB63B-E006-4012-AB75-54C8290D124C}"/>
    <hyperlink ref="AC62" r:id="rId35" display="https://urldefense.com/v3/__https:/posvendas.vw.com.br/product/oferta/62__;!!HhhKMSGjjQV-!u_Pta8GrqW-t8GqQR4acXySRMcWNXwN5zT811fK-284wplc7yLHzOmfYkwEOgYw7piY$" xr:uid="{B8F9D89C-75DF-4579-87F3-62E583712693}"/>
    <hyperlink ref="AC64" r:id="rId36" display="https://urldefense.com/v3/__https:/posvendas.vw.com.br/product/oferta/62__;!!HhhKMSGjjQV-!u_Pta8GrqW-t8GqQR4acXySRMcWNXwN5zT811fK-284wplc7yLHzOmfYkwEOgYw7piY$" xr:uid="{582E1B34-CD95-401E-BF62-8AF0F2D376F6}"/>
    <hyperlink ref="AC66" r:id="rId37" display="https://urldefense.com/v3/__https:/posvendas.vw.com.br/product/oferta/62__;!!HhhKMSGjjQV-!u_Pta8GrqW-t8GqQR4acXySRMcWNXwN5zT811fK-284wplc7yLHzOmfYkwEOgYw7piY$" xr:uid="{988F4ABF-58DC-455F-A913-1B8958A6AD06}"/>
    <hyperlink ref="AC68" r:id="rId38" display="https://urldefense.com/v3/__https:/posvendas.vw.com.br/product/oferta/62__;!!HhhKMSGjjQV-!u_Pta8GrqW-t8GqQR4acXySRMcWNXwN5zT811fK-284wplc7yLHzOmfYkwEOgYw7piY$" xr:uid="{0CAC61D1-E269-465D-B93D-B5331D5FDE4D}"/>
    <hyperlink ref="AC70" r:id="rId39" display="https://urldefense.com/v3/__https:/posvendas.vw.com.br/product/oferta/62__;!!HhhKMSGjjQV-!u_Pta8GrqW-t8GqQR4acXySRMcWNXwN5zT811fK-284wplc7yLHzOmfYkwEOgYw7piY$" xr:uid="{8E220F90-8B93-449B-99A4-414BD697D1A1}"/>
    <hyperlink ref="AC72" r:id="rId40" display="https://urldefense.com/v3/__https:/posvendas.vw.com.br/product/oferta/62__;!!HhhKMSGjjQV-!u_Pta8GrqW-t8GqQR4acXySRMcWNXwN5zT811fK-284wplc7yLHzOmfYkwEOgYw7piY$" xr:uid="{31EFF199-7CFF-4B66-ACEF-571C87930951}"/>
    <hyperlink ref="AC74" r:id="rId41" display="https://urldefense.com/v3/__https:/posvendas.vw.com.br/product/oferta/62__;!!HhhKMSGjjQV-!u_Pta8GrqW-t8GqQR4acXySRMcWNXwN5zT811fK-284wplc7yLHzOmfYkwEOgYw7piY$" xr:uid="{9A1738AE-A731-43DF-BDEE-A87EAD25AE55}"/>
    <hyperlink ref="AC90:AC104" r:id="rId42" display="https://urldefense.com/v3/__https:/posvendas.vw.com.br/product/oferta/62__;!!HhhKMSGjjQV-!u_Pta8GrqW-t8GqQR4acXySRMcWNXwN5zT811fK-284wplc7yLHzOmfYkwEOgYw7piY$" xr:uid="{1464B560-9F6F-4A28-B344-C7A2AF925ABD}"/>
    <hyperlink ref="AC105:AC119" r:id="rId43" display="https://urldefense.com/v3/__https:/posvendas.vw.com.br/product/oferta/62__;!!HhhKMSGjjQV-!u_Pta8GrqW-t8GqQR4acXySRMcWNXwN5zT811fK-284wplc7yLHzOmfYkwEOgYw7piY$" xr:uid="{8B12A7A3-D03D-4039-90E6-19364BF3E30F}"/>
    <hyperlink ref="AC120" r:id="rId44" display="https://urldefense.com/v3/__https:/posvendas.vw.com.br/product/oferta/63__;!!HhhKMSGjjQV-!pjyd77sf7OlFZ4fcFFu4f7QI6m8n0EHPyhiNRalOPBHev4YhjaM1N52EZhRnFCCIC-8$" xr:uid="{4945A3C9-3237-4542-AE05-9EEB68D42849}"/>
    <hyperlink ref="AC121:AC158" r:id="rId45" display="https://urldefense.com/v3/__https:/posvendas.vw.com.br/product/oferta/63__;!!HhhKMSGjjQV-!pjyd77sf7OlFZ4fcFFu4f7QI6m8n0EHPyhiNRalOPBHev4YhjaM1N52EZhRnFCCIC-8$" xr:uid="{3F093675-DF43-4733-8D76-22C78CA7CB17}"/>
  </hyperlinks>
  <pageMargins left="0.511811024" right="0.511811024" top="0.78740157499999996" bottom="0.78740157499999996" header="0.31496062000000002" footer="0.31496062000000002"/>
  <pageSetup paperSize="9" orientation="portrait" r:id="rId46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19F0CD-A171-4397-8BDA-1173B2CCC24B}">
          <x14:formula1>
            <xm:f>'All Codes'!$AR$3:$AR$84</xm:f>
          </x14:formula1>
          <xm:sqref>H3:H14 H120:H123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58665-65F6-4473-A830-D3EF1021EBB8}">
  <dimension ref="A1:B126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9.42578125" bestFit="1" customWidth="1"/>
    <col min="2" max="2" width="10" bestFit="1" customWidth="1"/>
  </cols>
  <sheetData>
    <row r="1" spans="1:2" x14ac:dyDescent="0.25">
      <c r="A1" s="25" t="s">
        <v>366</v>
      </c>
      <c r="B1" s="25" t="s">
        <v>189</v>
      </c>
    </row>
    <row r="2" spans="1:2" x14ac:dyDescent="0.25">
      <c r="A2" s="26" t="s">
        <v>888</v>
      </c>
      <c r="B2" s="26" t="s">
        <v>948</v>
      </c>
    </row>
    <row r="3" spans="1:2" x14ac:dyDescent="0.25">
      <c r="A3" s="26" t="s">
        <v>889</v>
      </c>
      <c r="B3" s="26" t="s">
        <v>949</v>
      </c>
    </row>
    <row r="4" spans="1:2" x14ac:dyDescent="0.25">
      <c r="A4" s="26" t="s">
        <v>890</v>
      </c>
      <c r="B4" s="26" t="s">
        <v>950</v>
      </c>
    </row>
    <row r="5" spans="1:2" x14ac:dyDescent="0.25">
      <c r="A5" s="26" t="s">
        <v>891</v>
      </c>
      <c r="B5" s="26" t="s">
        <v>951</v>
      </c>
    </row>
    <row r="6" spans="1:2" x14ac:dyDescent="0.25">
      <c r="A6" s="26" t="s">
        <v>892</v>
      </c>
      <c r="B6" s="26" t="s">
        <v>952</v>
      </c>
    </row>
    <row r="7" spans="1:2" x14ac:dyDescent="0.25">
      <c r="A7" s="26" t="s">
        <v>893</v>
      </c>
      <c r="B7" s="26" t="s">
        <v>953</v>
      </c>
    </row>
    <row r="8" spans="1:2" x14ac:dyDescent="0.25">
      <c r="A8" s="26" t="s">
        <v>894</v>
      </c>
      <c r="B8" s="26" t="s">
        <v>954</v>
      </c>
    </row>
    <row r="9" spans="1:2" x14ac:dyDescent="0.25">
      <c r="A9" s="26" t="s">
        <v>895</v>
      </c>
      <c r="B9" s="26" t="s">
        <v>955</v>
      </c>
    </row>
    <row r="10" spans="1:2" x14ac:dyDescent="0.25">
      <c r="A10" s="26" t="s">
        <v>896</v>
      </c>
      <c r="B10" s="26" t="s">
        <v>956</v>
      </c>
    </row>
    <row r="11" spans="1:2" x14ac:dyDescent="0.25">
      <c r="A11" s="26" t="s">
        <v>897</v>
      </c>
      <c r="B11" s="26" t="s">
        <v>957</v>
      </c>
    </row>
    <row r="12" spans="1:2" x14ac:dyDescent="0.25">
      <c r="A12" s="26" t="s">
        <v>898</v>
      </c>
      <c r="B12" s="26" t="s">
        <v>958</v>
      </c>
    </row>
    <row r="13" spans="1:2" x14ac:dyDescent="0.25">
      <c r="A13" s="26" t="s">
        <v>899</v>
      </c>
      <c r="B13" s="26" t="s">
        <v>959</v>
      </c>
    </row>
    <row r="14" spans="1:2" x14ac:dyDescent="0.25">
      <c r="A14" s="26" t="s">
        <v>900</v>
      </c>
      <c r="B14" s="26" t="s">
        <v>960</v>
      </c>
    </row>
    <row r="15" spans="1:2" x14ac:dyDescent="0.25">
      <c r="A15" s="26" t="s">
        <v>901</v>
      </c>
      <c r="B15" s="26" t="s">
        <v>961</v>
      </c>
    </row>
    <row r="16" spans="1:2" x14ac:dyDescent="0.25">
      <c r="A16" s="26" t="s">
        <v>902</v>
      </c>
      <c r="B16" s="26" t="s">
        <v>962</v>
      </c>
    </row>
    <row r="17" spans="1:2" x14ac:dyDescent="0.25">
      <c r="A17" s="26" t="s">
        <v>903</v>
      </c>
      <c r="B17" s="26" t="s">
        <v>963</v>
      </c>
    </row>
    <row r="18" spans="1:2" x14ac:dyDescent="0.25">
      <c r="A18" s="26" t="s">
        <v>904</v>
      </c>
      <c r="B18" s="26" t="s">
        <v>964</v>
      </c>
    </row>
    <row r="19" spans="1:2" x14ac:dyDescent="0.25">
      <c r="A19" s="26" t="s">
        <v>905</v>
      </c>
      <c r="B19" s="26" t="s">
        <v>965</v>
      </c>
    </row>
    <row r="20" spans="1:2" x14ac:dyDescent="0.25">
      <c r="A20" s="26" t="s">
        <v>906</v>
      </c>
      <c r="B20" s="26" t="s">
        <v>966</v>
      </c>
    </row>
    <row r="21" spans="1:2" x14ac:dyDescent="0.25">
      <c r="A21" s="26" t="s">
        <v>907</v>
      </c>
      <c r="B21" s="26" t="s">
        <v>967</v>
      </c>
    </row>
    <row r="22" spans="1:2" x14ac:dyDescent="0.25">
      <c r="A22" s="26" t="s">
        <v>908</v>
      </c>
      <c r="B22" s="26" t="s">
        <v>968</v>
      </c>
    </row>
    <row r="23" spans="1:2" x14ac:dyDescent="0.25">
      <c r="A23" s="26" t="s">
        <v>909</v>
      </c>
      <c r="B23" s="26" t="s">
        <v>969</v>
      </c>
    </row>
    <row r="24" spans="1:2" x14ac:dyDescent="0.25">
      <c r="A24" s="26" t="s">
        <v>910</v>
      </c>
      <c r="B24" s="26" t="s">
        <v>970</v>
      </c>
    </row>
    <row r="25" spans="1:2" x14ac:dyDescent="0.25">
      <c r="A25" s="26" t="s">
        <v>911</v>
      </c>
      <c r="B25" s="26" t="s">
        <v>971</v>
      </c>
    </row>
    <row r="26" spans="1:2" x14ac:dyDescent="0.25">
      <c r="A26" s="26" t="s">
        <v>912</v>
      </c>
      <c r="B26" s="26" t="s">
        <v>972</v>
      </c>
    </row>
    <row r="27" spans="1:2" x14ac:dyDescent="0.25">
      <c r="A27" s="26" t="s">
        <v>913</v>
      </c>
      <c r="B27" s="26" t="s">
        <v>973</v>
      </c>
    </row>
    <row r="28" spans="1:2" x14ac:dyDescent="0.25">
      <c r="A28" s="26" t="s">
        <v>914</v>
      </c>
      <c r="B28" s="26" t="s">
        <v>974</v>
      </c>
    </row>
    <row r="29" spans="1:2" x14ac:dyDescent="0.25">
      <c r="A29" s="26" t="s">
        <v>915</v>
      </c>
      <c r="B29" s="26" t="s">
        <v>975</v>
      </c>
    </row>
    <row r="30" spans="1:2" x14ac:dyDescent="0.25">
      <c r="A30" s="26" t="s">
        <v>916</v>
      </c>
      <c r="B30" s="26" t="s">
        <v>976</v>
      </c>
    </row>
    <row r="31" spans="1:2" x14ac:dyDescent="0.25">
      <c r="A31" s="26" t="s">
        <v>917</v>
      </c>
      <c r="B31" s="26" t="s">
        <v>977</v>
      </c>
    </row>
    <row r="32" spans="1:2" x14ac:dyDescent="0.25">
      <c r="A32" s="26" t="s">
        <v>918</v>
      </c>
      <c r="B32" s="26" t="s">
        <v>978</v>
      </c>
    </row>
    <row r="33" spans="1:2" x14ac:dyDescent="0.25">
      <c r="A33" s="26" t="s">
        <v>919</v>
      </c>
      <c r="B33" s="26" t="s">
        <v>979</v>
      </c>
    </row>
    <row r="34" spans="1:2" x14ac:dyDescent="0.25">
      <c r="A34" s="26" t="s">
        <v>920</v>
      </c>
      <c r="B34" s="26" t="s">
        <v>980</v>
      </c>
    </row>
    <row r="35" spans="1:2" x14ac:dyDescent="0.25">
      <c r="A35" s="26" t="s">
        <v>921</v>
      </c>
      <c r="B35" s="26" t="s">
        <v>981</v>
      </c>
    </row>
    <row r="36" spans="1:2" x14ac:dyDescent="0.25">
      <c r="A36" s="26" t="s">
        <v>922</v>
      </c>
      <c r="B36" s="26" t="s">
        <v>982</v>
      </c>
    </row>
    <row r="37" spans="1:2" x14ac:dyDescent="0.25">
      <c r="A37" s="26" t="s">
        <v>923</v>
      </c>
      <c r="B37" s="26" t="s">
        <v>983</v>
      </c>
    </row>
    <row r="38" spans="1:2" x14ac:dyDescent="0.25">
      <c r="A38" s="26" t="s">
        <v>924</v>
      </c>
      <c r="B38" s="26" t="s">
        <v>984</v>
      </c>
    </row>
    <row r="39" spans="1:2" x14ac:dyDescent="0.25">
      <c r="A39" s="26" t="s">
        <v>925</v>
      </c>
      <c r="B39" s="26" t="s">
        <v>985</v>
      </c>
    </row>
    <row r="40" spans="1:2" x14ac:dyDescent="0.25">
      <c r="A40" s="26" t="s">
        <v>926</v>
      </c>
      <c r="B40" s="26" t="s">
        <v>986</v>
      </c>
    </row>
    <row r="41" spans="1:2" x14ac:dyDescent="0.25">
      <c r="A41" s="26" t="s">
        <v>927</v>
      </c>
      <c r="B41" s="26" t="s">
        <v>987</v>
      </c>
    </row>
    <row r="42" spans="1:2" x14ac:dyDescent="0.25">
      <c r="A42" s="26" t="s">
        <v>928</v>
      </c>
      <c r="B42" s="26" t="s">
        <v>988</v>
      </c>
    </row>
    <row r="43" spans="1:2" x14ac:dyDescent="0.25">
      <c r="A43" s="26" t="s">
        <v>929</v>
      </c>
      <c r="B43" s="26" t="s">
        <v>989</v>
      </c>
    </row>
    <row r="44" spans="1:2" x14ac:dyDescent="0.25">
      <c r="A44" s="26" t="s">
        <v>930</v>
      </c>
      <c r="B44" s="26" t="s">
        <v>990</v>
      </c>
    </row>
    <row r="45" spans="1:2" x14ac:dyDescent="0.25">
      <c r="A45" s="26" t="s">
        <v>931</v>
      </c>
      <c r="B45" s="26" t="s">
        <v>991</v>
      </c>
    </row>
    <row r="46" spans="1:2" x14ac:dyDescent="0.25">
      <c r="A46" s="26" t="s">
        <v>932</v>
      </c>
      <c r="B46" s="26" t="s">
        <v>992</v>
      </c>
    </row>
    <row r="47" spans="1:2" x14ac:dyDescent="0.25">
      <c r="A47" s="26" t="s">
        <v>933</v>
      </c>
      <c r="B47" s="26" t="s">
        <v>993</v>
      </c>
    </row>
    <row r="48" spans="1:2" x14ac:dyDescent="0.25">
      <c r="A48" s="26" t="s">
        <v>934</v>
      </c>
      <c r="B48" s="26" t="s">
        <v>994</v>
      </c>
    </row>
    <row r="49" spans="1:2" x14ac:dyDescent="0.25">
      <c r="A49" s="26" t="s">
        <v>935</v>
      </c>
      <c r="B49" s="26" t="s">
        <v>995</v>
      </c>
    </row>
    <row r="50" spans="1:2" x14ac:dyDescent="0.25">
      <c r="A50" s="26" t="s">
        <v>936</v>
      </c>
      <c r="B50" s="26" t="s">
        <v>996</v>
      </c>
    </row>
    <row r="51" spans="1:2" x14ac:dyDescent="0.25">
      <c r="A51" s="26" t="s">
        <v>937</v>
      </c>
      <c r="B51" s="26" t="s">
        <v>997</v>
      </c>
    </row>
    <row r="52" spans="1:2" x14ac:dyDescent="0.25">
      <c r="A52" s="26" t="s">
        <v>938</v>
      </c>
      <c r="B52" s="26" t="s">
        <v>998</v>
      </c>
    </row>
    <row r="53" spans="1:2" x14ac:dyDescent="0.25">
      <c r="A53" s="26" t="s">
        <v>939</v>
      </c>
      <c r="B53" s="26" t="s">
        <v>999</v>
      </c>
    </row>
    <row r="54" spans="1:2" x14ac:dyDescent="0.25">
      <c r="A54" s="26" t="s">
        <v>940</v>
      </c>
      <c r="B54" s="26" t="s">
        <v>1000</v>
      </c>
    </row>
    <row r="55" spans="1:2" x14ac:dyDescent="0.25">
      <c r="A55" s="26" t="s">
        <v>941</v>
      </c>
      <c r="B55" s="26" t="s">
        <v>1001</v>
      </c>
    </row>
    <row r="56" spans="1:2" x14ac:dyDescent="0.25">
      <c r="A56" s="26" t="s">
        <v>942</v>
      </c>
      <c r="B56" s="26" t="s">
        <v>1002</v>
      </c>
    </row>
    <row r="57" spans="1:2" x14ac:dyDescent="0.25">
      <c r="A57" s="26" t="s">
        <v>943</v>
      </c>
      <c r="B57" s="26" t="s">
        <v>1003</v>
      </c>
    </row>
    <row r="58" spans="1:2" x14ac:dyDescent="0.25">
      <c r="A58" s="26" t="s">
        <v>944</v>
      </c>
      <c r="B58" s="26" t="s">
        <v>1004</v>
      </c>
    </row>
    <row r="59" spans="1:2" x14ac:dyDescent="0.25">
      <c r="A59" s="26" t="s">
        <v>945</v>
      </c>
      <c r="B59" s="26" t="s">
        <v>1005</v>
      </c>
    </row>
    <row r="60" spans="1:2" x14ac:dyDescent="0.25">
      <c r="A60" s="26" t="s">
        <v>946</v>
      </c>
      <c r="B60" s="26" t="s">
        <v>1006</v>
      </c>
    </row>
    <row r="61" spans="1:2" x14ac:dyDescent="0.25">
      <c r="A61" s="26" t="s">
        <v>947</v>
      </c>
      <c r="B61" s="26" t="s">
        <v>1007</v>
      </c>
    </row>
    <row r="62" spans="1:2" x14ac:dyDescent="0.25">
      <c r="A62" s="26" t="s">
        <v>1008</v>
      </c>
      <c r="B62" s="26" t="s">
        <v>1053</v>
      </c>
    </row>
    <row r="63" spans="1:2" x14ac:dyDescent="0.25">
      <c r="A63" s="26" t="s">
        <v>1009</v>
      </c>
      <c r="B63" s="26" t="s">
        <v>1054</v>
      </c>
    </row>
    <row r="64" spans="1:2" x14ac:dyDescent="0.25">
      <c r="A64" s="26" t="s">
        <v>1010</v>
      </c>
      <c r="B64" s="26" t="s">
        <v>1055</v>
      </c>
    </row>
    <row r="65" spans="1:2" x14ac:dyDescent="0.25">
      <c r="A65" s="26" t="s">
        <v>1011</v>
      </c>
      <c r="B65" s="26" t="s">
        <v>1056</v>
      </c>
    </row>
    <row r="66" spans="1:2" x14ac:dyDescent="0.25">
      <c r="A66" s="26" t="s">
        <v>1012</v>
      </c>
      <c r="B66" s="26" t="s">
        <v>1057</v>
      </c>
    </row>
    <row r="67" spans="1:2" x14ac:dyDescent="0.25">
      <c r="A67" s="26" t="s">
        <v>1013</v>
      </c>
      <c r="B67" s="26" t="s">
        <v>1058</v>
      </c>
    </row>
    <row r="68" spans="1:2" x14ac:dyDescent="0.25">
      <c r="A68" s="26" t="s">
        <v>1014</v>
      </c>
      <c r="B68" s="26" t="s">
        <v>1059</v>
      </c>
    </row>
    <row r="69" spans="1:2" x14ac:dyDescent="0.25">
      <c r="A69" s="26" t="s">
        <v>1015</v>
      </c>
      <c r="B69" s="26" t="s">
        <v>1060</v>
      </c>
    </row>
    <row r="70" spans="1:2" x14ac:dyDescent="0.25">
      <c r="A70" s="26" t="s">
        <v>1016</v>
      </c>
      <c r="B70" s="26" t="s">
        <v>1061</v>
      </c>
    </row>
    <row r="71" spans="1:2" x14ac:dyDescent="0.25">
      <c r="A71" s="26" t="s">
        <v>1017</v>
      </c>
      <c r="B71" s="26" t="s">
        <v>1062</v>
      </c>
    </row>
    <row r="72" spans="1:2" x14ac:dyDescent="0.25">
      <c r="A72" s="26" t="s">
        <v>1018</v>
      </c>
      <c r="B72" s="26" t="s">
        <v>1063</v>
      </c>
    </row>
    <row r="73" spans="1:2" x14ac:dyDescent="0.25">
      <c r="A73" s="26" t="s">
        <v>1019</v>
      </c>
      <c r="B73" s="26" t="s">
        <v>1064</v>
      </c>
    </row>
    <row r="74" spans="1:2" x14ac:dyDescent="0.25">
      <c r="A74" s="26" t="s">
        <v>1020</v>
      </c>
      <c r="B74" s="26" t="s">
        <v>1065</v>
      </c>
    </row>
    <row r="75" spans="1:2" x14ac:dyDescent="0.25">
      <c r="A75" s="26" t="s">
        <v>1021</v>
      </c>
      <c r="B75" s="26" t="s">
        <v>1066</v>
      </c>
    </row>
    <row r="76" spans="1:2" x14ac:dyDescent="0.25">
      <c r="A76" s="26" t="s">
        <v>1022</v>
      </c>
      <c r="B76" s="26" t="s">
        <v>1067</v>
      </c>
    </row>
    <row r="77" spans="1:2" x14ac:dyDescent="0.25">
      <c r="A77" s="26" t="s">
        <v>1023</v>
      </c>
      <c r="B77" s="26" t="s">
        <v>1068</v>
      </c>
    </row>
    <row r="78" spans="1:2" x14ac:dyDescent="0.25">
      <c r="A78" s="26" t="s">
        <v>1024</v>
      </c>
      <c r="B78" s="26" t="s">
        <v>1069</v>
      </c>
    </row>
    <row r="79" spans="1:2" x14ac:dyDescent="0.25">
      <c r="A79" s="26" t="s">
        <v>1025</v>
      </c>
      <c r="B79" s="26" t="s">
        <v>1070</v>
      </c>
    </row>
    <row r="80" spans="1:2" x14ac:dyDescent="0.25">
      <c r="A80" s="26" t="s">
        <v>1026</v>
      </c>
      <c r="B80" s="26" t="s">
        <v>1071</v>
      </c>
    </row>
    <row r="81" spans="1:2" x14ac:dyDescent="0.25">
      <c r="A81" s="26" t="s">
        <v>1027</v>
      </c>
      <c r="B81" s="26" t="s">
        <v>1072</v>
      </c>
    </row>
    <row r="82" spans="1:2" x14ac:dyDescent="0.25">
      <c r="A82" s="26" t="s">
        <v>1028</v>
      </c>
      <c r="B82" s="26" t="s">
        <v>1073</v>
      </c>
    </row>
    <row r="83" spans="1:2" x14ac:dyDescent="0.25">
      <c r="A83" s="26" t="s">
        <v>1029</v>
      </c>
      <c r="B83" s="26" t="s">
        <v>1074</v>
      </c>
    </row>
    <row r="84" spans="1:2" x14ac:dyDescent="0.25">
      <c r="A84" s="26" t="s">
        <v>1030</v>
      </c>
      <c r="B84" s="26" t="s">
        <v>1075</v>
      </c>
    </row>
    <row r="85" spans="1:2" x14ac:dyDescent="0.25">
      <c r="A85" s="26" t="s">
        <v>1031</v>
      </c>
      <c r="B85" s="26" t="s">
        <v>1076</v>
      </c>
    </row>
    <row r="86" spans="1:2" x14ac:dyDescent="0.25">
      <c r="A86" s="26" t="s">
        <v>1032</v>
      </c>
      <c r="B86" s="26" t="s">
        <v>1077</v>
      </c>
    </row>
    <row r="87" spans="1:2" x14ac:dyDescent="0.25">
      <c r="A87" s="26" t="s">
        <v>1033</v>
      </c>
      <c r="B87" s="26" t="s">
        <v>1078</v>
      </c>
    </row>
    <row r="88" spans="1:2" x14ac:dyDescent="0.25">
      <c r="A88" s="26" t="s">
        <v>1034</v>
      </c>
      <c r="B88" s="26" t="s">
        <v>1079</v>
      </c>
    </row>
    <row r="89" spans="1:2" x14ac:dyDescent="0.25">
      <c r="A89" s="26" t="s">
        <v>1035</v>
      </c>
      <c r="B89" s="26" t="s">
        <v>1080</v>
      </c>
    </row>
    <row r="90" spans="1:2" x14ac:dyDescent="0.25">
      <c r="A90" s="26" t="s">
        <v>1036</v>
      </c>
      <c r="B90" s="26" t="s">
        <v>1081</v>
      </c>
    </row>
    <row r="91" spans="1:2" x14ac:dyDescent="0.25">
      <c r="A91" s="26" t="s">
        <v>1037</v>
      </c>
      <c r="B91" s="26" t="s">
        <v>1082</v>
      </c>
    </row>
    <row r="92" spans="1:2" x14ac:dyDescent="0.25">
      <c r="A92" s="26" t="s">
        <v>1038</v>
      </c>
      <c r="B92" s="26" t="s">
        <v>1083</v>
      </c>
    </row>
    <row r="93" spans="1:2" x14ac:dyDescent="0.25">
      <c r="A93" s="26" t="s">
        <v>1039</v>
      </c>
      <c r="B93" s="26" t="s">
        <v>1084</v>
      </c>
    </row>
    <row r="94" spans="1:2" x14ac:dyDescent="0.25">
      <c r="A94" s="26" t="s">
        <v>1040</v>
      </c>
      <c r="B94" s="26" t="s">
        <v>1085</v>
      </c>
    </row>
    <row r="95" spans="1:2" x14ac:dyDescent="0.25">
      <c r="A95" s="26" t="s">
        <v>1041</v>
      </c>
      <c r="B95" s="26" t="s">
        <v>1086</v>
      </c>
    </row>
    <row r="96" spans="1:2" x14ac:dyDescent="0.25">
      <c r="A96" s="26" t="s">
        <v>1042</v>
      </c>
      <c r="B96" s="26" t="s">
        <v>1087</v>
      </c>
    </row>
    <row r="97" spans="1:2" x14ac:dyDescent="0.25">
      <c r="A97" s="26" t="s">
        <v>1043</v>
      </c>
      <c r="B97" s="26" t="s">
        <v>1088</v>
      </c>
    </row>
    <row r="98" spans="1:2" x14ac:dyDescent="0.25">
      <c r="A98" s="26" t="s">
        <v>1044</v>
      </c>
      <c r="B98" s="26" t="s">
        <v>1089</v>
      </c>
    </row>
    <row r="99" spans="1:2" x14ac:dyDescent="0.25">
      <c r="A99" s="26" t="s">
        <v>1045</v>
      </c>
      <c r="B99" s="26" t="s">
        <v>1090</v>
      </c>
    </row>
    <row r="100" spans="1:2" x14ac:dyDescent="0.25">
      <c r="A100" s="26" t="s">
        <v>1046</v>
      </c>
      <c r="B100" s="26" t="s">
        <v>1091</v>
      </c>
    </row>
    <row r="101" spans="1:2" x14ac:dyDescent="0.25">
      <c r="A101" s="26" t="s">
        <v>1047</v>
      </c>
      <c r="B101" s="26" t="s">
        <v>1092</v>
      </c>
    </row>
    <row r="102" spans="1:2" x14ac:dyDescent="0.25">
      <c r="A102" s="26" t="s">
        <v>1048</v>
      </c>
      <c r="B102" s="26" t="s">
        <v>1093</v>
      </c>
    </row>
    <row r="103" spans="1:2" x14ac:dyDescent="0.25">
      <c r="A103" s="26" t="s">
        <v>1049</v>
      </c>
      <c r="B103" s="26" t="s">
        <v>1094</v>
      </c>
    </row>
    <row r="104" spans="1:2" x14ac:dyDescent="0.25">
      <c r="A104" s="26" t="s">
        <v>1050</v>
      </c>
      <c r="B104" s="26" t="s">
        <v>1095</v>
      </c>
    </row>
    <row r="105" spans="1:2" x14ac:dyDescent="0.25">
      <c r="A105" s="26" t="s">
        <v>1051</v>
      </c>
      <c r="B105" s="26" t="s">
        <v>1096</v>
      </c>
    </row>
    <row r="106" spans="1:2" x14ac:dyDescent="0.25">
      <c r="A106" s="26" t="s">
        <v>1052</v>
      </c>
      <c r="B106" s="26" t="s">
        <v>1097</v>
      </c>
    </row>
    <row r="107" spans="1:2" x14ac:dyDescent="0.25">
      <c r="A107" s="26" t="s">
        <v>1117</v>
      </c>
      <c r="B107" s="26" t="s">
        <v>1137</v>
      </c>
    </row>
    <row r="108" spans="1:2" x14ac:dyDescent="0.25">
      <c r="A108" s="26" t="s">
        <v>1118</v>
      </c>
      <c r="B108" s="26" t="s">
        <v>1138</v>
      </c>
    </row>
    <row r="109" spans="1:2" x14ac:dyDescent="0.25">
      <c r="A109" s="26" t="s">
        <v>1119</v>
      </c>
      <c r="B109" s="26" t="s">
        <v>1139</v>
      </c>
    </row>
    <row r="110" spans="1:2" x14ac:dyDescent="0.25">
      <c r="A110" s="26" t="s">
        <v>1120</v>
      </c>
      <c r="B110" s="26" t="s">
        <v>1140</v>
      </c>
    </row>
    <row r="111" spans="1:2" x14ac:dyDescent="0.25">
      <c r="A111" s="26" t="s">
        <v>1121</v>
      </c>
      <c r="B111" s="26" t="s">
        <v>1141</v>
      </c>
    </row>
    <row r="112" spans="1:2" x14ac:dyDescent="0.25">
      <c r="A112" s="26" t="s">
        <v>1122</v>
      </c>
      <c r="B112" s="26" t="s">
        <v>1142</v>
      </c>
    </row>
    <row r="113" spans="1:2" x14ac:dyDescent="0.25">
      <c r="A113" s="26" t="s">
        <v>1123</v>
      </c>
      <c r="B113" s="26" t="s">
        <v>1143</v>
      </c>
    </row>
    <row r="114" spans="1:2" x14ac:dyDescent="0.25">
      <c r="A114" s="26" t="s">
        <v>1124</v>
      </c>
      <c r="B114" s="26" t="s">
        <v>1144</v>
      </c>
    </row>
    <row r="115" spans="1:2" x14ac:dyDescent="0.25">
      <c r="A115" s="26" t="s">
        <v>1125</v>
      </c>
      <c r="B115" s="26" t="s">
        <v>1145</v>
      </c>
    </row>
    <row r="116" spans="1:2" x14ac:dyDescent="0.25">
      <c r="A116" s="26" t="s">
        <v>1126</v>
      </c>
      <c r="B116" s="26" t="s">
        <v>1146</v>
      </c>
    </row>
    <row r="117" spans="1:2" x14ac:dyDescent="0.25">
      <c r="A117" s="26" t="s">
        <v>1127</v>
      </c>
      <c r="B117" s="26" t="s">
        <v>1147</v>
      </c>
    </row>
    <row r="118" spans="1:2" x14ac:dyDescent="0.25">
      <c r="A118" s="26" t="s">
        <v>1128</v>
      </c>
      <c r="B118" s="26" t="s">
        <v>1148</v>
      </c>
    </row>
    <row r="119" spans="1:2" x14ac:dyDescent="0.25">
      <c r="A119" s="26" t="s">
        <v>1129</v>
      </c>
      <c r="B119" s="26" t="s">
        <v>1149</v>
      </c>
    </row>
    <row r="120" spans="1:2" x14ac:dyDescent="0.25">
      <c r="A120" s="26" t="s">
        <v>1130</v>
      </c>
      <c r="B120" s="26" t="s">
        <v>1150</v>
      </c>
    </row>
    <row r="121" spans="1:2" x14ac:dyDescent="0.25">
      <c r="A121" s="26" t="s">
        <v>1131</v>
      </c>
      <c r="B121" s="26" t="s">
        <v>1151</v>
      </c>
    </row>
    <row r="122" spans="1:2" x14ac:dyDescent="0.25">
      <c r="A122" s="26" t="s">
        <v>1132</v>
      </c>
      <c r="B122" s="26" t="s">
        <v>1152</v>
      </c>
    </row>
    <row r="123" spans="1:2" x14ac:dyDescent="0.25">
      <c r="A123" s="26" t="s">
        <v>1133</v>
      </c>
      <c r="B123" s="26" t="s">
        <v>1153</v>
      </c>
    </row>
    <row r="124" spans="1:2" x14ac:dyDescent="0.25">
      <c r="A124" s="26" t="s">
        <v>1134</v>
      </c>
      <c r="B124" s="26" t="s">
        <v>1154</v>
      </c>
    </row>
    <row r="125" spans="1:2" x14ac:dyDescent="0.25">
      <c r="A125" s="26" t="s">
        <v>1135</v>
      </c>
      <c r="B125" s="26" t="s">
        <v>1155</v>
      </c>
    </row>
    <row r="126" spans="1:2" x14ac:dyDescent="0.25">
      <c r="A126" s="26" t="s">
        <v>1136</v>
      </c>
      <c r="B126" s="26" t="s">
        <v>1156</v>
      </c>
    </row>
  </sheetData>
  <autoFilter ref="A1:B1" xr:uid="{F17C5B65-FB27-41FB-A9B2-CFDA426B5C52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7993C-CAA6-442B-8D41-ECF6A499FBAE}">
  <dimension ref="A1:B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17.28515625" bestFit="1" customWidth="1"/>
    <col min="2" max="2" width="177" bestFit="1" customWidth="1"/>
  </cols>
  <sheetData>
    <row r="1" spans="1:2" x14ac:dyDescent="0.25">
      <c r="A1" s="25" t="s">
        <v>366</v>
      </c>
      <c r="B1" s="25" t="s">
        <v>810</v>
      </c>
    </row>
    <row r="2" spans="1:2" x14ac:dyDescent="0.25">
      <c r="A2" s="26" t="s">
        <v>853</v>
      </c>
      <c r="B2" s="26" t="s">
        <v>865</v>
      </c>
    </row>
    <row r="3" spans="1:2" x14ac:dyDescent="0.25">
      <c r="A3" s="26" t="s">
        <v>854</v>
      </c>
      <c r="B3" s="26" t="s">
        <v>866</v>
      </c>
    </row>
    <row r="4" spans="1:2" x14ac:dyDescent="0.25">
      <c r="A4" s="26" t="s">
        <v>855</v>
      </c>
      <c r="B4" s="26" t="s">
        <v>867</v>
      </c>
    </row>
    <row r="5" spans="1:2" x14ac:dyDescent="0.25">
      <c r="A5" s="26" t="s">
        <v>856</v>
      </c>
      <c r="B5" s="26" t="s">
        <v>868</v>
      </c>
    </row>
    <row r="6" spans="1:2" x14ac:dyDescent="0.25">
      <c r="A6" s="26" t="s">
        <v>857</v>
      </c>
      <c r="B6" s="26" t="s">
        <v>869</v>
      </c>
    </row>
    <row r="7" spans="1:2" x14ac:dyDescent="0.25">
      <c r="A7" s="26" t="s">
        <v>858</v>
      </c>
      <c r="B7" s="26" t="s">
        <v>870</v>
      </c>
    </row>
    <row r="8" spans="1:2" x14ac:dyDescent="0.25">
      <c r="A8" s="26" t="s">
        <v>859</v>
      </c>
      <c r="B8" s="26" t="s">
        <v>871</v>
      </c>
    </row>
    <row r="9" spans="1:2" x14ac:dyDescent="0.25">
      <c r="A9" s="26" t="s">
        <v>860</v>
      </c>
      <c r="B9" s="26" t="s">
        <v>872</v>
      </c>
    </row>
    <row r="10" spans="1:2" x14ac:dyDescent="0.25">
      <c r="A10" s="26" t="s">
        <v>861</v>
      </c>
      <c r="B10" s="26" t="s">
        <v>873</v>
      </c>
    </row>
    <row r="11" spans="1:2" x14ac:dyDescent="0.25">
      <c r="A11" s="26" t="s">
        <v>862</v>
      </c>
      <c r="B11" s="26" t="s">
        <v>874</v>
      </c>
    </row>
    <row r="12" spans="1:2" x14ac:dyDescent="0.25">
      <c r="A12" s="26" t="s">
        <v>863</v>
      </c>
      <c r="B12" s="26" t="s">
        <v>875</v>
      </c>
    </row>
    <row r="13" spans="1:2" x14ac:dyDescent="0.25">
      <c r="A13" s="26" t="s">
        <v>864</v>
      </c>
      <c r="B13" s="26" t="s">
        <v>876</v>
      </c>
    </row>
    <row r="14" spans="1:2" x14ac:dyDescent="0.25">
      <c r="A14" s="26" t="s">
        <v>1105</v>
      </c>
      <c r="B14" s="26" t="s">
        <v>1109</v>
      </c>
    </row>
    <row r="15" spans="1:2" x14ac:dyDescent="0.25">
      <c r="A15" s="26" t="s">
        <v>1106</v>
      </c>
      <c r="B15" s="26" t="s">
        <v>1110</v>
      </c>
    </row>
    <row r="16" spans="1:2" x14ac:dyDescent="0.25">
      <c r="A16" s="26" t="s">
        <v>1107</v>
      </c>
      <c r="B16" s="26" t="s">
        <v>1111</v>
      </c>
    </row>
    <row r="17" spans="1:2" x14ac:dyDescent="0.25">
      <c r="A17" s="26" t="s">
        <v>1108</v>
      </c>
      <c r="B17" s="26" t="s">
        <v>1112</v>
      </c>
    </row>
  </sheetData>
  <autoFilter ref="A1:B1" xr:uid="{ED624B58-4C18-4CCF-AFFF-941C34DEDB48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ACF48-C95C-4CBC-A17F-364DFD37B8D9}">
  <sheetPr codeName="Planilha3"/>
  <dimension ref="B1:BQ257"/>
  <sheetViews>
    <sheetView showGridLines="0" zoomScaleNormal="100" workbookViewId="0">
      <selection activeCell="A4" sqref="A4"/>
    </sheetView>
  </sheetViews>
  <sheetFormatPr defaultRowHeight="15" x14ac:dyDescent="0.25"/>
  <cols>
    <col min="1" max="1" width="3.42578125" customWidth="1"/>
    <col min="2" max="2" width="11.7109375" bestFit="1" customWidth="1"/>
    <col min="3" max="3" width="4.140625" bestFit="1" customWidth="1"/>
    <col min="4" max="4" width="5" customWidth="1"/>
    <col min="5" max="5" width="13.42578125" bestFit="1" customWidth="1"/>
    <col min="6" max="6" width="5" bestFit="1" customWidth="1"/>
    <col min="7" max="7" width="4.140625" customWidth="1"/>
    <col min="8" max="8" width="13.42578125" bestFit="1" customWidth="1"/>
    <col min="9" max="9" width="6" bestFit="1" customWidth="1"/>
    <col min="10" max="10" width="4.85546875" customWidth="1"/>
    <col min="11" max="11" width="13.5703125" customWidth="1"/>
    <col min="12" max="12" width="8" customWidth="1"/>
    <col min="13" max="13" width="6.140625" customWidth="1"/>
    <col min="14" max="14" width="14.5703125" bestFit="1" customWidth="1"/>
    <col min="15" max="15" width="7.5703125" bestFit="1" customWidth="1"/>
    <col min="16" max="16" width="5.85546875" customWidth="1"/>
    <col min="17" max="17" width="15.42578125" bestFit="1" customWidth="1"/>
    <col min="18" max="18" width="3.85546875" bestFit="1" customWidth="1"/>
    <col min="19" max="19" width="5.7109375" customWidth="1"/>
    <col min="20" max="21" width="11.5703125" bestFit="1" customWidth="1"/>
    <col min="22" max="22" width="4.85546875" customWidth="1"/>
    <col min="23" max="23" width="12" bestFit="1" customWidth="1"/>
    <col min="24" max="24" width="5.28515625" bestFit="1" customWidth="1"/>
    <col min="25" max="25" width="5.85546875" customWidth="1"/>
    <col min="26" max="26" width="14.5703125" bestFit="1" customWidth="1"/>
    <col min="27" max="27" width="8.28515625" bestFit="1" customWidth="1"/>
    <col min="28" max="28" width="5.140625" customWidth="1"/>
    <col min="29" max="29" width="21.85546875" bestFit="1" customWidth="1"/>
    <col min="30" max="30" width="5.42578125" bestFit="1" customWidth="1"/>
    <col min="31" max="31" width="6.7109375" customWidth="1"/>
    <col min="32" max="32" width="16.28515625" customWidth="1"/>
    <col min="33" max="33" width="8" customWidth="1"/>
    <col min="34" max="34" width="6.140625" customWidth="1"/>
    <col min="35" max="35" width="15.5703125" bestFit="1" customWidth="1"/>
    <col min="36" max="36" width="4" bestFit="1" customWidth="1"/>
    <col min="37" max="37" width="6.140625" customWidth="1"/>
    <col min="38" max="38" width="23" bestFit="1" customWidth="1"/>
    <col min="39" max="39" width="4.5703125" bestFit="1" customWidth="1"/>
    <col min="40" max="40" width="4.5703125" customWidth="1"/>
    <col min="41" max="41" width="7.42578125" customWidth="1"/>
    <col min="42" max="42" width="5.140625" customWidth="1"/>
    <col min="43" max="43" width="4.5703125" customWidth="1"/>
    <col min="44" max="45" width="15.28515625" customWidth="1"/>
    <col min="46" max="46" width="5.85546875" customWidth="1"/>
    <col min="47" max="47" width="19.42578125" bestFit="1" customWidth="1"/>
    <col min="48" max="48" width="5" bestFit="1" customWidth="1"/>
    <col min="49" max="49" width="5" customWidth="1"/>
    <col min="50" max="50" width="19.42578125" bestFit="1" customWidth="1"/>
    <col min="51" max="51" width="11.7109375" customWidth="1"/>
    <col min="52" max="52" width="5.140625" customWidth="1"/>
    <col min="53" max="53" width="20.42578125" hidden="1" customWidth="1"/>
    <col min="54" max="54" width="8.28515625" hidden="1" customWidth="1"/>
    <col min="55" max="55" width="5.42578125" hidden="1" customWidth="1"/>
    <col min="56" max="57" width="14.140625" hidden="1" customWidth="1"/>
    <col min="58" max="58" width="5.140625" hidden="1" customWidth="1"/>
    <col min="59" max="59" width="20.5703125" hidden="1" customWidth="1"/>
    <col min="60" max="60" width="4.5703125" hidden="1" customWidth="1"/>
    <col min="61" max="61" width="6.140625" hidden="1" customWidth="1"/>
    <col min="62" max="62" width="11.28515625" hidden="1" customWidth="1"/>
    <col min="63" max="63" width="3.7109375" hidden="1" customWidth="1"/>
    <col min="64" max="64" width="6.140625" hidden="1" customWidth="1"/>
    <col min="65" max="65" width="18.7109375" bestFit="1" customWidth="1"/>
    <col min="66" max="66" width="5.5703125" bestFit="1" customWidth="1"/>
  </cols>
  <sheetData>
    <row r="1" spans="2:69" ht="17.25" customHeight="1" thickBot="1" x14ac:dyDescent="0.3"/>
    <row r="2" spans="2:69" s="6" customFormat="1" ht="38.25" customHeight="1" thickBot="1" x14ac:dyDescent="0.3">
      <c r="B2" s="33" t="s">
        <v>307</v>
      </c>
      <c r="C2" s="34"/>
      <c r="E2" s="33" t="s">
        <v>678</v>
      </c>
      <c r="F2" s="34"/>
      <c r="H2" s="33" t="s">
        <v>679</v>
      </c>
      <c r="I2" s="34"/>
      <c r="K2" s="33" t="s">
        <v>680</v>
      </c>
      <c r="L2" s="34"/>
      <c r="N2" s="33" t="s">
        <v>681</v>
      </c>
      <c r="O2" s="34"/>
      <c r="Q2" s="33" t="s">
        <v>7</v>
      </c>
      <c r="R2" s="34"/>
      <c r="T2" s="33" t="s">
        <v>3</v>
      </c>
      <c r="U2" s="34"/>
      <c r="W2" s="33" t="s">
        <v>291</v>
      </c>
      <c r="X2" s="34"/>
      <c r="Z2" s="33" t="s">
        <v>682</v>
      </c>
      <c r="AA2" s="34"/>
      <c r="AC2" s="33" t="s">
        <v>308</v>
      </c>
      <c r="AD2" s="34"/>
      <c r="AF2" s="33" t="s">
        <v>683</v>
      </c>
      <c r="AG2" s="34"/>
      <c r="AI2" s="33" t="s">
        <v>684</v>
      </c>
      <c r="AJ2" s="34"/>
      <c r="AL2" s="33" t="s">
        <v>685</v>
      </c>
      <c r="AM2" s="34"/>
      <c r="AO2" s="35" t="s">
        <v>686</v>
      </c>
      <c r="AP2" s="35"/>
      <c r="AR2" s="35" t="s">
        <v>367</v>
      </c>
      <c r="AS2" s="35"/>
      <c r="AU2" s="33" t="s">
        <v>687</v>
      </c>
      <c r="AV2" s="34"/>
      <c r="AX2" t="s">
        <v>423</v>
      </c>
      <c r="AY2" t="s">
        <v>322</v>
      </c>
      <c r="AZ2" s="17" t="s">
        <v>6</v>
      </c>
      <c r="BA2" s="33" t="s">
        <v>688</v>
      </c>
      <c r="BB2" s="34"/>
      <c r="BD2" s="33" t="s">
        <v>689</v>
      </c>
      <c r="BE2" s="34"/>
      <c r="BG2" s="33" t="s">
        <v>690</v>
      </c>
      <c r="BH2" s="34"/>
      <c r="BJ2" s="33" t="s">
        <v>1</v>
      </c>
      <c r="BK2" s="34"/>
      <c r="BM2" s="33" t="s">
        <v>691</v>
      </c>
      <c r="BN2" s="34"/>
      <c r="BQ2"/>
    </row>
    <row r="3" spans="2:69" x14ac:dyDescent="0.25">
      <c r="B3" t="s">
        <v>310</v>
      </c>
      <c r="C3" t="s">
        <v>309</v>
      </c>
      <c r="E3" t="s">
        <v>311</v>
      </c>
      <c r="F3" t="s">
        <v>311</v>
      </c>
      <c r="H3" t="s">
        <v>313</v>
      </c>
      <c r="I3" t="s">
        <v>312</v>
      </c>
      <c r="K3" t="s">
        <v>692</v>
      </c>
      <c r="L3" t="s">
        <v>17</v>
      </c>
      <c r="N3" t="s">
        <v>315</v>
      </c>
      <c r="O3" t="s">
        <v>314</v>
      </c>
      <c r="Q3" t="s">
        <v>10</v>
      </c>
      <c r="R3" t="s">
        <v>9</v>
      </c>
      <c r="T3" t="s">
        <v>693</v>
      </c>
      <c r="U3" t="s">
        <v>18</v>
      </c>
      <c r="W3" t="s">
        <v>694</v>
      </c>
      <c r="X3" t="s">
        <v>316</v>
      </c>
      <c r="Z3" t="s">
        <v>13</v>
      </c>
      <c r="AA3" t="s">
        <v>12</v>
      </c>
      <c r="AC3" t="s">
        <v>692</v>
      </c>
      <c r="AD3" t="s">
        <v>19</v>
      </c>
      <c r="AF3" t="s">
        <v>692</v>
      </c>
      <c r="AG3" t="s">
        <v>19</v>
      </c>
      <c r="AI3" t="s">
        <v>695</v>
      </c>
      <c r="AJ3" t="s">
        <v>317</v>
      </c>
      <c r="AL3" t="s">
        <v>676</v>
      </c>
      <c r="AM3" t="s">
        <v>11</v>
      </c>
      <c r="AO3" t="s">
        <v>672</v>
      </c>
      <c r="AR3" t="s">
        <v>368</v>
      </c>
      <c r="AU3" t="s">
        <v>696</v>
      </c>
      <c r="AV3" t="s">
        <v>318</v>
      </c>
      <c r="AX3" t="s">
        <v>425</v>
      </c>
      <c r="AY3" t="s">
        <v>322</v>
      </c>
      <c r="BA3" t="s">
        <v>697</v>
      </c>
      <c r="BB3" t="s">
        <v>14</v>
      </c>
      <c r="BD3" t="s">
        <v>698</v>
      </c>
      <c r="BE3" t="s">
        <v>319</v>
      </c>
      <c r="BG3" t="s">
        <v>320</v>
      </c>
      <c r="BH3" t="s">
        <v>320</v>
      </c>
      <c r="BJ3" t="s">
        <v>16</v>
      </c>
      <c r="BK3" t="s">
        <v>15</v>
      </c>
      <c r="BM3" t="s">
        <v>322</v>
      </c>
      <c r="BN3" t="s">
        <v>321</v>
      </c>
    </row>
    <row r="4" spans="2:69" x14ac:dyDescent="0.25">
      <c r="E4" t="s">
        <v>323</v>
      </c>
      <c r="F4" t="s">
        <v>323</v>
      </c>
      <c r="H4" t="s">
        <v>325</v>
      </c>
      <c r="I4" t="s">
        <v>324</v>
      </c>
      <c r="K4" t="s">
        <v>16</v>
      </c>
      <c r="L4" t="s">
        <v>15</v>
      </c>
      <c r="N4" t="s">
        <v>307</v>
      </c>
      <c r="O4" t="s">
        <v>326</v>
      </c>
      <c r="Q4" t="s">
        <v>21</v>
      </c>
      <c r="R4" t="s">
        <v>20</v>
      </c>
      <c r="T4" t="s">
        <v>699</v>
      </c>
      <c r="U4" t="s">
        <v>29</v>
      </c>
      <c r="W4" t="s">
        <v>328</v>
      </c>
      <c r="X4" t="s">
        <v>327</v>
      </c>
      <c r="Z4" t="s">
        <v>24</v>
      </c>
      <c r="AA4" t="s">
        <v>23</v>
      </c>
      <c r="AC4" t="s">
        <v>31</v>
      </c>
      <c r="AD4" t="s">
        <v>30</v>
      </c>
      <c r="AF4" t="s">
        <v>31</v>
      </c>
      <c r="AG4" t="s">
        <v>30</v>
      </c>
      <c r="AI4" t="s">
        <v>700</v>
      </c>
      <c r="AJ4" t="s">
        <v>329</v>
      </c>
      <c r="AL4" t="s">
        <v>701</v>
      </c>
      <c r="AM4" t="s">
        <v>22</v>
      </c>
      <c r="AO4" t="s">
        <v>673</v>
      </c>
      <c r="AR4" t="s">
        <v>369</v>
      </c>
      <c r="AU4" t="s">
        <v>203</v>
      </c>
      <c r="AV4" t="s">
        <v>330</v>
      </c>
      <c r="AX4" t="s">
        <v>426</v>
      </c>
      <c r="AY4" t="s">
        <v>322</v>
      </c>
      <c r="BA4" t="s">
        <v>26</v>
      </c>
      <c r="BB4" t="s">
        <v>25</v>
      </c>
      <c r="BD4" t="s">
        <v>702</v>
      </c>
      <c r="BE4" t="s">
        <v>331</v>
      </c>
      <c r="BG4" t="s">
        <v>703</v>
      </c>
      <c r="BH4" t="s">
        <v>332</v>
      </c>
      <c r="BJ4" t="s">
        <v>28</v>
      </c>
      <c r="BK4" t="s">
        <v>27</v>
      </c>
      <c r="BM4" t="s">
        <v>704</v>
      </c>
      <c r="BN4" t="s">
        <v>333</v>
      </c>
    </row>
    <row r="5" spans="2:69" x14ac:dyDescent="0.25">
      <c r="E5" t="s">
        <v>334</v>
      </c>
      <c r="F5" t="s">
        <v>334</v>
      </c>
      <c r="K5" t="s">
        <v>705</v>
      </c>
      <c r="L5" t="s">
        <v>38</v>
      </c>
      <c r="N5" t="s">
        <v>336</v>
      </c>
      <c r="O5" t="s">
        <v>335</v>
      </c>
      <c r="Q5" t="s">
        <v>33</v>
      </c>
      <c r="R5" t="s">
        <v>32</v>
      </c>
      <c r="T5" t="s">
        <v>706</v>
      </c>
      <c r="U5" t="s">
        <v>39</v>
      </c>
      <c r="W5" t="s">
        <v>338</v>
      </c>
      <c r="X5" t="s">
        <v>337</v>
      </c>
      <c r="Z5" t="s">
        <v>36</v>
      </c>
      <c r="AA5" t="s">
        <v>35</v>
      </c>
      <c r="AC5" t="s">
        <v>50</v>
      </c>
      <c r="AD5" t="s">
        <v>49</v>
      </c>
      <c r="AF5" t="s">
        <v>41</v>
      </c>
      <c r="AG5" t="s">
        <v>40</v>
      </c>
      <c r="AI5" t="s">
        <v>707</v>
      </c>
      <c r="AJ5" t="s">
        <v>339</v>
      </c>
      <c r="AL5" t="s">
        <v>677</v>
      </c>
      <c r="AM5" t="s">
        <v>34</v>
      </c>
      <c r="AO5" t="s">
        <v>674</v>
      </c>
      <c r="AR5" t="s">
        <v>370</v>
      </c>
      <c r="AU5" t="s">
        <v>708</v>
      </c>
      <c r="AV5" t="s">
        <v>340</v>
      </c>
      <c r="AX5" t="s">
        <v>427</v>
      </c>
      <c r="AY5" t="s">
        <v>352</v>
      </c>
      <c r="BA5" t="s">
        <v>709</v>
      </c>
      <c r="BB5" t="s">
        <v>37</v>
      </c>
      <c r="BD5" t="s">
        <v>710</v>
      </c>
      <c r="BE5" t="s">
        <v>337</v>
      </c>
      <c r="BG5" t="s">
        <v>342</v>
      </c>
      <c r="BH5" t="s">
        <v>341</v>
      </c>
      <c r="BM5" t="s">
        <v>711</v>
      </c>
      <c r="BN5" t="s">
        <v>343</v>
      </c>
    </row>
    <row r="6" spans="2:69" x14ac:dyDescent="0.25">
      <c r="E6" t="s">
        <v>344</v>
      </c>
      <c r="F6" t="s">
        <v>344</v>
      </c>
      <c r="K6" t="s">
        <v>712</v>
      </c>
      <c r="L6" t="s">
        <v>47</v>
      </c>
      <c r="Q6" t="s">
        <v>43</v>
      </c>
      <c r="R6" t="s">
        <v>42</v>
      </c>
      <c r="T6" t="s">
        <v>713</v>
      </c>
      <c r="U6" t="s">
        <v>48</v>
      </c>
      <c r="W6" t="s">
        <v>346</v>
      </c>
      <c r="X6" t="s">
        <v>345</v>
      </c>
      <c r="Z6" t="s">
        <v>45</v>
      </c>
      <c r="AA6" t="s">
        <v>44</v>
      </c>
      <c r="AC6" t="s">
        <v>58</v>
      </c>
      <c r="AD6" t="s">
        <v>57</v>
      </c>
      <c r="AF6" t="s">
        <v>50</v>
      </c>
      <c r="AG6" t="s">
        <v>49</v>
      </c>
      <c r="AI6" t="s">
        <v>348</v>
      </c>
      <c r="AJ6" t="s">
        <v>347</v>
      </c>
      <c r="AO6" t="s">
        <v>675</v>
      </c>
      <c r="AR6" t="s">
        <v>371</v>
      </c>
      <c r="AU6" t="s">
        <v>714</v>
      </c>
      <c r="AV6" t="s">
        <v>349</v>
      </c>
      <c r="AX6" t="s">
        <v>428</v>
      </c>
      <c r="AY6" t="s">
        <v>352</v>
      </c>
      <c r="BA6" t="s">
        <v>715</v>
      </c>
      <c r="BB6" t="s">
        <v>46</v>
      </c>
      <c r="BD6" t="s">
        <v>716</v>
      </c>
      <c r="BE6" t="s">
        <v>330</v>
      </c>
      <c r="BG6" t="s">
        <v>351</v>
      </c>
      <c r="BH6" t="s">
        <v>350</v>
      </c>
      <c r="BM6" t="s">
        <v>352</v>
      </c>
      <c r="BN6" t="s">
        <v>352</v>
      </c>
    </row>
    <row r="7" spans="2:69" x14ac:dyDescent="0.25">
      <c r="E7" t="s">
        <v>203</v>
      </c>
      <c r="F7" t="s">
        <v>330</v>
      </c>
      <c r="Q7" t="s">
        <v>52</v>
      </c>
      <c r="R7" t="s">
        <v>51</v>
      </c>
      <c r="T7" t="s">
        <v>717</v>
      </c>
      <c r="U7" t="s">
        <v>56</v>
      </c>
      <c r="Z7" t="s">
        <v>54</v>
      </c>
      <c r="AA7" t="s">
        <v>53</v>
      </c>
      <c r="AC7" t="s">
        <v>70</v>
      </c>
      <c r="AD7" t="s">
        <v>69</v>
      </c>
      <c r="AF7" t="s">
        <v>58</v>
      </c>
      <c r="AG7" t="s">
        <v>57</v>
      </c>
      <c r="AR7" t="s">
        <v>372</v>
      </c>
      <c r="AX7" t="s">
        <v>429</v>
      </c>
      <c r="AY7" t="s">
        <v>352</v>
      </c>
      <c r="BA7" t="s">
        <v>718</v>
      </c>
      <c r="BB7" t="s">
        <v>55</v>
      </c>
      <c r="BD7" t="s">
        <v>719</v>
      </c>
      <c r="BE7" t="s">
        <v>35</v>
      </c>
      <c r="BG7" t="s">
        <v>203</v>
      </c>
      <c r="BH7" t="s">
        <v>330</v>
      </c>
      <c r="BM7" t="s">
        <v>354</v>
      </c>
      <c r="BN7" t="s">
        <v>353</v>
      </c>
    </row>
    <row r="8" spans="2:69" x14ac:dyDescent="0.25">
      <c r="E8" t="s">
        <v>356</v>
      </c>
      <c r="F8" t="s">
        <v>355</v>
      </c>
      <c r="Q8" t="s">
        <v>60</v>
      </c>
      <c r="R8" t="s">
        <v>59</v>
      </c>
      <c r="T8" t="s">
        <v>720</v>
      </c>
      <c r="U8" t="s">
        <v>63</v>
      </c>
      <c r="AC8" t="s">
        <v>77</v>
      </c>
      <c r="AD8" t="s">
        <v>76</v>
      </c>
      <c r="AF8" t="s">
        <v>721</v>
      </c>
      <c r="AG8" t="s">
        <v>64</v>
      </c>
      <c r="AR8" t="s">
        <v>373</v>
      </c>
      <c r="AX8" t="s">
        <v>430</v>
      </c>
      <c r="AY8" t="s">
        <v>322</v>
      </c>
      <c r="BA8" t="s">
        <v>62</v>
      </c>
      <c r="BB8" t="s">
        <v>61</v>
      </c>
      <c r="BD8" t="s">
        <v>722</v>
      </c>
      <c r="BE8" t="s">
        <v>44</v>
      </c>
      <c r="BG8" t="s">
        <v>358</v>
      </c>
      <c r="BH8" t="s">
        <v>357</v>
      </c>
      <c r="BM8" t="s">
        <v>360</v>
      </c>
      <c r="BN8" t="s">
        <v>359</v>
      </c>
    </row>
    <row r="9" spans="2:69" x14ac:dyDescent="0.25">
      <c r="Q9" t="s">
        <v>66</v>
      </c>
      <c r="R9" t="s">
        <v>65</v>
      </c>
      <c r="T9" t="s">
        <v>723</v>
      </c>
      <c r="U9" t="s">
        <v>68</v>
      </c>
      <c r="AC9" t="s">
        <v>100</v>
      </c>
      <c r="AD9" t="s">
        <v>99</v>
      </c>
      <c r="AF9" t="s">
        <v>70</v>
      </c>
      <c r="AG9" t="s">
        <v>69</v>
      </c>
      <c r="AR9" t="s">
        <v>374</v>
      </c>
      <c r="AX9" t="s">
        <v>431</v>
      </c>
      <c r="AY9" t="s">
        <v>322</v>
      </c>
      <c r="BA9" t="s">
        <v>724</v>
      </c>
      <c r="BB9" t="s">
        <v>67</v>
      </c>
      <c r="BD9" t="s">
        <v>361</v>
      </c>
      <c r="BE9" t="s">
        <v>53</v>
      </c>
      <c r="BG9" t="s">
        <v>725</v>
      </c>
      <c r="BH9" t="s">
        <v>362</v>
      </c>
      <c r="BM9" t="s">
        <v>726</v>
      </c>
      <c r="BN9" t="s">
        <v>363</v>
      </c>
    </row>
    <row r="10" spans="2:69" x14ac:dyDescent="0.25">
      <c r="Q10" t="s">
        <v>72</v>
      </c>
      <c r="R10" t="s">
        <v>71</v>
      </c>
      <c r="T10" t="s">
        <v>727</v>
      </c>
      <c r="U10" t="s">
        <v>75</v>
      </c>
      <c r="AC10" t="s">
        <v>104</v>
      </c>
      <c r="AD10" t="s">
        <v>103</v>
      </c>
      <c r="AF10" t="s">
        <v>77</v>
      </c>
      <c r="AG10" t="s">
        <v>76</v>
      </c>
      <c r="AR10" t="s">
        <v>375</v>
      </c>
      <c r="AX10" t="s">
        <v>432</v>
      </c>
      <c r="AY10" t="s">
        <v>726</v>
      </c>
      <c r="BA10" t="s">
        <v>74</v>
      </c>
      <c r="BB10" t="s">
        <v>73</v>
      </c>
    </row>
    <row r="11" spans="2:69" x14ac:dyDescent="0.25">
      <c r="Q11" t="s">
        <v>79</v>
      </c>
      <c r="R11" t="s">
        <v>78</v>
      </c>
      <c r="T11" t="s">
        <v>728</v>
      </c>
      <c r="U11" t="s">
        <v>80</v>
      </c>
      <c r="AC11" t="s">
        <v>109</v>
      </c>
      <c r="AD11" t="s">
        <v>108</v>
      </c>
      <c r="AF11" t="s">
        <v>729</v>
      </c>
      <c r="AG11" t="s">
        <v>81</v>
      </c>
      <c r="AR11" t="s">
        <v>376</v>
      </c>
      <c r="AX11" t="s">
        <v>433</v>
      </c>
      <c r="AY11" t="s">
        <v>322</v>
      </c>
    </row>
    <row r="12" spans="2:69" x14ac:dyDescent="0.25">
      <c r="Q12" t="s">
        <v>83</v>
      </c>
      <c r="R12" t="s">
        <v>82</v>
      </c>
      <c r="T12" t="s">
        <v>730</v>
      </c>
      <c r="U12" t="s">
        <v>84</v>
      </c>
      <c r="AC12" t="s">
        <v>731</v>
      </c>
      <c r="AD12" t="s">
        <v>113</v>
      </c>
      <c r="AF12" t="s">
        <v>86</v>
      </c>
      <c r="AG12" t="s">
        <v>85</v>
      </c>
      <c r="AR12" t="s">
        <v>377</v>
      </c>
      <c r="AX12" t="s">
        <v>434</v>
      </c>
      <c r="AY12" t="s">
        <v>352</v>
      </c>
    </row>
    <row r="13" spans="2:69" x14ac:dyDescent="0.25">
      <c r="Q13" t="s">
        <v>88</v>
      </c>
      <c r="R13" t="s">
        <v>87</v>
      </c>
      <c r="T13" t="s">
        <v>732</v>
      </c>
      <c r="U13" t="s">
        <v>89</v>
      </c>
      <c r="AC13" t="s">
        <v>122</v>
      </c>
      <c r="AD13" t="s">
        <v>121</v>
      </c>
      <c r="AF13" t="s">
        <v>91</v>
      </c>
      <c r="AG13" t="s">
        <v>90</v>
      </c>
      <c r="AR13" t="s">
        <v>378</v>
      </c>
      <c r="AX13" t="s">
        <v>435</v>
      </c>
      <c r="AY13" t="s">
        <v>322</v>
      </c>
    </row>
    <row r="14" spans="2:69" x14ac:dyDescent="0.25">
      <c r="Q14" t="s">
        <v>93</v>
      </c>
      <c r="R14" t="s">
        <v>92</v>
      </c>
      <c r="T14" t="s">
        <v>733</v>
      </c>
      <c r="U14" t="s">
        <v>94</v>
      </c>
      <c r="AC14" t="s">
        <v>131</v>
      </c>
      <c r="AD14" t="s">
        <v>130</v>
      </c>
      <c r="AF14" t="s">
        <v>96</v>
      </c>
      <c r="AG14" t="s">
        <v>95</v>
      </c>
      <c r="AR14" t="s">
        <v>379</v>
      </c>
      <c r="AX14" t="s">
        <v>436</v>
      </c>
      <c r="AY14" t="s">
        <v>322</v>
      </c>
    </row>
    <row r="15" spans="2:69" x14ac:dyDescent="0.25">
      <c r="Q15" t="s">
        <v>734</v>
      </c>
      <c r="R15" t="s">
        <v>97</v>
      </c>
      <c r="T15" t="s">
        <v>735</v>
      </c>
      <c r="U15" t="s">
        <v>98</v>
      </c>
      <c r="AC15" t="s">
        <v>736</v>
      </c>
      <c r="AD15" t="s">
        <v>139</v>
      </c>
      <c r="AF15" t="s">
        <v>100</v>
      </c>
      <c r="AG15" t="s">
        <v>99</v>
      </c>
      <c r="AR15" t="s">
        <v>380</v>
      </c>
      <c r="AX15" t="s">
        <v>839</v>
      </c>
      <c r="AY15" t="s">
        <v>322</v>
      </c>
    </row>
    <row r="16" spans="2:69" x14ac:dyDescent="0.25">
      <c r="Q16" t="s">
        <v>737</v>
      </c>
      <c r="R16" t="s">
        <v>101</v>
      </c>
      <c r="T16" t="s">
        <v>738</v>
      </c>
      <c r="U16" t="s">
        <v>102</v>
      </c>
      <c r="AC16" t="s">
        <v>158</v>
      </c>
      <c r="AD16" t="s">
        <v>364</v>
      </c>
      <c r="AF16" t="s">
        <v>104</v>
      </c>
      <c r="AG16" t="s">
        <v>103</v>
      </c>
      <c r="AR16" t="s">
        <v>381</v>
      </c>
      <c r="AX16" t="s">
        <v>437</v>
      </c>
      <c r="AY16" t="s">
        <v>322</v>
      </c>
    </row>
    <row r="17" spans="17:51" x14ac:dyDescent="0.25">
      <c r="Q17" t="s">
        <v>106</v>
      </c>
      <c r="R17" t="s">
        <v>105</v>
      </c>
      <c r="T17" t="s">
        <v>739</v>
      </c>
      <c r="U17" t="s">
        <v>107</v>
      </c>
      <c r="AC17" t="s">
        <v>172</v>
      </c>
      <c r="AD17" t="s">
        <v>171</v>
      </c>
      <c r="AF17" t="s">
        <v>109</v>
      </c>
      <c r="AG17" t="s">
        <v>108</v>
      </c>
      <c r="AR17" t="s">
        <v>382</v>
      </c>
      <c r="AX17" t="s">
        <v>438</v>
      </c>
      <c r="AY17" t="s">
        <v>726</v>
      </c>
    </row>
    <row r="18" spans="17:51" x14ac:dyDescent="0.25">
      <c r="Q18" t="s">
        <v>111</v>
      </c>
      <c r="R18" t="s">
        <v>110</v>
      </c>
      <c r="T18" t="s">
        <v>740</v>
      </c>
      <c r="U18" t="s">
        <v>112</v>
      </c>
      <c r="AC18" t="s">
        <v>741</v>
      </c>
      <c r="AD18" t="s">
        <v>174</v>
      </c>
      <c r="AF18" t="s">
        <v>731</v>
      </c>
      <c r="AG18" t="s">
        <v>113</v>
      </c>
      <c r="AR18" t="s">
        <v>811</v>
      </c>
      <c r="AX18" t="s">
        <v>439</v>
      </c>
      <c r="AY18" t="s">
        <v>726</v>
      </c>
    </row>
    <row r="19" spans="17:51" x14ac:dyDescent="0.25">
      <c r="Q19" t="s">
        <v>115</v>
      </c>
      <c r="R19" t="s">
        <v>114</v>
      </c>
      <c r="T19" t="s">
        <v>742</v>
      </c>
      <c r="U19" t="s">
        <v>116</v>
      </c>
      <c r="AC19" t="s">
        <v>176</v>
      </c>
      <c r="AD19" t="s">
        <v>175</v>
      </c>
      <c r="AF19" t="s">
        <v>743</v>
      </c>
      <c r="AG19" t="s">
        <v>117</v>
      </c>
      <c r="AR19" t="s">
        <v>812</v>
      </c>
      <c r="AX19" t="s">
        <v>440</v>
      </c>
      <c r="AY19" t="s">
        <v>726</v>
      </c>
    </row>
    <row r="20" spans="17:51" x14ac:dyDescent="0.25">
      <c r="Q20" t="s">
        <v>119</v>
      </c>
      <c r="R20" t="s">
        <v>118</v>
      </c>
      <c r="T20" t="s">
        <v>744</v>
      </c>
      <c r="U20" t="s">
        <v>120</v>
      </c>
      <c r="AC20" t="s">
        <v>181</v>
      </c>
      <c r="AD20" t="s">
        <v>180</v>
      </c>
      <c r="AF20" t="s">
        <v>122</v>
      </c>
      <c r="AG20" t="s">
        <v>121</v>
      </c>
      <c r="AR20" t="s">
        <v>813</v>
      </c>
      <c r="AX20" t="s">
        <v>441</v>
      </c>
      <c r="AY20" t="s">
        <v>726</v>
      </c>
    </row>
    <row r="21" spans="17:51" x14ac:dyDescent="0.25">
      <c r="Q21" t="s">
        <v>124</v>
      </c>
      <c r="R21" t="s">
        <v>123</v>
      </c>
      <c r="T21" t="s">
        <v>745</v>
      </c>
      <c r="U21" t="s">
        <v>125</v>
      </c>
      <c r="AC21" t="s">
        <v>746</v>
      </c>
      <c r="AD21" t="s">
        <v>187</v>
      </c>
      <c r="AF21" t="s">
        <v>747</v>
      </c>
      <c r="AG21" t="s">
        <v>126</v>
      </c>
      <c r="AR21" t="s">
        <v>814</v>
      </c>
      <c r="AX21" t="s">
        <v>442</v>
      </c>
      <c r="AY21" t="s">
        <v>352</v>
      </c>
    </row>
    <row r="22" spans="17:51" x14ac:dyDescent="0.25">
      <c r="Q22" t="s">
        <v>128</v>
      </c>
      <c r="R22" t="s">
        <v>127</v>
      </c>
      <c r="T22" t="s">
        <v>748</v>
      </c>
      <c r="U22" t="s">
        <v>129</v>
      </c>
      <c r="AC22" t="s">
        <v>189</v>
      </c>
      <c r="AD22" t="s">
        <v>188</v>
      </c>
      <c r="AF22" t="s">
        <v>131</v>
      </c>
      <c r="AG22" t="s">
        <v>130</v>
      </c>
      <c r="AR22" t="s">
        <v>815</v>
      </c>
      <c r="AX22" t="s">
        <v>443</v>
      </c>
      <c r="AY22" t="s">
        <v>352</v>
      </c>
    </row>
    <row r="23" spans="17:51" x14ac:dyDescent="0.25">
      <c r="Q23" t="s">
        <v>133</v>
      </c>
      <c r="R23" t="s">
        <v>132</v>
      </c>
      <c r="T23" t="s">
        <v>749</v>
      </c>
      <c r="U23" t="s">
        <v>134</v>
      </c>
      <c r="AC23" t="s">
        <v>196</v>
      </c>
      <c r="AD23" t="s">
        <v>195</v>
      </c>
      <c r="AF23" t="s">
        <v>750</v>
      </c>
      <c r="AG23" t="s">
        <v>135</v>
      </c>
      <c r="AR23" t="s">
        <v>816</v>
      </c>
      <c r="AX23" t="s">
        <v>444</v>
      </c>
      <c r="AY23" t="s">
        <v>352</v>
      </c>
    </row>
    <row r="24" spans="17:51" x14ac:dyDescent="0.25">
      <c r="Q24" t="s">
        <v>137</v>
      </c>
      <c r="R24" t="s">
        <v>136</v>
      </c>
      <c r="T24" t="s">
        <v>751</v>
      </c>
      <c r="U24" t="s">
        <v>138</v>
      </c>
      <c r="AC24" t="s">
        <v>198</v>
      </c>
      <c r="AD24" t="s">
        <v>197</v>
      </c>
      <c r="AF24" t="s">
        <v>736</v>
      </c>
      <c r="AG24" t="s">
        <v>139</v>
      </c>
      <c r="AR24" t="s">
        <v>817</v>
      </c>
      <c r="AX24" t="s">
        <v>445</v>
      </c>
      <c r="AY24" t="s">
        <v>352</v>
      </c>
    </row>
    <row r="25" spans="17:51" x14ac:dyDescent="0.25">
      <c r="Q25" t="s">
        <v>141</v>
      </c>
      <c r="R25" t="s">
        <v>140</v>
      </c>
      <c r="T25" t="s">
        <v>752</v>
      </c>
      <c r="U25" t="s">
        <v>142</v>
      </c>
      <c r="AC25" t="s">
        <v>200</v>
      </c>
      <c r="AD25" t="s">
        <v>199</v>
      </c>
      <c r="AF25" t="s">
        <v>753</v>
      </c>
      <c r="AG25" t="s">
        <v>143</v>
      </c>
      <c r="AR25" t="s">
        <v>818</v>
      </c>
      <c r="AX25" t="s">
        <v>446</v>
      </c>
      <c r="AY25" t="s">
        <v>352</v>
      </c>
    </row>
    <row r="26" spans="17:51" x14ac:dyDescent="0.25">
      <c r="Q26" t="s">
        <v>145</v>
      </c>
      <c r="R26" t="s">
        <v>144</v>
      </c>
      <c r="T26" t="s">
        <v>754</v>
      </c>
      <c r="U26" t="s">
        <v>146</v>
      </c>
      <c r="AC26" t="s">
        <v>201</v>
      </c>
      <c r="AD26" t="s">
        <v>201</v>
      </c>
      <c r="AF26" t="s">
        <v>755</v>
      </c>
      <c r="AG26" t="s">
        <v>147</v>
      </c>
      <c r="AR26" t="s">
        <v>819</v>
      </c>
      <c r="AX26" t="s">
        <v>447</v>
      </c>
      <c r="AY26" t="s">
        <v>360</v>
      </c>
    </row>
    <row r="27" spans="17:51" x14ac:dyDescent="0.25">
      <c r="Q27" t="s">
        <v>149</v>
      </c>
      <c r="R27" t="s">
        <v>148</v>
      </c>
      <c r="AC27" t="s">
        <v>203</v>
      </c>
      <c r="AD27" t="s">
        <v>202</v>
      </c>
      <c r="AF27" t="s">
        <v>756</v>
      </c>
      <c r="AG27" t="s">
        <v>150</v>
      </c>
      <c r="AR27" t="s">
        <v>820</v>
      </c>
      <c r="AX27" t="s">
        <v>448</v>
      </c>
      <c r="AY27" t="s">
        <v>352</v>
      </c>
    </row>
    <row r="28" spans="17:51" x14ac:dyDescent="0.25">
      <c r="Q28" t="s">
        <v>152</v>
      </c>
      <c r="R28" t="s">
        <v>151</v>
      </c>
      <c r="AC28" t="s">
        <v>208</v>
      </c>
      <c r="AD28" t="s">
        <v>207</v>
      </c>
      <c r="AF28" t="s">
        <v>154</v>
      </c>
      <c r="AG28" t="s">
        <v>153</v>
      </c>
      <c r="AR28" t="s">
        <v>821</v>
      </c>
      <c r="AX28" t="s">
        <v>449</v>
      </c>
      <c r="AY28" t="s">
        <v>726</v>
      </c>
    </row>
    <row r="29" spans="17:51" x14ac:dyDescent="0.25">
      <c r="Q29" t="s">
        <v>156</v>
      </c>
      <c r="R29" t="s">
        <v>155</v>
      </c>
      <c r="AC29" t="s">
        <v>211</v>
      </c>
      <c r="AD29" t="s">
        <v>210</v>
      </c>
      <c r="AF29" t="s">
        <v>158</v>
      </c>
      <c r="AG29" t="s">
        <v>157</v>
      </c>
      <c r="AR29" t="s">
        <v>822</v>
      </c>
      <c r="AX29" t="s">
        <v>450</v>
      </c>
      <c r="AY29" t="s">
        <v>352</v>
      </c>
    </row>
    <row r="30" spans="17:51" x14ac:dyDescent="0.25">
      <c r="Q30" t="s">
        <v>160</v>
      </c>
      <c r="R30" t="s">
        <v>159</v>
      </c>
      <c r="AC30" t="s">
        <v>757</v>
      </c>
      <c r="AD30" t="s">
        <v>214</v>
      </c>
      <c r="AF30" t="s">
        <v>162</v>
      </c>
      <c r="AG30" t="s">
        <v>161</v>
      </c>
      <c r="AR30" t="s">
        <v>823</v>
      </c>
      <c r="AX30" t="s">
        <v>451</v>
      </c>
      <c r="AY30" t="s">
        <v>352</v>
      </c>
    </row>
    <row r="31" spans="17:51" x14ac:dyDescent="0.25">
      <c r="Q31" t="s">
        <v>164</v>
      </c>
      <c r="R31" t="s">
        <v>163</v>
      </c>
      <c r="AC31" t="s">
        <v>216</v>
      </c>
      <c r="AD31" t="s">
        <v>215</v>
      </c>
      <c r="AF31" t="s">
        <v>758</v>
      </c>
      <c r="AG31" t="s">
        <v>165</v>
      </c>
      <c r="AR31" t="s">
        <v>824</v>
      </c>
      <c r="AX31" t="s">
        <v>452</v>
      </c>
      <c r="AY31" t="s">
        <v>352</v>
      </c>
    </row>
    <row r="32" spans="17:51" x14ac:dyDescent="0.25">
      <c r="Q32" t="s">
        <v>167</v>
      </c>
      <c r="R32" t="s">
        <v>166</v>
      </c>
      <c r="AC32" t="s">
        <v>220</v>
      </c>
      <c r="AD32" t="s">
        <v>219</v>
      </c>
      <c r="AF32" t="s">
        <v>169</v>
      </c>
      <c r="AG32" t="s">
        <v>168</v>
      </c>
      <c r="AR32" t="s">
        <v>825</v>
      </c>
      <c r="AX32" t="s">
        <v>453</v>
      </c>
      <c r="AY32" t="s">
        <v>352</v>
      </c>
    </row>
    <row r="33" spans="17:51" x14ac:dyDescent="0.25">
      <c r="Q33" t="s">
        <v>759</v>
      </c>
      <c r="R33" t="s">
        <v>170</v>
      </c>
      <c r="AC33" t="s">
        <v>224</v>
      </c>
      <c r="AD33" t="s">
        <v>223</v>
      </c>
      <c r="AF33" t="s">
        <v>172</v>
      </c>
      <c r="AG33" t="s">
        <v>171</v>
      </c>
      <c r="AR33" t="s">
        <v>826</v>
      </c>
      <c r="AX33" t="s">
        <v>454</v>
      </c>
      <c r="AY33" t="s">
        <v>352</v>
      </c>
    </row>
    <row r="34" spans="17:51" x14ac:dyDescent="0.25">
      <c r="Q34" t="s">
        <v>760</v>
      </c>
      <c r="R34" t="s">
        <v>173</v>
      </c>
      <c r="AC34" t="s">
        <v>236</v>
      </c>
      <c r="AD34" t="s">
        <v>235</v>
      </c>
      <c r="AF34" t="s">
        <v>741</v>
      </c>
      <c r="AG34" t="s">
        <v>174</v>
      </c>
      <c r="AR34" t="s">
        <v>827</v>
      </c>
      <c r="AX34" t="s">
        <v>455</v>
      </c>
      <c r="AY34" t="s">
        <v>352</v>
      </c>
    </row>
    <row r="35" spans="17:51" x14ac:dyDescent="0.25">
      <c r="AC35" t="s">
        <v>241</v>
      </c>
      <c r="AD35" t="s">
        <v>240</v>
      </c>
      <c r="AF35" t="s">
        <v>176</v>
      </c>
      <c r="AG35" t="s">
        <v>175</v>
      </c>
      <c r="AR35" t="s">
        <v>828</v>
      </c>
      <c r="AX35" t="s">
        <v>456</v>
      </c>
      <c r="AY35" t="s">
        <v>360</v>
      </c>
    </row>
    <row r="36" spans="17:51" x14ac:dyDescent="0.25">
      <c r="AC36" t="s">
        <v>243</v>
      </c>
      <c r="AD36" t="s">
        <v>242</v>
      </c>
      <c r="AF36" t="s">
        <v>761</v>
      </c>
      <c r="AG36" t="s">
        <v>177</v>
      </c>
      <c r="AR36" t="s">
        <v>829</v>
      </c>
      <c r="AX36" t="s">
        <v>457</v>
      </c>
      <c r="AY36" t="s">
        <v>360</v>
      </c>
    </row>
    <row r="37" spans="17:51" x14ac:dyDescent="0.25">
      <c r="AC37" t="s">
        <v>245</v>
      </c>
      <c r="AD37" t="s">
        <v>244</v>
      </c>
      <c r="AF37" t="s">
        <v>762</v>
      </c>
      <c r="AG37" t="s">
        <v>178</v>
      </c>
      <c r="AR37" t="s">
        <v>383</v>
      </c>
      <c r="AX37" t="s">
        <v>458</v>
      </c>
      <c r="AY37" t="s">
        <v>352</v>
      </c>
    </row>
    <row r="38" spans="17:51" x14ac:dyDescent="0.25">
      <c r="AC38" t="s">
        <v>252</v>
      </c>
      <c r="AD38" t="s">
        <v>251</v>
      </c>
      <c r="AF38" t="s">
        <v>763</v>
      </c>
      <c r="AG38" t="s">
        <v>179</v>
      </c>
      <c r="AR38" t="s">
        <v>764</v>
      </c>
      <c r="AX38" t="s">
        <v>459</v>
      </c>
      <c r="AY38" t="s">
        <v>352</v>
      </c>
    </row>
    <row r="39" spans="17:51" x14ac:dyDescent="0.25">
      <c r="AC39" t="s">
        <v>254</v>
      </c>
      <c r="AD39" t="s">
        <v>253</v>
      </c>
      <c r="AF39" t="s">
        <v>181</v>
      </c>
      <c r="AG39" t="s">
        <v>180</v>
      </c>
      <c r="AR39" t="s">
        <v>765</v>
      </c>
      <c r="AX39" t="s">
        <v>460</v>
      </c>
      <c r="AY39" t="s">
        <v>352</v>
      </c>
    </row>
    <row r="40" spans="17:51" x14ac:dyDescent="0.25">
      <c r="AC40" t="s">
        <v>257</v>
      </c>
      <c r="AD40" t="s">
        <v>256</v>
      </c>
      <c r="AF40" t="s">
        <v>182</v>
      </c>
      <c r="AG40" t="s">
        <v>182</v>
      </c>
      <c r="AR40" t="s">
        <v>384</v>
      </c>
      <c r="AX40" t="s">
        <v>461</v>
      </c>
      <c r="AY40" t="s">
        <v>352</v>
      </c>
    </row>
    <row r="41" spans="17:51" x14ac:dyDescent="0.25">
      <c r="AC41" t="s">
        <v>259</v>
      </c>
      <c r="AD41" t="s">
        <v>258</v>
      </c>
      <c r="AF41" t="s">
        <v>183</v>
      </c>
      <c r="AG41" t="s">
        <v>183</v>
      </c>
      <c r="AR41" t="s">
        <v>385</v>
      </c>
      <c r="AX41" t="s">
        <v>462</v>
      </c>
      <c r="AY41" t="s">
        <v>360</v>
      </c>
    </row>
    <row r="42" spans="17:51" x14ac:dyDescent="0.25">
      <c r="AC42" t="s">
        <v>261</v>
      </c>
      <c r="AD42" t="s">
        <v>260</v>
      </c>
      <c r="AF42" t="s">
        <v>766</v>
      </c>
      <c r="AG42" t="s">
        <v>184</v>
      </c>
      <c r="AR42" t="s">
        <v>386</v>
      </c>
      <c r="AX42" t="s">
        <v>463</v>
      </c>
      <c r="AY42" t="s">
        <v>322</v>
      </c>
    </row>
    <row r="43" spans="17:51" x14ac:dyDescent="0.25">
      <c r="AC43" t="s">
        <v>263</v>
      </c>
      <c r="AD43" t="s">
        <v>262</v>
      </c>
      <c r="AF43" t="s">
        <v>186</v>
      </c>
      <c r="AG43" t="s">
        <v>185</v>
      </c>
      <c r="AR43" t="s">
        <v>387</v>
      </c>
      <c r="AX43" t="s">
        <v>464</v>
      </c>
      <c r="AY43" t="s">
        <v>352</v>
      </c>
    </row>
    <row r="44" spans="17:51" x14ac:dyDescent="0.25">
      <c r="AC44" t="s">
        <v>265</v>
      </c>
      <c r="AD44" t="s">
        <v>264</v>
      </c>
      <c r="AF44" t="s">
        <v>746</v>
      </c>
      <c r="AG44" t="s">
        <v>187</v>
      </c>
      <c r="AR44" t="s">
        <v>767</v>
      </c>
      <c r="AX44" t="s">
        <v>465</v>
      </c>
      <c r="AY44" t="s">
        <v>360</v>
      </c>
    </row>
    <row r="45" spans="17:51" x14ac:dyDescent="0.25">
      <c r="AC45" t="s">
        <v>267</v>
      </c>
      <c r="AD45" t="s">
        <v>266</v>
      </c>
      <c r="AF45" t="s">
        <v>189</v>
      </c>
      <c r="AG45" t="s">
        <v>188</v>
      </c>
      <c r="AR45" t="s">
        <v>388</v>
      </c>
      <c r="AX45" t="s">
        <v>466</v>
      </c>
      <c r="AY45" t="s">
        <v>360</v>
      </c>
    </row>
    <row r="46" spans="17:51" x14ac:dyDescent="0.25">
      <c r="AC46" t="s">
        <v>269</v>
      </c>
      <c r="AD46" t="s">
        <v>268</v>
      </c>
      <c r="AF46" t="s">
        <v>191</v>
      </c>
      <c r="AG46" t="s">
        <v>190</v>
      </c>
      <c r="AR46" t="s">
        <v>389</v>
      </c>
      <c r="AX46" t="s">
        <v>467</v>
      </c>
      <c r="AY46" t="s">
        <v>352</v>
      </c>
    </row>
    <row r="47" spans="17:51" x14ac:dyDescent="0.25">
      <c r="AC47" t="s">
        <v>273</v>
      </c>
      <c r="AD47" t="s">
        <v>272</v>
      </c>
      <c r="AF47" t="s">
        <v>768</v>
      </c>
      <c r="AG47" t="s">
        <v>192</v>
      </c>
      <c r="AR47" t="s">
        <v>390</v>
      </c>
      <c r="AX47" t="s">
        <v>468</v>
      </c>
      <c r="AY47" t="s">
        <v>352</v>
      </c>
    </row>
    <row r="48" spans="17:51" x14ac:dyDescent="0.25">
      <c r="AC48" t="s">
        <v>275</v>
      </c>
      <c r="AD48" t="s">
        <v>274</v>
      </c>
      <c r="AF48" t="s">
        <v>194</v>
      </c>
      <c r="AG48" t="s">
        <v>193</v>
      </c>
      <c r="AR48" t="s">
        <v>391</v>
      </c>
      <c r="AX48" t="s">
        <v>469</v>
      </c>
      <c r="AY48" t="s">
        <v>360</v>
      </c>
    </row>
    <row r="49" spans="29:51" x14ac:dyDescent="0.25">
      <c r="AC49" t="s">
        <v>769</v>
      </c>
      <c r="AD49" t="s">
        <v>276</v>
      </c>
      <c r="AF49" t="s">
        <v>196</v>
      </c>
      <c r="AG49" t="s">
        <v>195</v>
      </c>
      <c r="AR49" t="s">
        <v>392</v>
      </c>
      <c r="AX49" t="s">
        <v>470</v>
      </c>
      <c r="AY49" t="s">
        <v>352</v>
      </c>
    </row>
    <row r="50" spans="29:51" x14ac:dyDescent="0.25">
      <c r="AC50" t="s">
        <v>277</v>
      </c>
      <c r="AD50" t="s">
        <v>277</v>
      </c>
      <c r="AF50" t="s">
        <v>198</v>
      </c>
      <c r="AG50" t="s">
        <v>197</v>
      </c>
      <c r="AR50" t="s">
        <v>393</v>
      </c>
      <c r="AX50" t="s">
        <v>471</v>
      </c>
      <c r="AY50" t="s">
        <v>352</v>
      </c>
    </row>
    <row r="51" spans="29:51" x14ac:dyDescent="0.25">
      <c r="AF51" t="s">
        <v>200</v>
      </c>
      <c r="AG51" t="s">
        <v>199</v>
      </c>
      <c r="AR51" t="s">
        <v>394</v>
      </c>
      <c r="AX51" t="s">
        <v>472</v>
      </c>
      <c r="AY51" t="s">
        <v>352</v>
      </c>
    </row>
    <row r="52" spans="29:51" x14ac:dyDescent="0.25">
      <c r="AF52" t="s">
        <v>201</v>
      </c>
      <c r="AG52" t="s">
        <v>201</v>
      </c>
      <c r="AR52" t="s">
        <v>395</v>
      </c>
      <c r="AX52" t="s">
        <v>473</v>
      </c>
      <c r="AY52" t="s">
        <v>352</v>
      </c>
    </row>
    <row r="53" spans="29:51" x14ac:dyDescent="0.25">
      <c r="AF53" t="s">
        <v>203</v>
      </c>
      <c r="AG53" t="s">
        <v>202</v>
      </c>
      <c r="AR53" t="s">
        <v>396</v>
      </c>
      <c r="AX53" t="s">
        <v>474</v>
      </c>
      <c r="AY53" t="s">
        <v>360</v>
      </c>
    </row>
    <row r="54" spans="29:51" x14ac:dyDescent="0.25">
      <c r="AF54" t="s">
        <v>770</v>
      </c>
      <c r="AG54" t="s">
        <v>204</v>
      </c>
      <c r="AR54" t="s">
        <v>397</v>
      </c>
      <c r="AX54" t="s">
        <v>475</v>
      </c>
      <c r="AY54" t="s">
        <v>360</v>
      </c>
    </row>
    <row r="55" spans="29:51" x14ac:dyDescent="0.25">
      <c r="AF55" t="s">
        <v>206</v>
      </c>
      <c r="AG55" t="s">
        <v>205</v>
      </c>
      <c r="AR55" t="s">
        <v>398</v>
      </c>
      <c r="AX55" t="s">
        <v>476</v>
      </c>
      <c r="AY55" t="s">
        <v>352</v>
      </c>
    </row>
    <row r="56" spans="29:51" x14ac:dyDescent="0.25">
      <c r="AF56" t="s">
        <v>208</v>
      </c>
      <c r="AG56" t="s">
        <v>207</v>
      </c>
      <c r="AR56" t="s">
        <v>399</v>
      </c>
      <c r="AX56" t="s">
        <v>477</v>
      </c>
      <c r="AY56" t="s">
        <v>352</v>
      </c>
    </row>
    <row r="57" spans="29:51" x14ac:dyDescent="0.25">
      <c r="AF57" t="s">
        <v>771</v>
      </c>
      <c r="AG57" t="s">
        <v>209</v>
      </c>
      <c r="AR57" t="s">
        <v>400</v>
      </c>
      <c r="AX57" t="s">
        <v>478</v>
      </c>
      <c r="AY57" t="s">
        <v>352</v>
      </c>
    </row>
    <row r="58" spans="29:51" x14ac:dyDescent="0.25">
      <c r="AF58" t="s">
        <v>211</v>
      </c>
      <c r="AG58" t="s">
        <v>210</v>
      </c>
      <c r="AR58" t="s">
        <v>401</v>
      </c>
      <c r="AX58" t="s">
        <v>479</v>
      </c>
      <c r="AY58" t="s">
        <v>352</v>
      </c>
    </row>
    <row r="59" spans="29:51" x14ac:dyDescent="0.25">
      <c r="AF59" t="s">
        <v>213</v>
      </c>
      <c r="AG59" t="s">
        <v>212</v>
      </c>
      <c r="AR59" t="s">
        <v>402</v>
      </c>
      <c r="AX59" t="s">
        <v>480</v>
      </c>
      <c r="AY59" t="s">
        <v>352</v>
      </c>
    </row>
    <row r="60" spans="29:51" x14ac:dyDescent="0.25">
      <c r="AF60" t="s">
        <v>757</v>
      </c>
      <c r="AG60" t="s">
        <v>214</v>
      </c>
      <c r="AR60" t="s">
        <v>403</v>
      </c>
      <c r="AX60" t="s">
        <v>481</v>
      </c>
      <c r="AY60" t="s">
        <v>352</v>
      </c>
    </row>
    <row r="61" spans="29:51" x14ac:dyDescent="0.25">
      <c r="AF61" t="s">
        <v>216</v>
      </c>
      <c r="AG61" t="s">
        <v>215</v>
      </c>
      <c r="AR61" t="s">
        <v>404</v>
      </c>
      <c r="AX61" t="s">
        <v>482</v>
      </c>
      <c r="AY61" t="s">
        <v>352</v>
      </c>
    </row>
    <row r="62" spans="29:51" x14ac:dyDescent="0.25">
      <c r="AF62" t="s">
        <v>772</v>
      </c>
      <c r="AG62" t="s">
        <v>217</v>
      </c>
      <c r="AR62" t="s">
        <v>405</v>
      </c>
      <c r="AX62" t="s">
        <v>483</v>
      </c>
      <c r="AY62" t="s">
        <v>352</v>
      </c>
    </row>
    <row r="63" spans="29:51" x14ac:dyDescent="0.25">
      <c r="AF63" t="s">
        <v>773</v>
      </c>
      <c r="AG63" t="s">
        <v>218</v>
      </c>
      <c r="AR63" t="s">
        <v>406</v>
      </c>
      <c r="AX63" t="s">
        <v>484</v>
      </c>
      <c r="AY63" t="s">
        <v>352</v>
      </c>
    </row>
    <row r="64" spans="29:51" x14ac:dyDescent="0.25">
      <c r="AF64" t="s">
        <v>220</v>
      </c>
      <c r="AG64" t="s">
        <v>219</v>
      </c>
      <c r="AR64" t="s">
        <v>407</v>
      </c>
      <c r="AX64" t="s">
        <v>485</v>
      </c>
      <c r="AY64" t="s">
        <v>360</v>
      </c>
    </row>
    <row r="65" spans="32:51" x14ac:dyDescent="0.25">
      <c r="AF65" t="s">
        <v>222</v>
      </c>
      <c r="AG65" t="s">
        <v>221</v>
      </c>
      <c r="AR65" t="s">
        <v>408</v>
      </c>
      <c r="AX65" t="s">
        <v>486</v>
      </c>
      <c r="AY65" t="s">
        <v>352</v>
      </c>
    </row>
    <row r="66" spans="32:51" x14ac:dyDescent="0.25">
      <c r="AF66" t="s">
        <v>224</v>
      </c>
      <c r="AG66" t="s">
        <v>223</v>
      </c>
      <c r="AR66" t="s">
        <v>409</v>
      </c>
      <c r="AX66" t="s">
        <v>487</v>
      </c>
      <c r="AY66" t="s">
        <v>360</v>
      </c>
    </row>
    <row r="67" spans="32:51" x14ac:dyDescent="0.25">
      <c r="AF67" t="s">
        <v>226</v>
      </c>
      <c r="AG67" t="s">
        <v>225</v>
      </c>
      <c r="AR67" t="s">
        <v>410</v>
      </c>
      <c r="AX67" t="s">
        <v>488</v>
      </c>
      <c r="AY67" t="s">
        <v>352</v>
      </c>
    </row>
    <row r="68" spans="32:51" x14ac:dyDescent="0.25">
      <c r="AF68" t="s">
        <v>228</v>
      </c>
      <c r="AG68" t="s">
        <v>227</v>
      </c>
      <c r="AR68" t="s">
        <v>411</v>
      </c>
      <c r="AX68" t="s">
        <v>489</v>
      </c>
      <c r="AY68" t="s">
        <v>360</v>
      </c>
    </row>
    <row r="69" spans="32:51" x14ac:dyDescent="0.25">
      <c r="AF69" t="s">
        <v>230</v>
      </c>
      <c r="AG69" t="s">
        <v>229</v>
      </c>
      <c r="AR69" t="s">
        <v>412</v>
      </c>
      <c r="AX69" t="s">
        <v>490</v>
      </c>
      <c r="AY69" t="s">
        <v>360</v>
      </c>
    </row>
    <row r="70" spans="32:51" x14ac:dyDescent="0.25">
      <c r="AF70" t="s">
        <v>232</v>
      </c>
      <c r="AG70" t="s">
        <v>231</v>
      </c>
      <c r="AR70" t="s">
        <v>413</v>
      </c>
      <c r="AX70" t="s">
        <v>491</v>
      </c>
      <c r="AY70" t="s">
        <v>352</v>
      </c>
    </row>
    <row r="71" spans="32:51" x14ac:dyDescent="0.25">
      <c r="AF71" t="s">
        <v>234</v>
      </c>
      <c r="AG71" t="s">
        <v>233</v>
      </c>
      <c r="AR71" t="s">
        <v>414</v>
      </c>
      <c r="AX71" t="s">
        <v>492</v>
      </c>
      <c r="AY71" t="s">
        <v>360</v>
      </c>
    </row>
    <row r="72" spans="32:51" x14ac:dyDescent="0.25">
      <c r="AF72" t="s">
        <v>236</v>
      </c>
      <c r="AG72" t="s">
        <v>235</v>
      </c>
      <c r="AR72" t="s">
        <v>415</v>
      </c>
      <c r="AX72" t="s">
        <v>493</v>
      </c>
      <c r="AY72" t="s">
        <v>352</v>
      </c>
    </row>
    <row r="73" spans="32:51" x14ac:dyDescent="0.25">
      <c r="AF73" t="s">
        <v>238</v>
      </c>
      <c r="AG73" t="s">
        <v>237</v>
      </c>
      <c r="AR73" t="s">
        <v>416</v>
      </c>
      <c r="AX73" t="s">
        <v>494</v>
      </c>
      <c r="AY73" t="s">
        <v>352</v>
      </c>
    </row>
    <row r="74" spans="32:51" x14ac:dyDescent="0.25">
      <c r="AF74" t="s">
        <v>774</v>
      </c>
      <c r="AG74" t="s">
        <v>239</v>
      </c>
      <c r="AR74" t="s">
        <v>417</v>
      </c>
      <c r="AX74" t="s">
        <v>495</v>
      </c>
      <c r="AY74" t="s">
        <v>352</v>
      </c>
    </row>
    <row r="75" spans="32:51" x14ac:dyDescent="0.25">
      <c r="AF75" t="s">
        <v>241</v>
      </c>
      <c r="AG75" t="s">
        <v>240</v>
      </c>
      <c r="AR75" t="s">
        <v>418</v>
      </c>
      <c r="AX75" t="s">
        <v>496</v>
      </c>
      <c r="AY75" t="s">
        <v>352</v>
      </c>
    </row>
    <row r="76" spans="32:51" x14ac:dyDescent="0.25">
      <c r="AF76" t="s">
        <v>243</v>
      </c>
      <c r="AG76" t="s">
        <v>242</v>
      </c>
      <c r="AR76" t="s">
        <v>419</v>
      </c>
      <c r="AX76" t="s">
        <v>497</v>
      </c>
      <c r="AY76" t="s">
        <v>352</v>
      </c>
    </row>
    <row r="77" spans="32:51" x14ac:dyDescent="0.25">
      <c r="AF77" t="s">
        <v>245</v>
      </c>
      <c r="AG77" t="s">
        <v>244</v>
      </c>
      <c r="AR77" t="s">
        <v>420</v>
      </c>
      <c r="AX77" t="s">
        <v>498</v>
      </c>
      <c r="AY77" t="s">
        <v>352</v>
      </c>
    </row>
    <row r="78" spans="32:51" x14ac:dyDescent="0.25">
      <c r="AF78" t="s">
        <v>247</v>
      </c>
      <c r="AG78" t="s">
        <v>246</v>
      </c>
      <c r="AR78" t="s">
        <v>421</v>
      </c>
      <c r="AX78" t="s">
        <v>499</v>
      </c>
      <c r="AY78" t="s">
        <v>352</v>
      </c>
    </row>
    <row r="79" spans="32:51" x14ac:dyDescent="0.25">
      <c r="AF79" t="s">
        <v>249</v>
      </c>
      <c r="AG79" t="s">
        <v>248</v>
      </c>
      <c r="AR79" t="s">
        <v>422</v>
      </c>
      <c r="AX79" t="s">
        <v>500</v>
      </c>
      <c r="AY79" t="s">
        <v>352</v>
      </c>
    </row>
    <row r="80" spans="32:51" x14ac:dyDescent="0.25">
      <c r="AF80" t="s">
        <v>775</v>
      </c>
      <c r="AG80" t="s">
        <v>250</v>
      </c>
      <c r="AR80" t="s">
        <v>831</v>
      </c>
      <c r="AX80" t="s">
        <v>501</v>
      </c>
      <c r="AY80" t="s">
        <v>352</v>
      </c>
    </row>
    <row r="81" spans="32:51" x14ac:dyDescent="0.25">
      <c r="AF81" t="s">
        <v>252</v>
      </c>
      <c r="AG81" t="s">
        <v>251</v>
      </c>
      <c r="AR81" t="s">
        <v>832</v>
      </c>
      <c r="AX81" t="s">
        <v>502</v>
      </c>
      <c r="AY81" t="s">
        <v>352</v>
      </c>
    </row>
    <row r="82" spans="32:51" x14ac:dyDescent="0.25">
      <c r="AF82" t="s">
        <v>254</v>
      </c>
      <c r="AG82" t="s">
        <v>253</v>
      </c>
      <c r="AR82" t="s">
        <v>833</v>
      </c>
      <c r="AX82" t="s">
        <v>503</v>
      </c>
      <c r="AY82" t="s">
        <v>360</v>
      </c>
    </row>
    <row r="83" spans="32:51" x14ac:dyDescent="0.25">
      <c r="AF83" t="s">
        <v>776</v>
      </c>
      <c r="AG83" t="s">
        <v>255</v>
      </c>
      <c r="AR83" t="s">
        <v>838</v>
      </c>
      <c r="AX83" t="s">
        <v>504</v>
      </c>
      <c r="AY83" t="s">
        <v>360</v>
      </c>
    </row>
    <row r="84" spans="32:51" x14ac:dyDescent="0.25">
      <c r="AF84" t="s">
        <v>257</v>
      </c>
      <c r="AG84" t="s">
        <v>256</v>
      </c>
      <c r="AR84" t="s">
        <v>843</v>
      </c>
      <c r="AX84" t="s">
        <v>505</v>
      </c>
      <c r="AY84" t="s">
        <v>352</v>
      </c>
    </row>
    <row r="85" spans="32:51" x14ac:dyDescent="0.25">
      <c r="AF85" t="s">
        <v>259</v>
      </c>
      <c r="AG85" t="s">
        <v>258</v>
      </c>
      <c r="AX85" t="s">
        <v>506</v>
      </c>
      <c r="AY85" t="s">
        <v>352</v>
      </c>
    </row>
    <row r="86" spans="32:51" x14ac:dyDescent="0.25">
      <c r="AF86" t="s">
        <v>261</v>
      </c>
      <c r="AG86" t="s">
        <v>260</v>
      </c>
      <c r="AX86" t="s">
        <v>507</v>
      </c>
      <c r="AY86" t="s">
        <v>352</v>
      </c>
    </row>
    <row r="87" spans="32:51" x14ac:dyDescent="0.25">
      <c r="AF87" t="s">
        <v>263</v>
      </c>
      <c r="AG87" t="s">
        <v>262</v>
      </c>
      <c r="AX87" t="s">
        <v>508</v>
      </c>
      <c r="AY87" t="s">
        <v>352</v>
      </c>
    </row>
    <row r="88" spans="32:51" x14ac:dyDescent="0.25">
      <c r="AF88" t="s">
        <v>265</v>
      </c>
      <c r="AG88" t="s">
        <v>264</v>
      </c>
      <c r="AX88" t="s">
        <v>509</v>
      </c>
      <c r="AY88" t="s">
        <v>360</v>
      </c>
    </row>
    <row r="89" spans="32:51" x14ac:dyDescent="0.25">
      <c r="AF89" t="s">
        <v>267</v>
      </c>
      <c r="AG89" t="s">
        <v>266</v>
      </c>
      <c r="AX89" t="s">
        <v>510</v>
      </c>
      <c r="AY89" t="s">
        <v>352</v>
      </c>
    </row>
    <row r="90" spans="32:51" x14ac:dyDescent="0.25">
      <c r="AF90" t="s">
        <v>269</v>
      </c>
      <c r="AG90" t="s">
        <v>268</v>
      </c>
      <c r="AX90" t="s">
        <v>511</v>
      </c>
      <c r="AY90" t="s">
        <v>360</v>
      </c>
    </row>
    <row r="91" spans="32:51" x14ac:dyDescent="0.25">
      <c r="AF91" t="s">
        <v>271</v>
      </c>
      <c r="AG91" t="s">
        <v>270</v>
      </c>
      <c r="AX91" t="s">
        <v>512</v>
      </c>
      <c r="AY91" t="s">
        <v>352</v>
      </c>
    </row>
    <row r="92" spans="32:51" x14ac:dyDescent="0.25">
      <c r="AF92" t="s">
        <v>273</v>
      </c>
      <c r="AG92" t="s">
        <v>272</v>
      </c>
      <c r="AX92" t="s">
        <v>513</v>
      </c>
      <c r="AY92" t="s">
        <v>352</v>
      </c>
    </row>
    <row r="93" spans="32:51" x14ac:dyDescent="0.25">
      <c r="AF93" t="s">
        <v>275</v>
      </c>
      <c r="AG93" t="s">
        <v>274</v>
      </c>
      <c r="AX93" t="s">
        <v>514</v>
      </c>
      <c r="AY93" t="s">
        <v>322</v>
      </c>
    </row>
    <row r="94" spans="32:51" x14ac:dyDescent="0.25">
      <c r="AF94" t="s">
        <v>769</v>
      </c>
      <c r="AG94" t="s">
        <v>276</v>
      </c>
      <c r="AX94" t="s">
        <v>515</v>
      </c>
      <c r="AY94" t="s">
        <v>322</v>
      </c>
    </row>
    <row r="95" spans="32:51" x14ac:dyDescent="0.25">
      <c r="AF95" t="s">
        <v>277</v>
      </c>
      <c r="AG95" t="s">
        <v>277</v>
      </c>
      <c r="AX95" t="s">
        <v>836</v>
      </c>
      <c r="AY95" t="s">
        <v>322</v>
      </c>
    </row>
    <row r="96" spans="32:51" x14ac:dyDescent="0.25">
      <c r="AX96" t="s">
        <v>516</v>
      </c>
      <c r="AY96" t="s">
        <v>322</v>
      </c>
    </row>
    <row r="97" spans="50:51" x14ac:dyDescent="0.25">
      <c r="AX97" t="s">
        <v>517</v>
      </c>
      <c r="AY97" t="s">
        <v>322</v>
      </c>
    </row>
    <row r="98" spans="50:51" x14ac:dyDescent="0.25">
      <c r="AX98" t="s">
        <v>518</v>
      </c>
      <c r="AY98" t="s">
        <v>352</v>
      </c>
    </row>
    <row r="99" spans="50:51" x14ac:dyDescent="0.25">
      <c r="AX99" t="s">
        <v>519</v>
      </c>
      <c r="AY99" t="s">
        <v>322</v>
      </c>
    </row>
    <row r="100" spans="50:51" x14ac:dyDescent="0.25">
      <c r="AX100" t="s">
        <v>520</v>
      </c>
      <c r="AY100" t="s">
        <v>322</v>
      </c>
    </row>
    <row r="101" spans="50:51" x14ac:dyDescent="0.25">
      <c r="AX101" t="s">
        <v>521</v>
      </c>
      <c r="AY101" t="s">
        <v>352</v>
      </c>
    </row>
    <row r="102" spans="50:51" x14ac:dyDescent="0.25">
      <c r="AX102" t="s">
        <v>522</v>
      </c>
      <c r="AY102" t="s">
        <v>322</v>
      </c>
    </row>
    <row r="103" spans="50:51" x14ac:dyDescent="0.25">
      <c r="AX103" t="s">
        <v>523</v>
      </c>
      <c r="AY103" t="s">
        <v>726</v>
      </c>
    </row>
    <row r="104" spans="50:51" x14ac:dyDescent="0.25">
      <c r="AX104" t="s">
        <v>524</v>
      </c>
      <c r="AY104" t="s">
        <v>352</v>
      </c>
    </row>
    <row r="105" spans="50:51" x14ac:dyDescent="0.25">
      <c r="AX105" t="s">
        <v>525</v>
      </c>
      <c r="AY105" t="s">
        <v>726</v>
      </c>
    </row>
    <row r="106" spans="50:51" x14ac:dyDescent="0.25">
      <c r="AX106" t="s">
        <v>526</v>
      </c>
      <c r="AY106" t="s">
        <v>726</v>
      </c>
    </row>
    <row r="107" spans="50:51" x14ac:dyDescent="0.25">
      <c r="AX107" t="s">
        <v>527</v>
      </c>
      <c r="AY107" t="s">
        <v>726</v>
      </c>
    </row>
    <row r="108" spans="50:51" x14ac:dyDescent="0.25">
      <c r="AX108" t="s">
        <v>528</v>
      </c>
      <c r="AY108" t="s">
        <v>322</v>
      </c>
    </row>
    <row r="109" spans="50:51" x14ac:dyDescent="0.25">
      <c r="AX109" t="s">
        <v>529</v>
      </c>
      <c r="AY109" t="s">
        <v>726</v>
      </c>
    </row>
    <row r="110" spans="50:51" x14ac:dyDescent="0.25">
      <c r="AX110" t="s">
        <v>530</v>
      </c>
      <c r="AY110" t="s">
        <v>322</v>
      </c>
    </row>
    <row r="111" spans="50:51" x14ac:dyDescent="0.25">
      <c r="AX111" t="s">
        <v>531</v>
      </c>
      <c r="AY111" t="s">
        <v>726</v>
      </c>
    </row>
    <row r="112" spans="50:51" x14ac:dyDescent="0.25">
      <c r="AX112" t="s">
        <v>532</v>
      </c>
      <c r="AY112" t="s">
        <v>322</v>
      </c>
    </row>
    <row r="113" spans="50:51" x14ac:dyDescent="0.25">
      <c r="AX113" t="s">
        <v>533</v>
      </c>
      <c r="AY113" t="s">
        <v>322</v>
      </c>
    </row>
    <row r="114" spans="50:51" x14ac:dyDescent="0.25">
      <c r="AX114" t="s">
        <v>534</v>
      </c>
      <c r="AY114" t="s">
        <v>322</v>
      </c>
    </row>
    <row r="115" spans="50:51" x14ac:dyDescent="0.25">
      <c r="AX115" t="s">
        <v>535</v>
      </c>
      <c r="AY115" t="s">
        <v>322</v>
      </c>
    </row>
    <row r="116" spans="50:51" x14ac:dyDescent="0.25">
      <c r="AX116" t="s">
        <v>536</v>
      </c>
      <c r="AY116" t="s">
        <v>322</v>
      </c>
    </row>
    <row r="117" spans="50:51" x14ac:dyDescent="0.25">
      <c r="AX117" t="s">
        <v>537</v>
      </c>
      <c r="AY117" t="s">
        <v>322</v>
      </c>
    </row>
    <row r="118" spans="50:51" x14ac:dyDescent="0.25">
      <c r="AX118" t="s">
        <v>538</v>
      </c>
      <c r="AY118" t="s">
        <v>322</v>
      </c>
    </row>
    <row r="119" spans="50:51" x14ac:dyDescent="0.25">
      <c r="AX119" t="s">
        <v>539</v>
      </c>
      <c r="AY119" t="s">
        <v>322</v>
      </c>
    </row>
    <row r="120" spans="50:51" x14ac:dyDescent="0.25">
      <c r="AX120" t="s">
        <v>540</v>
      </c>
      <c r="AY120" t="s">
        <v>322</v>
      </c>
    </row>
    <row r="121" spans="50:51" x14ac:dyDescent="0.25">
      <c r="AX121" t="s">
        <v>541</v>
      </c>
      <c r="AY121" t="s">
        <v>322</v>
      </c>
    </row>
    <row r="122" spans="50:51" x14ac:dyDescent="0.25">
      <c r="AX122" t="s">
        <v>542</v>
      </c>
      <c r="AY122" t="s">
        <v>322</v>
      </c>
    </row>
    <row r="123" spans="50:51" x14ac:dyDescent="0.25">
      <c r="AX123" t="s">
        <v>543</v>
      </c>
      <c r="AY123" t="s">
        <v>726</v>
      </c>
    </row>
    <row r="124" spans="50:51" x14ac:dyDescent="0.25">
      <c r="AX124" t="s">
        <v>544</v>
      </c>
      <c r="AY124" t="s">
        <v>726</v>
      </c>
    </row>
    <row r="125" spans="50:51" x14ac:dyDescent="0.25">
      <c r="AX125" t="s">
        <v>545</v>
      </c>
      <c r="AY125" t="s">
        <v>726</v>
      </c>
    </row>
    <row r="126" spans="50:51" x14ac:dyDescent="0.25">
      <c r="AX126" t="s">
        <v>546</v>
      </c>
      <c r="AY126" t="s">
        <v>322</v>
      </c>
    </row>
    <row r="127" spans="50:51" x14ac:dyDescent="0.25">
      <c r="AX127" t="s">
        <v>547</v>
      </c>
      <c r="AY127" t="s">
        <v>322</v>
      </c>
    </row>
    <row r="128" spans="50:51" x14ac:dyDescent="0.25">
      <c r="AX128" t="s">
        <v>548</v>
      </c>
      <c r="AY128" t="s">
        <v>322</v>
      </c>
    </row>
    <row r="129" spans="50:51" x14ac:dyDescent="0.25">
      <c r="AX129" t="s">
        <v>549</v>
      </c>
      <c r="AY129" t="s">
        <v>322</v>
      </c>
    </row>
    <row r="130" spans="50:51" x14ac:dyDescent="0.25">
      <c r="AX130" t="s">
        <v>550</v>
      </c>
      <c r="AY130" t="s">
        <v>322</v>
      </c>
    </row>
    <row r="131" spans="50:51" x14ac:dyDescent="0.25">
      <c r="AX131" t="s">
        <v>551</v>
      </c>
      <c r="AY131" t="s">
        <v>322</v>
      </c>
    </row>
    <row r="132" spans="50:51" x14ac:dyDescent="0.25">
      <c r="AX132" t="s">
        <v>552</v>
      </c>
      <c r="AY132" t="s">
        <v>322</v>
      </c>
    </row>
    <row r="133" spans="50:51" x14ac:dyDescent="0.25">
      <c r="AX133" t="s">
        <v>553</v>
      </c>
      <c r="AY133" t="s">
        <v>322</v>
      </c>
    </row>
    <row r="134" spans="50:51" x14ac:dyDescent="0.25">
      <c r="AX134" t="s">
        <v>554</v>
      </c>
      <c r="AY134" t="s">
        <v>322</v>
      </c>
    </row>
    <row r="135" spans="50:51" x14ac:dyDescent="0.25">
      <c r="AX135" t="s">
        <v>555</v>
      </c>
      <c r="AY135" t="s">
        <v>322</v>
      </c>
    </row>
    <row r="136" spans="50:51" x14ac:dyDescent="0.25">
      <c r="AX136" t="s">
        <v>556</v>
      </c>
      <c r="AY136" t="s">
        <v>322</v>
      </c>
    </row>
    <row r="137" spans="50:51" x14ac:dyDescent="0.25">
      <c r="AX137" t="s">
        <v>557</v>
      </c>
      <c r="AY137" t="s">
        <v>322</v>
      </c>
    </row>
    <row r="138" spans="50:51" x14ac:dyDescent="0.25">
      <c r="AX138" t="s">
        <v>558</v>
      </c>
      <c r="AY138" t="s">
        <v>322</v>
      </c>
    </row>
    <row r="139" spans="50:51" x14ac:dyDescent="0.25">
      <c r="AX139" t="s">
        <v>559</v>
      </c>
      <c r="AY139" t="s">
        <v>726</v>
      </c>
    </row>
    <row r="140" spans="50:51" x14ac:dyDescent="0.25">
      <c r="AX140" t="s">
        <v>560</v>
      </c>
      <c r="AY140" t="s">
        <v>322</v>
      </c>
    </row>
    <row r="141" spans="50:51" x14ac:dyDescent="0.25">
      <c r="AX141" t="s">
        <v>561</v>
      </c>
      <c r="AY141" t="s">
        <v>322</v>
      </c>
    </row>
    <row r="142" spans="50:51" x14ac:dyDescent="0.25">
      <c r="AX142" t="s">
        <v>562</v>
      </c>
      <c r="AY142" t="s">
        <v>322</v>
      </c>
    </row>
    <row r="143" spans="50:51" x14ac:dyDescent="0.25">
      <c r="AX143" t="s">
        <v>563</v>
      </c>
      <c r="AY143" t="s">
        <v>322</v>
      </c>
    </row>
    <row r="144" spans="50:51" x14ac:dyDescent="0.25">
      <c r="AX144" t="s">
        <v>564</v>
      </c>
      <c r="AY144" t="s">
        <v>322</v>
      </c>
    </row>
    <row r="145" spans="50:51" x14ac:dyDescent="0.25">
      <c r="AX145" t="s">
        <v>565</v>
      </c>
      <c r="AY145" t="s">
        <v>322</v>
      </c>
    </row>
    <row r="146" spans="50:51" x14ac:dyDescent="0.25">
      <c r="AX146" t="s">
        <v>566</v>
      </c>
      <c r="AY146" t="s">
        <v>322</v>
      </c>
    </row>
    <row r="147" spans="50:51" x14ac:dyDescent="0.25">
      <c r="AX147" t="s">
        <v>567</v>
      </c>
      <c r="AY147" t="s">
        <v>322</v>
      </c>
    </row>
    <row r="148" spans="50:51" x14ac:dyDescent="0.25">
      <c r="AX148" t="s">
        <v>568</v>
      </c>
      <c r="AY148" t="s">
        <v>322</v>
      </c>
    </row>
    <row r="149" spans="50:51" x14ac:dyDescent="0.25">
      <c r="AX149" t="s">
        <v>569</v>
      </c>
      <c r="AY149" t="s">
        <v>322</v>
      </c>
    </row>
    <row r="150" spans="50:51" x14ac:dyDescent="0.25">
      <c r="AX150" t="s">
        <v>570</v>
      </c>
      <c r="AY150" t="s">
        <v>360</v>
      </c>
    </row>
    <row r="151" spans="50:51" x14ac:dyDescent="0.25">
      <c r="AX151" t="s">
        <v>571</v>
      </c>
      <c r="AY151" t="s">
        <v>322</v>
      </c>
    </row>
    <row r="152" spans="50:51" x14ac:dyDescent="0.25">
      <c r="AX152" t="s">
        <v>572</v>
      </c>
      <c r="AY152" t="s">
        <v>322</v>
      </c>
    </row>
    <row r="153" spans="50:51" x14ac:dyDescent="0.25">
      <c r="AX153" t="s">
        <v>573</v>
      </c>
      <c r="AY153" t="s">
        <v>322</v>
      </c>
    </row>
    <row r="154" spans="50:51" x14ac:dyDescent="0.25">
      <c r="AX154" t="s">
        <v>574</v>
      </c>
      <c r="AY154" t="s">
        <v>322</v>
      </c>
    </row>
    <row r="155" spans="50:51" x14ac:dyDescent="0.25">
      <c r="AX155" t="s">
        <v>575</v>
      </c>
      <c r="AY155" t="s">
        <v>322</v>
      </c>
    </row>
    <row r="156" spans="50:51" x14ac:dyDescent="0.25">
      <c r="AX156" t="s">
        <v>576</v>
      </c>
      <c r="AY156" t="s">
        <v>322</v>
      </c>
    </row>
    <row r="157" spans="50:51" x14ac:dyDescent="0.25">
      <c r="AX157" t="s">
        <v>577</v>
      </c>
      <c r="AY157" t="s">
        <v>360</v>
      </c>
    </row>
    <row r="158" spans="50:51" x14ac:dyDescent="0.25">
      <c r="AX158" t="s">
        <v>578</v>
      </c>
      <c r="AY158" t="s">
        <v>322</v>
      </c>
    </row>
    <row r="159" spans="50:51" x14ac:dyDescent="0.25">
      <c r="AX159" t="s">
        <v>579</v>
      </c>
      <c r="AY159" t="s">
        <v>322</v>
      </c>
    </row>
    <row r="160" spans="50:51" x14ac:dyDescent="0.25">
      <c r="AX160" t="s">
        <v>580</v>
      </c>
      <c r="AY160" t="s">
        <v>322</v>
      </c>
    </row>
    <row r="161" spans="50:51" x14ac:dyDescent="0.25">
      <c r="AX161" t="s">
        <v>581</v>
      </c>
      <c r="AY161" t="s">
        <v>322</v>
      </c>
    </row>
    <row r="162" spans="50:51" x14ac:dyDescent="0.25">
      <c r="AX162" t="s">
        <v>582</v>
      </c>
      <c r="AY162" t="s">
        <v>726</v>
      </c>
    </row>
    <row r="163" spans="50:51" x14ac:dyDescent="0.25">
      <c r="AX163" t="s">
        <v>583</v>
      </c>
      <c r="AY163" t="s">
        <v>322</v>
      </c>
    </row>
    <row r="164" spans="50:51" x14ac:dyDescent="0.25">
      <c r="AX164" t="s">
        <v>584</v>
      </c>
      <c r="AY164" t="s">
        <v>322</v>
      </c>
    </row>
    <row r="165" spans="50:51" x14ac:dyDescent="0.25">
      <c r="AX165" t="s">
        <v>585</v>
      </c>
      <c r="AY165" t="s">
        <v>322</v>
      </c>
    </row>
    <row r="166" spans="50:51" x14ac:dyDescent="0.25">
      <c r="AX166" t="s">
        <v>586</v>
      </c>
      <c r="AY166" t="s">
        <v>322</v>
      </c>
    </row>
    <row r="167" spans="50:51" x14ac:dyDescent="0.25">
      <c r="AX167" t="s">
        <v>587</v>
      </c>
      <c r="AY167" t="s">
        <v>322</v>
      </c>
    </row>
    <row r="168" spans="50:51" x14ac:dyDescent="0.25">
      <c r="AX168" t="s">
        <v>588</v>
      </c>
      <c r="AY168" t="s">
        <v>726</v>
      </c>
    </row>
    <row r="169" spans="50:51" x14ac:dyDescent="0.25">
      <c r="AX169" t="s">
        <v>589</v>
      </c>
      <c r="AY169" t="s">
        <v>322</v>
      </c>
    </row>
    <row r="170" spans="50:51" x14ac:dyDescent="0.25">
      <c r="AX170" t="s">
        <v>590</v>
      </c>
      <c r="AY170" t="s">
        <v>322</v>
      </c>
    </row>
    <row r="171" spans="50:51" x14ac:dyDescent="0.25">
      <c r="AX171" t="s">
        <v>591</v>
      </c>
      <c r="AY171" t="s">
        <v>322</v>
      </c>
    </row>
    <row r="172" spans="50:51" x14ac:dyDescent="0.25">
      <c r="AX172" t="s">
        <v>592</v>
      </c>
      <c r="AY172" t="s">
        <v>322</v>
      </c>
    </row>
    <row r="173" spans="50:51" x14ac:dyDescent="0.25">
      <c r="AX173" t="s">
        <v>593</v>
      </c>
      <c r="AY173" t="s">
        <v>322</v>
      </c>
    </row>
    <row r="174" spans="50:51" x14ac:dyDescent="0.25">
      <c r="AX174" t="s">
        <v>594</v>
      </c>
      <c r="AY174" t="s">
        <v>322</v>
      </c>
    </row>
    <row r="175" spans="50:51" x14ac:dyDescent="0.25">
      <c r="AX175" t="s">
        <v>595</v>
      </c>
      <c r="AY175" t="s">
        <v>322</v>
      </c>
    </row>
    <row r="176" spans="50:51" x14ac:dyDescent="0.25">
      <c r="AX176" t="s">
        <v>596</v>
      </c>
      <c r="AY176" t="s">
        <v>322</v>
      </c>
    </row>
    <row r="177" spans="50:51" x14ac:dyDescent="0.25">
      <c r="AX177" t="s">
        <v>597</v>
      </c>
      <c r="AY177" t="s">
        <v>322</v>
      </c>
    </row>
    <row r="178" spans="50:51" x14ac:dyDescent="0.25">
      <c r="AX178" t="s">
        <v>598</v>
      </c>
      <c r="AY178" t="s">
        <v>322</v>
      </c>
    </row>
    <row r="179" spans="50:51" x14ac:dyDescent="0.25">
      <c r="AX179" t="s">
        <v>599</v>
      </c>
      <c r="AY179" t="s">
        <v>322</v>
      </c>
    </row>
    <row r="180" spans="50:51" x14ac:dyDescent="0.25">
      <c r="AX180" t="s">
        <v>600</v>
      </c>
      <c r="AY180" t="s">
        <v>322</v>
      </c>
    </row>
    <row r="181" spans="50:51" x14ac:dyDescent="0.25">
      <c r="AX181" t="s">
        <v>601</v>
      </c>
      <c r="AY181" t="s">
        <v>322</v>
      </c>
    </row>
    <row r="182" spans="50:51" x14ac:dyDescent="0.25">
      <c r="AX182" t="s">
        <v>602</v>
      </c>
      <c r="AY182" t="s">
        <v>322</v>
      </c>
    </row>
    <row r="183" spans="50:51" x14ac:dyDescent="0.25">
      <c r="AX183" t="s">
        <v>603</v>
      </c>
      <c r="AY183" t="s">
        <v>322</v>
      </c>
    </row>
    <row r="184" spans="50:51" x14ac:dyDescent="0.25">
      <c r="AX184" t="s">
        <v>604</v>
      </c>
      <c r="AY184" t="s">
        <v>322</v>
      </c>
    </row>
    <row r="185" spans="50:51" x14ac:dyDescent="0.25">
      <c r="AX185" t="s">
        <v>605</v>
      </c>
      <c r="AY185" t="s">
        <v>322</v>
      </c>
    </row>
    <row r="186" spans="50:51" x14ac:dyDescent="0.25">
      <c r="AX186" t="s">
        <v>606</v>
      </c>
      <c r="AY186" t="s">
        <v>322</v>
      </c>
    </row>
    <row r="187" spans="50:51" x14ac:dyDescent="0.25">
      <c r="AX187" t="s">
        <v>607</v>
      </c>
      <c r="AY187" t="s">
        <v>322</v>
      </c>
    </row>
    <row r="188" spans="50:51" x14ac:dyDescent="0.25">
      <c r="AX188" t="s">
        <v>608</v>
      </c>
      <c r="AY188" t="s">
        <v>322</v>
      </c>
    </row>
    <row r="189" spans="50:51" x14ac:dyDescent="0.25">
      <c r="AX189" t="s">
        <v>609</v>
      </c>
      <c r="AY189" t="s">
        <v>322</v>
      </c>
    </row>
    <row r="190" spans="50:51" x14ac:dyDescent="0.25">
      <c r="AX190" t="s">
        <v>610</v>
      </c>
      <c r="AY190" t="s">
        <v>322</v>
      </c>
    </row>
    <row r="191" spans="50:51" x14ac:dyDescent="0.25">
      <c r="AX191" t="s">
        <v>611</v>
      </c>
      <c r="AY191" t="s">
        <v>322</v>
      </c>
    </row>
    <row r="192" spans="50:51" x14ac:dyDescent="0.25">
      <c r="AX192" t="s">
        <v>612</v>
      </c>
      <c r="AY192" t="s">
        <v>322</v>
      </c>
    </row>
    <row r="193" spans="50:51" x14ac:dyDescent="0.25">
      <c r="AX193" t="s">
        <v>613</v>
      </c>
      <c r="AY193" t="s">
        <v>726</v>
      </c>
    </row>
    <row r="194" spans="50:51" x14ac:dyDescent="0.25">
      <c r="AX194" t="s">
        <v>614</v>
      </c>
      <c r="AY194" t="s">
        <v>322</v>
      </c>
    </row>
    <row r="195" spans="50:51" x14ac:dyDescent="0.25">
      <c r="AX195" t="s">
        <v>615</v>
      </c>
      <c r="AY195" t="s">
        <v>322</v>
      </c>
    </row>
    <row r="196" spans="50:51" x14ac:dyDescent="0.25">
      <c r="AX196" t="s">
        <v>616</v>
      </c>
      <c r="AY196" t="s">
        <v>322</v>
      </c>
    </row>
    <row r="197" spans="50:51" x14ac:dyDescent="0.25">
      <c r="AX197" t="s">
        <v>617</v>
      </c>
      <c r="AY197" t="s">
        <v>726</v>
      </c>
    </row>
    <row r="198" spans="50:51" x14ac:dyDescent="0.25">
      <c r="AX198" t="s">
        <v>618</v>
      </c>
      <c r="AY198" t="s">
        <v>322</v>
      </c>
    </row>
    <row r="199" spans="50:51" x14ac:dyDescent="0.25">
      <c r="AX199" t="s">
        <v>619</v>
      </c>
      <c r="AY199" t="s">
        <v>322</v>
      </c>
    </row>
    <row r="200" spans="50:51" x14ac:dyDescent="0.25">
      <c r="AX200" t="s">
        <v>620</v>
      </c>
      <c r="AY200" t="s">
        <v>726</v>
      </c>
    </row>
    <row r="201" spans="50:51" x14ac:dyDescent="0.25">
      <c r="AX201" t="s">
        <v>621</v>
      </c>
      <c r="AY201" t="s">
        <v>322</v>
      </c>
    </row>
    <row r="202" spans="50:51" x14ac:dyDescent="0.25">
      <c r="AX202" t="s">
        <v>622</v>
      </c>
      <c r="AY202" t="s">
        <v>322</v>
      </c>
    </row>
    <row r="203" spans="50:51" x14ac:dyDescent="0.25">
      <c r="AX203" t="s">
        <v>623</v>
      </c>
      <c r="AY203" t="s">
        <v>360</v>
      </c>
    </row>
    <row r="204" spans="50:51" x14ac:dyDescent="0.25">
      <c r="AX204" t="s">
        <v>624</v>
      </c>
      <c r="AY204" t="s">
        <v>322</v>
      </c>
    </row>
    <row r="205" spans="50:51" x14ac:dyDescent="0.25">
      <c r="AX205" t="s">
        <v>625</v>
      </c>
      <c r="AY205" t="s">
        <v>322</v>
      </c>
    </row>
    <row r="206" spans="50:51" x14ac:dyDescent="0.25">
      <c r="AX206" t="s">
        <v>626</v>
      </c>
      <c r="AY206" t="s">
        <v>322</v>
      </c>
    </row>
    <row r="207" spans="50:51" x14ac:dyDescent="0.25">
      <c r="AX207" t="s">
        <v>627</v>
      </c>
      <c r="AY207" t="s">
        <v>322</v>
      </c>
    </row>
    <row r="208" spans="50:51" x14ac:dyDescent="0.25">
      <c r="AX208" t="s">
        <v>628</v>
      </c>
      <c r="AY208" t="s">
        <v>322</v>
      </c>
    </row>
    <row r="209" spans="50:51" x14ac:dyDescent="0.25">
      <c r="AX209" t="s">
        <v>629</v>
      </c>
      <c r="AY209" t="s">
        <v>322</v>
      </c>
    </row>
    <row r="210" spans="50:51" x14ac:dyDescent="0.25">
      <c r="AX210" t="s">
        <v>630</v>
      </c>
      <c r="AY210" t="s">
        <v>322</v>
      </c>
    </row>
    <row r="211" spans="50:51" x14ac:dyDescent="0.25">
      <c r="AX211" t="s">
        <v>631</v>
      </c>
      <c r="AY211" t="s">
        <v>726</v>
      </c>
    </row>
    <row r="212" spans="50:51" x14ac:dyDescent="0.25">
      <c r="AX212" t="s">
        <v>632</v>
      </c>
      <c r="AY212" t="s">
        <v>352</v>
      </c>
    </row>
    <row r="213" spans="50:51" x14ac:dyDescent="0.25">
      <c r="AX213" t="s">
        <v>633</v>
      </c>
      <c r="AY213" t="s">
        <v>322</v>
      </c>
    </row>
    <row r="214" spans="50:51" x14ac:dyDescent="0.25">
      <c r="AX214" t="s">
        <v>634</v>
      </c>
      <c r="AY214" t="s">
        <v>726</v>
      </c>
    </row>
    <row r="215" spans="50:51" x14ac:dyDescent="0.25">
      <c r="AX215" t="s">
        <v>635</v>
      </c>
      <c r="AY215" t="s">
        <v>322</v>
      </c>
    </row>
    <row r="216" spans="50:51" x14ac:dyDescent="0.25">
      <c r="AX216" t="s">
        <v>636</v>
      </c>
      <c r="AY216" t="s">
        <v>322</v>
      </c>
    </row>
    <row r="217" spans="50:51" x14ac:dyDescent="0.25">
      <c r="AX217" t="s">
        <v>637</v>
      </c>
      <c r="AY217" t="s">
        <v>322</v>
      </c>
    </row>
    <row r="218" spans="50:51" x14ac:dyDescent="0.25">
      <c r="AX218" t="s">
        <v>638</v>
      </c>
      <c r="AY218" t="s">
        <v>322</v>
      </c>
    </row>
    <row r="219" spans="50:51" x14ac:dyDescent="0.25">
      <c r="AX219" t="s">
        <v>639</v>
      </c>
      <c r="AY219" t="s">
        <v>322</v>
      </c>
    </row>
    <row r="220" spans="50:51" x14ac:dyDescent="0.25">
      <c r="AX220" t="s">
        <v>640</v>
      </c>
      <c r="AY220" t="s">
        <v>798</v>
      </c>
    </row>
    <row r="221" spans="50:51" x14ac:dyDescent="0.25">
      <c r="AX221" t="s">
        <v>641</v>
      </c>
      <c r="AY221" t="s">
        <v>726</v>
      </c>
    </row>
    <row r="222" spans="50:51" x14ac:dyDescent="0.25">
      <c r="AX222" t="s">
        <v>642</v>
      </c>
      <c r="AY222" t="s">
        <v>322</v>
      </c>
    </row>
    <row r="223" spans="50:51" x14ac:dyDescent="0.25">
      <c r="AX223" t="s">
        <v>643</v>
      </c>
      <c r="AY223" t="s">
        <v>322</v>
      </c>
    </row>
    <row r="224" spans="50:51" x14ac:dyDescent="0.25">
      <c r="AX224" t="s">
        <v>644</v>
      </c>
      <c r="AY224" t="s">
        <v>322</v>
      </c>
    </row>
    <row r="225" spans="50:51" x14ac:dyDescent="0.25">
      <c r="AX225" t="s">
        <v>645</v>
      </c>
      <c r="AY225" t="s">
        <v>322</v>
      </c>
    </row>
    <row r="226" spans="50:51" x14ac:dyDescent="0.25">
      <c r="AX226" t="s">
        <v>646</v>
      </c>
      <c r="AY226" t="s">
        <v>322</v>
      </c>
    </row>
    <row r="227" spans="50:51" x14ac:dyDescent="0.25">
      <c r="AX227" t="s">
        <v>647</v>
      </c>
      <c r="AY227" t="s">
        <v>360</v>
      </c>
    </row>
    <row r="228" spans="50:51" x14ac:dyDescent="0.25">
      <c r="AX228" t="s">
        <v>648</v>
      </c>
      <c r="AY228" t="s">
        <v>322</v>
      </c>
    </row>
    <row r="229" spans="50:51" x14ac:dyDescent="0.25">
      <c r="AX229" t="s">
        <v>649</v>
      </c>
      <c r="AY229" t="s">
        <v>322</v>
      </c>
    </row>
    <row r="230" spans="50:51" x14ac:dyDescent="0.25">
      <c r="AX230" t="s">
        <v>650</v>
      </c>
      <c r="AY230" t="s">
        <v>322</v>
      </c>
    </row>
    <row r="231" spans="50:51" x14ac:dyDescent="0.25">
      <c r="AX231" t="s">
        <v>651</v>
      </c>
      <c r="AY231" t="s">
        <v>322</v>
      </c>
    </row>
    <row r="232" spans="50:51" x14ac:dyDescent="0.25">
      <c r="AX232" t="s">
        <v>652</v>
      </c>
      <c r="AY232" t="s">
        <v>322</v>
      </c>
    </row>
    <row r="233" spans="50:51" x14ac:dyDescent="0.25">
      <c r="AX233" t="s">
        <v>653</v>
      </c>
      <c r="AY233" t="s">
        <v>322</v>
      </c>
    </row>
    <row r="234" spans="50:51" x14ac:dyDescent="0.25">
      <c r="AX234" t="s">
        <v>654</v>
      </c>
      <c r="AY234" t="s">
        <v>322</v>
      </c>
    </row>
    <row r="235" spans="50:51" x14ac:dyDescent="0.25">
      <c r="AX235" t="s">
        <v>655</v>
      </c>
      <c r="AY235" t="s">
        <v>322</v>
      </c>
    </row>
    <row r="236" spans="50:51" x14ac:dyDescent="0.25">
      <c r="AX236" t="s">
        <v>656</v>
      </c>
      <c r="AY236" t="s">
        <v>322</v>
      </c>
    </row>
    <row r="237" spans="50:51" x14ac:dyDescent="0.25">
      <c r="AX237" t="s">
        <v>657</v>
      </c>
      <c r="AY237" t="s">
        <v>322</v>
      </c>
    </row>
    <row r="238" spans="50:51" x14ac:dyDescent="0.25">
      <c r="AX238" t="s">
        <v>658</v>
      </c>
      <c r="AY238" t="s">
        <v>322</v>
      </c>
    </row>
    <row r="239" spans="50:51" x14ac:dyDescent="0.25">
      <c r="AX239" t="s">
        <v>659</v>
      </c>
      <c r="AY239" t="s">
        <v>322</v>
      </c>
    </row>
    <row r="240" spans="50:51" x14ac:dyDescent="0.25">
      <c r="AX240" t="s">
        <v>660</v>
      </c>
      <c r="AY240" t="s">
        <v>322</v>
      </c>
    </row>
    <row r="241" spans="50:51" x14ac:dyDescent="0.25">
      <c r="AX241" t="s">
        <v>661</v>
      </c>
      <c r="AY241" t="s">
        <v>322</v>
      </c>
    </row>
    <row r="242" spans="50:51" x14ac:dyDescent="0.25">
      <c r="AX242" t="s">
        <v>779</v>
      </c>
      <c r="AY242" t="s">
        <v>322</v>
      </c>
    </row>
    <row r="243" spans="50:51" x14ac:dyDescent="0.25">
      <c r="AX243" t="s">
        <v>662</v>
      </c>
      <c r="AY243" t="s">
        <v>354</v>
      </c>
    </row>
    <row r="244" spans="50:51" x14ac:dyDescent="0.25">
      <c r="AX244" t="s">
        <v>663</v>
      </c>
      <c r="AY244" t="s">
        <v>354</v>
      </c>
    </row>
    <row r="245" spans="50:51" x14ac:dyDescent="0.25">
      <c r="AX245" t="s">
        <v>830</v>
      </c>
      <c r="AY245" t="s">
        <v>352</v>
      </c>
    </row>
    <row r="246" spans="50:51" x14ac:dyDescent="0.25">
      <c r="AX246" t="s">
        <v>664</v>
      </c>
      <c r="AY246" t="s">
        <v>726</v>
      </c>
    </row>
    <row r="247" spans="50:51" x14ac:dyDescent="0.25">
      <c r="AX247" t="s">
        <v>665</v>
      </c>
      <c r="AY247" t="s">
        <v>726</v>
      </c>
    </row>
    <row r="248" spans="50:51" x14ac:dyDescent="0.25">
      <c r="AX248" t="s">
        <v>666</v>
      </c>
      <c r="AY248" t="s">
        <v>726</v>
      </c>
    </row>
    <row r="249" spans="50:51" x14ac:dyDescent="0.25">
      <c r="AX249" t="s">
        <v>667</v>
      </c>
      <c r="AY249" t="s">
        <v>726</v>
      </c>
    </row>
    <row r="250" spans="50:51" x14ac:dyDescent="0.25">
      <c r="AX250" t="s">
        <v>668</v>
      </c>
      <c r="AY250" t="s">
        <v>354</v>
      </c>
    </row>
    <row r="251" spans="50:51" x14ac:dyDescent="0.25">
      <c r="AX251" t="s">
        <v>669</v>
      </c>
      <c r="AY251" t="s">
        <v>354</v>
      </c>
    </row>
    <row r="252" spans="50:51" x14ac:dyDescent="0.25">
      <c r="AX252" t="s">
        <v>670</v>
      </c>
      <c r="AY252" t="s">
        <v>354</v>
      </c>
    </row>
    <row r="253" spans="50:51" x14ac:dyDescent="0.25">
      <c r="AX253" t="s">
        <v>671</v>
      </c>
      <c r="AY253" t="s">
        <v>354</v>
      </c>
    </row>
    <row r="254" spans="50:51" x14ac:dyDescent="0.25">
      <c r="AX254" t="s">
        <v>778</v>
      </c>
      <c r="AY254" t="s">
        <v>726</v>
      </c>
    </row>
    <row r="255" spans="50:51" x14ac:dyDescent="0.25">
      <c r="AX255" t="s">
        <v>777</v>
      </c>
      <c r="AY255" t="s">
        <v>352</v>
      </c>
    </row>
    <row r="256" spans="50:51" x14ac:dyDescent="0.25">
      <c r="AX256" s="18" t="s">
        <v>293</v>
      </c>
      <c r="AY256" s="18" t="s">
        <v>6</v>
      </c>
    </row>
    <row r="257" spans="50:51" x14ac:dyDescent="0.25">
      <c r="AX257" t="s">
        <v>424</v>
      </c>
      <c r="AY257" t="s">
        <v>352</v>
      </c>
    </row>
  </sheetData>
  <mergeCells count="21">
    <mergeCell ref="BM2:BN2"/>
    <mergeCell ref="AR2:AS2"/>
    <mergeCell ref="AO2:AP2"/>
    <mergeCell ref="AL2:AM2"/>
    <mergeCell ref="AU2:AV2"/>
    <mergeCell ref="BA2:BB2"/>
    <mergeCell ref="BD2:BE2"/>
    <mergeCell ref="BG2:BH2"/>
    <mergeCell ref="BJ2:BK2"/>
    <mergeCell ref="AI2:AJ2"/>
    <mergeCell ref="B2:C2"/>
    <mergeCell ref="E2:F2"/>
    <mergeCell ref="H2:I2"/>
    <mergeCell ref="K2:L2"/>
    <mergeCell ref="N2:O2"/>
    <mergeCell ref="Q2:R2"/>
    <mergeCell ref="T2:U2"/>
    <mergeCell ref="W2:X2"/>
    <mergeCell ref="Z2:AA2"/>
    <mergeCell ref="AC2:AD2"/>
    <mergeCell ref="AF2:AG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69</vt:i4>
      </vt:variant>
    </vt:vector>
  </HeadingPairs>
  <TitlesOfParts>
    <vt:vector size="74" baseType="lpstr">
      <vt:lpstr>Campanha</vt:lpstr>
      <vt:lpstr>ADP </vt:lpstr>
      <vt:lpstr>Placement</vt:lpstr>
      <vt:lpstr>Contadores</vt:lpstr>
      <vt:lpstr>All Codes</vt:lpstr>
      <vt:lpstr>cel_campaing</vt:lpstr>
      <vt:lpstr>cel_country</vt:lpstr>
      <vt:lpstr>cel_mediachannel</vt:lpstr>
      <vt:lpstr>cel_modelvariant</vt:lpstr>
      <vt:lpstr>cel_planningprinciple</vt:lpstr>
      <vt:lpstr>col_adname</vt:lpstr>
      <vt:lpstr>col_buyingmetric</vt:lpstr>
      <vt:lpstr>col_buyingtype</vt:lpstr>
      <vt:lpstr>col_device</vt:lpstr>
      <vt:lpstr>col_keyword</vt:lpstr>
      <vt:lpstr>col_localfreetype</vt:lpstr>
      <vt:lpstr>col_paidvsav</vt:lpstr>
      <vt:lpstr>col_placement</vt:lpstr>
      <vt:lpstr>col_segmentacao</vt:lpstr>
      <vt:lpstr>col_servidopor</vt:lpstr>
      <vt:lpstr>col_sitesection</vt:lpstr>
      <vt:lpstr>col_size</vt:lpstr>
      <vt:lpstr>col_submediachannel</vt:lpstr>
      <vt:lpstr>col_supplier</vt:lpstr>
      <vt:lpstr>col_trackingtype</vt:lpstr>
      <vt:lpstr>col_unitname</vt:lpstr>
      <vt:lpstr>col_url</vt:lpstr>
      <vt:lpstr>col_utmcampaign</vt:lpstr>
      <vt:lpstr>col_utmcontent</vt:lpstr>
      <vt:lpstr>col_utmmedium</vt:lpstr>
      <vt:lpstr>col_utmsource</vt:lpstr>
      <vt:lpstr>id_placement</vt:lpstr>
      <vt:lpstr>list_brand</vt:lpstr>
      <vt:lpstr>list_buyingmetric</vt:lpstr>
      <vt:lpstr>list_buyingtype</vt:lpstr>
      <vt:lpstr>list_campaigncategory</vt:lpstr>
      <vt:lpstr>list_campaigntype</vt:lpstr>
      <vt:lpstr>list_country</vt:lpstr>
      <vt:lpstr>list_date</vt:lpstr>
      <vt:lpstr>list_device</vt:lpstr>
      <vt:lpstr>list_mediachannel</vt:lpstr>
      <vt:lpstr>list_model</vt:lpstr>
      <vt:lpstr>list_modelvariant</vt:lpstr>
      <vt:lpstr>list_paidvsav</vt:lpstr>
      <vt:lpstr>list_planningprinciple</vt:lpstr>
      <vt:lpstr>list_servidopor</vt:lpstr>
      <vt:lpstr>list_site</vt:lpstr>
      <vt:lpstr>list_sitesection</vt:lpstr>
      <vt:lpstr>list_size</vt:lpstr>
      <vt:lpstr>list_strategyphase</vt:lpstr>
      <vt:lpstr>list_submediachannel</vt:lpstr>
      <vt:lpstr>list_trackingtype</vt:lpstr>
      <vt:lpstr>list_type</vt:lpstr>
      <vt:lpstr>list_unitname</vt:lpstr>
      <vt:lpstr>tab_buyingmetric</vt:lpstr>
      <vt:lpstr>tab_buyingtype</vt:lpstr>
      <vt:lpstr>tab_campaigncategory</vt:lpstr>
      <vt:lpstr>tab_campaigntype</vt:lpstr>
      <vt:lpstr>Placement!tab_contadores</vt:lpstr>
      <vt:lpstr>tab_contadores</vt:lpstr>
      <vt:lpstr>tab_country</vt:lpstr>
      <vt:lpstr>tab_date</vt:lpstr>
      <vt:lpstr>tab_device</vt:lpstr>
      <vt:lpstr>tab_mediachannel</vt:lpstr>
      <vt:lpstr>tab_model</vt:lpstr>
      <vt:lpstr>tab_modelvariant</vt:lpstr>
      <vt:lpstr>tab_paidvsav</vt:lpstr>
      <vt:lpstr>tab_planningprinciple</vt:lpstr>
      <vt:lpstr>tab_sitesection</vt:lpstr>
      <vt:lpstr>tab_strategyphase</vt:lpstr>
      <vt:lpstr>tab_submediachannel</vt:lpstr>
      <vt:lpstr>tab_trackingtype</vt:lpstr>
      <vt:lpstr>tab_type</vt:lpstr>
      <vt:lpstr>tab_unitname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Henrique Yoshio Nishisaki - Almap BBDO</dc:creator>
  <cp:lastModifiedBy>Felipe Alves de Lima - Almap BBDO</cp:lastModifiedBy>
  <cp:lastPrinted>2019-02-11T19:35:35Z</cp:lastPrinted>
  <dcterms:created xsi:type="dcterms:W3CDTF">2019-01-30T17:15:32Z</dcterms:created>
  <dcterms:modified xsi:type="dcterms:W3CDTF">2021-04-07T13:23:50Z</dcterms:modified>
</cp:coreProperties>
</file>