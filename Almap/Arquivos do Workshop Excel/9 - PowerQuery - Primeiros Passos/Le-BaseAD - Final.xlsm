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hidePivotFieldList="1"/>
  <xr:revisionPtr revIDLastSave="0" documentId="13_ncr:1_{97BA2C68-8913-4C8C-8F5D-DD9E80BD3C5D}" xr6:coauthVersionLast="41" xr6:coauthVersionMax="41" xr10:uidLastSave="{00000000-0000-0000-0000-000000000000}"/>
  <bookViews>
    <workbookView xWindow="-120" yWindow="-120" windowWidth="29040" windowHeight="15840" activeTab="2" xr2:uid="{00000000-000D-0000-FFFF-FFFF00000000}"/>
  </bookViews>
  <sheets>
    <sheet name="Premissas - Final" sheetId="2" r:id="rId1"/>
    <sheet name="DePara - Final" sheetId="3" r:id="rId2"/>
    <sheet name="TD - Final" sheetId="1" r:id="rId3"/>
  </sheets>
  <calcPr calcId="162913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634FDE-07CE-4031-930B-9FE847FAA537}" keepAlive="1" name="Consulta - DePara_Produto" description="Conexão com a consulta 'DePara_Produto' na pasta de trabalho." type="5" refreshedVersion="6" background="1" saveData="1">
    <dbPr connection="Provider=Microsoft.Mashup.OleDb.1;Data Source=$Workbook$;Location=DePara_Produto;Extended Properties=&quot;&quot;" command="SELECT * FROM [DePara_Produto]"/>
  </connection>
  <connection id="2" xr16:uid="{6815A749-A623-4FE4-8F7E-9495A3DA5B9E}" keepAlive="1" name="Consulta - Filtro_ArquivoBase" description="Conexão com a consulta 'Filtro_ArquivoBase' na pasta de trabalho." type="5" refreshedVersion="0" background="1">
    <dbPr connection="Provider=Microsoft.Mashup.OleDb.1;Data Source=$Workbook$;Location=Filtro_ArquivoBase;Extended Properties=&quot;&quot;" command="SELECT * FROM [Filtro_ArquivoBase]"/>
  </connection>
  <connection id="3" xr16:uid="{6CD58BB7-9DBC-4691-A500-A5B6BFE1D2FA}" keepAlive="1" name="Consulta - Filtro_PastaArquivos" description="Conexão com a consulta 'Filtro_PastaArquivos' na pasta de trabalho." type="5" refreshedVersion="0" background="1">
    <dbPr connection="Provider=Microsoft.Mashup.OleDb.1;Data Source=$Workbook$;Location=Filtro_PastaArquivos;Extended Properties=&quot;&quot;" command="SELECT * FROM [Filtro_PastaArquivos]"/>
  </connection>
  <connection id="4" xr16:uid="{0C9A68C4-99DC-4919-BC6C-83515FF015FC}" keepAlive="1" name="Consulta - PI" description="Conexão com a consulta 'PI' na pasta de trabalho." type="5" refreshedVersion="6" background="1">
    <dbPr connection="Provider=Microsoft.Mashup.OleDb.1;Data Source=$Workbook$;Location=PI;Extended Properties=&quot;&quot;" command="SELECT * FROM [PI]"/>
  </connection>
</connections>
</file>

<file path=xl/sharedStrings.xml><?xml version="1.0" encoding="utf-8"?>
<sst xmlns="http://schemas.openxmlformats.org/spreadsheetml/2006/main" count="55" uniqueCount="41">
  <si>
    <t>Rótulos de Linha</t>
  </si>
  <si>
    <t>Total Geral</t>
  </si>
  <si>
    <t>Soma de Valor Bruto 20%</t>
  </si>
  <si>
    <t>Veículo</t>
  </si>
  <si>
    <t>(Tudo)</t>
  </si>
  <si>
    <t>PÓS-VENDAS</t>
  </si>
  <si>
    <t>VAREJO NACIONAL AMAROK</t>
  </si>
  <si>
    <t>Rótulos de Coluna</t>
  </si>
  <si>
    <t>ALWAYS ON</t>
  </si>
  <si>
    <t>AMAROK</t>
  </si>
  <si>
    <t>AMAROK V6</t>
  </si>
  <si>
    <t>BRANDED CONTENT</t>
  </si>
  <si>
    <t>GOLF</t>
  </si>
  <si>
    <t>INSTITUCIONAL</t>
  </si>
  <si>
    <t>P. VAREJO (R3)</t>
  </si>
  <si>
    <t>P. VAREJO (R5)</t>
  </si>
  <si>
    <t>T-CROSS</t>
  </si>
  <si>
    <t>VAREJO NACIONAL CARS</t>
  </si>
  <si>
    <t>VENDAS CORPORATIVAS</t>
  </si>
  <si>
    <t>Arquivo</t>
  </si>
  <si>
    <t>Pasta</t>
  </si>
  <si>
    <t>H:\Projetos\Workshops\Arquivos\Arquivos Principais\9 - PowerQuery - Hello World</t>
  </si>
  <si>
    <t>BaseAD-2019.xls</t>
  </si>
  <si>
    <t>DePara Produto</t>
  </si>
  <si>
    <t>De</t>
  </si>
  <si>
    <t>Para</t>
  </si>
  <si>
    <t>Outros</t>
  </si>
  <si>
    <t>Amarok</t>
  </si>
  <si>
    <t>Golf</t>
  </si>
  <si>
    <t>Varejo</t>
  </si>
  <si>
    <t>T-Cross</t>
  </si>
  <si>
    <t>&gt; Criar a PoweQuery carregando os dados para a tabela, com as formatações</t>
  </si>
  <si>
    <t>&gt; Criar o DePara de Produto</t>
  </si>
  <si>
    <t>&gt; Criar a coluna Extra de Qtd Linhas</t>
  </si>
  <si>
    <t>&gt; Abrir o Excel da Tabela Dinâmica e mostrar uma forma diferente de carregar os dados no Excel</t>
  </si>
  <si>
    <t>&gt; Incluir as configurações da pasta e arquivo</t>
  </si>
  <si>
    <t>&gt; Mostrar a facilidade de abrir o arquivo selecionado</t>
  </si>
  <si>
    <t>&gt; Carregar consulta para Tabela Dinâmica</t>
  </si>
  <si>
    <t>&gt; Explicar que a partir daqui é igual ao que vimos nas apresentação anteriores</t>
  </si>
  <si>
    <t>&gt; Simular um Produto sem Mapping</t>
  </si>
  <si>
    <t>&gt; Inserir botão atualizar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</si>
</sst>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2">
    <border>
      <left/>
      <right/>
      <top/>
      <bottom/>
      <diagonal/>
    </border>
    <border>
      <left style="thin">
        <color theme="5"/>
      </left>
      <right/>
      <top style="thin">
        <color theme="5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4" fontId="0" fillId="0" borderId="0" xfId="0" applyNumberFormat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0</xdr:row>
      <xdr:rowOff>85725</xdr:rowOff>
    </xdr:from>
    <xdr:to>
      <xdr:col>9</xdr:col>
      <xdr:colOff>171450</xdr:colOff>
      <xdr:row>2</xdr:row>
      <xdr:rowOff>85725</xdr:rowOff>
    </xdr:to>
    <xdr:sp macro="[0]!Atualiz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263A194-02A8-4361-9764-8072F078B779}"/>
            </a:ext>
          </a:extLst>
        </xdr:cNvPr>
        <xdr:cNvSpPr/>
      </xdr:nvSpPr>
      <xdr:spPr>
        <a:xfrm>
          <a:off x="4781550" y="85725"/>
          <a:ext cx="288607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ATUALIZAR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857.904421874999" backgroundQuery="1" createdVersion="6" refreshedVersion="6" minRefreshableVersion="3" recordCount="409" xr:uid="{A8C0CE95-8FDB-4F8A-814A-3A9E41113AF2}">
  <cacheSource type="external" connectionId="4"/>
  <cacheFields count="9">
    <cacheField name="Período" numFmtId="0">
      <sharedItems containsSemiMixedTypes="0" containsNonDate="0" containsDate="1" containsString="0" minDate="2019-01-01T00:00:00" maxDate="2019-12-02T00:00:00" count="12">
        <d v="2019-12-01T00:00:00"/>
        <d v="2019-10-01T00:00:00"/>
        <d v="2019-09-01T00:00:00"/>
        <d v="2019-04-01T00:00:00"/>
        <d v="2019-11-01T00:00:00"/>
        <d v="2019-05-01T00:00:00"/>
        <d v="2019-03-01T00:00:00"/>
        <d v="2019-02-01T00:00:00"/>
        <d v="2019-06-01T00:00:00"/>
        <d v="2019-07-01T00:00:00"/>
        <d v="2019-01-01T00:00:00"/>
        <d v="2019-08-01T00:00:00"/>
      </sharedItems>
    </cacheField>
    <cacheField name="Nº AP" numFmtId="0">
      <sharedItems containsSemiMixedTypes="0" containsString="0" containsNumber="1" containsInteger="1" minValue="229491" maxValue="238001"/>
    </cacheField>
    <cacheField name="Nº PI" numFmtId="0">
      <sharedItems containsSemiMixedTypes="0" containsString="0" containsNumber="1" containsInteger="1" minValue="624844" maxValue="643511"/>
    </cacheField>
    <cacheField name="Produto" numFmtId="0">
      <sharedItems count="13">
        <s v="VENDAS CORPORATIVAS"/>
        <s v="INSTITUCIONAL"/>
        <s v="AMAROK V6"/>
        <s v="T-CROSS"/>
        <s v="GOLF"/>
        <s v="P. VAREJO (R5)"/>
        <s v="AMAROK"/>
        <s v="VAREJO NACIONAL AMAROK"/>
        <s v="PÓS-VENDAS"/>
        <s v="ALWAYS ON"/>
        <s v="VAREJO NACIONAL CARS"/>
        <s v="P. VAREJO (R3)"/>
        <s v="BRANDED CONTENT"/>
      </sharedItems>
    </cacheField>
    <cacheField name="Campanha" numFmtId="0">
      <sharedItems count="13">
        <s v="VENDAS CORPORATIVAS 2019"/>
        <s v="Projeto Inovação"/>
        <s v="Jornalistas 2019"/>
        <s v="Kitesurf"/>
        <s v="Sustentação T-Cross 2019"/>
        <s v="GOLF GTE 2019 "/>
        <s v="Dezembro 2019"/>
        <s v="KITE SURF"/>
        <s v="VAREJO NACIONAL AMAROK"/>
        <s v="PÓS-VENDAS"/>
        <s v="Always On"/>
        <s v="Q4 | Dezembro 2019"/>
        <s v="Social"/>
      </sharedItems>
    </cacheField>
    <cacheField name="Veículo" numFmtId="0">
      <sharedItems count="28">
        <s v="SINDLOC MG"/>
        <s v="GLOBO.COM"/>
        <s v="AUTOMOTIVE BUSINESS"/>
        <s v="TV BAND - PORTO ALEGRE"/>
        <s v="OFF"/>
        <s v="GOOGLE YOUTUBE"/>
        <s v="GOOGLE DV360"/>
        <s v="VIVO ADS"/>
        <s v="WEBEDIA"/>
        <s v="FACEBOOK"/>
        <s v="VERIZON MEDIA"/>
        <s v="UOL"/>
        <s v="TEADS"/>
        <s v="GOOGLE GDN"/>
        <s v="GOOGLE SEARCH"/>
        <s v="GOOGLE DBM FEE"/>
        <s v="GOOGLE DCM"/>
        <s v="GOOGLE DS3"/>
        <s v="FULL MARKETING"/>
        <s v="QUATRO RODAS"/>
        <s v="LINKEDIN"/>
        <s v="GOOGLE SMART ADS"/>
        <s v="CARROS COM CAMANZI"/>
        <s v="AUTO INFORME - INTERNET"/>
        <s v="MECÂNICA ONLINE"/>
        <s v="MERCADO LIVRE"/>
        <s v="BING"/>
        <s v="OATH GEMINI"/>
      </sharedItems>
    </cacheField>
    <cacheField name="Valor Bruto 20%" numFmtId="0">
      <sharedItems containsSemiMixedTypes="0" containsString="0" containsNumber="1" minValue="15" maxValue="1675000"/>
    </cacheField>
    <cacheField name="Valor Líquido" numFmtId="0">
      <sharedItems containsSemiMixedTypes="0" containsString="0" containsNumber="1" minValue="12" maxValue="1340000"/>
    </cacheField>
    <cacheField name="Produto ok" numFmtId="0">
      <sharedItems containsBlank="1" count="7">
        <s v="Outros"/>
        <s v="Amarok"/>
        <s v="T-Cross"/>
        <s v="Golf"/>
        <s v="Varejo"/>
        <m u="1"/>
        <s v="*GOLF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9">
  <r>
    <x v="0"/>
    <n v="229491"/>
    <n v="624844"/>
    <x v="0"/>
    <x v="0"/>
    <x v="0"/>
    <n v="1225"/>
    <n v="980"/>
    <x v="0"/>
  </r>
  <r>
    <x v="0"/>
    <n v="232042"/>
    <n v="630473"/>
    <x v="1"/>
    <x v="1"/>
    <x v="1"/>
    <n v="125000"/>
    <n v="100000"/>
    <x v="0"/>
  </r>
  <r>
    <x v="0"/>
    <n v="233123"/>
    <n v="632974"/>
    <x v="1"/>
    <x v="2"/>
    <x v="2"/>
    <n v="5555.56"/>
    <n v="4444.45"/>
    <x v="0"/>
  </r>
  <r>
    <x v="0"/>
    <n v="236882"/>
    <n v="641246"/>
    <x v="1"/>
    <x v="2"/>
    <x v="3"/>
    <n v="1248.1099999999999"/>
    <n v="998.49"/>
    <x v="0"/>
  </r>
  <r>
    <x v="0"/>
    <n v="237146"/>
    <n v="641815"/>
    <x v="2"/>
    <x v="3"/>
    <x v="4"/>
    <n v="120000"/>
    <n v="96000"/>
    <x v="1"/>
  </r>
  <r>
    <x v="0"/>
    <n v="237146"/>
    <n v="641816"/>
    <x v="2"/>
    <x v="3"/>
    <x v="4"/>
    <n v="3750"/>
    <n v="3000"/>
    <x v="1"/>
  </r>
  <r>
    <x v="0"/>
    <n v="236414"/>
    <n v="640323"/>
    <x v="3"/>
    <x v="4"/>
    <x v="4"/>
    <n v="200000"/>
    <n v="160000"/>
    <x v="2"/>
  </r>
  <r>
    <x v="0"/>
    <n v="237535"/>
    <n v="642718"/>
    <x v="4"/>
    <x v="5"/>
    <x v="5"/>
    <n v="90375.679999999993"/>
    <n v="72300.539999999994"/>
    <x v="3"/>
  </r>
  <r>
    <x v="0"/>
    <n v="237537"/>
    <n v="642724"/>
    <x v="4"/>
    <x v="5"/>
    <x v="6"/>
    <n v="45000"/>
    <n v="36000"/>
    <x v="3"/>
  </r>
  <r>
    <x v="0"/>
    <n v="237541"/>
    <n v="642728"/>
    <x v="4"/>
    <x v="5"/>
    <x v="7"/>
    <n v="20000"/>
    <n v="16000"/>
    <x v="3"/>
  </r>
  <r>
    <x v="0"/>
    <n v="237543"/>
    <n v="642731"/>
    <x v="4"/>
    <x v="5"/>
    <x v="8"/>
    <n v="9600"/>
    <n v="7680"/>
    <x v="3"/>
  </r>
  <r>
    <x v="0"/>
    <n v="237546"/>
    <n v="642735"/>
    <x v="4"/>
    <x v="5"/>
    <x v="9"/>
    <n v="185864.55"/>
    <n v="148691.64000000001"/>
    <x v="3"/>
  </r>
  <r>
    <x v="0"/>
    <n v="237548"/>
    <n v="642741"/>
    <x v="4"/>
    <x v="5"/>
    <x v="10"/>
    <n v="62500"/>
    <n v="50000"/>
    <x v="3"/>
  </r>
  <r>
    <x v="0"/>
    <n v="237550"/>
    <n v="642744"/>
    <x v="4"/>
    <x v="5"/>
    <x v="10"/>
    <n v="10000"/>
    <n v="8000"/>
    <x v="3"/>
  </r>
  <r>
    <x v="0"/>
    <n v="237551"/>
    <n v="642745"/>
    <x v="4"/>
    <x v="5"/>
    <x v="6"/>
    <n v="71872.490000000005"/>
    <n v="57497.99"/>
    <x v="3"/>
  </r>
  <r>
    <x v="0"/>
    <n v="237553"/>
    <n v="642747"/>
    <x v="4"/>
    <x v="5"/>
    <x v="6"/>
    <n v="33599.760000000002"/>
    <n v="26879.81"/>
    <x v="3"/>
  </r>
  <r>
    <x v="0"/>
    <n v="237555"/>
    <n v="642749"/>
    <x v="4"/>
    <x v="5"/>
    <x v="11"/>
    <n v="17500"/>
    <n v="14000"/>
    <x v="3"/>
  </r>
  <r>
    <x v="0"/>
    <n v="237556"/>
    <n v="642751"/>
    <x v="4"/>
    <x v="5"/>
    <x v="12"/>
    <n v="25000"/>
    <n v="20000"/>
    <x v="3"/>
  </r>
  <r>
    <x v="0"/>
    <n v="237557"/>
    <n v="642752"/>
    <x v="4"/>
    <x v="5"/>
    <x v="13"/>
    <n v="87500"/>
    <n v="70000"/>
    <x v="3"/>
  </r>
  <r>
    <x v="0"/>
    <n v="237558"/>
    <n v="642753"/>
    <x v="4"/>
    <x v="5"/>
    <x v="14"/>
    <n v="20000"/>
    <n v="16000"/>
    <x v="3"/>
  </r>
  <r>
    <x v="0"/>
    <n v="237559"/>
    <n v="642754"/>
    <x v="4"/>
    <x v="5"/>
    <x v="15"/>
    <n v="22524.73"/>
    <n v="18019.78"/>
    <x v="3"/>
  </r>
  <r>
    <x v="0"/>
    <n v="237560"/>
    <n v="642755"/>
    <x v="4"/>
    <x v="5"/>
    <x v="16"/>
    <n v="6099.22"/>
    <n v="4879.38"/>
    <x v="3"/>
  </r>
  <r>
    <x v="0"/>
    <n v="237562"/>
    <n v="642757"/>
    <x v="4"/>
    <x v="5"/>
    <x v="17"/>
    <n v="60"/>
    <n v="48"/>
    <x v="3"/>
  </r>
  <r>
    <x v="0"/>
    <n v="237606"/>
    <n v="642818"/>
    <x v="5"/>
    <x v="6"/>
    <x v="18"/>
    <n v="16000"/>
    <n v="12800"/>
    <x v="4"/>
  </r>
  <r>
    <x v="0"/>
    <n v="237660"/>
    <n v="642920"/>
    <x v="3"/>
    <x v="4"/>
    <x v="19"/>
    <n v="124831.13"/>
    <n v="99864.9"/>
    <x v="2"/>
  </r>
  <r>
    <x v="0"/>
    <n v="237663"/>
    <n v="642934"/>
    <x v="0"/>
    <x v="0"/>
    <x v="20"/>
    <n v="25625"/>
    <n v="20500"/>
    <x v="0"/>
  </r>
  <r>
    <x v="0"/>
    <n v="237682"/>
    <n v="642961"/>
    <x v="6"/>
    <x v="7"/>
    <x v="9"/>
    <n v="287500"/>
    <n v="230000"/>
    <x v="1"/>
  </r>
  <r>
    <x v="0"/>
    <n v="237683"/>
    <n v="642962"/>
    <x v="6"/>
    <x v="7"/>
    <x v="6"/>
    <n v="50000"/>
    <n v="40000"/>
    <x v="1"/>
  </r>
  <r>
    <x v="0"/>
    <n v="237684"/>
    <n v="642963"/>
    <x v="6"/>
    <x v="7"/>
    <x v="5"/>
    <n v="162500"/>
    <n v="130000"/>
    <x v="1"/>
  </r>
  <r>
    <x v="0"/>
    <n v="237685"/>
    <n v="642964"/>
    <x v="6"/>
    <x v="7"/>
    <x v="16"/>
    <n v="1419.66"/>
    <n v="1135.73"/>
    <x v="1"/>
  </r>
  <r>
    <x v="0"/>
    <n v="237686"/>
    <n v="642965"/>
    <x v="6"/>
    <x v="7"/>
    <x v="15"/>
    <n v="6800"/>
    <n v="5440"/>
    <x v="1"/>
  </r>
  <r>
    <x v="0"/>
    <n v="237687"/>
    <n v="642966"/>
    <x v="7"/>
    <x v="8"/>
    <x v="6"/>
    <n v="425000"/>
    <n v="340000"/>
    <x v="1"/>
  </r>
  <r>
    <x v="0"/>
    <n v="237688"/>
    <n v="642967"/>
    <x v="7"/>
    <x v="8"/>
    <x v="9"/>
    <n v="300000"/>
    <n v="240000"/>
    <x v="1"/>
  </r>
  <r>
    <x v="0"/>
    <n v="237689"/>
    <n v="642968"/>
    <x v="7"/>
    <x v="8"/>
    <x v="13"/>
    <n v="75000"/>
    <n v="60000"/>
    <x v="1"/>
  </r>
  <r>
    <x v="0"/>
    <n v="237690"/>
    <n v="642969"/>
    <x v="7"/>
    <x v="8"/>
    <x v="21"/>
    <n v="130000"/>
    <n v="104000"/>
    <x v="1"/>
  </r>
  <r>
    <x v="0"/>
    <n v="237691"/>
    <n v="642970"/>
    <x v="7"/>
    <x v="8"/>
    <x v="16"/>
    <n v="7828.05"/>
    <n v="6262.44"/>
    <x v="1"/>
  </r>
  <r>
    <x v="0"/>
    <n v="237692"/>
    <n v="642971"/>
    <x v="7"/>
    <x v="8"/>
    <x v="15"/>
    <n v="30937.5"/>
    <n v="24750"/>
    <x v="1"/>
  </r>
  <r>
    <x v="0"/>
    <n v="237698"/>
    <n v="642980"/>
    <x v="1"/>
    <x v="2"/>
    <x v="22"/>
    <n v="15625"/>
    <n v="12500"/>
    <x v="0"/>
  </r>
  <r>
    <x v="0"/>
    <n v="237700"/>
    <n v="642982"/>
    <x v="1"/>
    <x v="2"/>
    <x v="23"/>
    <n v="9375"/>
    <n v="7500"/>
    <x v="0"/>
  </r>
  <r>
    <x v="0"/>
    <n v="237701"/>
    <n v="642983"/>
    <x v="1"/>
    <x v="2"/>
    <x v="24"/>
    <n v="8333.33"/>
    <n v="6666.66"/>
    <x v="0"/>
  </r>
  <r>
    <x v="1"/>
    <n v="237729"/>
    <n v="643022"/>
    <x v="0"/>
    <x v="0"/>
    <x v="14"/>
    <n v="105940"/>
    <n v="84752"/>
    <x v="0"/>
  </r>
  <r>
    <x v="1"/>
    <n v="237731"/>
    <n v="643024"/>
    <x v="0"/>
    <x v="0"/>
    <x v="9"/>
    <n v="45322.13"/>
    <n v="36257.699999999997"/>
    <x v="0"/>
  </r>
  <r>
    <x v="1"/>
    <n v="237735"/>
    <n v="643031"/>
    <x v="0"/>
    <x v="0"/>
    <x v="16"/>
    <n v="158.69999999999999"/>
    <n v="126.96"/>
    <x v="0"/>
  </r>
  <r>
    <x v="1"/>
    <n v="237736"/>
    <n v="643033"/>
    <x v="8"/>
    <x v="9"/>
    <x v="14"/>
    <n v="100000"/>
    <n v="80000"/>
    <x v="0"/>
  </r>
  <r>
    <x v="1"/>
    <n v="237738"/>
    <n v="643039"/>
    <x v="8"/>
    <x v="9"/>
    <x v="25"/>
    <n v="100000"/>
    <n v="80000"/>
    <x v="0"/>
  </r>
  <r>
    <x v="1"/>
    <n v="237739"/>
    <n v="643035"/>
    <x v="8"/>
    <x v="9"/>
    <x v="6"/>
    <n v="100000.01"/>
    <n v="80000.009999999995"/>
    <x v="0"/>
  </r>
  <r>
    <x v="1"/>
    <n v="237743"/>
    <n v="643042"/>
    <x v="8"/>
    <x v="9"/>
    <x v="16"/>
    <n v="113.26"/>
    <n v="90.61"/>
    <x v="0"/>
  </r>
  <r>
    <x v="1"/>
    <n v="237744"/>
    <n v="643043"/>
    <x v="8"/>
    <x v="9"/>
    <x v="15"/>
    <n v="1900.68"/>
    <n v="1520.54"/>
    <x v="0"/>
  </r>
  <r>
    <x v="1"/>
    <n v="237745"/>
    <n v="643045"/>
    <x v="8"/>
    <x v="9"/>
    <x v="9"/>
    <n v="62500"/>
    <n v="50000"/>
    <x v="0"/>
  </r>
  <r>
    <x v="1"/>
    <n v="237746"/>
    <n v="643046"/>
    <x v="8"/>
    <x v="9"/>
    <x v="15"/>
    <n v="51.7"/>
    <n v="41.36"/>
    <x v="0"/>
  </r>
  <r>
    <x v="1"/>
    <n v="237747"/>
    <n v="643047"/>
    <x v="8"/>
    <x v="9"/>
    <x v="17"/>
    <n v="300"/>
    <n v="240"/>
    <x v="0"/>
  </r>
  <r>
    <x v="1"/>
    <n v="237835"/>
    <n v="643138"/>
    <x v="7"/>
    <x v="8"/>
    <x v="10"/>
    <n v="100000"/>
    <n v="80000"/>
    <x v="1"/>
  </r>
  <r>
    <x v="1"/>
    <n v="237874"/>
    <n v="643197"/>
    <x v="9"/>
    <x v="10"/>
    <x v="26"/>
    <n v="37500"/>
    <n v="30000"/>
    <x v="0"/>
  </r>
  <r>
    <x v="1"/>
    <n v="237875"/>
    <n v="643198"/>
    <x v="9"/>
    <x v="10"/>
    <x v="14"/>
    <n v="1675000"/>
    <n v="1340000"/>
    <x v="0"/>
  </r>
  <r>
    <x v="1"/>
    <n v="237877"/>
    <n v="643200"/>
    <x v="9"/>
    <x v="10"/>
    <x v="9"/>
    <n v="925000"/>
    <n v="740000"/>
    <x v="0"/>
  </r>
  <r>
    <x v="1"/>
    <n v="237879"/>
    <n v="643202"/>
    <x v="9"/>
    <x v="10"/>
    <x v="13"/>
    <n v="681250"/>
    <n v="545000"/>
    <x v="0"/>
  </r>
  <r>
    <x v="1"/>
    <n v="237880"/>
    <n v="643203"/>
    <x v="9"/>
    <x v="10"/>
    <x v="6"/>
    <n v="494375"/>
    <n v="395500"/>
    <x v="0"/>
  </r>
  <r>
    <x v="1"/>
    <n v="237881"/>
    <n v="643205"/>
    <x v="9"/>
    <x v="10"/>
    <x v="16"/>
    <n v="23884.46"/>
    <n v="19107.57"/>
    <x v="0"/>
  </r>
  <r>
    <x v="1"/>
    <n v="237882"/>
    <n v="643206"/>
    <x v="9"/>
    <x v="10"/>
    <x v="15"/>
    <n v="45923.44"/>
    <n v="36738.75"/>
    <x v="0"/>
  </r>
  <r>
    <x v="1"/>
    <n v="237883"/>
    <n v="643207"/>
    <x v="9"/>
    <x v="10"/>
    <x v="15"/>
    <n v="24718.75"/>
    <n v="19775"/>
    <x v="0"/>
  </r>
  <r>
    <x v="1"/>
    <n v="237884"/>
    <n v="643208"/>
    <x v="9"/>
    <x v="10"/>
    <x v="17"/>
    <n v="5137.5"/>
    <n v="4110"/>
    <x v="0"/>
  </r>
  <r>
    <x v="1"/>
    <n v="237886"/>
    <n v="643213"/>
    <x v="10"/>
    <x v="11"/>
    <x v="9"/>
    <n v="218750"/>
    <n v="175000"/>
    <x v="4"/>
  </r>
  <r>
    <x v="1"/>
    <n v="237889"/>
    <n v="643216"/>
    <x v="10"/>
    <x v="11"/>
    <x v="6"/>
    <n v="1206420"/>
    <n v="965136"/>
    <x v="4"/>
  </r>
  <r>
    <x v="1"/>
    <n v="237890"/>
    <n v="643217"/>
    <x v="10"/>
    <x v="11"/>
    <x v="16"/>
    <n v="42029.43"/>
    <n v="33623.54"/>
    <x v="4"/>
  </r>
  <r>
    <x v="1"/>
    <n v="237891"/>
    <n v="643218"/>
    <x v="10"/>
    <x v="11"/>
    <x v="15"/>
    <n v="81795.570000000007"/>
    <n v="65436.46"/>
    <x v="4"/>
  </r>
  <r>
    <x v="1"/>
    <n v="237892"/>
    <n v="643219"/>
    <x v="10"/>
    <x v="11"/>
    <x v="15"/>
    <n v="12500"/>
    <n v="10000"/>
    <x v="4"/>
  </r>
  <r>
    <x v="1"/>
    <n v="237907"/>
    <n v="643241"/>
    <x v="11"/>
    <x v="6"/>
    <x v="9"/>
    <n v="10000"/>
    <n v="8000"/>
    <x v="4"/>
  </r>
  <r>
    <x v="1"/>
    <n v="237908"/>
    <n v="643242"/>
    <x v="11"/>
    <x v="6"/>
    <x v="16"/>
    <n v="22.93"/>
    <n v="18.34"/>
    <x v="4"/>
  </r>
  <r>
    <x v="1"/>
    <n v="237969"/>
    <n v="643473"/>
    <x v="10"/>
    <x v="11"/>
    <x v="10"/>
    <n v="125000"/>
    <n v="100000"/>
    <x v="4"/>
  </r>
  <r>
    <x v="1"/>
    <n v="237972"/>
    <n v="643476"/>
    <x v="12"/>
    <x v="12"/>
    <x v="14"/>
    <n v="5000"/>
    <n v="4000"/>
    <x v="0"/>
  </r>
  <r>
    <x v="1"/>
    <n v="237973"/>
    <n v="643477"/>
    <x v="12"/>
    <x v="12"/>
    <x v="9"/>
    <n v="245000"/>
    <n v="196000"/>
    <x v="0"/>
  </r>
  <r>
    <x v="1"/>
    <n v="237974"/>
    <n v="643478"/>
    <x v="12"/>
    <x v="12"/>
    <x v="16"/>
    <n v="8056.81"/>
    <n v="6445.45"/>
    <x v="0"/>
  </r>
  <r>
    <x v="1"/>
    <n v="237980"/>
    <n v="643484"/>
    <x v="12"/>
    <x v="12"/>
    <x v="17"/>
    <n v="15"/>
    <n v="12"/>
    <x v="0"/>
  </r>
  <r>
    <x v="2"/>
    <n v="238001"/>
    <n v="643511"/>
    <x v="9"/>
    <x v="10"/>
    <x v="27"/>
    <n v="131250"/>
    <n v="105000"/>
    <x v="0"/>
  </r>
  <r>
    <x v="2"/>
    <n v="237736"/>
    <n v="643033"/>
    <x v="8"/>
    <x v="9"/>
    <x v="14"/>
    <n v="100000"/>
    <n v="80000"/>
    <x v="0"/>
  </r>
  <r>
    <x v="2"/>
    <n v="237738"/>
    <n v="643039"/>
    <x v="8"/>
    <x v="9"/>
    <x v="25"/>
    <n v="100000"/>
    <n v="80000"/>
    <x v="0"/>
  </r>
  <r>
    <x v="2"/>
    <n v="237739"/>
    <n v="643035"/>
    <x v="8"/>
    <x v="9"/>
    <x v="6"/>
    <n v="100000.01"/>
    <n v="80000.009999999995"/>
    <x v="0"/>
  </r>
  <r>
    <x v="2"/>
    <n v="237743"/>
    <n v="643042"/>
    <x v="8"/>
    <x v="9"/>
    <x v="16"/>
    <n v="113.26"/>
    <n v="90.61"/>
    <x v="0"/>
  </r>
  <r>
    <x v="2"/>
    <n v="237744"/>
    <n v="643043"/>
    <x v="8"/>
    <x v="9"/>
    <x v="15"/>
    <n v="1900.68"/>
    <n v="1520.54"/>
    <x v="0"/>
  </r>
  <r>
    <x v="2"/>
    <n v="237745"/>
    <n v="643045"/>
    <x v="8"/>
    <x v="9"/>
    <x v="9"/>
    <n v="62500"/>
    <n v="50000"/>
    <x v="0"/>
  </r>
  <r>
    <x v="2"/>
    <n v="237746"/>
    <n v="643046"/>
    <x v="8"/>
    <x v="9"/>
    <x v="15"/>
    <n v="51.7"/>
    <n v="41.36"/>
    <x v="0"/>
  </r>
  <r>
    <x v="2"/>
    <n v="237747"/>
    <n v="643047"/>
    <x v="8"/>
    <x v="9"/>
    <x v="17"/>
    <n v="300"/>
    <n v="240"/>
    <x v="0"/>
  </r>
  <r>
    <x v="2"/>
    <n v="237835"/>
    <n v="643138"/>
    <x v="7"/>
    <x v="8"/>
    <x v="10"/>
    <n v="100000"/>
    <n v="80000"/>
    <x v="1"/>
  </r>
  <r>
    <x v="2"/>
    <n v="237874"/>
    <n v="643197"/>
    <x v="9"/>
    <x v="10"/>
    <x v="26"/>
    <n v="37500"/>
    <n v="30000"/>
    <x v="0"/>
  </r>
  <r>
    <x v="2"/>
    <n v="237875"/>
    <n v="643198"/>
    <x v="9"/>
    <x v="10"/>
    <x v="14"/>
    <n v="1675000"/>
    <n v="1340000"/>
    <x v="0"/>
  </r>
  <r>
    <x v="2"/>
    <n v="237877"/>
    <n v="643200"/>
    <x v="9"/>
    <x v="10"/>
    <x v="9"/>
    <n v="925000"/>
    <n v="740000"/>
    <x v="0"/>
  </r>
  <r>
    <x v="2"/>
    <n v="237879"/>
    <n v="643202"/>
    <x v="9"/>
    <x v="10"/>
    <x v="13"/>
    <n v="681250"/>
    <n v="545000"/>
    <x v="0"/>
  </r>
  <r>
    <x v="2"/>
    <n v="237880"/>
    <n v="643203"/>
    <x v="9"/>
    <x v="10"/>
    <x v="6"/>
    <n v="494375"/>
    <n v="395500"/>
    <x v="0"/>
  </r>
  <r>
    <x v="2"/>
    <n v="237881"/>
    <n v="643205"/>
    <x v="9"/>
    <x v="10"/>
    <x v="16"/>
    <n v="23884.46"/>
    <n v="19107.57"/>
    <x v="0"/>
  </r>
  <r>
    <x v="2"/>
    <n v="237882"/>
    <n v="643206"/>
    <x v="9"/>
    <x v="10"/>
    <x v="15"/>
    <n v="45923.44"/>
    <n v="36738.75"/>
    <x v="0"/>
  </r>
  <r>
    <x v="2"/>
    <n v="237883"/>
    <n v="643207"/>
    <x v="9"/>
    <x v="10"/>
    <x v="15"/>
    <n v="24718.75"/>
    <n v="19775"/>
    <x v="0"/>
  </r>
  <r>
    <x v="2"/>
    <n v="237884"/>
    <n v="643208"/>
    <x v="9"/>
    <x v="10"/>
    <x v="17"/>
    <n v="5137.5"/>
    <n v="4110"/>
    <x v="0"/>
  </r>
  <r>
    <x v="2"/>
    <n v="237886"/>
    <n v="643213"/>
    <x v="10"/>
    <x v="11"/>
    <x v="9"/>
    <n v="218750"/>
    <n v="175000"/>
    <x v="4"/>
  </r>
  <r>
    <x v="3"/>
    <n v="237889"/>
    <n v="643216"/>
    <x v="10"/>
    <x v="11"/>
    <x v="6"/>
    <n v="1206420"/>
    <n v="965136"/>
    <x v="4"/>
  </r>
  <r>
    <x v="3"/>
    <n v="237890"/>
    <n v="643217"/>
    <x v="10"/>
    <x v="11"/>
    <x v="16"/>
    <n v="42029.43"/>
    <n v="33623.54"/>
    <x v="4"/>
  </r>
  <r>
    <x v="3"/>
    <n v="237891"/>
    <n v="643218"/>
    <x v="10"/>
    <x v="11"/>
    <x v="15"/>
    <n v="81795.570000000007"/>
    <n v="65436.46"/>
    <x v="4"/>
  </r>
  <r>
    <x v="3"/>
    <n v="237892"/>
    <n v="643219"/>
    <x v="10"/>
    <x v="11"/>
    <x v="15"/>
    <n v="12500"/>
    <n v="10000"/>
    <x v="4"/>
  </r>
  <r>
    <x v="3"/>
    <n v="237907"/>
    <n v="643241"/>
    <x v="11"/>
    <x v="6"/>
    <x v="9"/>
    <n v="10000"/>
    <n v="8000"/>
    <x v="4"/>
  </r>
  <r>
    <x v="3"/>
    <n v="237908"/>
    <n v="643242"/>
    <x v="11"/>
    <x v="6"/>
    <x v="16"/>
    <n v="22.93"/>
    <n v="18.34"/>
    <x v="4"/>
  </r>
  <r>
    <x v="3"/>
    <n v="237969"/>
    <n v="643473"/>
    <x v="10"/>
    <x v="11"/>
    <x v="10"/>
    <n v="125000"/>
    <n v="100000"/>
    <x v="4"/>
  </r>
  <r>
    <x v="3"/>
    <n v="237972"/>
    <n v="643476"/>
    <x v="12"/>
    <x v="12"/>
    <x v="14"/>
    <n v="5000"/>
    <n v="4000"/>
    <x v="0"/>
  </r>
  <r>
    <x v="3"/>
    <n v="237973"/>
    <n v="643477"/>
    <x v="12"/>
    <x v="12"/>
    <x v="9"/>
    <n v="245000"/>
    <n v="196000"/>
    <x v="0"/>
  </r>
  <r>
    <x v="3"/>
    <n v="237974"/>
    <n v="643478"/>
    <x v="12"/>
    <x v="12"/>
    <x v="16"/>
    <n v="8056.81"/>
    <n v="6445.45"/>
    <x v="0"/>
  </r>
  <r>
    <x v="3"/>
    <n v="237980"/>
    <n v="643484"/>
    <x v="12"/>
    <x v="12"/>
    <x v="17"/>
    <n v="15"/>
    <n v="12"/>
    <x v="0"/>
  </r>
  <r>
    <x v="3"/>
    <n v="238001"/>
    <n v="643511"/>
    <x v="9"/>
    <x v="10"/>
    <x v="27"/>
    <n v="131250"/>
    <n v="105000"/>
    <x v="0"/>
  </r>
  <r>
    <x v="3"/>
    <n v="237886"/>
    <n v="643213"/>
    <x v="10"/>
    <x v="11"/>
    <x v="9"/>
    <n v="218750"/>
    <n v="175000"/>
    <x v="4"/>
  </r>
  <r>
    <x v="3"/>
    <n v="237889"/>
    <n v="643216"/>
    <x v="10"/>
    <x v="11"/>
    <x v="6"/>
    <n v="1206420"/>
    <n v="965136"/>
    <x v="4"/>
  </r>
  <r>
    <x v="3"/>
    <n v="237890"/>
    <n v="643217"/>
    <x v="10"/>
    <x v="11"/>
    <x v="16"/>
    <n v="42029.43"/>
    <n v="33623.54"/>
    <x v="4"/>
  </r>
  <r>
    <x v="3"/>
    <n v="237891"/>
    <n v="643218"/>
    <x v="10"/>
    <x v="11"/>
    <x v="15"/>
    <n v="81795.570000000007"/>
    <n v="65436.46"/>
    <x v="4"/>
  </r>
  <r>
    <x v="3"/>
    <n v="237892"/>
    <n v="643219"/>
    <x v="10"/>
    <x v="11"/>
    <x v="15"/>
    <n v="12500"/>
    <n v="10000"/>
    <x v="4"/>
  </r>
  <r>
    <x v="3"/>
    <n v="237907"/>
    <n v="643241"/>
    <x v="11"/>
    <x v="6"/>
    <x v="9"/>
    <n v="10000"/>
    <n v="8000"/>
    <x v="4"/>
  </r>
  <r>
    <x v="3"/>
    <n v="237908"/>
    <n v="643242"/>
    <x v="11"/>
    <x v="6"/>
    <x v="16"/>
    <n v="22.93"/>
    <n v="18.34"/>
    <x v="4"/>
  </r>
  <r>
    <x v="3"/>
    <n v="237969"/>
    <n v="643473"/>
    <x v="10"/>
    <x v="11"/>
    <x v="10"/>
    <n v="125000"/>
    <n v="100000"/>
    <x v="4"/>
  </r>
  <r>
    <x v="3"/>
    <n v="237972"/>
    <n v="643476"/>
    <x v="12"/>
    <x v="12"/>
    <x v="14"/>
    <n v="5000"/>
    <n v="4000"/>
    <x v="0"/>
  </r>
  <r>
    <x v="3"/>
    <n v="237973"/>
    <n v="643477"/>
    <x v="12"/>
    <x v="12"/>
    <x v="9"/>
    <n v="245000"/>
    <n v="196000"/>
    <x v="0"/>
  </r>
  <r>
    <x v="3"/>
    <n v="237974"/>
    <n v="643478"/>
    <x v="12"/>
    <x v="12"/>
    <x v="16"/>
    <n v="8056.81"/>
    <n v="6445.45"/>
    <x v="0"/>
  </r>
  <r>
    <x v="3"/>
    <n v="237980"/>
    <n v="643484"/>
    <x v="12"/>
    <x v="12"/>
    <x v="17"/>
    <n v="15"/>
    <n v="12"/>
    <x v="0"/>
  </r>
  <r>
    <x v="3"/>
    <n v="238001"/>
    <n v="643511"/>
    <x v="9"/>
    <x v="10"/>
    <x v="27"/>
    <n v="131250"/>
    <n v="105000"/>
    <x v="0"/>
  </r>
  <r>
    <x v="3"/>
    <n v="237736"/>
    <n v="643033"/>
    <x v="8"/>
    <x v="9"/>
    <x v="14"/>
    <n v="100000"/>
    <n v="80000"/>
    <x v="0"/>
  </r>
  <r>
    <x v="3"/>
    <n v="237738"/>
    <n v="643039"/>
    <x v="8"/>
    <x v="9"/>
    <x v="25"/>
    <n v="100000"/>
    <n v="80000"/>
    <x v="0"/>
  </r>
  <r>
    <x v="3"/>
    <n v="237739"/>
    <n v="643035"/>
    <x v="8"/>
    <x v="9"/>
    <x v="6"/>
    <n v="100000.01"/>
    <n v="80000.009999999995"/>
    <x v="0"/>
  </r>
  <r>
    <x v="3"/>
    <n v="237743"/>
    <n v="643042"/>
    <x v="8"/>
    <x v="9"/>
    <x v="16"/>
    <n v="113.26"/>
    <n v="90.61"/>
    <x v="0"/>
  </r>
  <r>
    <x v="3"/>
    <n v="237744"/>
    <n v="643043"/>
    <x v="8"/>
    <x v="9"/>
    <x v="15"/>
    <n v="1900.68"/>
    <n v="1520.54"/>
    <x v="0"/>
  </r>
  <r>
    <x v="3"/>
    <n v="237745"/>
    <n v="643045"/>
    <x v="8"/>
    <x v="9"/>
    <x v="9"/>
    <n v="62500"/>
    <n v="50000"/>
    <x v="0"/>
  </r>
  <r>
    <x v="3"/>
    <n v="237746"/>
    <n v="643046"/>
    <x v="8"/>
    <x v="9"/>
    <x v="15"/>
    <n v="51.7"/>
    <n v="41.36"/>
    <x v="0"/>
  </r>
  <r>
    <x v="3"/>
    <n v="237747"/>
    <n v="643047"/>
    <x v="8"/>
    <x v="9"/>
    <x v="17"/>
    <n v="300"/>
    <n v="240"/>
    <x v="0"/>
  </r>
  <r>
    <x v="3"/>
    <n v="237835"/>
    <n v="643138"/>
    <x v="7"/>
    <x v="8"/>
    <x v="10"/>
    <n v="100000"/>
    <n v="80000"/>
    <x v="1"/>
  </r>
  <r>
    <x v="3"/>
    <n v="237874"/>
    <n v="643197"/>
    <x v="9"/>
    <x v="10"/>
    <x v="26"/>
    <n v="37500"/>
    <n v="30000"/>
    <x v="0"/>
  </r>
  <r>
    <x v="3"/>
    <n v="237875"/>
    <n v="643198"/>
    <x v="9"/>
    <x v="10"/>
    <x v="14"/>
    <n v="1675000"/>
    <n v="1340000"/>
    <x v="0"/>
  </r>
  <r>
    <x v="3"/>
    <n v="237877"/>
    <n v="643200"/>
    <x v="9"/>
    <x v="10"/>
    <x v="9"/>
    <n v="925000"/>
    <n v="740000"/>
    <x v="0"/>
  </r>
  <r>
    <x v="3"/>
    <n v="237879"/>
    <n v="643202"/>
    <x v="9"/>
    <x v="10"/>
    <x v="13"/>
    <n v="681250"/>
    <n v="545000"/>
    <x v="0"/>
  </r>
  <r>
    <x v="3"/>
    <n v="237880"/>
    <n v="643203"/>
    <x v="9"/>
    <x v="10"/>
    <x v="6"/>
    <n v="494375"/>
    <n v="395500"/>
    <x v="0"/>
  </r>
  <r>
    <x v="3"/>
    <n v="237881"/>
    <n v="643205"/>
    <x v="9"/>
    <x v="10"/>
    <x v="16"/>
    <n v="23884.46"/>
    <n v="19107.57"/>
    <x v="0"/>
  </r>
  <r>
    <x v="3"/>
    <n v="237882"/>
    <n v="643206"/>
    <x v="9"/>
    <x v="10"/>
    <x v="15"/>
    <n v="45923.44"/>
    <n v="36738.75"/>
    <x v="0"/>
  </r>
  <r>
    <x v="3"/>
    <n v="237883"/>
    <n v="643207"/>
    <x v="9"/>
    <x v="10"/>
    <x v="15"/>
    <n v="24718.75"/>
    <n v="19775"/>
    <x v="0"/>
  </r>
  <r>
    <x v="3"/>
    <n v="237884"/>
    <n v="643208"/>
    <x v="9"/>
    <x v="10"/>
    <x v="17"/>
    <n v="5137.5"/>
    <n v="4110"/>
    <x v="0"/>
  </r>
  <r>
    <x v="3"/>
    <n v="237886"/>
    <n v="643213"/>
    <x v="10"/>
    <x v="11"/>
    <x v="9"/>
    <n v="218750"/>
    <n v="175000"/>
    <x v="4"/>
  </r>
  <r>
    <x v="4"/>
    <n v="237889"/>
    <n v="643216"/>
    <x v="10"/>
    <x v="11"/>
    <x v="6"/>
    <n v="1206420"/>
    <n v="965136"/>
    <x v="4"/>
  </r>
  <r>
    <x v="4"/>
    <n v="237890"/>
    <n v="643217"/>
    <x v="10"/>
    <x v="11"/>
    <x v="16"/>
    <n v="42029.43"/>
    <n v="33623.54"/>
    <x v="4"/>
  </r>
  <r>
    <x v="4"/>
    <n v="237891"/>
    <n v="643218"/>
    <x v="10"/>
    <x v="11"/>
    <x v="15"/>
    <n v="81795.570000000007"/>
    <n v="65436.46"/>
    <x v="4"/>
  </r>
  <r>
    <x v="4"/>
    <n v="237892"/>
    <n v="643219"/>
    <x v="10"/>
    <x v="11"/>
    <x v="15"/>
    <n v="12500"/>
    <n v="10000"/>
    <x v="4"/>
  </r>
  <r>
    <x v="4"/>
    <n v="237907"/>
    <n v="643241"/>
    <x v="11"/>
    <x v="6"/>
    <x v="9"/>
    <n v="10000"/>
    <n v="8000"/>
    <x v="4"/>
  </r>
  <r>
    <x v="4"/>
    <n v="237908"/>
    <n v="643242"/>
    <x v="11"/>
    <x v="6"/>
    <x v="16"/>
    <n v="22.93"/>
    <n v="18.34"/>
    <x v="4"/>
  </r>
  <r>
    <x v="4"/>
    <n v="237969"/>
    <n v="643473"/>
    <x v="10"/>
    <x v="11"/>
    <x v="10"/>
    <n v="125000"/>
    <n v="100000"/>
    <x v="4"/>
  </r>
  <r>
    <x v="4"/>
    <n v="237972"/>
    <n v="643476"/>
    <x v="12"/>
    <x v="12"/>
    <x v="14"/>
    <n v="5000"/>
    <n v="4000"/>
    <x v="0"/>
  </r>
  <r>
    <x v="4"/>
    <n v="237973"/>
    <n v="643477"/>
    <x v="12"/>
    <x v="12"/>
    <x v="9"/>
    <n v="245000"/>
    <n v="196000"/>
    <x v="0"/>
  </r>
  <r>
    <x v="4"/>
    <n v="237974"/>
    <n v="643478"/>
    <x v="12"/>
    <x v="12"/>
    <x v="16"/>
    <n v="8056.81"/>
    <n v="6445.45"/>
    <x v="0"/>
  </r>
  <r>
    <x v="4"/>
    <n v="237980"/>
    <n v="643484"/>
    <x v="12"/>
    <x v="12"/>
    <x v="17"/>
    <n v="15"/>
    <n v="12"/>
    <x v="0"/>
  </r>
  <r>
    <x v="4"/>
    <n v="238001"/>
    <n v="643511"/>
    <x v="9"/>
    <x v="10"/>
    <x v="27"/>
    <n v="131250"/>
    <n v="105000"/>
    <x v="0"/>
  </r>
  <r>
    <x v="4"/>
    <n v="237746"/>
    <n v="643046"/>
    <x v="8"/>
    <x v="9"/>
    <x v="15"/>
    <n v="51.7"/>
    <n v="41.36"/>
    <x v="0"/>
  </r>
  <r>
    <x v="4"/>
    <n v="237747"/>
    <n v="643047"/>
    <x v="8"/>
    <x v="9"/>
    <x v="17"/>
    <n v="300"/>
    <n v="240"/>
    <x v="0"/>
  </r>
  <r>
    <x v="4"/>
    <n v="237835"/>
    <n v="643138"/>
    <x v="7"/>
    <x v="8"/>
    <x v="10"/>
    <n v="100000"/>
    <n v="80000"/>
    <x v="1"/>
  </r>
  <r>
    <x v="4"/>
    <n v="237874"/>
    <n v="643197"/>
    <x v="9"/>
    <x v="10"/>
    <x v="26"/>
    <n v="37500"/>
    <n v="30000"/>
    <x v="0"/>
  </r>
  <r>
    <x v="4"/>
    <n v="237875"/>
    <n v="643198"/>
    <x v="9"/>
    <x v="10"/>
    <x v="14"/>
    <n v="1675000"/>
    <n v="1340000"/>
    <x v="0"/>
  </r>
  <r>
    <x v="4"/>
    <n v="237877"/>
    <n v="643200"/>
    <x v="9"/>
    <x v="10"/>
    <x v="9"/>
    <n v="925000"/>
    <n v="740000"/>
    <x v="0"/>
  </r>
  <r>
    <x v="4"/>
    <n v="237879"/>
    <n v="643202"/>
    <x v="9"/>
    <x v="10"/>
    <x v="13"/>
    <n v="681250"/>
    <n v="545000"/>
    <x v="0"/>
  </r>
  <r>
    <x v="4"/>
    <n v="237880"/>
    <n v="643203"/>
    <x v="9"/>
    <x v="10"/>
    <x v="6"/>
    <n v="494375"/>
    <n v="395500"/>
    <x v="0"/>
  </r>
  <r>
    <x v="4"/>
    <n v="237881"/>
    <n v="643205"/>
    <x v="9"/>
    <x v="10"/>
    <x v="16"/>
    <n v="23884.46"/>
    <n v="19107.57"/>
    <x v="0"/>
  </r>
  <r>
    <x v="4"/>
    <n v="237882"/>
    <n v="643206"/>
    <x v="9"/>
    <x v="10"/>
    <x v="15"/>
    <n v="45923.44"/>
    <n v="36738.75"/>
    <x v="0"/>
  </r>
  <r>
    <x v="4"/>
    <n v="237883"/>
    <n v="643207"/>
    <x v="9"/>
    <x v="10"/>
    <x v="15"/>
    <n v="24718.75"/>
    <n v="19775"/>
    <x v="0"/>
  </r>
  <r>
    <x v="4"/>
    <n v="237884"/>
    <n v="643208"/>
    <x v="9"/>
    <x v="10"/>
    <x v="17"/>
    <n v="5137.5"/>
    <n v="4110"/>
    <x v="0"/>
  </r>
  <r>
    <x v="4"/>
    <n v="237886"/>
    <n v="643213"/>
    <x v="10"/>
    <x v="11"/>
    <x v="9"/>
    <n v="218750"/>
    <n v="175000"/>
    <x v="4"/>
  </r>
  <r>
    <x v="4"/>
    <n v="237889"/>
    <n v="643216"/>
    <x v="10"/>
    <x v="11"/>
    <x v="6"/>
    <n v="1206420"/>
    <n v="965136"/>
    <x v="4"/>
  </r>
  <r>
    <x v="4"/>
    <n v="237890"/>
    <n v="643217"/>
    <x v="10"/>
    <x v="11"/>
    <x v="16"/>
    <n v="42029.43"/>
    <n v="33623.54"/>
    <x v="4"/>
  </r>
  <r>
    <x v="4"/>
    <n v="237891"/>
    <n v="643218"/>
    <x v="10"/>
    <x v="11"/>
    <x v="15"/>
    <n v="81795.570000000007"/>
    <n v="65436.46"/>
    <x v="4"/>
  </r>
  <r>
    <x v="3"/>
    <n v="237892"/>
    <n v="643219"/>
    <x v="10"/>
    <x v="11"/>
    <x v="15"/>
    <n v="12500"/>
    <n v="10000"/>
    <x v="4"/>
  </r>
  <r>
    <x v="3"/>
    <n v="237907"/>
    <n v="643241"/>
    <x v="11"/>
    <x v="6"/>
    <x v="9"/>
    <n v="10000"/>
    <n v="8000"/>
    <x v="4"/>
  </r>
  <r>
    <x v="3"/>
    <n v="237908"/>
    <n v="643242"/>
    <x v="11"/>
    <x v="6"/>
    <x v="16"/>
    <n v="22.93"/>
    <n v="18.34"/>
    <x v="4"/>
  </r>
  <r>
    <x v="5"/>
    <n v="237969"/>
    <n v="643473"/>
    <x v="10"/>
    <x v="11"/>
    <x v="10"/>
    <n v="125000"/>
    <n v="100000"/>
    <x v="4"/>
  </r>
  <r>
    <x v="5"/>
    <n v="237972"/>
    <n v="643476"/>
    <x v="12"/>
    <x v="12"/>
    <x v="14"/>
    <n v="5000"/>
    <n v="4000"/>
    <x v="0"/>
  </r>
  <r>
    <x v="5"/>
    <n v="237973"/>
    <n v="643477"/>
    <x v="12"/>
    <x v="12"/>
    <x v="9"/>
    <n v="245000"/>
    <n v="196000"/>
    <x v="0"/>
  </r>
  <r>
    <x v="5"/>
    <n v="237974"/>
    <n v="643478"/>
    <x v="12"/>
    <x v="12"/>
    <x v="16"/>
    <n v="8056.81"/>
    <n v="6445.45"/>
    <x v="0"/>
  </r>
  <r>
    <x v="5"/>
    <n v="237980"/>
    <n v="643484"/>
    <x v="12"/>
    <x v="12"/>
    <x v="17"/>
    <n v="15"/>
    <n v="12"/>
    <x v="0"/>
  </r>
  <r>
    <x v="5"/>
    <n v="238001"/>
    <n v="643511"/>
    <x v="9"/>
    <x v="10"/>
    <x v="27"/>
    <n v="131250"/>
    <n v="105000"/>
    <x v="0"/>
  </r>
  <r>
    <x v="5"/>
    <n v="229491"/>
    <n v="624844"/>
    <x v="0"/>
    <x v="0"/>
    <x v="0"/>
    <n v="1225"/>
    <n v="980"/>
    <x v="0"/>
  </r>
  <r>
    <x v="5"/>
    <n v="232042"/>
    <n v="630473"/>
    <x v="1"/>
    <x v="1"/>
    <x v="1"/>
    <n v="125000"/>
    <n v="100000"/>
    <x v="0"/>
  </r>
  <r>
    <x v="5"/>
    <n v="233123"/>
    <n v="632974"/>
    <x v="1"/>
    <x v="2"/>
    <x v="2"/>
    <n v="5555.56"/>
    <n v="4444.45"/>
    <x v="0"/>
  </r>
  <r>
    <x v="5"/>
    <n v="236414"/>
    <n v="640323"/>
    <x v="3"/>
    <x v="4"/>
    <x v="4"/>
    <n v="200000"/>
    <n v="160000"/>
    <x v="2"/>
  </r>
  <r>
    <x v="5"/>
    <n v="236882"/>
    <n v="641246"/>
    <x v="1"/>
    <x v="2"/>
    <x v="3"/>
    <n v="1248.1099999999999"/>
    <n v="998.49"/>
    <x v="0"/>
  </r>
  <r>
    <x v="5"/>
    <n v="237146"/>
    <n v="641815"/>
    <x v="2"/>
    <x v="3"/>
    <x v="4"/>
    <n v="120000"/>
    <n v="96000"/>
    <x v="1"/>
  </r>
  <r>
    <x v="5"/>
    <n v="237146"/>
    <n v="641816"/>
    <x v="2"/>
    <x v="3"/>
    <x v="4"/>
    <n v="3750"/>
    <n v="3000"/>
    <x v="1"/>
  </r>
  <r>
    <x v="5"/>
    <n v="237535"/>
    <n v="642718"/>
    <x v="4"/>
    <x v="5"/>
    <x v="5"/>
    <n v="90375.679999999993"/>
    <n v="72300.539999999994"/>
    <x v="3"/>
  </r>
  <r>
    <x v="5"/>
    <n v="237537"/>
    <n v="642724"/>
    <x v="4"/>
    <x v="5"/>
    <x v="6"/>
    <n v="45000"/>
    <n v="36000"/>
    <x v="3"/>
  </r>
  <r>
    <x v="5"/>
    <n v="237541"/>
    <n v="642728"/>
    <x v="4"/>
    <x v="5"/>
    <x v="7"/>
    <n v="20000"/>
    <n v="16000"/>
    <x v="3"/>
  </r>
  <r>
    <x v="5"/>
    <n v="237543"/>
    <n v="642731"/>
    <x v="4"/>
    <x v="5"/>
    <x v="8"/>
    <n v="9600"/>
    <n v="7680"/>
    <x v="3"/>
  </r>
  <r>
    <x v="5"/>
    <n v="237546"/>
    <n v="642735"/>
    <x v="4"/>
    <x v="5"/>
    <x v="9"/>
    <n v="185864.55"/>
    <n v="148691.64000000001"/>
    <x v="3"/>
  </r>
  <r>
    <x v="5"/>
    <n v="237548"/>
    <n v="642741"/>
    <x v="4"/>
    <x v="5"/>
    <x v="10"/>
    <n v="62500"/>
    <n v="50000"/>
    <x v="3"/>
  </r>
  <r>
    <x v="5"/>
    <n v="237550"/>
    <n v="642744"/>
    <x v="4"/>
    <x v="5"/>
    <x v="10"/>
    <n v="10000"/>
    <n v="8000"/>
    <x v="3"/>
  </r>
  <r>
    <x v="5"/>
    <n v="237551"/>
    <n v="642745"/>
    <x v="4"/>
    <x v="5"/>
    <x v="6"/>
    <n v="71872.490000000005"/>
    <n v="57497.99"/>
    <x v="3"/>
  </r>
  <r>
    <x v="6"/>
    <n v="237553"/>
    <n v="642747"/>
    <x v="4"/>
    <x v="5"/>
    <x v="6"/>
    <n v="33599.760000000002"/>
    <n v="26879.81"/>
    <x v="3"/>
  </r>
  <r>
    <x v="6"/>
    <n v="237555"/>
    <n v="642749"/>
    <x v="4"/>
    <x v="5"/>
    <x v="11"/>
    <n v="17500"/>
    <n v="14000"/>
    <x v="3"/>
  </r>
  <r>
    <x v="6"/>
    <n v="237556"/>
    <n v="642751"/>
    <x v="4"/>
    <x v="5"/>
    <x v="12"/>
    <n v="25000"/>
    <n v="20000"/>
    <x v="3"/>
  </r>
  <r>
    <x v="6"/>
    <n v="237557"/>
    <n v="642752"/>
    <x v="4"/>
    <x v="5"/>
    <x v="13"/>
    <n v="87500"/>
    <n v="70000"/>
    <x v="3"/>
  </r>
  <r>
    <x v="6"/>
    <n v="237558"/>
    <n v="642753"/>
    <x v="4"/>
    <x v="5"/>
    <x v="14"/>
    <n v="20000"/>
    <n v="16000"/>
    <x v="3"/>
  </r>
  <r>
    <x v="6"/>
    <n v="237559"/>
    <n v="642754"/>
    <x v="4"/>
    <x v="5"/>
    <x v="15"/>
    <n v="22524.73"/>
    <n v="18019.78"/>
    <x v="3"/>
  </r>
  <r>
    <x v="6"/>
    <n v="237560"/>
    <n v="642755"/>
    <x v="4"/>
    <x v="5"/>
    <x v="16"/>
    <n v="6099.22"/>
    <n v="4879.38"/>
    <x v="3"/>
  </r>
  <r>
    <x v="6"/>
    <n v="237562"/>
    <n v="642757"/>
    <x v="4"/>
    <x v="5"/>
    <x v="17"/>
    <n v="60"/>
    <n v="48"/>
    <x v="3"/>
  </r>
  <r>
    <x v="6"/>
    <n v="237606"/>
    <n v="642818"/>
    <x v="5"/>
    <x v="6"/>
    <x v="18"/>
    <n v="16000"/>
    <n v="12800"/>
    <x v="4"/>
  </r>
  <r>
    <x v="6"/>
    <n v="237660"/>
    <n v="642920"/>
    <x v="3"/>
    <x v="4"/>
    <x v="19"/>
    <n v="124831.13"/>
    <n v="99864.9"/>
    <x v="2"/>
  </r>
  <r>
    <x v="6"/>
    <n v="237663"/>
    <n v="642934"/>
    <x v="0"/>
    <x v="0"/>
    <x v="20"/>
    <n v="25625"/>
    <n v="20500"/>
    <x v="0"/>
  </r>
  <r>
    <x v="6"/>
    <n v="237682"/>
    <n v="642961"/>
    <x v="6"/>
    <x v="7"/>
    <x v="9"/>
    <n v="287500"/>
    <n v="230000"/>
    <x v="1"/>
  </r>
  <r>
    <x v="6"/>
    <n v="237683"/>
    <n v="642962"/>
    <x v="6"/>
    <x v="7"/>
    <x v="6"/>
    <n v="50000"/>
    <n v="40000"/>
    <x v="1"/>
  </r>
  <r>
    <x v="6"/>
    <n v="237684"/>
    <n v="642963"/>
    <x v="6"/>
    <x v="7"/>
    <x v="5"/>
    <n v="162500"/>
    <n v="130000"/>
    <x v="1"/>
  </r>
  <r>
    <x v="6"/>
    <n v="237685"/>
    <n v="642964"/>
    <x v="6"/>
    <x v="7"/>
    <x v="16"/>
    <n v="1419.66"/>
    <n v="1135.73"/>
    <x v="1"/>
  </r>
  <r>
    <x v="6"/>
    <n v="237686"/>
    <n v="642965"/>
    <x v="6"/>
    <x v="7"/>
    <x v="15"/>
    <n v="6800"/>
    <n v="5440"/>
    <x v="1"/>
  </r>
  <r>
    <x v="6"/>
    <n v="237687"/>
    <n v="642966"/>
    <x v="7"/>
    <x v="8"/>
    <x v="6"/>
    <n v="425000"/>
    <n v="340000"/>
    <x v="1"/>
  </r>
  <r>
    <x v="6"/>
    <n v="237688"/>
    <n v="642967"/>
    <x v="7"/>
    <x v="8"/>
    <x v="9"/>
    <n v="300000"/>
    <n v="240000"/>
    <x v="1"/>
  </r>
  <r>
    <x v="6"/>
    <n v="237689"/>
    <n v="642968"/>
    <x v="7"/>
    <x v="8"/>
    <x v="13"/>
    <n v="75000"/>
    <n v="60000"/>
    <x v="1"/>
  </r>
  <r>
    <x v="6"/>
    <n v="237690"/>
    <n v="642969"/>
    <x v="7"/>
    <x v="8"/>
    <x v="21"/>
    <n v="130000"/>
    <n v="104000"/>
    <x v="1"/>
  </r>
  <r>
    <x v="6"/>
    <n v="237691"/>
    <n v="642970"/>
    <x v="7"/>
    <x v="8"/>
    <x v="16"/>
    <n v="7828.05"/>
    <n v="6262.44"/>
    <x v="1"/>
  </r>
  <r>
    <x v="6"/>
    <n v="237692"/>
    <n v="642971"/>
    <x v="7"/>
    <x v="8"/>
    <x v="15"/>
    <n v="30937.5"/>
    <n v="24750"/>
    <x v="1"/>
  </r>
  <r>
    <x v="6"/>
    <n v="237698"/>
    <n v="642980"/>
    <x v="1"/>
    <x v="2"/>
    <x v="22"/>
    <n v="15625"/>
    <n v="12500"/>
    <x v="0"/>
  </r>
  <r>
    <x v="6"/>
    <n v="237700"/>
    <n v="642982"/>
    <x v="1"/>
    <x v="2"/>
    <x v="23"/>
    <n v="9375"/>
    <n v="7500"/>
    <x v="0"/>
  </r>
  <r>
    <x v="6"/>
    <n v="237701"/>
    <n v="642983"/>
    <x v="1"/>
    <x v="2"/>
    <x v="24"/>
    <n v="8333.33"/>
    <n v="6666.66"/>
    <x v="0"/>
  </r>
  <r>
    <x v="6"/>
    <n v="237729"/>
    <n v="643022"/>
    <x v="0"/>
    <x v="0"/>
    <x v="14"/>
    <n v="105940"/>
    <n v="84752"/>
    <x v="0"/>
  </r>
  <r>
    <x v="6"/>
    <n v="237731"/>
    <n v="643024"/>
    <x v="0"/>
    <x v="0"/>
    <x v="9"/>
    <n v="45322.13"/>
    <n v="36257.699999999997"/>
    <x v="0"/>
  </r>
  <r>
    <x v="6"/>
    <n v="237735"/>
    <n v="643031"/>
    <x v="0"/>
    <x v="0"/>
    <x v="16"/>
    <n v="158.69999999999999"/>
    <n v="126.96"/>
    <x v="0"/>
  </r>
  <r>
    <x v="6"/>
    <n v="237736"/>
    <n v="643033"/>
    <x v="8"/>
    <x v="9"/>
    <x v="14"/>
    <n v="100000"/>
    <n v="80000"/>
    <x v="0"/>
  </r>
  <r>
    <x v="6"/>
    <n v="237738"/>
    <n v="643039"/>
    <x v="8"/>
    <x v="9"/>
    <x v="25"/>
    <n v="100000"/>
    <n v="80000"/>
    <x v="0"/>
  </r>
  <r>
    <x v="6"/>
    <n v="237739"/>
    <n v="643035"/>
    <x v="8"/>
    <x v="9"/>
    <x v="6"/>
    <n v="100000.01"/>
    <n v="80000.009999999995"/>
    <x v="0"/>
  </r>
  <r>
    <x v="6"/>
    <n v="237743"/>
    <n v="643042"/>
    <x v="8"/>
    <x v="9"/>
    <x v="16"/>
    <n v="113.26"/>
    <n v="90.61"/>
    <x v="0"/>
  </r>
  <r>
    <x v="7"/>
    <n v="237744"/>
    <n v="643043"/>
    <x v="8"/>
    <x v="9"/>
    <x v="15"/>
    <n v="1900.68"/>
    <n v="1520.54"/>
    <x v="0"/>
  </r>
  <r>
    <x v="7"/>
    <n v="237745"/>
    <n v="643045"/>
    <x v="8"/>
    <x v="9"/>
    <x v="9"/>
    <n v="62500"/>
    <n v="50000"/>
    <x v="0"/>
  </r>
  <r>
    <x v="7"/>
    <n v="237746"/>
    <n v="643046"/>
    <x v="8"/>
    <x v="9"/>
    <x v="15"/>
    <n v="51.7"/>
    <n v="41.36"/>
    <x v="0"/>
  </r>
  <r>
    <x v="7"/>
    <n v="237747"/>
    <n v="643047"/>
    <x v="8"/>
    <x v="9"/>
    <x v="17"/>
    <n v="300"/>
    <n v="240"/>
    <x v="0"/>
  </r>
  <r>
    <x v="7"/>
    <n v="237835"/>
    <n v="643138"/>
    <x v="7"/>
    <x v="8"/>
    <x v="10"/>
    <n v="100000"/>
    <n v="80000"/>
    <x v="1"/>
  </r>
  <r>
    <x v="7"/>
    <n v="237874"/>
    <n v="643197"/>
    <x v="9"/>
    <x v="10"/>
    <x v="26"/>
    <n v="37500"/>
    <n v="30000"/>
    <x v="0"/>
  </r>
  <r>
    <x v="7"/>
    <n v="237875"/>
    <n v="643198"/>
    <x v="9"/>
    <x v="10"/>
    <x v="14"/>
    <n v="1675000"/>
    <n v="1340000"/>
    <x v="0"/>
  </r>
  <r>
    <x v="7"/>
    <n v="237877"/>
    <n v="643200"/>
    <x v="9"/>
    <x v="10"/>
    <x v="9"/>
    <n v="925000"/>
    <n v="740000"/>
    <x v="0"/>
  </r>
  <r>
    <x v="7"/>
    <n v="237879"/>
    <n v="643202"/>
    <x v="9"/>
    <x v="10"/>
    <x v="13"/>
    <n v="681250"/>
    <n v="545000"/>
    <x v="0"/>
  </r>
  <r>
    <x v="7"/>
    <n v="237880"/>
    <n v="643203"/>
    <x v="9"/>
    <x v="10"/>
    <x v="6"/>
    <n v="494375"/>
    <n v="395500"/>
    <x v="0"/>
  </r>
  <r>
    <x v="7"/>
    <n v="237881"/>
    <n v="643205"/>
    <x v="9"/>
    <x v="10"/>
    <x v="16"/>
    <n v="23884.46"/>
    <n v="19107.57"/>
    <x v="0"/>
  </r>
  <r>
    <x v="7"/>
    <n v="237882"/>
    <n v="643206"/>
    <x v="9"/>
    <x v="10"/>
    <x v="15"/>
    <n v="45923.44"/>
    <n v="36738.75"/>
    <x v="0"/>
  </r>
  <r>
    <x v="7"/>
    <n v="237883"/>
    <n v="643207"/>
    <x v="9"/>
    <x v="10"/>
    <x v="15"/>
    <n v="24718.75"/>
    <n v="19775"/>
    <x v="0"/>
  </r>
  <r>
    <x v="7"/>
    <n v="237884"/>
    <n v="643208"/>
    <x v="9"/>
    <x v="10"/>
    <x v="17"/>
    <n v="5137.5"/>
    <n v="4110"/>
    <x v="0"/>
  </r>
  <r>
    <x v="7"/>
    <n v="237886"/>
    <n v="643213"/>
    <x v="10"/>
    <x v="11"/>
    <x v="9"/>
    <n v="218750"/>
    <n v="175000"/>
    <x v="4"/>
  </r>
  <r>
    <x v="7"/>
    <n v="237889"/>
    <n v="643216"/>
    <x v="10"/>
    <x v="11"/>
    <x v="6"/>
    <n v="1206420"/>
    <n v="965136"/>
    <x v="4"/>
  </r>
  <r>
    <x v="7"/>
    <n v="237890"/>
    <n v="643217"/>
    <x v="10"/>
    <x v="11"/>
    <x v="16"/>
    <n v="42029.43"/>
    <n v="33623.54"/>
    <x v="4"/>
  </r>
  <r>
    <x v="7"/>
    <n v="237891"/>
    <n v="643218"/>
    <x v="10"/>
    <x v="11"/>
    <x v="15"/>
    <n v="81795.570000000007"/>
    <n v="65436.46"/>
    <x v="4"/>
  </r>
  <r>
    <x v="7"/>
    <n v="237892"/>
    <n v="643219"/>
    <x v="10"/>
    <x v="11"/>
    <x v="15"/>
    <n v="12500"/>
    <n v="10000"/>
    <x v="4"/>
  </r>
  <r>
    <x v="7"/>
    <n v="237907"/>
    <n v="643241"/>
    <x v="11"/>
    <x v="6"/>
    <x v="9"/>
    <n v="10000"/>
    <n v="8000"/>
    <x v="4"/>
  </r>
  <r>
    <x v="7"/>
    <n v="237908"/>
    <n v="643242"/>
    <x v="11"/>
    <x v="6"/>
    <x v="16"/>
    <n v="22.93"/>
    <n v="18.34"/>
    <x v="4"/>
  </r>
  <r>
    <x v="8"/>
    <n v="237969"/>
    <n v="643473"/>
    <x v="10"/>
    <x v="11"/>
    <x v="10"/>
    <n v="125000"/>
    <n v="100000"/>
    <x v="4"/>
  </r>
  <r>
    <x v="8"/>
    <n v="237972"/>
    <n v="643476"/>
    <x v="12"/>
    <x v="12"/>
    <x v="14"/>
    <n v="5000"/>
    <n v="4000"/>
    <x v="0"/>
  </r>
  <r>
    <x v="8"/>
    <n v="237973"/>
    <n v="643477"/>
    <x v="12"/>
    <x v="12"/>
    <x v="9"/>
    <n v="245000"/>
    <n v="196000"/>
    <x v="0"/>
  </r>
  <r>
    <x v="8"/>
    <n v="237974"/>
    <n v="643478"/>
    <x v="12"/>
    <x v="12"/>
    <x v="16"/>
    <n v="8056.81"/>
    <n v="6445.45"/>
    <x v="0"/>
  </r>
  <r>
    <x v="8"/>
    <n v="237980"/>
    <n v="643484"/>
    <x v="12"/>
    <x v="12"/>
    <x v="17"/>
    <n v="15"/>
    <n v="12"/>
    <x v="0"/>
  </r>
  <r>
    <x v="8"/>
    <n v="238001"/>
    <n v="643511"/>
    <x v="9"/>
    <x v="10"/>
    <x v="27"/>
    <n v="131250"/>
    <n v="105000"/>
    <x v="0"/>
  </r>
  <r>
    <x v="8"/>
    <n v="237736"/>
    <n v="643033"/>
    <x v="8"/>
    <x v="9"/>
    <x v="14"/>
    <n v="100000"/>
    <n v="80000"/>
    <x v="0"/>
  </r>
  <r>
    <x v="8"/>
    <n v="237738"/>
    <n v="643039"/>
    <x v="8"/>
    <x v="9"/>
    <x v="25"/>
    <n v="100000"/>
    <n v="80000"/>
    <x v="0"/>
  </r>
  <r>
    <x v="8"/>
    <n v="237739"/>
    <n v="643035"/>
    <x v="8"/>
    <x v="9"/>
    <x v="6"/>
    <n v="100000.01"/>
    <n v="80000.009999999995"/>
    <x v="0"/>
  </r>
  <r>
    <x v="8"/>
    <n v="237743"/>
    <n v="643042"/>
    <x v="8"/>
    <x v="9"/>
    <x v="16"/>
    <n v="113.26"/>
    <n v="90.61"/>
    <x v="0"/>
  </r>
  <r>
    <x v="8"/>
    <n v="237744"/>
    <n v="643043"/>
    <x v="8"/>
    <x v="9"/>
    <x v="15"/>
    <n v="1900.68"/>
    <n v="1520.54"/>
    <x v="0"/>
  </r>
  <r>
    <x v="8"/>
    <n v="237745"/>
    <n v="643045"/>
    <x v="8"/>
    <x v="9"/>
    <x v="9"/>
    <n v="62500"/>
    <n v="50000"/>
    <x v="0"/>
  </r>
  <r>
    <x v="8"/>
    <n v="237746"/>
    <n v="643046"/>
    <x v="8"/>
    <x v="9"/>
    <x v="15"/>
    <n v="51.7"/>
    <n v="41.36"/>
    <x v="0"/>
  </r>
  <r>
    <x v="8"/>
    <n v="237747"/>
    <n v="643047"/>
    <x v="8"/>
    <x v="9"/>
    <x v="17"/>
    <n v="300"/>
    <n v="240"/>
    <x v="0"/>
  </r>
  <r>
    <x v="8"/>
    <n v="237835"/>
    <n v="643138"/>
    <x v="7"/>
    <x v="8"/>
    <x v="10"/>
    <n v="100000"/>
    <n v="80000"/>
    <x v="1"/>
  </r>
  <r>
    <x v="8"/>
    <n v="237874"/>
    <n v="643197"/>
    <x v="9"/>
    <x v="10"/>
    <x v="26"/>
    <n v="37500"/>
    <n v="30000"/>
    <x v="0"/>
  </r>
  <r>
    <x v="8"/>
    <n v="237875"/>
    <n v="643198"/>
    <x v="9"/>
    <x v="10"/>
    <x v="14"/>
    <n v="1675000"/>
    <n v="1340000"/>
    <x v="0"/>
  </r>
  <r>
    <x v="8"/>
    <n v="237877"/>
    <n v="643200"/>
    <x v="9"/>
    <x v="10"/>
    <x v="9"/>
    <n v="925000"/>
    <n v="740000"/>
    <x v="0"/>
  </r>
  <r>
    <x v="8"/>
    <n v="237879"/>
    <n v="643202"/>
    <x v="9"/>
    <x v="10"/>
    <x v="13"/>
    <n v="681250"/>
    <n v="545000"/>
    <x v="0"/>
  </r>
  <r>
    <x v="8"/>
    <n v="237880"/>
    <n v="643203"/>
    <x v="9"/>
    <x v="10"/>
    <x v="6"/>
    <n v="494375"/>
    <n v="395500"/>
    <x v="0"/>
  </r>
  <r>
    <x v="8"/>
    <n v="237881"/>
    <n v="643205"/>
    <x v="9"/>
    <x v="10"/>
    <x v="16"/>
    <n v="23884.46"/>
    <n v="19107.57"/>
    <x v="0"/>
  </r>
  <r>
    <x v="8"/>
    <n v="237882"/>
    <n v="643206"/>
    <x v="9"/>
    <x v="10"/>
    <x v="15"/>
    <n v="45923.44"/>
    <n v="36738.75"/>
    <x v="0"/>
  </r>
  <r>
    <x v="8"/>
    <n v="237883"/>
    <n v="643207"/>
    <x v="9"/>
    <x v="10"/>
    <x v="15"/>
    <n v="24718.75"/>
    <n v="19775"/>
    <x v="0"/>
  </r>
  <r>
    <x v="8"/>
    <n v="237884"/>
    <n v="643208"/>
    <x v="9"/>
    <x v="10"/>
    <x v="17"/>
    <n v="5137.5"/>
    <n v="4110"/>
    <x v="0"/>
  </r>
  <r>
    <x v="8"/>
    <n v="237886"/>
    <n v="643213"/>
    <x v="10"/>
    <x v="11"/>
    <x v="9"/>
    <n v="218750"/>
    <n v="175000"/>
    <x v="4"/>
  </r>
  <r>
    <x v="8"/>
    <n v="237889"/>
    <n v="643216"/>
    <x v="10"/>
    <x v="11"/>
    <x v="6"/>
    <n v="1206420"/>
    <n v="965136"/>
    <x v="4"/>
  </r>
  <r>
    <x v="8"/>
    <n v="237890"/>
    <n v="643217"/>
    <x v="10"/>
    <x v="11"/>
    <x v="16"/>
    <n v="42029.43"/>
    <n v="33623.54"/>
    <x v="4"/>
  </r>
  <r>
    <x v="8"/>
    <n v="237891"/>
    <n v="643218"/>
    <x v="10"/>
    <x v="11"/>
    <x v="15"/>
    <n v="81795.570000000007"/>
    <n v="65436.46"/>
    <x v="4"/>
  </r>
  <r>
    <x v="8"/>
    <n v="237892"/>
    <n v="643219"/>
    <x v="10"/>
    <x v="11"/>
    <x v="15"/>
    <n v="12500"/>
    <n v="10000"/>
    <x v="4"/>
  </r>
  <r>
    <x v="8"/>
    <n v="237907"/>
    <n v="643241"/>
    <x v="11"/>
    <x v="6"/>
    <x v="9"/>
    <n v="10000"/>
    <n v="8000"/>
    <x v="4"/>
  </r>
  <r>
    <x v="8"/>
    <n v="237908"/>
    <n v="643242"/>
    <x v="11"/>
    <x v="6"/>
    <x v="16"/>
    <n v="22.93"/>
    <n v="18.34"/>
    <x v="4"/>
  </r>
  <r>
    <x v="8"/>
    <n v="237969"/>
    <n v="643473"/>
    <x v="10"/>
    <x v="11"/>
    <x v="10"/>
    <n v="125000"/>
    <n v="100000"/>
    <x v="4"/>
  </r>
  <r>
    <x v="8"/>
    <n v="237972"/>
    <n v="643476"/>
    <x v="12"/>
    <x v="12"/>
    <x v="14"/>
    <n v="5000"/>
    <n v="4000"/>
    <x v="0"/>
  </r>
  <r>
    <x v="8"/>
    <n v="237973"/>
    <n v="643477"/>
    <x v="12"/>
    <x v="12"/>
    <x v="9"/>
    <n v="245000"/>
    <n v="196000"/>
    <x v="0"/>
  </r>
  <r>
    <x v="8"/>
    <n v="237974"/>
    <n v="643478"/>
    <x v="12"/>
    <x v="12"/>
    <x v="16"/>
    <n v="8056.81"/>
    <n v="6445.45"/>
    <x v="0"/>
  </r>
  <r>
    <x v="7"/>
    <n v="237980"/>
    <n v="643484"/>
    <x v="12"/>
    <x v="12"/>
    <x v="17"/>
    <n v="15"/>
    <n v="12"/>
    <x v="0"/>
  </r>
  <r>
    <x v="7"/>
    <n v="238001"/>
    <n v="643511"/>
    <x v="9"/>
    <x v="10"/>
    <x v="27"/>
    <n v="131250"/>
    <n v="105000"/>
    <x v="0"/>
  </r>
  <r>
    <x v="7"/>
    <n v="237886"/>
    <n v="643213"/>
    <x v="10"/>
    <x v="11"/>
    <x v="9"/>
    <n v="218750"/>
    <n v="175000"/>
    <x v="4"/>
  </r>
  <r>
    <x v="7"/>
    <n v="237889"/>
    <n v="643216"/>
    <x v="10"/>
    <x v="11"/>
    <x v="6"/>
    <n v="1206420"/>
    <n v="965136"/>
    <x v="4"/>
  </r>
  <r>
    <x v="7"/>
    <n v="237890"/>
    <n v="643217"/>
    <x v="10"/>
    <x v="11"/>
    <x v="16"/>
    <n v="42029.43"/>
    <n v="33623.54"/>
    <x v="4"/>
  </r>
  <r>
    <x v="7"/>
    <n v="237891"/>
    <n v="643218"/>
    <x v="10"/>
    <x v="11"/>
    <x v="15"/>
    <n v="81795.570000000007"/>
    <n v="65436.46"/>
    <x v="4"/>
  </r>
  <r>
    <x v="7"/>
    <n v="237892"/>
    <n v="643219"/>
    <x v="10"/>
    <x v="11"/>
    <x v="15"/>
    <n v="12500"/>
    <n v="10000"/>
    <x v="4"/>
  </r>
  <r>
    <x v="7"/>
    <n v="237907"/>
    <n v="643241"/>
    <x v="11"/>
    <x v="6"/>
    <x v="9"/>
    <n v="10000"/>
    <n v="8000"/>
    <x v="4"/>
  </r>
  <r>
    <x v="7"/>
    <n v="237908"/>
    <n v="643242"/>
    <x v="11"/>
    <x v="6"/>
    <x v="16"/>
    <n v="22.93"/>
    <n v="18.34"/>
    <x v="4"/>
  </r>
  <r>
    <x v="7"/>
    <n v="237969"/>
    <n v="643473"/>
    <x v="10"/>
    <x v="11"/>
    <x v="10"/>
    <n v="125000"/>
    <n v="100000"/>
    <x v="4"/>
  </r>
  <r>
    <x v="7"/>
    <n v="237972"/>
    <n v="643476"/>
    <x v="12"/>
    <x v="12"/>
    <x v="14"/>
    <n v="5000"/>
    <n v="4000"/>
    <x v="0"/>
  </r>
  <r>
    <x v="7"/>
    <n v="237973"/>
    <n v="643477"/>
    <x v="12"/>
    <x v="12"/>
    <x v="9"/>
    <n v="245000"/>
    <n v="196000"/>
    <x v="0"/>
  </r>
  <r>
    <x v="7"/>
    <n v="237974"/>
    <n v="643478"/>
    <x v="12"/>
    <x v="12"/>
    <x v="16"/>
    <n v="8056.81"/>
    <n v="6445.45"/>
    <x v="0"/>
  </r>
  <r>
    <x v="7"/>
    <n v="237980"/>
    <n v="643484"/>
    <x v="12"/>
    <x v="12"/>
    <x v="17"/>
    <n v="15"/>
    <n v="12"/>
    <x v="0"/>
  </r>
  <r>
    <x v="7"/>
    <n v="238001"/>
    <n v="643511"/>
    <x v="9"/>
    <x v="10"/>
    <x v="27"/>
    <n v="131250"/>
    <n v="105000"/>
    <x v="0"/>
  </r>
  <r>
    <x v="7"/>
    <n v="237736"/>
    <n v="643033"/>
    <x v="8"/>
    <x v="9"/>
    <x v="14"/>
    <n v="100000"/>
    <n v="80000"/>
    <x v="0"/>
  </r>
  <r>
    <x v="7"/>
    <n v="237738"/>
    <n v="643039"/>
    <x v="8"/>
    <x v="9"/>
    <x v="25"/>
    <n v="100000"/>
    <n v="80000"/>
    <x v="0"/>
  </r>
  <r>
    <x v="7"/>
    <n v="237739"/>
    <n v="643035"/>
    <x v="8"/>
    <x v="9"/>
    <x v="6"/>
    <n v="100000.01"/>
    <n v="80000.009999999995"/>
    <x v="0"/>
  </r>
  <r>
    <x v="7"/>
    <n v="237743"/>
    <n v="643042"/>
    <x v="8"/>
    <x v="9"/>
    <x v="16"/>
    <n v="113.26"/>
    <n v="90.61"/>
    <x v="0"/>
  </r>
  <r>
    <x v="7"/>
    <n v="237744"/>
    <n v="643043"/>
    <x v="8"/>
    <x v="9"/>
    <x v="15"/>
    <n v="1900.68"/>
    <n v="1520.54"/>
    <x v="0"/>
  </r>
  <r>
    <x v="7"/>
    <n v="237745"/>
    <n v="643045"/>
    <x v="8"/>
    <x v="9"/>
    <x v="9"/>
    <n v="62500"/>
    <n v="50000"/>
    <x v="0"/>
  </r>
  <r>
    <x v="7"/>
    <n v="237746"/>
    <n v="643046"/>
    <x v="8"/>
    <x v="9"/>
    <x v="15"/>
    <n v="51.7"/>
    <n v="41.36"/>
    <x v="0"/>
  </r>
  <r>
    <x v="9"/>
    <n v="237747"/>
    <n v="643047"/>
    <x v="8"/>
    <x v="9"/>
    <x v="17"/>
    <n v="300"/>
    <n v="240"/>
    <x v="0"/>
  </r>
  <r>
    <x v="9"/>
    <n v="237835"/>
    <n v="643138"/>
    <x v="7"/>
    <x v="8"/>
    <x v="10"/>
    <n v="100000"/>
    <n v="80000"/>
    <x v="1"/>
  </r>
  <r>
    <x v="9"/>
    <n v="237874"/>
    <n v="643197"/>
    <x v="9"/>
    <x v="10"/>
    <x v="26"/>
    <n v="37500"/>
    <n v="30000"/>
    <x v="0"/>
  </r>
  <r>
    <x v="9"/>
    <n v="237875"/>
    <n v="643198"/>
    <x v="9"/>
    <x v="10"/>
    <x v="14"/>
    <n v="1675000"/>
    <n v="1340000"/>
    <x v="0"/>
  </r>
  <r>
    <x v="9"/>
    <n v="237877"/>
    <n v="643200"/>
    <x v="9"/>
    <x v="10"/>
    <x v="9"/>
    <n v="925000"/>
    <n v="740000"/>
    <x v="0"/>
  </r>
  <r>
    <x v="9"/>
    <n v="237879"/>
    <n v="643202"/>
    <x v="9"/>
    <x v="10"/>
    <x v="13"/>
    <n v="681250"/>
    <n v="545000"/>
    <x v="0"/>
  </r>
  <r>
    <x v="9"/>
    <n v="237880"/>
    <n v="643203"/>
    <x v="9"/>
    <x v="10"/>
    <x v="6"/>
    <n v="494375"/>
    <n v="395500"/>
    <x v="0"/>
  </r>
  <r>
    <x v="9"/>
    <n v="237881"/>
    <n v="643205"/>
    <x v="9"/>
    <x v="10"/>
    <x v="16"/>
    <n v="23884.46"/>
    <n v="19107.57"/>
    <x v="0"/>
  </r>
  <r>
    <x v="9"/>
    <n v="237882"/>
    <n v="643206"/>
    <x v="9"/>
    <x v="10"/>
    <x v="15"/>
    <n v="45923.44"/>
    <n v="36738.75"/>
    <x v="0"/>
  </r>
  <r>
    <x v="9"/>
    <n v="237883"/>
    <n v="643207"/>
    <x v="9"/>
    <x v="10"/>
    <x v="15"/>
    <n v="24718.75"/>
    <n v="19775"/>
    <x v="0"/>
  </r>
  <r>
    <x v="9"/>
    <n v="237884"/>
    <n v="643208"/>
    <x v="9"/>
    <x v="10"/>
    <x v="17"/>
    <n v="5137.5"/>
    <n v="4110"/>
    <x v="0"/>
  </r>
  <r>
    <x v="9"/>
    <n v="237886"/>
    <n v="643213"/>
    <x v="10"/>
    <x v="11"/>
    <x v="9"/>
    <n v="218750"/>
    <n v="175000"/>
    <x v="4"/>
  </r>
  <r>
    <x v="9"/>
    <n v="237889"/>
    <n v="643216"/>
    <x v="10"/>
    <x v="11"/>
    <x v="6"/>
    <n v="1206420"/>
    <n v="965136"/>
    <x v="4"/>
  </r>
  <r>
    <x v="9"/>
    <n v="237890"/>
    <n v="643217"/>
    <x v="10"/>
    <x v="11"/>
    <x v="16"/>
    <n v="42029.43"/>
    <n v="33623.54"/>
    <x v="4"/>
  </r>
  <r>
    <x v="9"/>
    <n v="237891"/>
    <n v="643218"/>
    <x v="10"/>
    <x v="11"/>
    <x v="15"/>
    <n v="81795.570000000007"/>
    <n v="65436.46"/>
    <x v="4"/>
  </r>
  <r>
    <x v="9"/>
    <n v="237892"/>
    <n v="643219"/>
    <x v="10"/>
    <x v="11"/>
    <x v="15"/>
    <n v="12500"/>
    <n v="10000"/>
    <x v="4"/>
  </r>
  <r>
    <x v="9"/>
    <n v="237907"/>
    <n v="643241"/>
    <x v="11"/>
    <x v="6"/>
    <x v="9"/>
    <n v="10000"/>
    <n v="8000"/>
    <x v="4"/>
  </r>
  <r>
    <x v="9"/>
    <n v="237908"/>
    <n v="643242"/>
    <x v="11"/>
    <x v="6"/>
    <x v="16"/>
    <n v="22.93"/>
    <n v="18.34"/>
    <x v="4"/>
  </r>
  <r>
    <x v="9"/>
    <n v="237969"/>
    <n v="643473"/>
    <x v="10"/>
    <x v="11"/>
    <x v="10"/>
    <n v="125000"/>
    <n v="100000"/>
    <x v="4"/>
  </r>
  <r>
    <x v="9"/>
    <n v="237972"/>
    <n v="643476"/>
    <x v="12"/>
    <x v="12"/>
    <x v="14"/>
    <n v="5000"/>
    <n v="4000"/>
    <x v="0"/>
  </r>
  <r>
    <x v="9"/>
    <n v="237973"/>
    <n v="643477"/>
    <x v="12"/>
    <x v="12"/>
    <x v="9"/>
    <n v="245000"/>
    <n v="196000"/>
    <x v="0"/>
  </r>
  <r>
    <x v="9"/>
    <n v="237974"/>
    <n v="643478"/>
    <x v="12"/>
    <x v="12"/>
    <x v="16"/>
    <n v="8056.81"/>
    <n v="6445.45"/>
    <x v="0"/>
  </r>
  <r>
    <x v="9"/>
    <n v="237980"/>
    <n v="643484"/>
    <x v="12"/>
    <x v="12"/>
    <x v="17"/>
    <n v="15"/>
    <n v="12"/>
    <x v="0"/>
  </r>
  <r>
    <x v="9"/>
    <n v="238001"/>
    <n v="643511"/>
    <x v="9"/>
    <x v="10"/>
    <x v="27"/>
    <n v="131250"/>
    <n v="105000"/>
    <x v="0"/>
  </r>
  <r>
    <x v="9"/>
    <n v="237746"/>
    <n v="643046"/>
    <x v="8"/>
    <x v="9"/>
    <x v="15"/>
    <n v="51.7"/>
    <n v="41.36"/>
    <x v="0"/>
  </r>
  <r>
    <x v="9"/>
    <n v="237747"/>
    <n v="643047"/>
    <x v="8"/>
    <x v="9"/>
    <x v="17"/>
    <n v="300"/>
    <n v="240"/>
    <x v="0"/>
  </r>
  <r>
    <x v="9"/>
    <n v="237835"/>
    <n v="643138"/>
    <x v="7"/>
    <x v="8"/>
    <x v="10"/>
    <n v="100000"/>
    <n v="80000"/>
    <x v="1"/>
  </r>
  <r>
    <x v="9"/>
    <n v="237874"/>
    <n v="643197"/>
    <x v="9"/>
    <x v="10"/>
    <x v="26"/>
    <n v="37500"/>
    <n v="30000"/>
    <x v="0"/>
  </r>
  <r>
    <x v="9"/>
    <n v="237875"/>
    <n v="643198"/>
    <x v="9"/>
    <x v="10"/>
    <x v="14"/>
    <n v="1675000"/>
    <n v="1340000"/>
    <x v="0"/>
  </r>
  <r>
    <x v="9"/>
    <n v="237877"/>
    <n v="643200"/>
    <x v="9"/>
    <x v="10"/>
    <x v="9"/>
    <n v="925000"/>
    <n v="740000"/>
    <x v="0"/>
  </r>
  <r>
    <x v="9"/>
    <n v="237879"/>
    <n v="643202"/>
    <x v="9"/>
    <x v="10"/>
    <x v="13"/>
    <n v="681250"/>
    <n v="545000"/>
    <x v="0"/>
  </r>
  <r>
    <x v="9"/>
    <n v="237880"/>
    <n v="643203"/>
    <x v="9"/>
    <x v="10"/>
    <x v="6"/>
    <n v="494375"/>
    <n v="395500"/>
    <x v="0"/>
  </r>
  <r>
    <x v="9"/>
    <n v="237881"/>
    <n v="643205"/>
    <x v="9"/>
    <x v="10"/>
    <x v="16"/>
    <n v="23884.46"/>
    <n v="19107.57"/>
    <x v="0"/>
  </r>
  <r>
    <x v="9"/>
    <n v="237882"/>
    <n v="643206"/>
    <x v="9"/>
    <x v="10"/>
    <x v="15"/>
    <n v="45923.44"/>
    <n v="36738.75"/>
    <x v="0"/>
  </r>
  <r>
    <x v="9"/>
    <n v="237883"/>
    <n v="643207"/>
    <x v="9"/>
    <x v="10"/>
    <x v="15"/>
    <n v="24718.75"/>
    <n v="19775"/>
    <x v="0"/>
  </r>
  <r>
    <x v="9"/>
    <n v="237884"/>
    <n v="643208"/>
    <x v="9"/>
    <x v="10"/>
    <x v="17"/>
    <n v="5137.5"/>
    <n v="4110"/>
    <x v="0"/>
  </r>
  <r>
    <x v="7"/>
    <n v="237886"/>
    <n v="643213"/>
    <x v="10"/>
    <x v="11"/>
    <x v="9"/>
    <n v="218750"/>
    <n v="175000"/>
    <x v="4"/>
  </r>
  <r>
    <x v="7"/>
    <n v="237889"/>
    <n v="643216"/>
    <x v="10"/>
    <x v="11"/>
    <x v="6"/>
    <n v="1206420"/>
    <n v="965136"/>
    <x v="4"/>
  </r>
  <r>
    <x v="7"/>
    <n v="237890"/>
    <n v="643217"/>
    <x v="10"/>
    <x v="11"/>
    <x v="16"/>
    <n v="42029.43"/>
    <n v="33623.54"/>
    <x v="4"/>
  </r>
  <r>
    <x v="7"/>
    <n v="237891"/>
    <n v="643218"/>
    <x v="10"/>
    <x v="11"/>
    <x v="15"/>
    <n v="81795.570000000007"/>
    <n v="65436.46"/>
    <x v="4"/>
  </r>
  <r>
    <x v="7"/>
    <n v="237892"/>
    <n v="643219"/>
    <x v="10"/>
    <x v="11"/>
    <x v="15"/>
    <n v="12500"/>
    <n v="10000"/>
    <x v="4"/>
  </r>
  <r>
    <x v="7"/>
    <n v="237907"/>
    <n v="643241"/>
    <x v="11"/>
    <x v="6"/>
    <x v="9"/>
    <n v="10000"/>
    <n v="8000"/>
    <x v="4"/>
  </r>
  <r>
    <x v="7"/>
    <n v="237908"/>
    <n v="643242"/>
    <x v="11"/>
    <x v="6"/>
    <x v="16"/>
    <n v="22.93"/>
    <n v="18.34"/>
    <x v="4"/>
  </r>
  <r>
    <x v="7"/>
    <n v="237969"/>
    <n v="643473"/>
    <x v="10"/>
    <x v="11"/>
    <x v="10"/>
    <n v="125000"/>
    <n v="100000"/>
    <x v="4"/>
  </r>
  <r>
    <x v="7"/>
    <n v="237972"/>
    <n v="643476"/>
    <x v="12"/>
    <x v="12"/>
    <x v="14"/>
    <n v="5000"/>
    <n v="4000"/>
    <x v="0"/>
  </r>
  <r>
    <x v="7"/>
    <n v="237973"/>
    <n v="643477"/>
    <x v="12"/>
    <x v="12"/>
    <x v="9"/>
    <n v="245000"/>
    <n v="196000"/>
    <x v="0"/>
  </r>
  <r>
    <x v="7"/>
    <n v="237974"/>
    <n v="643478"/>
    <x v="12"/>
    <x v="12"/>
    <x v="16"/>
    <n v="8056.81"/>
    <n v="6445.45"/>
    <x v="0"/>
  </r>
  <r>
    <x v="7"/>
    <n v="237980"/>
    <n v="643484"/>
    <x v="12"/>
    <x v="12"/>
    <x v="17"/>
    <n v="15"/>
    <n v="12"/>
    <x v="0"/>
  </r>
  <r>
    <x v="7"/>
    <n v="238001"/>
    <n v="643511"/>
    <x v="9"/>
    <x v="10"/>
    <x v="27"/>
    <n v="131250"/>
    <n v="105000"/>
    <x v="0"/>
  </r>
  <r>
    <x v="10"/>
    <n v="237972"/>
    <n v="643476"/>
    <x v="12"/>
    <x v="12"/>
    <x v="14"/>
    <n v="5000"/>
    <n v="4000"/>
    <x v="0"/>
  </r>
  <r>
    <x v="10"/>
    <n v="237973"/>
    <n v="643477"/>
    <x v="12"/>
    <x v="12"/>
    <x v="9"/>
    <n v="245000"/>
    <n v="196000"/>
    <x v="0"/>
  </r>
  <r>
    <x v="10"/>
    <n v="237974"/>
    <n v="643478"/>
    <x v="12"/>
    <x v="12"/>
    <x v="16"/>
    <n v="8056.81"/>
    <n v="6445.45"/>
    <x v="0"/>
  </r>
  <r>
    <x v="10"/>
    <n v="237980"/>
    <n v="643484"/>
    <x v="12"/>
    <x v="12"/>
    <x v="17"/>
    <n v="15"/>
    <n v="12"/>
    <x v="0"/>
  </r>
  <r>
    <x v="10"/>
    <n v="238001"/>
    <n v="643511"/>
    <x v="9"/>
    <x v="10"/>
    <x v="27"/>
    <n v="131250"/>
    <n v="105000"/>
    <x v="0"/>
  </r>
  <r>
    <x v="10"/>
    <n v="237736"/>
    <n v="643033"/>
    <x v="8"/>
    <x v="9"/>
    <x v="14"/>
    <n v="100000"/>
    <n v="80000"/>
    <x v="0"/>
  </r>
  <r>
    <x v="10"/>
    <n v="237738"/>
    <n v="643039"/>
    <x v="8"/>
    <x v="9"/>
    <x v="25"/>
    <n v="100000"/>
    <n v="80000"/>
    <x v="0"/>
  </r>
  <r>
    <x v="10"/>
    <n v="237739"/>
    <n v="643035"/>
    <x v="8"/>
    <x v="9"/>
    <x v="6"/>
    <n v="100000.01"/>
    <n v="80000.009999999995"/>
    <x v="0"/>
  </r>
  <r>
    <x v="10"/>
    <n v="237743"/>
    <n v="643042"/>
    <x v="8"/>
    <x v="9"/>
    <x v="16"/>
    <n v="113.26"/>
    <n v="90.61"/>
    <x v="0"/>
  </r>
  <r>
    <x v="10"/>
    <n v="237744"/>
    <n v="643043"/>
    <x v="8"/>
    <x v="9"/>
    <x v="15"/>
    <n v="1900.68"/>
    <n v="1520.54"/>
    <x v="0"/>
  </r>
  <r>
    <x v="10"/>
    <n v="237745"/>
    <n v="643045"/>
    <x v="8"/>
    <x v="9"/>
    <x v="9"/>
    <n v="62500"/>
    <n v="50000"/>
    <x v="0"/>
  </r>
  <r>
    <x v="10"/>
    <n v="237746"/>
    <n v="643046"/>
    <x v="8"/>
    <x v="9"/>
    <x v="15"/>
    <n v="51.7"/>
    <n v="41.36"/>
    <x v="0"/>
  </r>
  <r>
    <x v="10"/>
    <n v="237747"/>
    <n v="643047"/>
    <x v="8"/>
    <x v="9"/>
    <x v="17"/>
    <n v="300"/>
    <n v="240"/>
    <x v="0"/>
  </r>
  <r>
    <x v="10"/>
    <n v="237835"/>
    <n v="643138"/>
    <x v="7"/>
    <x v="8"/>
    <x v="10"/>
    <n v="100000"/>
    <n v="80000"/>
    <x v="1"/>
  </r>
  <r>
    <x v="10"/>
    <n v="237874"/>
    <n v="643197"/>
    <x v="9"/>
    <x v="10"/>
    <x v="26"/>
    <n v="37500"/>
    <n v="30000"/>
    <x v="0"/>
  </r>
  <r>
    <x v="11"/>
    <n v="237875"/>
    <n v="643198"/>
    <x v="9"/>
    <x v="10"/>
    <x v="14"/>
    <n v="1675000"/>
    <n v="1340000"/>
    <x v="0"/>
  </r>
  <r>
    <x v="11"/>
    <n v="237877"/>
    <n v="643200"/>
    <x v="9"/>
    <x v="10"/>
    <x v="9"/>
    <n v="925000"/>
    <n v="740000"/>
    <x v="0"/>
  </r>
  <r>
    <x v="11"/>
    <n v="237879"/>
    <n v="643202"/>
    <x v="9"/>
    <x v="10"/>
    <x v="13"/>
    <n v="681250"/>
    <n v="545000"/>
    <x v="0"/>
  </r>
  <r>
    <x v="11"/>
    <n v="237880"/>
    <n v="643203"/>
    <x v="9"/>
    <x v="10"/>
    <x v="6"/>
    <n v="494375"/>
    <n v="395500"/>
    <x v="0"/>
  </r>
  <r>
    <x v="11"/>
    <n v="237881"/>
    <n v="643205"/>
    <x v="9"/>
    <x v="10"/>
    <x v="16"/>
    <n v="23884.46"/>
    <n v="19107.57"/>
    <x v="0"/>
  </r>
  <r>
    <x v="11"/>
    <n v="237882"/>
    <n v="643206"/>
    <x v="9"/>
    <x v="10"/>
    <x v="15"/>
    <n v="45923.44"/>
    <n v="36738.75"/>
    <x v="0"/>
  </r>
  <r>
    <x v="11"/>
    <n v="237883"/>
    <n v="643207"/>
    <x v="9"/>
    <x v="10"/>
    <x v="15"/>
    <n v="24718.75"/>
    <n v="19775"/>
    <x v="0"/>
  </r>
  <r>
    <x v="11"/>
    <n v="237884"/>
    <n v="643208"/>
    <x v="9"/>
    <x v="10"/>
    <x v="17"/>
    <n v="5137.5"/>
    <n v="4110"/>
    <x v="0"/>
  </r>
  <r>
    <x v="11"/>
    <n v="237886"/>
    <n v="643213"/>
    <x v="10"/>
    <x v="11"/>
    <x v="9"/>
    <n v="218750"/>
    <n v="175000"/>
    <x v="4"/>
  </r>
  <r>
    <x v="11"/>
    <n v="237889"/>
    <n v="643216"/>
    <x v="10"/>
    <x v="11"/>
    <x v="6"/>
    <n v="1206420"/>
    <n v="965136"/>
    <x v="4"/>
  </r>
  <r>
    <x v="11"/>
    <n v="237890"/>
    <n v="643217"/>
    <x v="10"/>
    <x v="11"/>
    <x v="16"/>
    <n v="42029.43"/>
    <n v="33623.54"/>
    <x v="4"/>
  </r>
  <r>
    <x v="11"/>
    <n v="237891"/>
    <n v="643218"/>
    <x v="10"/>
    <x v="11"/>
    <x v="15"/>
    <n v="81795.570000000007"/>
    <n v="65436.46"/>
    <x v="4"/>
  </r>
  <r>
    <x v="11"/>
    <n v="237892"/>
    <n v="643219"/>
    <x v="10"/>
    <x v="11"/>
    <x v="15"/>
    <n v="12500"/>
    <n v="10000"/>
    <x v="4"/>
  </r>
  <r>
    <x v="11"/>
    <n v="237907"/>
    <n v="643241"/>
    <x v="11"/>
    <x v="6"/>
    <x v="9"/>
    <n v="10000"/>
    <n v="8000"/>
    <x v="4"/>
  </r>
  <r>
    <x v="11"/>
    <n v="237908"/>
    <n v="643242"/>
    <x v="11"/>
    <x v="6"/>
    <x v="16"/>
    <n v="22.93"/>
    <n v="18.34"/>
    <x v="4"/>
  </r>
  <r>
    <x v="11"/>
    <n v="237969"/>
    <n v="643473"/>
    <x v="10"/>
    <x v="11"/>
    <x v="10"/>
    <n v="125000"/>
    <n v="100000"/>
    <x v="4"/>
  </r>
  <r>
    <x v="11"/>
    <n v="237972"/>
    <n v="643476"/>
    <x v="12"/>
    <x v="12"/>
    <x v="14"/>
    <n v="5000"/>
    <n v="4000"/>
    <x v="0"/>
  </r>
  <r>
    <x v="11"/>
    <n v="237973"/>
    <n v="643477"/>
    <x v="12"/>
    <x v="12"/>
    <x v="9"/>
    <n v="245000"/>
    <n v="196000"/>
    <x v="0"/>
  </r>
  <r>
    <x v="11"/>
    <n v="237974"/>
    <n v="643478"/>
    <x v="12"/>
    <x v="12"/>
    <x v="16"/>
    <n v="8056.81"/>
    <n v="6445.45"/>
    <x v="0"/>
  </r>
  <r>
    <x v="11"/>
    <n v="237980"/>
    <n v="643484"/>
    <x v="12"/>
    <x v="12"/>
    <x v="17"/>
    <n v="15"/>
    <n v="12"/>
    <x v="0"/>
  </r>
  <r>
    <x v="11"/>
    <n v="238001"/>
    <n v="643511"/>
    <x v="9"/>
    <x v="10"/>
    <x v="27"/>
    <n v="131250"/>
    <n v="105000"/>
    <x v="0"/>
  </r>
  <r>
    <x v="11"/>
    <n v="237746"/>
    <n v="643046"/>
    <x v="8"/>
    <x v="9"/>
    <x v="15"/>
    <n v="51.7"/>
    <n v="41.36"/>
    <x v="0"/>
  </r>
  <r>
    <x v="11"/>
    <n v="237747"/>
    <n v="643047"/>
    <x v="8"/>
    <x v="9"/>
    <x v="17"/>
    <n v="300"/>
    <n v="240"/>
    <x v="0"/>
  </r>
  <r>
    <x v="11"/>
    <n v="237835"/>
    <n v="643138"/>
    <x v="7"/>
    <x v="8"/>
    <x v="10"/>
    <n v="100000"/>
    <n v="80000"/>
    <x v="1"/>
  </r>
  <r>
    <x v="11"/>
    <n v="237874"/>
    <n v="643197"/>
    <x v="9"/>
    <x v="10"/>
    <x v="26"/>
    <n v="37500"/>
    <n v="30000"/>
    <x v="0"/>
  </r>
  <r>
    <x v="11"/>
    <n v="237875"/>
    <n v="643198"/>
    <x v="9"/>
    <x v="10"/>
    <x v="14"/>
    <n v="1675000"/>
    <n v="1340000"/>
    <x v="0"/>
  </r>
  <r>
    <x v="11"/>
    <n v="237877"/>
    <n v="643200"/>
    <x v="9"/>
    <x v="10"/>
    <x v="9"/>
    <n v="925000"/>
    <n v="740000"/>
    <x v="0"/>
  </r>
  <r>
    <x v="11"/>
    <n v="237879"/>
    <n v="643202"/>
    <x v="9"/>
    <x v="10"/>
    <x v="13"/>
    <n v="681250"/>
    <n v="545000"/>
    <x v="0"/>
  </r>
  <r>
    <x v="11"/>
    <n v="237880"/>
    <n v="643203"/>
    <x v="9"/>
    <x v="10"/>
    <x v="6"/>
    <n v="494375"/>
    <n v="395500"/>
    <x v="0"/>
  </r>
  <r>
    <x v="10"/>
    <n v="237881"/>
    <n v="643205"/>
    <x v="9"/>
    <x v="10"/>
    <x v="16"/>
    <n v="23884.46"/>
    <n v="19107.57"/>
    <x v="0"/>
  </r>
  <r>
    <x v="10"/>
    <n v="237882"/>
    <n v="643206"/>
    <x v="9"/>
    <x v="10"/>
    <x v="15"/>
    <n v="45923.44"/>
    <n v="36738.75"/>
    <x v="0"/>
  </r>
  <r>
    <x v="10"/>
    <n v="237883"/>
    <n v="643207"/>
    <x v="9"/>
    <x v="10"/>
    <x v="15"/>
    <n v="24718.75"/>
    <n v="19775"/>
    <x v="0"/>
  </r>
  <r>
    <x v="10"/>
    <n v="237884"/>
    <n v="643208"/>
    <x v="9"/>
    <x v="10"/>
    <x v="17"/>
    <n v="5137.5"/>
    <n v="4110"/>
    <x v="0"/>
  </r>
  <r>
    <x v="10"/>
    <n v="237886"/>
    <n v="643213"/>
    <x v="10"/>
    <x v="11"/>
    <x v="9"/>
    <n v="218750"/>
    <n v="175000"/>
    <x v="4"/>
  </r>
  <r>
    <x v="10"/>
    <n v="237889"/>
    <n v="643216"/>
    <x v="10"/>
    <x v="11"/>
    <x v="6"/>
    <n v="1206420"/>
    <n v="965136"/>
    <x v="4"/>
  </r>
  <r>
    <x v="10"/>
    <n v="237890"/>
    <n v="643217"/>
    <x v="10"/>
    <x v="11"/>
    <x v="16"/>
    <n v="42029.43"/>
    <n v="33623.54"/>
    <x v="4"/>
  </r>
  <r>
    <x v="10"/>
    <n v="237891"/>
    <n v="643218"/>
    <x v="10"/>
    <x v="11"/>
    <x v="15"/>
    <n v="81795.570000000007"/>
    <n v="65436.46"/>
    <x v="4"/>
  </r>
  <r>
    <x v="10"/>
    <n v="237892"/>
    <n v="643219"/>
    <x v="10"/>
    <x v="11"/>
    <x v="15"/>
    <n v="12500"/>
    <n v="10000"/>
    <x v="4"/>
  </r>
  <r>
    <x v="10"/>
    <n v="237907"/>
    <n v="643241"/>
    <x v="11"/>
    <x v="6"/>
    <x v="9"/>
    <n v="10000"/>
    <n v="8000"/>
    <x v="4"/>
  </r>
  <r>
    <x v="10"/>
    <n v="237908"/>
    <n v="643242"/>
    <x v="11"/>
    <x v="6"/>
    <x v="16"/>
    <n v="22.93"/>
    <n v="18.34"/>
    <x v="4"/>
  </r>
  <r>
    <x v="10"/>
    <n v="237969"/>
    <n v="643473"/>
    <x v="10"/>
    <x v="11"/>
    <x v="10"/>
    <n v="125000"/>
    <n v="100000"/>
    <x v="4"/>
  </r>
  <r>
    <x v="10"/>
    <n v="237972"/>
    <n v="643476"/>
    <x v="12"/>
    <x v="12"/>
    <x v="14"/>
    <n v="5000"/>
    <n v="4000"/>
    <x v="0"/>
  </r>
  <r>
    <x v="10"/>
    <n v="237973"/>
    <n v="643477"/>
    <x v="12"/>
    <x v="12"/>
    <x v="9"/>
    <n v="245000"/>
    <n v="196000"/>
    <x v="0"/>
  </r>
  <r>
    <x v="10"/>
    <n v="237974"/>
    <n v="643478"/>
    <x v="12"/>
    <x v="12"/>
    <x v="16"/>
    <n v="8056.81"/>
    <n v="6445.45"/>
    <x v="0"/>
  </r>
  <r>
    <x v="10"/>
    <n v="237980"/>
    <n v="643484"/>
    <x v="12"/>
    <x v="12"/>
    <x v="17"/>
    <n v="15"/>
    <n v="12"/>
    <x v="0"/>
  </r>
  <r>
    <x v="10"/>
    <n v="238001"/>
    <n v="643511"/>
    <x v="9"/>
    <x v="10"/>
    <x v="27"/>
    <n v="131250"/>
    <n v="1050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20015E-AEA6-4805-A7B2-BE78B1FFA843}" name="Tabela dinâ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fieldListSortAscending="1">
  <location ref="B4:O11" firstHeaderRow="1" firstDataRow="2" firstDataCol="1" rowPageCount="1" colPageCount="1"/>
  <pivotFields count="9">
    <pivotField axis="axisCol" showAll="0" sortType="ascending">
      <items count="13">
        <item x="10"/>
        <item x="7"/>
        <item x="6"/>
        <item x="3"/>
        <item x="5"/>
        <item x="8"/>
        <item x="9"/>
        <item x="11"/>
        <item x="2"/>
        <item x="1"/>
        <item x="4"/>
        <item x="0"/>
        <item t="default"/>
      </items>
    </pivotField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9">
        <item x="23"/>
        <item x="2"/>
        <item x="26"/>
        <item x="22"/>
        <item x="9"/>
        <item x="18"/>
        <item x="1"/>
        <item x="15"/>
        <item x="16"/>
        <item x="17"/>
        <item x="6"/>
        <item x="13"/>
        <item x="14"/>
        <item x="21"/>
        <item x="5"/>
        <item x="20"/>
        <item x="24"/>
        <item x="25"/>
        <item x="27"/>
        <item x="4"/>
        <item x="19"/>
        <item x="0"/>
        <item x="12"/>
        <item x="3"/>
        <item x="11"/>
        <item x="10"/>
        <item x="7"/>
        <item x="8"/>
        <item t="default"/>
      </items>
    </pivotField>
    <pivotField dataField="1" showAll="0"/>
    <pivotField showAll="0"/>
    <pivotField axis="axisRow" showAll="0">
      <items count="8">
        <item x="1"/>
        <item x="3"/>
        <item x="0"/>
        <item x="2"/>
        <item x="4"/>
        <item m="1" x="5"/>
        <item m="1" x="6"/>
        <item t="default"/>
      </items>
    </pivotField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5" hier="-1"/>
  </pageFields>
  <dataFields count="1">
    <dataField name="Soma de Valor Bruto 20%" fld="6" baseField="5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502B9A-5E10-486D-8A35-49063B18864F}" name="Filtro_PastaArquivos" displayName="Filtro_PastaArquivos" ref="A1:A2" totalsRowShown="0">
  <autoFilter ref="A1:A2" xr:uid="{8EC5D8BB-CD59-4234-A97D-B9B063067E02}"/>
  <tableColumns count="1">
    <tableColumn id="1" xr3:uid="{DD68927B-61AA-4497-A247-99F93D02824C}" name="Pasta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28845E-ACB6-4535-B84F-966B4124C222}" name="Filtro_ArquivoBase" displayName="Filtro_ArquivoBase" ref="C1:C2" totalsRowShown="0">
  <autoFilter ref="C1:C2" xr:uid="{6C289495-1A7E-48A4-86CC-D94FF457662F}"/>
  <tableColumns count="1">
    <tableColumn id="1" xr3:uid="{C91740E1-ADBB-4A30-95A3-2BE8274B5343}" name="Arquivo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7A06F9-F595-467A-AF00-09BD38362DFD}" name="DePara_Produto" displayName="DePara_Produto" ref="A2:B15" totalsRowShown="0">
  <autoFilter ref="A2:B15" xr:uid="{30DFC483-62D6-40A5-B2A2-DEBDE1BD8974}"/>
  <tableColumns count="2">
    <tableColumn id="1" xr3:uid="{A46F77CA-3570-43E8-9C4B-5B8154F48F22}" name="De"/>
    <tableColumn id="2" xr3:uid="{ACC35AC2-4044-408F-A07E-F111D1C2F8FC}" name="Para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6D464-C777-4AF4-A25E-EDACC7AA7EAC}">
  <dimension ref="A1:C2"/>
  <sheetViews>
    <sheetView showGridLines="0" workbookViewId="0">
      <selection activeCell="C3" sqref="C3"/>
    </sheetView>
  </sheetViews>
  <sheetFormatPr defaultRowHeight="15" x14ac:dyDescent="0.25"/>
  <cols>
    <col min="1" max="1" width="81.7109375" customWidth="1"/>
    <col min="2" max="2" width="5.5703125" customWidth="1"/>
    <col min="3" max="3" width="65.85546875" customWidth="1"/>
  </cols>
  <sheetData>
    <row r="1" spans="1:3" x14ac:dyDescent="0.25">
      <c r="A1" t="s">
        <v>20</v>
      </c>
      <c r="C1" t="s">
        <v>19</v>
      </c>
    </row>
    <row r="2" spans="1:3" x14ac:dyDescent="0.25">
      <c r="A2" t="s">
        <v>21</v>
      </c>
      <c r="C2" t="s">
        <v>22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81C9E-C6A8-41A6-A566-8FD2FC58AF81}">
  <dimension ref="A1:B15"/>
  <sheetViews>
    <sheetView showGridLines="0" workbookViewId="0">
      <selection activeCell="A8" sqref="A8"/>
    </sheetView>
  </sheetViews>
  <sheetFormatPr defaultRowHeight="15" x14ac:dyDescent="0.25"/>
  <cols>
    <col min="1" max="1" width="26.7109375" bestFit="1" customWidth="1"/>
    <col min="2" max="2" width="23.42578125" customWidth="1"/>
  </cols>
  <sheetData>
    <row r="1" spans="1:2" x14ac:dyDescent="0.25">
      <c r="A1" s="5" t="s">
        <v>23</v>
      </c>
      <c r="B1" s="5"/>
    </row>
    <row r="2" spans="1:2" x14ac:dyDescent="0.25">
      <c r="A2" t="s">
        <v>24</v>
      </c>
      <c r="B2" t="s">
        <v>25</v>
      </c>
    </row>
    <row r="3" spans="1:2" x14ac:dyDescent="0.25">
      <c r="A3" t="s">
        <v>8</v>
      </c>
      <c r="B3" t="s">
        <v>26</v>
      </c>
    </row>
    <row r="4" spans="1:2" x14ac:dyDescent="0.25">
      <c r="A4" t="s">
        <v>9</v>
      </c>
      <c r="B4" t="s">
        <v>27</v>
      </c>
    </row>
    <row r="5" spans="1:2" x14ac:dyDescent="0.25">
      <c r="A5" t="s">
        <v>10</v>
      </c>
      <c r="B5" t="s">
        <v>27</v>
      </c>
    </row>
    <row r="6" spans="1:2" x14ac:dyDescent="0.25">
      <c r="A6" t="s">
        <v>11</v>
      </c>
      <c r="B6" t="s">
        <v>26</v>
      </c>
    </row>
    <row r="7" spans="1:2" x14ac:dyDescent="0.25">
      <c r="A7" t="s">
        <v>12</v>
      </c>
      <c r="B7" t="s">
        <v>28</v>
      </c>
    </row>
    <row r="8" spans="1:2" x14ac:dyDescent="0.25">
      <c r="A8" t="s">
        <v>13</v>
      </c>
      <c r="B8" t="s">
        <v>26</v>
      </c>
    </row>
    <row r="9" spans="1:2" x14ac:dyDescent="0.25">
      <c r="A9" t="s">
        <v>14</v>
      </c>
      <c r="B9" t="s">
        <v>29</v>
      </c>
    </row>
    <row r="10" spans="1:2" x14ac:dyDescent="0.25">
      <c r="A10" t="s">
        <v>15</v>
      </c>
      <c r="B10" t="s">
        <v>29</v>
      </c>
    </row>
    <row r="11" spans="1:2" x14ac:dyDescent="0.25">
      <c r="A11" t="s">
        <v>5</v>
      </c>
      <c r="B11" t="s">
        <v>26</v>
      </c>
    </row>
    <row r="12" spans="1:2" x14ac:dyDescent="0.25">
      <c r="A12" t="s">
        <v>16</v>
      </c>
      <c r="B12" t="s">
        <v>30</v>
      </c>
    </row>
    <row r="13" spans="1:2" x14ac:dyDescent="0.25">
      <c r="A13" t="s">
        <v>6</v>
      </c>
      <c r="B13" t="s">
        <v>27</v>
      </c>
    </row>
    <row r="14" spans="1:2" x14ac:dyDescent="0.25">
      <c r="A14" t="s">
        <v>17</v>
      </c>
      <c r="B14" t="s">
        <v>29</v>
      </c>
    </row>
    <row r="15" spans="1:2" x14ac:dyDescent="0.25">
      <c r="A15" t="s">
        <v>18</v>
      </c>
      <c r="B15" t="s">
        <v>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Q12"/>
  <sheetViews>
    <sheetView showGridLines="0" tabSelected="1" workbookViewId="0">
      <selection activeCell="E3" sqref="E3"/>
    </sheetView>
  </sheetViews>
  <sheetFormatPr defaultRowHeight="15" x14ac:dyDescent="0.25"/>
  <cols>
    <col min="1" max="1" width="5.140625" customWidth="1"/>
    <col min="2" max="2" width="23.42578125" bestFit="1" customWidth="1"/>
    <col min="3" max="3" width="19.5703125" bestFit="1" customWidth="1"/>
    <col min="4" max="15" width="10.7109375" bestFit="1" customWidth="1"/>
  </cols>
  <sheetData>
    <row r="2" spans="2:17" x14ac:dyDescent="0.25">
      <c r="B2" s="1" t="s">
        <v>3</v>
      </c>
      <c r="C2" t="s">
        <v>4</v>
      </c>
    </row>
    <row r="3" spans="2:17" x14ac:dyDescent="0.25">
      <c r="Q3" t="s">
        <v>31</v>
      </c>
    </row>
    <row r="4" spans="2:17" x14ac:dyDescent="0.25">
      <c r="B4" s="1" t="s">
        <v>2</v>
      </c>
      <c r="C4" s="1" t="s">
        <v>7</v>
      </c>
      <c r="Q4" t="s">
        <v>32</v>
      </c>
    </row>
    <row r="5" spans="2:17" x14ac:dyDescent="0.25">
      <c r="B5" s="1" t="s">
        <v>0</v>
      </c>
      <c r="C5" s="4">
        <v>43466</v>
      </c>
      <c r="D5" s="4">
        <v>43497</v>
      </c>
      <c r="E5" s="4">
        <v>43525</v>
      </c>
      <c r="F5" s="4">
        <v>43556</v>
      </c>
      <c r="G5" s="4">
        <v>43586</v>
      </c>
      <c r="H5" s="4">
        <v>43617</v>
      </c>
      <c r="I5" s="4">
        <v>43647</v>
      </c>
      <c r="J5" s="4">
        <v>43678</v>
      </c>
      <c r="K5" s="4">
        <v>43709</v>
      </c>
      <c r="L5" s="4">
        <v>43739</v>
      </c>
      <c r="M5" s="4">
        <v>43770</v>
      </c>
      <c r="N5" s="4">
        <v>43800</v>
      </c>
      <c r="O5" t="s">
        <v>1</v>
      </c>
      <c r="Q5" t="s">
        <v>33</v>
      </c>
    </row>
    <row r="6" spans="2:17" x14ac:dyDescent="0.25">
      <c r="B6" s="2" t="s">
        <v>27</v>
      </c>
      <c r="C6" s="3">
        <v>100000</v>
      </c>
      <c r="D6" s="3">
        <v>100000</v>
      </c>
      <c r="E6" s="3">
        <v>1476985.21</v>
      </c>
      <c r="F6" s="3">
        <v>100000</v>
      </c>
      <c r="G6" s="3">
        <v>123750</v>
      </c>
      <c r="H6" s="3">
        <v>100000</v>
      </c>
      <c r="I6" s="3">
        <v>200000</v>
      </c>
      <c r="J6" s="3">
        <v>100000</v>
      </c>
      <c r="K6" s="3">
        <v>100000</v>
      </c>
      <c r="L6" s="3">
        <v>100000</v>
      </c>
      <c r="M6" s="3">
        <v>100000</v>
      </c>
      <c r="N6" s="3">
        <v>1600735.2100000002</v>
      </c>
      <c r="O6" s="3">
        <v>4201470.42</v>
      </c>
      <c r="Q6" t="s">
        <v>34</v>
      </c>
    </row>
    <row r="7" spans="2:17" x14ac:dyDescent="0.25">
      <c r="B7" s="2" t="s">
        <v>28</v>
      </c>
      <c r="C7" s="3"/>
      <c r="D7" s="3"/>
      <c r="E7" s="3">
        <v>212283.71000000002</v>
      </c>
      <c r="F7" s="3"/>
      <c r="G7" s="3">
        <v>495212.72</v>
      </c>
      <c r="H7" s="3"/>
      <c r="I7" s="3"/>
      <c r="J7" s="3"/>
      <c r="K7" s="3"/>
      <c r="L7" s="3"/>
      <c r="M7" s="3"/>
      <c r="N7" s="3">
        <v>707496.42999999993</v>
      </c>
      <c r="O7" s="3">
        <v>1414992.8599999999</v>
      </c>
      <c r="Q7" t="s">
        <v>35</v>
      </c>
    </row>
    <row r="8" spans="2:17" x14ac:dyDescent="0.25">
      <c r="B8" s="2" t="s">
        <v>26</v>
      </c>
      <c r="C8" s="3">
        <v>1280673.4200000002</v>
      </c>
      <c r="D8" s="3">
        <v>5252015.799999998</v>
      </c>
      <c r="E8" s="3">
        <v>510492.43000000005</v>
      </c>
      <c r="F8" s="3">
        <v>5056298.42</v>
      </c>
      <c r="G8" s="3">
        <v>522350.48</v>
      </c>
      <c r="H8" s="3">
        <v>4925033.42</v>
      </c>
      <c r="I8" s="3">
        <v>8215551.8100000005</v>
      </c>
      <c r="J8" s="3">
        <v>8078087.6600000001</v>
      </c>
      <c r="K8" s="3">
        <v>4408904.8000000007</v>
      </c>
      <c r="L8" s="3">
        <v>4687147.4400000004</v>
      </c>
      <c r="M8" s="3">
        <v>4302462.66</v>
      </c>
      <c r="N8" s="3">
        <v>191986.99999999997</v>
      </c>
      <c r="O8" s="3">
        <v>47431005.339999989</v>
      </c>
      <c r="Q8" t="s">
        <v>36</v>
      </c>
    </row>
    <row r="9" spans="2:17" x14ac:dyDescent="0.25">
      <c r="B9" s="2" t="s">
        <v>30</v>
      </c>
      <c r="C9" s="3"/>
      <c r="D9" s="3"/>
      <c r="E9" s="3">
        <v>124831.13</v>
      </c>
      <c r="F9" s="3"/>
      <c r="G9" s="3">
        <v>200000</v>
      </c>
      <c r="H9" s="3"/>
      <c r="I9" s="3"/>
      <c r="J9" s="3"/>
      <c r="K9" s="3"/>
      <c r="L9" s="3"/>
      <c r="M9" s="3"/>
      <c r="N9" s="3">
        <v>324831.13</v>
      </c>
      <c r="O9" s="3">
        <v>649662.26</v>
      </c>
      <c r="Q9" t="s">
        <v>37</v>
      </c>
    </row>
    <row r="10" spans="2:17" x14ac:dyDescent="0.25">
      <c r="B10" s="2" t="s">
        <v>29</v>
      </c>
      <c r="C10" s="3">
        <v>1696517.93</v>
      </c>
      <c r="D10" s="3">
        <v>4964553.7899999991</v>
      </c>
      <c r="E10" s="3">
        <v>16000</v>
      </c>
      <c r="F10" s="3">
        <v>3415558.79</v>
      </c>
      <c r="G10" s="3">
        <v>125000</v>
      </c>
      <c r="H10" s="3">
        <v>1821517.93</v>
      </c>
      <c r="I10" s="3">
        <v>1696517.93</v>
      </c>
      <c r="J10" s="3">
        <v>1696517.93</v>
      </c>
      <c r="K10" s="3">
        <v>218750</v>
      </c>
      <c r="L10" s="3">
        <v>1696517.93</v>
      </c>
      <c r="M10" s="3">
        <v>3026762.9299999997</v>
      </c>
      <c r="N10" s="3">
        <v>16000</v>
      </c>
      <c r="O10" s="3">
        <v>20390215.159999996</v>
      </c>
      <c r="Q10" t="s">
        <v>39</v>
      </c>
    </row>
    <row r="11" spans="2:17" x14ac:dyDescent="0.25">
      <c r="B11" s="2" t="s">
        <v>1</v>
      </c>
      <c r="C11" s="3">
        <v>3077191.35</v>
      </c>
      <c r="D11" s="3">
        <v>10316569.589999996</v>
      </c>
      <c r="E11" s="3">
        <v>2340592.48</v>
      </c>
      <c r="F11" s="3">
        <v>8571857.2100000009</v>
      </c>
      <c r="G11" s="3">
        <v>1466313.2</v>
      </c>
      <c r="H11" s="3">
        <v>6846551.3499999996</v>
      </c>
      <c r="I11" s="3">
        <v>10112069.74</v>
      </c>
      <c r="J11" s="3">
        <v>9874605.5899999999</v>
      </c>
      <c r="K11" s="3">
        <v>4727654.8000000007</v>
      </c>
      <c r="L11" s="3">
        <v>6483665.3700000001</v>
      </c>
      <c r="M11" s="3">
        <v>7429225.5899999999</v>
      </c>
      <c r="N11" s="3">
        <v>2841049.77</v>
      </c>
      <c r="O11" s="3">
        <v>74087346.039999992</v>
      </c>
      <c r="Q11" t="s">
        <v>38</v>
      </c>
    </row>
    <row r="12" spans="2:17" x14ac:dyDescent="0.25">
      <c r="Q12" t="s">
        <v>40</v>
      </c>
    </row>
  </sheetData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9D3ED0-1434-4553-82F1-BCFE44C084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Premissas - Final</vt:lpstr>
      <vt:lpstr>DePara - Final</vt:lpstr>
      <vt:lpstr>TD -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2020-01-28T00:42:36Z</dcterms:modified>
</cp:coreProperties>
</file>