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:\Projetos\Workshops\Excel - Analisar e Automatizar Planilhas\Arquivos Originais\7 -SOMASE - Pratica\"/>
    </mc:Choice>
  </mc:AlternateContent>
  <xr:revisionPtr revIDLastSave="0" documentId="13_ncr:1_{50F5A9CD-0BB8-436D-9399-635A8CD5FA42}" xr6:coauthVersionLast="44" xr6:coauthVersionMax="44" xr10:uidLastSave="{00000000-0000-0000-0000-000000000000}"/>
  <bookViews>
    <workbookView xWindow="-120" yWindow="-120" windowWidth="29040" windowHeight="17640" tabRatio="500" activeTab="2" xr2:uid="{00000000-000D-0000-FFFF-FFFF00000000}"/>
  </bookViews>
  <sheets>
    <sheet name="Base" sheetId="1" r:id="rId1"/>
    <sheet name="Report - Aula" sheetId="3" r:id="rId2"/>
    <sheet name="Report - Final" sheetId="2" r:id="rId3"/>
  </sheets>
  <definedNames>
    <definedName name="_xlnm._FilterDatabase" localSheetId="0" hidden="1">Base!$A$1:$S$1115</definedName>
    <definedName name="_xlnm.Print_Area" localSheetId="1">'Report - Aula'!$B$2:$I$22</definedName>
    <definedName name="_xlnm.Print_Area" localSheetId="2">'Report - Final'!$B$2:$I$22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B22" i="3" l="1"/>
  <c r="I16" i="3"/>
  <c r="I5" i="3"/>
  <c r="I6" i="3"/>
  <c r="I7" i="3"/>
  <c r="I8" i="3"/>
  <c r="I9" i="3"/>
  <c r="I10" i="3"/>
  <c r="I11" i="3"/>
  <c r="I12" i="3"/>
  <c r="I13" i="3"/>
  <c r="I14" i="3"/>
  <c r="I15" i="3"/>
  <c r="I4" i="3"/>
  <c r="G16" i="3"/>
  <c r="F16" i="3"/>
  <c r="E16" i="3"/>
  <c r="D16" i="3"/>
  <c r="H16" i="3" l="1"/>
  <c r="B22" i="2"/>
  <c r="F13" i="2" l="1"/>
  <c r="F14" i="2"/>
  <c r="F15" i="2"/>
  <c r="H15" i="2" l="1"/>
  <c r="H14" i="2"/>
  <c r="H13" i="2"/>
  <c r="H12" i="2"/>
  <c r="H11" i="2"/>
  <c r="H10" i="2"/>
  <c r="H9" i="2"/>
  <c r="H8" i="2"/>
  <c r="H7" i="2"/>
  <c r="H6" i="2"/>
  <c r="H5" i="2"/>
  <c r="H4" i="2"/>
  <c r="G13" i="2"/>
  <c r="G14" i="2"/>
  <c r="G12" i="2"/>
  <c r="E14" i="2"/>
  <c r="E12" i="2"/>
  <c r="D6" i="2"/>
  <c r="D14" i="2"/>
  <c r="D12" i="2"/>
  <c r="E15" i="2" l="1"/>
  <c r="E6" i="2"/>
  <c r="E13" i="2"/>
  <c r="D8" i="2"/>
  <c r="E5" i="2"/>
  <c r="E9" i="2"/>
  <c r="E7" i="2"/>
  <c r="G10" i="2"/>
  <c r="G8" i="2"/>
  <c r="G6" i="2"/>
  <c r="D11" i="2"/>
  <c r="D10" i="2"/>
  <c r="E8" i="2"/>
  <c r="E11" i="2"/>
  <c r="F6" i="2"/>
  <c r="E10" i="2"/>
  <c r="F5" i="2"/>
  <c r="F9" i="2"/>
  <c r="F7" i="2"/>
  <c r="F8" i="2"/>
  <c r="F11" i="2"/>
  <c r="G15" i="2"/>
  <c r="F10" i="2"/>
  <c r="G5" i="2"/>
  <c r="G9" i="2"/>
  <c r="G7" i="2"/>
  <c r="D15" i="2"/>
  <c r="D5" i="2"/>
  <c r="D9" i="2"/>
  <c r="D7" i="2"/>
  <c r="D13" i="2"/>
  <c r="G11" i="2"/>
  <c r="F12" i="2"/>
  <c r="D4" i="2"/>
  <c r="E4" i="2"/>
  <c r="F4" i="2"/>
  <c r="G4" i="2"/>
  <c r="H16" i="2"/>
  <c r="I16" i="2" s="1"/>
  <c r="F16" i="2" l="1"/>
  <c r="I15" i="2"/>
  <c r="D16" i="2"/>
  <c r="E16" i="2"/>
  <c r="I13" i="2"/>
  <c r="I14" i="2"/>
  <c r="I10" i="2"/>
  <c r="I12" i="2"/>
  <c r="I6" i="2"/>
  <c r="I5" i="2"/>
  <c r="I4" i="2"/>
  <c r="I11" i="2"/>
  <c r="I9" i="2"/>
  <c r="I8" i="2"/>
  <c r="I7" i="2"/>
  <c r="G16" i="2" l="1"/>
</calcChain>
</file>

<file path=xl/sharedStrings.xml><?xml version="1.0" encoding="utf-8"?>
<sst xmlns="http://schemas.openxmlformats.org/spreadsheetml/2006/main" count="5694" uniqueCount="397">
  <si>
    <t>Tipo de hora</t>
  </si>
  <si>
    <t>Cliente</t>
  </si>
  <si>
    <t>Campanha</t>
  </si>
  <si>
    <t>Funcionário</t>
  </si>
  <si>
    <t>Produto</t>
  </si>
  <si>
    <t>Jan/2019</t>
  </si>
  <si>
    <t>Fev/2019</t>
  </si>
  <si>
    <t>Mar/2019</t>
  </si>
  <si>
    <t>Abr/2019</t>
  </si>
  <si>
    <t>Mai/2019</t>
  </si>
  <si>
    <t>Jun/2019</t>
  </si>
  <si>
    <t>Jul/2019</t>
  </si>
  <si>
    <t>Ago/2019</t>
  </si>
  <si>
    <t>Set/2019</t>
  </si>
  <si>
    <t>Out/2019</t>
  </si>
  <si>
    <t>Nov/2019</t>
  </si>
  <si>
    <t>Dez/2019</t>
  </si>
  <si>
    <t>Total 2019</t>
  </si>
  <si>
    <t>Total</t>
  </si>
  <si>
    <t>ALBERTO ANTONIO MACEDO DO LAGO</t>
  </si>
  <si>
    <t>ALEXANDRE NODOMI</t>
  </si>
  <si>
    <t>ALINE AFONSO SILVA</t>
  </si>
  <si>
    <t>ALINE CARRETA MACEDO</t>
  </si>
  <si>
    <t>ALOYZIO FREIRE LIMA</t>
  </si>
  <si>
    <t>ALYNE BACELAR DE LIMA</t>
  </si>
  <si>
    <t>ANA CECILIA DA COSTA</t>
  </si>
  <si>
    <t>ANDRE DEL CASTILHO GOLA</t>
  </si>
  <si>
    <t>ANDRE PAULO SCIORLIA ARTEZE</t>
  </si>
  <si>
    <t>ANDREA FABIANA DA SILVA SOUZA</t>
  </si>
  <si>
    <t>ANDREINA TEMPERA CLEMENTE</t>
  </si>
  <si>
    <t>ANDRESSA LOCATELLI DUO</t>
  </si>
  <si>
    <t>ANTONIA PINHO ZOBARAN FERREIRA</t>
  </si>
  <si>
    <t>BEATRIZ ROSSI</t>
  </si>
  <si>
    <t>BRENO RIBEIRO BALBINO</t>
  </si>
  <si>
    <t>BRUNO MENDES FANTINEL</t>
  </si>
  <si>
    <t>BRUNO ORTIZ MACHADO</t>
  </si>
  <si>
    <t>CAMILA EPIFANIO GUERRA</t>
  </si>
  <si>
    <t>CAMILLA MASSARI VENTICINQUE</t>
  </si>
  <si>
    <t>CARLOS EDUARDO DA SILVA</t>
  </si>
  <si>
    <t>CARLOS EDUARDO DE OLIVEIRA GARCIA</t>
  </si>
  <si>
    <t>CARLOS HENRIQUE AZEVEDO LUGARESI</t>
  </si>
  <si>
    <t>CARLOS YANKE</t>
  </si>
  <si>
    <t>CAROLINE DIAS CRAVEIRO FADEL</t>
  </si>
  <si>
    <t>CELSO LUCAS DE OLIVEIRA TORRES</t>
  </si>
  <si>
    <t>CHRISTINA ALVARES DE MELO</t>
  </si>
  <si>
    <t>CLAUDEMIR BORGES DE SOUZA</t>
  </si>
  <si>
    <t>CLAUDIA MONTEIRO DE SA</t>
  </si>
  <si>
    <t>DANIEL LUIZ DUARTE RIBEIRO</t>
  </si>
  <si>
    <t>DANIEL OKSENBERG</t>
  </si>
  <si>
    <t>DANIELA MONTEIRO TEIXEIRA</t>
  </si>
  <si>
    <t>DANIELL PAULO DE REZENDE</t>
  </si>
  <si>
    <t>DANUBIA MIDORI BERTO FUJITA</t>
  </si>
  <si>
    <t>DIEGO VILLAS BOAS DE JESUS</t>
  </si>
  <si>
    <t>DIETER TRUPPEL</t>
  </si>
  <si>
    <t>EDUARDO SELBACH NASI</t>
  </si>
  <si>
    <t>ELIANA APARECIDA PAVAN</t>
  </si>
  <si>
    <t>ELIANE PEREIRA DA SILVA</t>
  </si>
  <si>
    <t>ERICK BASTOS RODRIGUES DE MENDONÇA</t>
  </si>
  <si>
    <t>ERICK LUCAS PIRES CORREIA</t>
  </si>
  <si>
    <t>ERICK MATSUI KAIZAWA</t>
  </si>
  <si>
    <t>FABIO AUGUSTO DE CAMARGO GIRARDI</t>
  </si>
  <si>
    <t>FABIO TEDESCHI DE ANDRADE</t>
  </si>
  <si>
    <t>FERNANDA PORTUGAL FERREIRA</t>
  </si>
  <si>
    <t>FERNANDO DUARTE SILVA</t>
  </si>
  <si>
    <t>FLAVIA CASSIAS PEREIRA</t>
  </si>
  <si>
    <t>GABRIEL ANTONIO DE FRANCA</t>
  </si>
  <si>
    <t>GABRIEL BRAZ DOS SANTOS SILVA</t>
  </si>
  <si>
    <t>GABRIELA MARTINS NOVO</t>
  </si>
  <si>
    <t>GABRIELLA GELHORN</t>
  </si>
  <si>
    <t>GEOVANA LOPES BATISTA</t>
  </si>
  <si>
    <t>GIOVANNA RIBEIRO CARNEIRO DA CUNHA PEREIRA</t>
  </si>
  <si>
    <t>GIULIA FRANCISCO FERRAREZI</t>
  </si>
  <si>
    <t>GUSTAVO HENRIQUE RIBEIRO DOS SANTOS</t>
  </si>
  <si>
    <t>HELIO SILVA BALBI</t>
  </si>
  <si>
    <t>HENRIQUE CERDAN DEL LAMA</t>
  </si>
  <si>
    <t>HENRIQUE YOSHIO NISHISAKI</t>
  </si>
  <si>
    <t>HUGO LUQUETTI PONTES</t>
  </si>
  <si>
    <t>ISABELA CAROLINA ALVES PUGLIESSA</t>
  </si>
  <si>
    <t>ISRAEL MEDEIROS DE OLIVEIRA</t>
  </si>
  <si>
    <t>JOAO CARLOS CURSINO APRESENTAÇÃO SOUZA</t>
  </si>
  <si>
    <t>JOAO GABRIEL ERRA FERNANDES DA SILVA</t>
  </si>
  <si>
    <t>JOSE ROBERTO BEZERRA</t>
  </si>
  <si>
    <t>JOSE ROBERTO DE ANDRADE</t>
  </si>
  <si>
    <t>JOSE VICTOR ACOSTA BALDIN</t>
  </si>
  <si>
    <t>JULIANA DE ASSIS UTSCH</t>
  </si>
  <si>
    <t>KARLA DANIELLA MANUNTA</t>
  </si>
  <si>
    <t>KATHARINE DE ALMEIDA SANFINS</t>
  </si>
  <si>
    <t>KATIA FONTANA</t>
  </si>
  <si>
    <t>KATLEN RODRIGUES DA SILVA</t>
  </si>
  <si>
    <t>KAUE YAMATIRI BARBOSA NOVAES</t>
  </si>
  <si>
    <t>LAIS FERNANDA PACHECO LIRA</t>
  </si>
  <si>
    <t>LEONARDO CRUZ FRAGA DAMASCENO</t>
  </si>
  <si>
    <t>LEONARDO RODRIGUEZ FERNANDEZ</t>
  </si>
  <si>
    <t>LERYNDA MARCIA DA SILVA LIMA</t>
  </si>
  <si>
    <t>LILIAN REZENDE ROSSETO</t>
  </si>
  <si>
    <t>LUCAS CABRINI</t>
  </si>
  <si>
    <t>LUCAS DE ARAUJO MENEGOTTO</t>
  </si>
  <si>
    <t>LUCAS HAACK WITIER</t>
  </si>
  <si>
    <t>LUCIO CLETO DE FREITAS</t>
  </si>
  <si>
    <t>LUIZA MALINGRE MAGAN</t>
  </si>
  <si>
    <t>MARCELO LOPES NOGUEIRA</t>
  </si>
  <si>
    <t>MARCO AURELIO GIANNELLI</t>
  </si>
  <si>
    <t>MARCO LUIZ BORTOLAZZO</t>
  </si>
  <si>
    <t>MARCOS PAULO SANTOS FALCAO</t>
  </si>
  <si>
    <t>MARCUS SULZBACHER</t>
  </si>
  <si>
    <t>MARIA FERNANDA SANTIAGO VELLUTINI</t>
  </si>
  <si>
    <t>MARIA GABRIELA WEY SALMON</t>
  </si>
  <si>
    <t>MARIA TEREZA SETTI DE ARRUDA MORAN</t>
  </si>
  <si>
    <t>MARIANA VALVERDE CORREA DA COSTA</t>
  </si>
  <si>
    <t>MARINA TORRES DE MESQUITA DA SILVEIRA E SILVA</t>
  </si>
  <si>
    <t>MARYANA REAL E ORRU</t>
  </si>
  <si>
    <t>MATHEUS GUIMARAES DE SOUZA VALERY</t>
  </si>
  <si>
    <t>MAURO MIYASHIRO MAEDO JUNIOR</t>
  </si>
  <si>
    <t>MICHEL NEUHAUS</t>
  </si>
  <si>
    <t>NATHALIA CHAVES GAGETTI</t>
  </si>
  <si>
    <t>NATHALIA PONTES PINHEIRO</t>
  </si>
  <si>
    <t>NELSON PRADO DOS SANTOS</t>
  </si>
  <si>
    <t>PAULA ALVES PINTO BUZZI</t>
  </si>
  <si>
    <t>PAULA FIGUEIREDO NUNES</t>
  </si>
  <si>
    <t>PAULO ROBERTO LIMA ALTIERI</t>
  </si>
  <si>
    <t>PEDRO HENRIQUE REIS</t>
  </si>
  <si>
    <t>RAFAEL CORREA DE MIRANDA</t>
  </si>
  <si>
    <t>RAFAEL DE ANDRADE</t>
  </si>
  <si>
    <t>RAFAEL MIRANDA CEZAR DE AZEVEDO</t>
  </si>
  <si>
    <t>RAPHAELA SILVA FILIPPETTO</t>
  </si>
  <si>
    <t>REINALDO APARECIDO MACEDO</t>
  </si>
  <si>
    <t>RENAN SHIN ITI SANTOS</t>
  </si>
  <si>
    <t>RENATO BEVILACQUA BUTORI</t>
  </si>
  <si>
    <t>RICARDO MINERVINO FILHO</t>
  </si>
  <si>
    <t>RODRIGO DE MEDEIROS FALCAO</t>
  </si>
  <si>
    <t>RODRIGO SANTOS RESENDE</t>
  </si>
  <si>
    <t>ROGERIO PEDRECCA LOPES</t>
  </si>
  <si>
    <t>ROSE CLEIDE SOARES RIBEIRO</t>
  </si>
  <si>
    <t>SANDRO JUNQUEIRA DE FREITAS</t>
  </si>
  <si>
    <t>SERGIO LUIS FACUNDINI</t>
  </si>
  <si>
    <t>SHEILA APARECIDA FONSECA MACHADO</t>
  </si>
  <si>
    <t>STEPHANIE BIEKARCK</t>
  </si>
  <si>
    <t>TABATHA BARROS</t>
  </si>
  <si>
    <t>TAIS CONCEICAO DOS SANTOS</t>
  </si>
  <si>
    <t>TALES BAHU</t>
  </si>
  <si>
    <t>TATIANA ANGELIM MARTINS</t>
  </si>
  <si>
    <t>THABATA DE QUEIROZ HIDALGO</t>
  </si>
  <si>
    <t>THOMAZ HENRIQUE BREGANTIN DOS SANTOS</t>
  </si>
  <si>
    <t>VALESKA MENEZES MORELLE</t>
  </si>
  <si>
    <t>VANESSA SILVA VIEIRA</t>
  </si>
  <si>
    <t>VANUZA MARIA DE OLIVEIRA PASSOS</t>
  </si>
  <si>
    <t>VERA APARECIDA JACINTO</t>
  </si>
  <si>
    <t>VICTHORIA MARIA AZCUAGA</t>
  </si>
  <si>
    <t>VICTOR TORRES SOTERO DE MENEZES</t>
  </si>
  <si>
    <t>VINICIUS ZELLER</t>
  </si>
  <si>
    <t>VITOR HUGO FAVERO PIZA</t>
  </si>
  <si>
    <t>CLIENTE</t>
  </si>
  <si>
    <t>INSTITUCIONAL</t>
  </si>
  <si>
    <t>MARIANA DE CASSIA ROBOREDO</t>
  </si>
  <si>
    <t>PEDRO MENDONCA DE ALMEIDA ARVATI</t>
  </si>
  <si>
    <t>DANIEL JOSE CHAGAS MARTINS</t>
  </si>
  <si>
    <t>LUCAS ANDRADE</t>
  </si>
  <si>
    <t>PARIS PIEDADE NETO</t>
  </si>
  <si>
    <t>Desenvolvimento de Apresentações</t>
  </si>
  <si>
    <t>Desenvolvimento de Cases</t>
  </si>
  <si>
    <t>Eventos</t>
  </si>
  <si>
    <t>Pesquisa</t>
  </si>
  <si>
    <t>Workshop</t>
  </si>
  <si>
    <t>YAN PRADO LOPES SILVA</t>
  </si>
  <si>
    <t>VICTOR YVES DE FRANCA OLIVEIRA</t>
  </si>
  <si>
    <t>Análise de Comunicação</t>
  </si>
  <si>
    <t>Sustentabilidade</t>
  </si>
  <si>
    <t>Natal 2019</t>
  </si>
  <si>
    <t>BOTICÁRIO</t>
  </si>
  <si>
    <t>Arbo 2019</t>
  </si>
  <si>
    <t>Arbo 2020</t>
  </si>
  <si>
    <t>ARBO</t>
  </si>
  <si>
    <t>Arbo Reserva</t>
  </si>
  <si>
    <t>Avaliações de Projetos</t>
  </si>
  <si>
    <t>BOTICA 214 2019</t>
  </si>
  <si>
    <t>ANFORAS COLECIONAVEIS</t>
  </si>
  <si>
    <t>BOTICÁRIO 2019</t>
  </si>
  <si>
    <t>Boti Conecta</t>
  </si>
  <si>
    <t>Boti Promo</t>
  </si>
  <si>
    <t>FLORATTA</t>
  </si>
  <si>
    <t>BotiCollection 2019</t>
  </si>
  <si>
    <t>Brand Book</t>
  </si>
  <si>
    <t>C-1631-6-028 - PRODUÇÃO DE IMAGEM CUIDE-SE BEM INVERNO</t>
  </si>
  <si>
    <t>CUIDE-SE BEM</t>
  </si>
  <si>
    <t>C-1631-7-011</t>
  </si>
  <si>
    <t>C-1631-7-021</t>
  </si>
  <si>
    <t>C-1637-5-026 - PRODUÇÃO ELETRÔNICA</t>
  </si>
  <si>
    <t>C-1637-5-053 - PRODUÇÃO DE MÍDIA IMPRESSA</t>
  </si>
  <si>
    <t>MATCH</t>
  </si>
  <si>
    <t>C-1637-6-064 - CONVENÇÃO</t>
  </si>
  <si>
    <t>C-1637-6-064 - PERFUMARIA</t>
  </si>
  <si>
    <t>C-1637-6-074 - ELETRÔNICA - PP - Cópias/Geração/CC/Anc</t>
  </si>
  <si>
    <t>DATAS</t>
  </si>
  <si>
    <t>C-1637-6-074-ELETRÔNICA- PP- CÓPIAS/GERAÇÃO/CC/ANC</t>
  </si>
  <si>
    <t>NAMORADOS</t>
  </si>
  <si>
    <t>C-1637-6-079 -  IMAGENS CAMPANHA - ELYSEE</t>
  </si>
  <si>
    <t>C-1637-6-262 DIA DAS MÃES 2019</t>
  </si>
  <si>
    <t>C-1637-6-287 - TRATAMENTO DE IMAGEM</t>
  </si>
  <si>
    <t>C-1637-6-289 - Adiantamentos 2019 - Cuidados e Make</t>
  </si>
  <si>
    <t>C-1637-7-027</t>
  </si>
  <si>
    <t>C-1637-7-049</t>
  </si>
  <si>
    <t>C-1637-7-152 - PRODUÇÃO DE MÍDIA IMPRESSA</t>
  </si>
  <si>
    <t>C-1639-6-033 - SIGNATURE - PRODUÇÃO DE MIDIA IMPRESSA</t>
  </si>
  <si>
    <t>MALBEC</t>
  </si>
  <si>
    <t>C-1639-7-010 - PRODUÇÃO DE IMAGEM</t>
  </si>
  <si>
    <t>THE BLEND</t>
  </si>
  <si>
    <t>C-1641-5-007 - PRODUÇÃO ELETRÔNICA</t>
  </si>
  <si>
    <t>C-1641-6-004 - PRODUÇÃO DE MÍDIA IMPRESSA</t>
  </si>
  <si>
    <t>C-1641-6-020 - IMAGENS CAMPANHA - FLORATTA LIMONCELLO</t>
  </si>
  <si>
    <t>C-1641-7-001 - FLORATTA RED - PRODUÇÃO DE OOH</t>
  </si>
  <si>
    <t>C-1641-7-002 - FLORATTA RED - PRODUÇÃO DE MÍDIA IMPRESSA</t>
  </si>
  <si>
    <t>C-1641-7-002 - PRODUÇÃO DE MÍDIA IMPRESSA</t>
  </si>
  <si>
    <t>C-1641-7-009</t>
  </si>
  <si>
    <t>C-1642-7-001</t>
  </si>
  <si>
    <t>C-1653-6-006 - PRODUÇÃO DE IMAGEM</t>
  </si>
  <si>
    <t>MAKE B</t>
  </si>
  <si>
    <t>C-1653-6-006 - PRODUÇÃO MIDIA IMPRESSA</t>
  </si>
  <si>
    <t>C-1653-6-022 - PRODUÇÃO DE IMAGEM MAKE B NUDES</t>
  </si>
  <si>
    <t>C-1653-6-028 - Finalização mídia impressa</t>
  </si>
  <si>
    <t>C-1653-6-028 – PRODUÇÃO DE MÍDIA IMPRESSA</t>
  </si>
  <si>
    <t>C-1653-6-047 - TRATAMENTO DE IMAGEM</t>
  </si>
  <si>
    <t>C-1653-7-001</t>
  </si>
  <si>
    <t>C-1653-7-007</t>
  </si>
  <si>
    <t>C-1653-7-014</t>
  </si>
  <si>
    <t>C-2294-8-004  - PRODUÇÃO ELETRÔNICA THE BLEND</t>
  </si>
  <si>
    <t>C-2468-4-001</t>
  </si>
  <si>
    <t>C-2801-3-005 - PRODUÇÃO DE IMAGEM NAMORADOS</t>
  </si>
  <si>
    <t>C-2801-3-012 - Produção de Mídia Impressa</t>
  </si>
  <si>
    <t>C-2801-5-004</t>
  </si>
  <si>
    <t>C-2802-3-002 - PRODUÇÃO DE FILME</t>
  </si>
  <si>
    <t>C-2802-3-003 - PAIS - PRODUÇÃO ELETRONICA</t>
  </si>
  <si>
    <t>C-2802-3-011 - Produção de Mídia Impressa Promo Make B</t>
  </si>
  <si>
    <t>C-2802-3-012 - PAIS - PRODUÇÃO DE MÍDIA IMPRESSA</t>
  </si>
  <si>
    <t>C-2803-3-029</t>
  </si>
  <si>
    <t>C-2803-3-047</t>
  </si>
  <si>
    <t>C-2803-3-188 - FILME MAKE B</t>
  </si>
  <si>
    <t>C-2803-3-188 - PRODUÇÃO ELETRONICA</t>
  </si>
  <si>
    <t>C-2803-4-061 - ELETRÔNICA - VINHETAS PATROCÍNIO</t>
  </si>
  <si>
    <t>C-3277-2-005 - ELETRÔNICA - DIGITAL MÃES</t>
  </si>
  <si>
    <t>C-3277-2-007 - PRODUÇÃO DE IMAGEM MÃES</t>
  </si>
  <si>
    <t>C-3278-1-007 - PRODUÇÃO ELETRÔNICA</t>
  </si>
  <si>
    <t>C-3278-2-008 - PRODUÇÃO GRÁFICA</t>
  </si>
  <si>
    <t>C-3278-4-001</t>
  </si>
  <si>
    <t>C-3278-4-004 - ELETRÔNICA - PP FILME MATCH LISOS</t>
  </si>
  <si>
    <t>C-3278-4-010</t>
  </si>
  <si>
    <t>C-3279-1-006 - PRODUÇÃO ELETRÔNICA</t>
  </si>
  <si>
    <t>NATAL</t>
  </si>
  <si>
    <t>C-3279-1-034 - PRODUÇÃO ELETRÔNICA</t>
  </si>
  <si>
    <t>C-3279-2-004 - ELETRÔNICA - PP FILME NATAL</t>
  </si>
  <si>
    <t>C-3279-2-006 - IMAGENS CAMPANHA - NATAL</t>
  </si>
  <si>
    <t>C-3279-2-006 - IMAGENS CAMPANHA NATAL</t>
  </si>
  <si>
    <t>C-4076-1-003   Finalizações Botica 214 Mídia    Adaptações Regionais</t>
  </si>
  <si>
    <t>BOTICA 214</t>
  </si>
  <si>
    <t>C-4155-1-012</t>
  </si>
  <si>
    <t>C-4174-1-001 – VULT REGIONAL</t>
  </si>
  <si>
    <t>SEM MAPPING</t>
  </si>
  <si>
    <t>C-4195-1-019</t>
  </si>
  <si>
    <t>C-4197-1-011</t>
  </si>
  <si>
    <t>C-4198-1-017</t>
  </si>
  <si>
    <t>C-4198-1-017 - A Arte da Perfumaria</t>
  </si>
  <si>
    <t>PERFUMARIA</t>
  </si>
  <si>
    <t>C-4199-1-015</t>
  </si>
  <si>
    <t>C-4200-1-017</t>
  </si>
  <si>
    <t>C-4200-2-013</t>
  </si>
  <si>
    <t>C-4201-1-032 - MALBEC BLACK - PRODUÇÃO DE ARTE FINAL</t>
  </si>
  <si>
    <t>C-4202-1-025</t>
  </si>
  <si>
    <t>C-4203-1-006</t>
  </si>
  <si>
    <t>C-4209-1-001</t>
  </si>
  <si>
    <t>C-4209-2-003</t>
  </si>
  <si>
    <t>C-4224-1-076     PROJ - ARTE PERF - ELETRÔNICA PP</t>
  </si>
  <si>
    <t>COFFEE FUSION</t>
  </si>
  <si>
    <t>COFFEE</t>
  </si>
  <si>
    <t>CUIDE-SE BEM ACALMA</t>
  </si>
  <si>
    <t>CUIDE-SE BEM DELEITE</t>
  </si>
  <si>
    <t>CUIDE-SE BEM SOL &amp; ÁGUA FRESCA</t>
  </si>
  <si>
    <t>Ciclo 12 - Promo Make B.</t>
  </si>
  <si>
    <t>Cuide-se 2019</t>
  </si>
  <si>
    <t>CAROLINA DE ALMEIDA MARTINS</t>
  </si>
  <si>
    <t>Cuide-se Bem Beijinho</t>
  </si>
  <si>
    <t>EVERTON ULISSES MACIEL DOS SANTOS</t>
  </si>
  <si>
    <t>Cuide-se Bem – Branding 2020</t>
  </si>
  <si>
    <t>Cuide-se bem Castanhita</t>
  </si>
  <si>
    <t>Datas 2019</t>
  </si>
  <si>
    <t>MICHELLE GORODSKI MONDRZEJEWSKI</t>
  </si>
  <si>
    <t>Dia da Mulher 2018</t>
  </si>
  <si>
    <t>Dia das Mães 2018</t>
  </si>
  <si>
    <t>Dia das Mães 2019</t>
  </si>
  <si>
    <t>Dia do amigo 2019</t>
  </si>
  <si>
    <t>Dia dos Namorados 2018</t>
  </si>
  <si>
    <t>Dia dos Namorados 2019</t>
  </si>
  <si>
    <t>Dia dos Pais 2018</t>
  </si>
  <si>
    <t>Dia dos Pais 2019</t>
  </si>
  <si>
    <t>Dia dos Pais 2019 criação</t>
  </si>
  <si>
    <t>Dia dos Pais 2020</t>
  </si>
  <si>
    <t>Dream 2019</t>
  </si>
  <si>
    <t>Effie Brasil 2018</t>
  </si>
  <si>
    <t>Egeo 2019</t>
  </si>
  <si>
    <t>EGEO</t>
  </si>
  <si>
    <t>Egeo Vibe</t>
  </si>
  <si>
    <t>CHARLES ALESSANDRO DE FARIA</t>
  </si>
  <si>
    <t>Elysée</t>
  </si>
  <si>
    <t>ELYSEE</t>
  </si>
  <si>
    <t>Elysée Blanc</t>
  </si>
  <si>
    <t>FLORATTA 2020</t>
  </si>
  <si>
    <t>Floratta - Amor de lavanda</t>
  </si>
  <si>
    <t>Floratta - L'amore</t>
  </si>
  <si>
    <t>Floratta 2018</t>
  </si>
  <si>
    <t>Floratta 2019</t>
  </si>
  <si>
    <t>Floratta EDP</t>
  </si>
  <si>
    <t>Floratta Entrega 2</t>
  </si>
  <si>
    <t>Floratta Flores Secretas</t>
  </si>
  <si>
    <t>Floratta Love Flower</t>
  </si>
  <si>
    <t>RICK GARCIA BARBOSA</t>
  </si>
  <si>
    <t>Floratta Red</t>
  </si>
  <si>
    <t>Glamour Diva</t>
  </si>
  <si>
    <t>GLAMOUR</t>
  </si>
  <si>
    <t>Glamour Fever</t>
  </si>
  <si>
    <t>Google Voice Assistant</t>
  </si>
  <si>
    <t>PERFUMARIA MASCULINA</t>
  </si>
  <si>
    <t>Guia de Linguagem</t>
  </si>
  <si>
    <t>ZAAD</t>
  </si>
  <si>
    <t>Guide</t>
  </si>
  <si>
    <t>INSTITUCIONAL 2017</t>
  </si>
  <si>
    <t>Institucional 2018</t>
  </si>
  <si>
    <t>Intense Carnaval</t>
  </si>
  <si>
    <t>INTENSE</t>
  </si>
  <si>
    <t>LILY 2019</t>
  </si>
  <si>
    <t>LILY</t>
  </si>
  <si>
    <t>LINDA FELICIDADE</t>
  </si>
  <si>
    <t>LINDA</t>
  </si>
  <si>
    <t>LINGUAGEM DE COMUNICAÇÃO</t>
  </si>
  <si>
    <t>Lily Absolu</t>
  </si>
  <si>
    <t>Liz</t>
  </si>
  <si>
    <t>Love Lily</t>
  </si>
  <si>
    <t>MAKE B BASE AIR POWER</t>
  </si>
  <si>
    <t>MAKE B. 2019</t>
  </si>
  <si>
    <t>MALBEC GOLD</t>
  </si>
  <si>
    <t>Make B 2019</t>
  </si>
  <si>
    <t>Make B Unlimited</t>
  </si>
  <si>
    <t>Make B. 2018</t>
  </si>
  <si>
    <t>Make B. 2020</t>
  </si>
  <si>
    <t>Malbec - Guia de Linguagem</t>
  </si>
  <si>
    <t>Malbec 2018</t>
  </si>
  <si>
    <t>Malbec 2020</t>
  </si>
  <si>
    <t>Malbec Black</t>
  </si>
  <si>
    <t>Malbec Club</t>
  </si>
  <si>
    <t>Malbec Fresco</t>
  </si>
  <si>
    <t>Malbec Magnetic</t>
  </si>
  <si>
    <t>Malbec Magnetic 2018</t>
  </si>
  <si>
    <t>Malbec Vert</t>
  </si>
  <si>
    <t>Match 2017</t>
  </si>
  <si>
    <t>Match 2019</t>
  </si>
  <si>
    <t>Match 2020</t>
  </si>
  <si>
    <t>Match Agente da Força</t>
  </si>
  <si>
    <t>Match Poder da Reconstrução</t>
  </si>
  <si>
    <t>Mães 2018</t>
  </si>
  <si>
    <t>Mães 2020</t>
  </si>
  <si>
    <t>NATIVA SPA ROSÉ</t>
  </si>
  <si>
    <t>NATIVA SPA</t>
  </si>
  <si>
    <t>Namorados 2020</t>
  </si>
  <si>
    <t>Natal 2017</t>
  </si>
  <si>
    <t>Natal 2018</t>
  </si>
  <si>
    <t>Operações</t>
  </si>
  <si>
    <t>PEP C-1653-7-005 ELETRÔNICA - PP FILME MAKE B MÁSCARAS C4</t>
  </si>
  <si>
    <t>Perfumaria 2019</t>
  </si>
  <si>
    <t>Perfumaria Digital</t>
  </si>
  <si>
    <t>Pesquisa de mercado</t>
  </si>
  <si>
    <t>Planejamento 2019</t>
  </si>
  <si>
    <t>Planejamento Anual 2020</t>
  </si>
  <si>
    <t>Plataforma Masculina</t>
  </si>
  <si>
    <t>BOTICARIO MEN</t>
  </si>
  <si>
    <t>MEN</t>
  </si>
  <si>
    <t>Projeto Royal</t>
  </si>
  <si>
    <t>Promo Make B + Match</t>
  </si>
  <si>
    <t>Quasar 2018</t>
  </si>
  <si>
    <t>QUASAR</t>
  </si>
  <si>
    <t>Quasar Graffiti</t>
  </si>
  <si>
    <t>RESPEITO AOS CACHOS</t>
  </si>
  <si>
    <t>Relatoria Mídia</t>
  </si>
  <si>
    <t>The Blend</t>
  </si>
  <si>
    <t>The Blend 2018</t>
  </si>
  <si>
    <t>The blend 2019</t>
  </si>
  <si>
    <t>THIAGO GONZALES</t>
  </si>
  <si>
    <t>Zaad 2019</t>
  </si>
  <si>
    <t>Zaad Go</t>
  </si>
  <si>
    <t>Horas Q1</t>
  </si>
  <si>
    <t>Horas Q2</t>
  </si>
  <si>
    <t>Horas Q3</t>
  </si>
  <si>
    <t>Horas Q4</t>
  </si>
  <si>
    <t>Todas</t>
  </si>
  <si>
    <t>Q1</t>
  </si>
  <si>
    <t>Q2</t>
  </si>
  <si>
    <t>Q3</t>
  </si>
  <si>
    <t>Q4</t>
  </si>
  <si>
    <t>Part</t>
  </si>
  <si>
    <t>.5</t>
  </si>
  <si>
    <t>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</si>
</sst>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5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4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double">
        <color indexed="64"/>
      </bottom>
      <diagonal/>
    </border>
    <border>
      <left/>
      <right/>
      <top style="thin">
        <color theme="0" tint="-0.14996795556505021"/>
      </top>
      <bottom style="double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 applyFont="1" applyFill="1" applyBorder="1"/>
    <xf numFmtId="0" fontId="3" fillId="0" borderId="0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6" xfId="0" applyFont="1" applyFill="1" applyBorder="1"/>
    <xf numFmtId="0" fontId="3" fillId="0" borderId="2" xfId="0" applyFont="1" applyFill="1" applyBorder="1"/>
    <xf numFmtId="0" fontId="3" fillId="0" borderId="8" xfId="0" applyFont="1" applyFill="1" applyBorder="1"/>
    <xf numFmtId="0" fontId="3" fillId="0" borderId="9" xfId="0" applyFont="1" applyFill="1" applyBorder="1"/>
    <xf numFmtId="0" fontId="3" fillId="0" borderId="11" xfId="0" applyFont="1" applyFill="1" applyBorder="1"/>
    <xf numFmtId="0" fontId="3" fillId="0" borderId="12" xfId="0" applyFont="1" applyFill="1" applyBorder="1"/>
    <xf numFmtId="164" fontId="3" fillId="0" borderId="6" xfId="0" applyNumberFormat="1" applyFont="1" applyFill="1" applyBorder="1"/>
    <xf numFmtId="164" fontId="3" fillId="0" borderId="2" xfId="0" applyNumberFormat="1" applyFont="1" applyFill="1" applyBorder="1"/>
    <xf numFmtId="164" fontId="3" fillId="0" borderId="7" xfId="0" applyNumberFormat="1" applyFont="1" applyFill="1" applyBorder="1"/>
    <xf numFmtId="164" fontId="3" fillId="0" borderId="11" xfId="0" applyNumberFormat="1" applyFont="1" applyFill="1" applyBorder="1"/>
    <xf numFmtId="164" fontId="3" fillId="0" borderId="12" xfId="0" applyNumberFormat="1" applyFont="1" applyFill="1" applyBorder="1"/>
    <xf numFmtId="164" fontId="3" fillId="0" borderId="13" xfId="0" applyNumberFormat="1" applyFont="1" applyFill="1" applyBorder="1"/>
    <xf numFmtId="10" fontId="3" fillId="0" borderId="7" xfId="1" applyNumberFormat="1" applyFont="1" applyFill="1" applyBorder="1"/>
    <xf numFmtId="10" fontId="3" fillId="0" borderId="13" xfId="1" applyNumberFormat="1" applyFont="1" applyFill="1" applyBorder="1"/>
    <xf numFmtId="164" fontId="4" fillId="0" borderId="8" xfId="0" applyNumberFormat="1" applyFont="1" applyFill="1" applyBorder="1"/>
    <xf numFmtId="164" fontId="4" fillId="0" borderId="9" xfId="0" applyNumberFormat="1" applyFont="1" applyFill="1" applyBorder="1"/>
    <xf numFmtId="164" fontId="4" fillId="0" borderId="10" xfId="0" applyNumberFormat="1" applyFont="1" applyFill="1" applyBorder="1"/>
    <xf numFmtId="10" fontId="4" fillId="0" borderId="10" xfId="1" applyNumberFormat="1" applyFont="1" applyFill="1" applyBorder="1"/>
    <xf numFmtId="0" fontId="1" fillId="0" borderId="0" xfId="0" applyFont="1" applyFill="1" applyBorder="1"/>
    <xf numFmtId="22" fontId="0" fillId="0" borderId="0" xfId="0" applyNumberFormat="1" applyFont="1" applyFill="1" applyBorder="1"/>
    <xf numFmtId="0" fontId="2" fillId="0" borderId="1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3" fontId="0" fillId="0" borderId="0" xfId="0" applyNumberFormat="1" applyFont="1" applyFill="1" applyBorder="1"/>
    <xf numFmtId="0" fontId="0" fillId="4" borderId="0" xfId="0" applyNumberFormat="1" applyFont="1" applyFill="1" applyBorder="1"/>
  </cellXfs>
  <cellStyles count="2">
    <cellStyle name="Normal" xfId="0" builtinId="0"/>
    <cellStyle name="Porcentagem" xfId="1" builtinId="5"/>
  </cellStyles>
  <dxfs count="25"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66675</xdr:rowOff>
    </xdr:to>
    <xdr:sp macro="" textlink="">
      <xdr:nvSpPr>
        <xdr:cNvPr id="2" name="AutoShape 1" descr="Resultado de imagem para boticario logo">
          <a:extLst>
            <a:ext uri="{FF2B5EF4-FFF2-40B4-BE49-F238E27FC236}">
              <a16:creationId xmlns:a16="http://schemas.microsoft.com/office/drawing/2014/main" id="{7C22C00D-EC28-492A-9DA1-8FDD89DE8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3" name="AutoShape 2" descr="Resultado de imagem para boticario logo">
          <a:extLst>
            <a:ext uri="{FF2B5EF4-FFF2-40B4-BE49-F238E27FC236}">
              <a16:creationId xmlns:a16="http://schemas.microsoft.com/office/drawing/2014/main" id="{D0E26FD9-EF0B-47E1-A2FF-F778DEF51133}"/>
            </a:ext>
          </a:extLst>
        </xdr:cNvPr>
        <xdr:cNvSpPr>
          <a:spLocks noChangeAspect="1" noChangeArrowheads="1"/>
        </xdr:cNvSpPr>
      </xdr:nvSpPr>
      <xdr:spPr bwMode="auto">
        <a:xfrm>
          <a:off x="0" y="12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152400</xdr:colOff>
      <xdr:row>1</xdr:row>
      <xdr:rowOff>142875</xdr:rowOff>
    </xdr:from>
    <xdr:to>
      <xdr:col>3</xdr:col>
      <xdr:colOff>254527</xdr:colOff>
      <xdr:row>1</xdr:row>
      <xdr:rowOff>904876</xdr:rowOff>
    </xdr:to>
    <xdr:pic>
      <xdr:nvPicPr>
        <xdr:cNvPr id="4" name="Imagem 3" descr="Resultado de imagem para boticario logo">
          <a:extLst>
            <a:ext uri="{FF2B5EF4-FFF2-40B4-BE49-F238E27FC236}">
              <a16:creationId xmlns:a16="http://schemas.microsoft.com/office/drawing/2014/main" id="{ADD122E2-3F37-4FB9-8A3F-C525903660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63" b="39104"/>
        <a:stretch/>
      </xdr:blipFill>
      <xdr:spPr bwMode="auto">
        <a:xfrm>
          <a:off x="762000" y="333375"/>
          <a:ext cx="3407302" cy="762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66675</xdr:rowOff>
    </xdr:to>
    <xdr:sp macro="" textlink="">
      <xdr:nvSpPr>
        <xdr:cNvPr id="2049" name="AutoShape 1" descr="Resultado de imagem para boticario logo">
          <a:extLst>
            <a:ext uri="{FF2B5EF4-FFF2-40B4-BE49-F238E27FC236}">
              <a16:creationId xmlns:a16="http://schemas.microsoft.com/office/drawing/2014/main" id="{40EBF12B-61D3-4ECC-B149-DBAC68E503D1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2050" name="AutoShape 2" descr="Resultado de imagem para boticario logo">
          <a:extLst>
            <a:ext uri="{FF2B5EF4-FFF2-40B4-BE49-F238E27FC236}">
              <a16:creationId xmlns:a16="http://schemas.microsoft.com/office/drawing/2014/main" id="{E21412E4-5B31-4F46-8127-DEDF9ADE600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152400</xdr:colOff>
      <xdr:row>1</xdr:row>
      <xdr:rowOff>142875</xdr:rowOff>
    </xdr:from>
    <xdr:to>
      <xdr:col>3</xdr:col>
      <xdr:colOff>254527</xdr:colOff>
      <xdr:row>1</xdr:row>
      <xdr:rowOff>904876</xdr:rowOff>
    </xdr:to>
    <xdr:pic>
      <xdr:nvPicPr>
        <xdr:cNvPr id="4" name="Imagem 3" descr="Resultado de imagem para boticario logo">
          <a:extLst>
            <a:ext uri="{FF2B5EF4-FFF2-40B4-BE49-F238E27FC236}">
              <a16:creationId xmlns:a16="http://schemas.microsoft.com/office/drawing/2014/main" id="{D63E7BDF-CFAD-457D-978B-5EC42D20F2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63" b="39104"/>
        <a:stretch/>
      </xdr:blipFill>
      <xdr:spPr bwMode="auto">
        <a:xfrm>
          <a:off x="762000" y="333375"/>
          <a:ext cx="3407302" cy="762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E4B0F-6A04-4496-B0B3-8B041F01EEA6}" name="BaseHoras" displayName="BaseHoras" ref="A1:W1115" totalsRowShown="0" headerRowDxfId="24" dataDxfId="23">
  <autoFilter ref="A1:W1115" xr:uid="{7CD70FD0-8159-4B2C-B109-F0056BBA0799}"/>
  <tableColumns count="23">
    <tableColumn id="1" xr3:uid="{1E39885A-1B05-430D-9DD2-DF3260E2C507}" name="Tipo de hora" dataDxfId="22"/>
    <tableColumn id="2" xr3:uid="{CC96D143-F3CF-4AD2-AA2D-1258769B44A4}" name="Cliente" dataDxfId="21"/>
    <tableColumn id="3" xr3:uid="{726B7B71-EC70-42FC-A037-7463E72CD473}" name="Campanha" dataDxfId="20"/>
    <tableColumn id="4" xr3:uid="{6C14CF3C-5242-4C50-AED0-E5061A4D787F}" name="Funcionário" dataDxfId="19"/>
    <tableColumn id="5" xr3:uid="{51640DAF-FFEC-4D38-B283-CED4C48C0412}" name="Produto" dataDxfId="18"/>
    <tableColumn id="6" xr3:uid="{64474874-06A5-49A9-8B32-7F9431DC1B50}" name="Jan/2019" dataDxfId="17"/>
    <tableColumn id="7" xr3:uid="{22A6B6E9-2FEE-4F10-8047-7992550E5E0A}" name="Fev/2019" dataDxfId="16"/>
    <tableColumn id="8" xr3:uid="{018D06D5-34AA-4FF3-9CD7-594344309A73}" name="Mar/2019" dataDxfId="15"/>
    <tableColumn id="9" xr3:uid="{36553AFD-CA70-493C-AEE3-DC357947C491}" name="Abr/2019" dataDxfId="14"/>
    <tableColumn id="10" xr3:uid="{A08A845C-083B-47B7-8066-53E3B963F385}" name="Mai/2019" dataDxfId="13"/>
    <tableColumn id="11" xr3:uid="{D5B3CF86-7EE3-41B3-93EE-3311B7523D68}" name="Jun/2019" dataDxfId="12"/>
    <tableColumn id="12" xr3:uid="{29942C84-0F67-4500-B1E1-B2FBB759A0D2}" name="Jul/2019" dataDxfId="11"/>
    <tableColumn id="13" xr3:uid="{BDEBF5A5-B534-4455-8CB2-95F3DB3D5FDD}" name="Ago/2019" dataDxfId="10"/>
    <tableColumn id="14" xr3:uid="{5AF5D25F-5647-45FD-8BF9-E5CE42022952}" name="Set/2019" dataDxfId="9"/>
    <tableColumn id="15" xr3:uid="{3381F6E0-7F4A-4F49-9EDE-7466AEC1BD92}" name="Out/2019" dataDxfId="8"/>
    <tableColumn id="16" xr3:uid="{D1976FF4-8116-4951-AF51-497AC47CE04B}" name="Nov/2019" dataDxfId="7"/>
    <tableColumn id="17" xr3:uid="{C8A55099-C30F-4F11-BD01-6D73D26E7388}" name="Dez/2019" dataDxfId="6"/>
    <tableColumn id="18" xr3:uid="{FEEAB834-1A03-4BEB-A67B-98E3F727C639}" name="Total 2019" dataDxfId="5"/>
    <tableColumn id="19" xr3:uid="{4187B994-6C62-436F-96E8-ABEF4428C115}" name="Total" dataDxfId="4"/>
    <tableColumn id="20" xr3:uid="{DE3E1F96-A1E3-4A9B-B18E-8B3767E2FB9B}" name="Q1" dataDxfId="3">
      <calculatedColumnFormula>SUM(BaseHoras[[#This Row],[Jan/2019]:[Mar/2019]])</calculatedColumnFormula>
    </tableColumn>
    <tableColumn id="21" xr3:uid="{DCDCD0CE-42AA-48BD-9283-8B1ADAB050E1}" name="Q2" dataDxfId="2">
      <calculatedColumnFormula>SUM(BaseHoras[[#This Row],[Abr/2019]:[Jun/2019]])</calculatedColumnFormula>
    </tableColumn>
    <tableColumn id="22" xr3:uid="{B7DEE17D-E6F1-460C-89E9-6DEC7F41A170}" name="Q3" dataDxfId="1">
      <calculatedColumnFormula>SUM(BaseHoras[[#This Row],[Jul/2019]:[Set/2019]])</calculatedColumnFormula>
    </tableColumn>
    <tableColumn id="23" xr3:uid="{E3E0D21E-0D00-412B-8A72-A560EA464ED4}" name="Q4" dataDxfId="0">
      <calculatedColumnFormula>SUM(BaseHoras[[#This Row],[Out/2019]:[Dez/2019]])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15"/>
  <sheetViews>
    <sheetView workbookViewId="0"/>
  </sheetViews>
  <sheetFormatPr defaultRowHeight="15"/>
  <cols>
    <col min="1" max="1" width="22.140625" customWidth="1"/>
    <col min="2" max="2" width="33.85546875" customWidth="1"/>
    <col min="3" max="4" width="54.5703125" customWidth="1"/>
    <col min="5" max="5" width="31.140625" customWidth="1"/>
    <col min="6" max="6" width="10.85546875" customWidth="1"/>
    <col min="7" max="7" width="11.140625" customWidth="1"/>
    <col min="8" max="8" width="11.5703125" customWidth="1"/>
    <col min="9" max="9" width="11.140625" customWidth="1"/>
    <col min="10" max="10" width="11.42578125" customWidth="1"/>
    <col min="11" max="11" width="11" customWidth="1"/>
    <col min="12" max="12" width="10.42578125" customWidth="1"/>
    <col min="13" max="13" width="11.42578125" customWidth="1"/>
    <col min="14" max="14" width="10.85546875" customWidth="1"/>
    <col min="15" max="15" width="11.28515625" customWidth="1"/>
    <col min="16" max="16" width="11.5703125" customWidth="1"/>
    <col min="17" max="17" width="11.28515625" customWidth="1"/>
    <col min="18" max="18" width="13" customWidth="1"/>
    <col min="19" max="19" width="11.7109375" customWidth="1"/>
  </cols>
  <sheetData>
    <row r="1" spans="1:23" s="27" customForma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6" t="s">
        <v>390</v>
      </c>
      <c r="U1" s="26" t="s">
        <v>391</v>
      </c>
      <c r="V1" s="26" t="s">
        <v>392</v>
      </c>
      <c r="W1" s="26" t="s">
        <v>393</v>
      </c>
    </row>
    <row r="2" spans="1:23">
      <c r="A2" t="s">
        <v>151</v>
      </c>
      <c r="B2" t="s">
        <v>168</v>
      </c>
      <c r="C2" t="s">
        <v>165</v>
      </c>
      <c r="D2" t="s">
        <v>64</v>
      </c>
      <c r="E2" t="s">
        <v>152</v>
      </c>
      <c r="F2">
        <v>0</v>
      </c>
      <c r="G2">
        <v>0</v>
      </c>
      <c r="H2">
        <v>0</v>
      </c>
      <c r="I2">
        <v>406.45140193528869</v>
      </c>
      <c r="J2">
        <v>0</v>
      </c>
      <c r="K2">
        <v>0</v>
      </c>
      <c r="L2">
        <v>139.70672675317297</v>
      </c>
      <c r="M2" s="28">
        <v>967.156130297559</v>
      </c>
      <c r="N2" s="28">
        <v>0</v>
      </c>
      <c r="O2">
        <v>0</v>
      </c>
      <c r="P2">
        <v>0</v>
      </c>
      <c r="Q2">
        <v>0</v>
      </c>
      <c r="R2">
        <v>0</v>
      </c>
      <c r="S2" s="28">
        <v>1513.3142589860206</v>
      </c>
      <c r="T2" s="29">
        <f>SUM(BaseHoras[[#This Row],[Jan/2019]:[Mar/2019]])</f>
        <v>0</v>
      </c>
      <c r="U2" s="29">
        <f>SUM(BaseHoras[[#This Row],[Abr/2019]:[Jun/2019]])</f>
        <v>406.45140193528869</v>
      </c>
      <c r="V2" s="29">
        <f>SUM(BaseHoras[[#This Row],[Jul/2019]:[Set/2019]])</f>
        <v>1106.8628570507319</v>
      </c>
      <c r="W2" s="29">
        <f>SUM(BaseHoras[[#This Row],[Out/2019]:[Dez/2019]])</f>
        <v>0</v>
      </c>
    </row>
    <row r="3" spans="1:23">
      <c r="A3" t="s">
        <v>151</v>
      </c>
      <c r="B3" t="s">
        <v>168</v>
      </c>
      <c r="C3" t="s">
        <v>165</v>
      </c>
      <c r="D3" t="s">
        <v>122</v>
      </c>
      <c r="E3" t="s">
        <v>152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36.166442023485985</v>
      </c>
      <c r="M3" s="28">
        <v>0</v>
      </c>
      <c r="N3" s="28">
        <v>0</v>
      </c>
      <c r="O3">
        <v>0</v>
      </c>
      <c r="P3">
        <v>0</v>
      </c>
      <c r="Q3">
        <v>0</v>
      </c>
      <c r="R3">
        <v>0</v>
      </c>
      <c r="S3" s="28">
        <v>36.166442023485985</v>
      </c>
      <c r="T3" s="29">
        <f>SUM(BaseHoras[[#This Row],[Jan/2019]:[Mar/2019]])</f>
        <v>0</v>
      </c>
      <c r="U3" s="29">
        <f>SUM(BaseHoras[[#This Row],[Abr/2019]:[Jun/2019]])</f>
        <v>0</v>
      </c>
      <c r="V3" s="29">
        <f>SUM(BaseHoras[[#This Row],[Jul/2019]:[Set/2019]])</f>
        <v>36.166442023485985</v>
      </c>
      <c r="W3" s="29">
        <f>SUM(BaseHoras[[#This Row],[Out/2019]:[Dez/2019]])</f>
        <v>0</v>
      </c>
    </row>
    <row r="4" spans="1:23">
      <c r="A4" t="s">
        <v>151</v>
      </c>
      <c r="B4" t="s">
        <v>168</v>
      </c>
      <c r="C4" t="s">
        <v>169</v>
      </c>
      <c r="D4" t="s">
        <v>49</v>
      </c>
      <c r="E4" t="s">
        <v>152</v>
      </c>
      <c r="F4">
        <v>0</v>
      </c>
      <c r="G4">
        <v>459.97973222524223</v>
      </c>
      <c r="H4">
        <v>0</v>
      </c>
      <c r="I4">
        <v>0</v>
      </c>
      <c r="J4">
        <v>0</v>
      </c>
      <c r="K4">
        <v>0</v>
      </c>
      <c r="L4">
        <v>0</v>
      </c>
      <c r="M4" s="28">
        <v>0</v>
      </c>
      <c r="N4" s="28">
        <v>0</v>
      </c>
      <c r="O4">
        <v>0</v>
      </c>
      <c r="P4">
        <v>0</v>
      </c>
      <c r="Q4">
        <v>0</v>
      </c>
      <c r="R4">
        <v>0</v>
      </c>
      <c r="S4" s="28">
        <v>459.97973222524223</v>
      </c>
      <c r="T4" s="29">
        <f>SUM(BaseHoras[[#This Row],[Jan/2019]:[Mar/2019]])</f>
        <v>459.97973222524223</v>
      </c>
      <c r="U4" s="29">
        <f>SUM(BaseHoras[[#This Row],[Abr/2019]:[Jun/2019]])</f>
        <v>0</v>
      </c>
      <c r="V4" s="29">
        <f>SUM(BaseHoras[[#This Row],[Jul/2019]:[Set/2019]])</f>
        <v>0</v>
      </c>
      <c r="W4" s="29">
        <f>SUM(BaseHoras[[#This Row],[Out/2019]:[Dez/2019]])</f>
        <v>0</v>
      </c>
    </row>
    <row r="5" spans="1:23">
      <c r="A5" t="s">
        <v>151</v>
      </c>
      <c r="B5" t="s">
        <v>168</v>
      </c>
      <c r="C5" t="s">
        <v>169</v>
      </c>
      <c r="D5" t="s">
        <v>51</v>
      </c>
      <c r="E5" t="s">
        <v>152</v>
      </c>
      <c r="F5">
        <v>829.62236279029571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28">
        <v>0</v>
      </c>
      <c r="N5" s="28">
        <v>0</v>
      </c>
      <c r="O5">
        <v>0</v>
      </c>
      <c r="P5">
        <v>0</v>
      </c>
      <c r="Q5">
        <v>0</v>
      </c>
      <c r="R5">
        <v>0</v>
      </c>
      <c r="S5" s="28">
        <v>829.62236279029571</v>
      </c>
      <c r="T5" s="29">
        <f>SUM(BaseHoras[[#This Row],[Jan/2019]:[Mar/2019]])</f>
        <v>829.62236279029571</v>
      </c>
      <c r="U5" s="29">
        <f>SUM(BaseHoras[[#This Row],[Abr/2019]:[Jun/2019]])</f>
        <v>0</v>
      </c>
      <c r="V5" s="29">
        <f>SUM(BaseHoras[[#This Row],[Jul/2019]:[Set/2019]])</f>
        <v>0</v>
      </c>
      <c r="W5" s="29">
        <f>SUM(BaseHoras[[#This Row],[Out/2019]:[Dez/2019]])</f>
        <v>0</v>
      </c>
    </row>
    <row r="6" spans="1:23">
      <c r="A6" t="s">
        <v>151</v>
      </c>
      <c r="B6" t="s">
        <v>168</v>
      </c>
      <c r="C6" t="s">
        <v>169</v>
      </c>
      <c r="D6" t="s">
        <v>64</v>
      </c>
      <c r="E6" t="s">
        <v>152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28">
        <v>0</v>
      </c>
      <c r="N6" s="28">
        <v>0</v>
      </c>
      <c r="O6">
        <v>0</v>
      </c>
      <c r="P6">
        <v>224.24195458075059</v>
      </c>
      <c r="Q6">
        <v>0</v>
      </c>
      <c r="R6">
        <v>0</v>
      </c>
      <c r="S6" s="28">
        <v>224.24195458075059</v>
      </c>
      <c r="T6" s="29">
        <f>SUM(BaseHoras[[#This Row],[Jan/2019]:[Mar/2019]])</f>
        <v>0</v>
      </c>
      <c r="U6" s="29">
        <f>SUM(BaseHoras[[#This Row],[Abr/2019]:[Jun/2019]])</f>
        <v>0</v>
      </c>
      <c r="V6" s="29">
        <f>SUM(BaseHoras[[#This Row],[Jul/2019]:[Set/2019]])</f>
        <v>0</v>
      </c>
      <c r="W6" s="29">
        <f>SUM(BaseHoras[[#This Row],[Out/2019]:[Dez/2019]])</f>
        <v>224.24195458075059</v>
      </c>
    </row>
    <row r="7" spans="1:23">
      <c r="A7" t="s">
        <v>151</v>
      </c>
      <c r="B7" t="s">
        <v>168</v>
      </c>
      <c r="C7" t="s">
        <v>169</v>
      </c>
      <c r="D7" t="s">
        <v>87</v>
      </c>
      <c r="E7" t="s">
        <v>152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28">
        <v>0</v>
      </c>
      <c r="N7" s="28">
        <v>0</v>
      </c>
      <c r="O7">
        <v>89.179958557248469</v>
      </c>
      <c r="P7">
        <v>0</v>
      </c>
      <c r="Q7">
        <v>0</v>
      </c>
      <c r="R7">
        <v>0</v>
      </c>
      <c r="S7" s="28">
        <v>89.179958557248469</v>
      </c>
      <c r="T7" s="29">
        <f>SUM(BaseHoras[[#This Row],[Jan/2019]:[Mar/2019]])</f>
        <v>0</v>
      </c>
      <c r="U7" s="29">
        <f>SUM(BaseHoras[[#This Row],[Abr/2019]:[Jun/2019]])</f>
        <v>0</v>
      </c>
      <c r="V7" s="29">
        <f>SUM(BaseHoras[[#This Row],[Jul/2019]:[Set/2019]])</f>
        <v>0</v>
      </c>
      <c r="W7" s="29">
        <f>SUM(BaseHoras[[#This Row],[Out/2019]:[Dez/2019]])</f>
        <v>89.179958557248469</v>
      </c>
    </row>
    <row r="8" spans="1:23">
      <c r="A8" t="s">
        <v>151</v>
      </c>
      <c r="B8" t="s">
        <v>168</v>
      </c>
      <c r="C8" t="s">
        <v>169</v>
      </c>
      <c r="D8" t="s">
        <v>95</v>
      </c>
      <c r="E8" t="s">
        <v>152</v>
      </c>
      <c r="F8">
        <v>5.1362728135951059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28">
        <v>0</v>
      </c>
      <c r="N8" s="28">
        <v>0</v>
      </c>
      <c r="O8">
        <v>0</v>
      </c>
      <c r="P8">
        <v>0</v>
      </c>
      <c r="Q8">
        <v>0</v>
      </c>
      <c r="R8">
        <v>0</v>
      </c>
      <c r="S8" s="28">
        <v>5.1362728135951059</v>
      </c>
      <c r="T8" s="29">
        <f>SUM(BaseHoras[[#This Row],[Jan/2019]:[Mar/2019]])</f>
        <v>5.1362728135951059</v>
      </c>
      <c r="U8" s="29">
        <f>SUM(BaseHoras[[#This Row],[Abr/2019]:[Jun/2019]])</f>
        <v>0</v>
      </c>
      <c r="V8" s="29">
        <f>SUM(BaseHoras[[#This Row],[Jul/2019]:[Set/2019]])</f>
        <v>0</v>
      </c>
      <c r="W8" s="29">
        <f>SUM(BaseHoras[[#This Row],[Out/2019]:[Dez/2019]])</f>
        <v>0</v>
      </c>
    </row>
    <row r="9" spans="1:23">
      <c r="A9" t="s">
        <v>151</v>
      </c>
      <c r="B9" t="s">
        <v>168</v>
      </c>
      <c r="C9" t="s">
        <v>169</v>
      </c>
      <c r="D9" t="s">
        <v>103</v>
      </c>
      <c r="E9" t="s">
        <v>152</v>
      </c>
      <c r="F9">
        <v>96.940704491974998</v>
      </c>
      <c r="G9">
        <v>8.1240933311843868</v>
      </c>
      <c r="H9">
        <v>0</v>
      </c>
      <c r="I9">
        <v>0</v>
      </c>
      <c r="J9">
        <v>0</v>
      </c>
      <c r="K9">
        <v>0</v>
      </c>
      <c r="L9">
        <v>0</v>
      </c>
      <c r="M9" s="28">
        <v>0</v>
      </c>
      <c r="N9" s="28">
        <v>0</v>
      </c>
      <c r="O9">
        <v>0</v>
      </c>
      <c r="P9">
        <v>0</v>
      </c>
      <c r="Q9">
        <v>0</v>
      </c>
      <c r="R9">
        <v>0</v>
      </c>
      <c r="S9" s="28">
        <v>105.06479782315938</v>
      </c>
      <c r="T9" s="29">
        <f>SUM(BaseHoras[[#This Row],[Jan/2019]:[Mar/2019]])</f>
        <v>105.06479782315938</v>
      </c>
      <c r="U9" s="29">
        <f>SUM(BaseHoras[[#This Row],[Abr/2019]:[Jun/2019]])</f>
        <v>0</v>
      </c>
      <c r="V9" s="29">
        <f>SUM(BaseHoras[[#This Row],[Jul/2019]:[Set/2019]])</f>
        <v>0</v>
      </c>
      <c r="W9" s="29">
        <f>SUM(BaseHoras[[#This Row],[Out/2019]:[Dez/2019]])</f>
        <v>0</v>
      </c>
    </row>
    <row r="10" spans="1:23">
      <c r="A10" t="s">
        <v>151</v>
      </c>
      <c r="B10" t="s">
        <v>168</v>
      </c>
      <c r="C10" t="s">
        <v>169</v>
      </c>
      <c r="D10" t="s">
        <v>122</v>
      </c>
      <c r="E10" t="s">
        <v>152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28">
        <v>0</v>
      </c>
      <c r="N10" s="28">
        <v>0</v>
      </c>
      <c r="O10">
        <v>1703.7298972632768</v>
      </c>
      <c r="P10">
        <v>15.148307476080705</v>
      </c>
      <c r="Q10">
        <v>0</v>
      </c>
      <c r="R10">
        <v>0</v>
      </c>
      <c r="S10" s="28">
        <v>1718.8782047393574</v>
      </c>
      <c r="T10" s="29">
        <f>SUM(BaseHoras[[#This Row],[Jan/2019]:[Mar/2019]])</f>
        <v>0</v>
      </c>
      <c r="U10" s="29">
        <f>SUM(BaseHoras[[#This Row],[Abr/2019]:[Jun/2019]])</f>
        <v>0</v>
      </c>
      <c r="V10" s="29">
        <f>SUM(BaseHoras[[#This Row],[Jul/2019]:[Set/2019]])</f>
        <v>0</v>
      </c>
      <c r="W10" s="29">
        <f>SUM(BaseHoras[[#This Row],[Out/2019]:[Dez/2019]])</f>
        <v>1718.8782047393574</v>
      </c>
    </row>
    <row r="11" spans="1:23">
      <c r="A11" t="s">
        <v>151</v>
      </c>
      <c r="B11" t="s">
        <v>168</v>
      </c>
      <c r="C11" t="s">
        <v>169</v>
      </c>
      <c r="D11" t="s">
        <v>129</v>
      </c>
      <c r="E11" t="s">
        <v>152</v>
      </c>
      <c r="F11">
        <v>100.65042956776084</v>
      </c>
      <c r="G11">
        <v>6.815452731214056</v>
      </c>
      <c r="H11">
        <v>0</v>
      </c>
      <c r="I11">
        <v>0</v>
      </c>
      <c r="J11">
        <v>0</v>
      </c>
      <c r="K11">
        <v>0</v>
      </c>
      <c r="L11">
        <v>0</v>
      </c>
      <c r="M11" s="28">
        <v>0</v>
      </c>
      <c r="N11" s="28">
        <v>0</v>
      </c>
      <c r="O11">
        <v>0</v>
      </c>
      <c r="P11">
        <v>0</v>
      </c>
      <c r="Q11">
        <v>0</v>
      </c>
      <c r="R11">
        <v>0</v>
      </c>
      <c r="S11" s="28">
        <v>107.46588229897489</v>
      </c>
      <c r="T11" s="29">
        <f>SUM(BaseHoras[[#This Row],[Jan/2019]:[Mar/2019]])</f>
        <v>107.46588229897489</v>
      </c>
      <c r="U11" s="29">
        <f>SUM(BaseHoras[[#This Row],[Abr/2019]:[Jun/2019]])</f>
        <v>0</v>
      </c>
      <c r="V11" s="29">
        <f>SUM(BaseHoras[[#This Row],[Jul/2019]:[Set/2019]])</f>
        <v>0</v>
      </c>
      <c r="W11" s="29">
        <f>SUM(BaseHoras[[#This Row],[Out/2019]:[Dez/2019]])</f>
        <v>0</v>
      </c>
    </row>
    <row r="12" spans="1:23">
      <c r="A12" t="s">
        <v>151</v>
      </c>
      <c r="B12" t="s">
        <v>168</v>
      </c>
      <c r="C12" t="s">
        <v>170</v>
      </c>
      <c r="D12" t="s">
        <v>42</v>
      </c>
      <c r="E12" t="s">
        <v>171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28">
        <v>0</v>
      </c>
      <c r="N12" s="28">
        <v>0</v>
      </c>
      <c r="O12">
        <v>0</v>
      </c>
      <c r="P12">
        <v>30.399639742919611</v>
      </c>
      <c r="Q12">
        <v>0</v>
      </c>
      <c r="R12">
        <v>0</v>
      </c>
      <c r="S12" s="28">
        <v>30.399639742919611</v>
      </c>
      <c r="T12" s="29">
        <f>SUM(BaseHoras[[#This Row],[Jan/2019]:[Mar/2019]])</f>
        <v>0</v>
      </c>
      <c r="U12" s="29">
        <f>SUM(BaseHoras[[#This Row],[Abr/2019]:[Jun/2019]])</f>
        <v>0</v>
      </c>
      <c r="V12" s="29">
        <f>SUM(BaseHoras[[#This Row],[Jul/2019]:[Set/2019]])</f>
        <v>0</v>
      </c>
      <c r="W12" s="29">
        <f>SUM(BaseHoras[[#This Row],[Out/2019]:[Dez/2019]])</f>
        <v>30.399639742919611</v>
      </c>
    </row>
    <row r="13" spans="1:23">
      <c r="A13" t="s">
        <v>151</v>
      </c>
      <c r="B13" t="s">
        <v>168</v>
      </c>
      <c r="C13" t="s">
        <v>170</v>
      </c>
      <c r="D13" t="s">
        <v>49</v>
      </c>
      <c r="E13" t="s">
        <v>171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28">
        <v>0</v>
      </c>
      <c r="N13" s="28">
        <v>0</v>
      </c>
      <c r="O13">
        <v>0</v>
      </c>
      <c r="P13">
        <v>0</v>
      </c>
      <c r="Q13">
        <v>38.341261893590584</v>
      </c>
      <c r="R13">
        <v>0</v>
      </c>
      <c r="S13" s="28">
        <v>38.341261893590584</v>
      </c>
      <c r="T13" s="29">
        <f>SUM(BaseHoras[[#This Row],[Jan/2019]:[Mar/2019]])</f>
        <v>0</v>
      </c>
      <c r="U13" s="29">
        <f>SUM(BaseHoras[[#This Row],[Abr/2019]:[Jun/2019]])</f>
        <v>0</v>
      </c>
      <c r="V13" s="29">
        <f>SUM(BaseHoras[[#This Row],[Jul/2019]:[Set/2019]])</f>
        <v>0</v>
      </c>
      <c r="W13" s="29">
        <f>SUM(BaseHoras[[#This Row],[Out/2019]:[Dez/2019]])</f>
        <v>38.341261893590584</v>
      </c>
    </row>
    <row r="14" spans="1:23">
      <c r="A14" t="s">
        <v>151</v>
      </c>
      <c r="B14" t="s">
        <v>168</v>
      </c>
      <c r="C14" t="s">
        <v>170</v>
      </c>
      <c r="D14" t="s">
        <v>64</v>
      </c>
      <c r="E14" t="s">
        <v>171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28">
        <v>0</v>
      </c>
      <c r="N14" s="28">
        <v>0</v>
      </c>
      <c r="O14">
        <v>0</v>
      </c>
      <c r="P14">
        <v>0</v>
      </c>
      <c r="Q14">
        <v>9.4101973592629857</v>
      </c>
      <c r="R14">
        <v>0</v>
      </c>
      <c r="S14" s="28">
        <v>9.4101973592629857</v>
      </c>
      <c r="T14" s="29">
        <f>SUM(BaseHoras[[#This Row],[Jan/2019]:[Mar/2019]])</f>
        <v>0</v>
      </c>
      <c r="U14" s="29">
        <f>SUM(BaseHoras[[#This Row],[Abr/2019]:[Jun/2019]])</f>
        <v>0</v>
      </c>
      <c r="V14" s="29">
        <f>SUM(BaseHoras[[#This Row],[Jul/2019]:[Set/2019]])</f>
        <v>0</v>
      </c>
      <c r="W14" s="29">
        <f>SUM(BaseHoras[[#This Row],[Out/2019]:[Dez/2019]])</f>
        <v>9.4101973592629857</v>
      </c>
    </row>
    <row r="15" spans="1:23">
      <c r="A15" t="s">
        <v>151</v>
      </c>
      <c r="B15" t="s">
        <v>168</v>
      </c>
      <c r="C15" t="s">
        <v>170</v>
      </c>
      <c r="D15" t="s">
        <v>139</v>
      </c>
      <c r="E15" t="s">
        <v>171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28">
        <v>0</v>
      </c>
      <c r="N15" s="28">
        <v>0</v>
      </c>
      <c r="O15">
        <v>0</v>
      </c>
      <c r="P15">
        <v>128.55888400175081</v>
      </c>
      <c r="Q15">
        <v>118.91723726872574</v>
      </c>
      <c r="R15">
        <v>0</v>
      </c>
      <c r="S15" s="28">
        <v>247.47612127047654</v>
      </c>
      <c r="T15" s="29">
        <f>SUM(BaseHoras[[#This Row],[Jan/2019]:[Mar/2019]])</f>
        <v>0</v>
      </c>
      <c r="U15" s="29">
        <f>SUM(BaseHoras[[#This Row],[Abr/2019]:[Jun/2019]])</f>
        <v>0</v>
      </c>
      <c r="V15" s="29">
        <f>SUM(BaseHoras[[#This Row],[Jul/2019]:[Set/2019]])</f>
        <v>0</v>
      </c>
      <c r="W15" s="29">
        <f>SUM(BaseHoras[[#This Row],[Out/2019]:[Dez/2019]])</f>
        <v>247.47612127047654</v>
      </c>
    </row>
    <row r="16" spans="1:23">
      <c r="A16" t="s">
        <v>151</v>
      </c>
      <c r="B16" t="s">
        <v>168</v>
      </c>
      <c r="C16" t="s">
        <v>172</v>
      </c>
      <c r="D16" t="s">
        <v>22</v>
      </c>
      <c r="E16" t="s">
        <v>171</v>
      </c>
      <c r="F16">
        <v>2.0916742535519268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28">
        <v>0</v>
      </c>
      <c r="N16" s="28">
        <v>0</v>
      </c>
      <c r="O16">
        <v>0</v>
      </c>
      <c r="P16">
        <v>0</v>
      </c>
      <c r="Q16">
        <v>0</v>
      </c>
      <c r="R16">
        <v>0</v>
      </c>
      <c r="S16" s="28">
        <v>2.0916742535519268</v>
      </c>
      <c r="T16" s="29">
        <f>SUM(BaseHoras[[#This Row],[Jan/2019]:[Mar/2019]])</f>
        <v>2.0916742535519268</v>
      </c>
      <c r="U16" s="29">
        <f>SUM(BaseHoras[[#This Row],[Abr/2019]:[Jun/2019]])</f>
        <v>0</v>
      </c>
      <c r="V16" s="29">
        <f>SUM(BaseHoras[[#This Row],[Jul/2019]:[Set/2019]])</f>
        <v>0</v>
      </c>
      <c r="W16" s="29">
        <f>SUM(BaseHoras[[#This Row],[Out/2019]:[Dez/2019]])</f>
        <v>0</v>
      </c>
    </row>
    <row r="17" spans="1:23">
      <c r="A17" t="s">
        <v>151</v>
      </c>
      <c r="B17" t="s">
        <v>168</v>
      </c>
      <c r="C17" t="s">
        <v>172</v>
      </c>
      <c r="D17" t="s">
        <v>23</v>
      </c>
      <c r="E17" t="s">
        <v>171</v>
      </c>
      <c r="F17">
        <v>216.77523507988613</v>
      </c>
      <c r="G17">
        <v>292.48572127497528</v>
      </c>
      <c r="H17">
        <v>1979.9465136391611</v>
      </c>
      <c r="I17">
        <v>0</v>
      </c>
      <c r="J17">
        <v>0</v>
      </c>
      <c r="K17">
        <v>0</v>
      </c>
      <c r="L17">
        <v>0</v>
      </c>
      <c r="M17" s="28">
        <v>0</v>
      </c>
      <c r="N17" s="28">
        <v>0</v>
      </c>
      <c r="O17">
        <v>0</v>
      </c>
      <c r="P17">
        <v>0</v>
      </c>
      <c r="Q17">
        <v>0</v>
      </c>
      <c r="R17">
        <v>0</v>
      </c>
      <c r="S17" s="28">
        <v>2489.2074699940226</v>
      </c>
      <c r="T17" s="29">
        <f>SUM(BaseHoras[[#This Row],[Jan/2019]:[Mar/2019]])</f>
        <v>2489.2074699940226</v>
      </c>
      <c r="U17" s="29">
        <f>SUM(BaseHoras[[#This Row],[Abr/2019]:[Jun/2019]])</f>
        <v>0</v>
      </c>
      <c r="V17" s="29">
        <f>SUM(BaseHoras[[#This Row],[Jul/2019]:[Set/2019]])</f>
        <v>0</v>
      </c>
      <c r="W17" s="29">
        <f>SUM(BaseHoras[[#This Row],[Out/2019]:[Dez/2019]])</f>
        <v>0</v>
      </c>
    </row>
    <row r="18" spans="1:23">
      <c r="A18" t="s">
        <v>151</v>
      </c>
      <c r="B18" t="s">
        <v>168</v>
      </c>
      <c r="C18" t="s">
        <v>172</v>
      </c>
      <c r="D18" t="s">
        <v>29</v>
      </c>
      <c r="E18" t="s">
        <v>171</v>
      </c>
      <c r="F18">
        <v>0</v>
      </c>
      <c r="G18">
        <v>86.680707034773462</v>
      </c>
      <c r="H18">
        <v>0</v>
      </c>
      <c r="I18">
        <v>0</v>
      </c>
      <c r="J18">
        <v>0</v>
      </c>
      <c r="K18">
        <v>0</v>
      </c>
      <c r="L18">
        <v>0</v>
      </c>
      <c r="M18" s="28">
        <v>0</v>
      </c>
      <c r="N18" s="28">
        <v>0</v>
      </c>
      <c r="O18">
        <v>0</v>
      </c>
      <c r="P18">
        <v>0</v>
      </c>
      <c r="Q18">
        <v>0</v>
      </c>
      <c r="R18">
        <v>0</v>
      </c>
      <c r="S18" s="28">
        <v>86.680707034773462</v>
      </c>
      <c r="T18" s="29">
        <f>SUM(BaseHoras[[#This Row],[Jan/2019]:[Mar/2019]])</f>
        <v>86.680707034773462</v>
      </c>
      <c r="U18" s="29">
        <f>SUM(BaseHoras[[#This Row],[Abr/2019]:[Jun/2019]])</f>
        <v>0</v>
      </c>
      <c r="V18" s="29">
        <f>SUM(BaseHoras[[#This Row],[Jul/2019]:[Set/2019]])</f>
        <v>0</v>
      </c>
      <c r="W18" s="29">
        <f>SUM(BaseHoras[[#This Row],[Out/2019]:[Dez/2019]])</f>
        <v>0</v>
      </c>
    </row>
    <row r="19" spans="1:23">
      <c r="A19" t="s">
        <v>151</v>
      </c>
      <c r="B19" t="s">
        <v>168</v>
      </c>
      <c r="C19" t="s">
        <v>172</v>
      </c>
      <c r="D19" t="s">
        <v>40</v>
      </c>
      <c r="E19" t="s">
        <v>171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28">
        <v>32.990673895668905</v>
      </c>
      <c r="N19" s="28">
        <v>23.746809918485969</v>
      </c>
      <c r="O19">
        <v>0</v>
      </c>
      <c r="P19">
        <v>0</v>
      </c>
      <c r="Q19">
        <v>0</v>
      </c>
      <c r="R19">
        <v>0</v>
      </c>
      <c r="S19" s="28">
        <v>56.737483814154871</v>
      </c>
      <c r="T19" s="29">
        <f>SUM(BaseHoras[[#This Row],[Jan/2019]:[Mar/2019]])</f>
        <v>0</v>
      </c>
      <c r="U19" s="29">
        <f>SUM(BaseHoras[[#This Row],[Abr/2019]:[Jun/2019]])</f>
        <v>0</v>
      </c>
      <c r="V19" s="29">
        <f>SUM(BaseHoras[[#This Row],[Jul/2019]:[Set/2019]])</f>
        <v>56.737483814154871</v>
      </c>
      <c r="W19" s="29">
        <f>SUM(BaseHoras[[#This Row],[Out/2019]:[Dez/2019]])</f>
        <v>0</v>
      </c>
    </row>
    <row r="20" spans="1:23">
      <c r="A20" t="s">
        <v>151</v>
      </c>
      <c r="B20" t="s">
        <v>168</v>
      </c>
      <c r="C20" t="s">
        <v>172</v>
      </c>
      <c r="D20" t="s">
        <v>49</v>
      </c>
      <c r="E20" t="s">
        <v>171</v>
      </c>
      <c r="F20">
        <v>37.946573510004072</v>
      </c>
      <c r="G20">
        <v>29.851064683856453</v>
      </c>
      <c r="H20">
        <v>7.8851573973294959</v>
      </c>
      <c r="I20">
        <v>0</v>
      </c>
      <c r="J20">
        <v>0</v>
      </c>
      <c r="K20">
        <v>0</v>
      </c>
      <c r="L20">
        <v>0</v>
      </c>
      <c r="M20" s="28">
        <v>0</v>
      </c>
      <c r="N20" s="28">
        <v>0</v>
      </c>
      <c r="O20">
        <v>0</v>
      </c>
      <c r="P20">
        <v>0</v>
      </c>
      <c r="Q20">
        <v>0</v>
      </c>
      <c r="R20">
        <v>0</v>
      </c>
      <c r="S20" s="28">
        <v>75.682795591190015</v>
      </c>
      <c r="T20" s="29">
        <f>SUM(BaseHoras[[#This Row],[Jan/2019]:[Mar/2019]])</f>
        <v>75.682795591190015</v>
      </c>
      <c r="U20" s="29">
        <f>SUM(BaseHoras[[#This Row],[Abr/2019]:[Jun/2019]])</f>
        <v>0</v>
      </c>
      <c r="V20" s="29">
        <f>SUM(BaseHoras[[#This Row],[Jul/2019]:[Set/2019]])</f>
        <v>0</v>
      </c>
      <c r="W20" s="29">
        <f>SUM(BaseHoras[[#This Row],[Out/2019]:[Dez/2019]])</f>
        <v>0</v>
      </c>
    </row>
    <row r="21" spans="1:23">
      <c r="A21" t="s">
        <v>151</v>
      </c>
      <c r="B21" t="s">
        <v>168</v>
      </c>
      <c r="C21" t="s">
        <v>172</v>
      </c>
      <c r="D21" t="s">
        <v>51</v>
      </c>
      <c r="E21" t="s">
        <v>171</v>
      </c>
      <c r="F21">
        <v>1265.2610878444655</v>
      </c>
      <c r="G21">
        <v>102.00928759374254</v>
      </c>
      <c r="H21">
        <v>0</v>
      </c>
      <c r="I21">
        <v>0</v>
      </c>
      <c r="J21">
        <v>0</v>
      </c>
      <c r="K21">
        <v>0</v>
      </c>
      <c r="L21">
        <v>0</v>
      </c>
      <c r="M21" s="28">
        <v>0</v>
      </c>
      <c r="N21" s="28">
        <v>0</v>
      </c>
      <c r="O21">
        <v>0</v>
      </c>
      <c r="P21">
        <v>0</v>
      </c>
      <c r="Q21">
        <v>0</v>
      </c>
      <c r="R21">
        <v>0</v>
      </c>
      <c r="S21" s="28">
        <v>1367.270375438208</v>
      </c>
      <c r="T21" s="29">
        <f>SUM(BaseHoras[[#This Row],[Jan/2019]:[Mar/2019]])</f>
        <v>1367.270375438208</v>
      </c>
      <c r="U21" s="29">
        <f>SUM(BaseHoras[[#This Row],[Abr/2019]:[Jun/2019]])</f>
        <v>0</v>
      </c>
      <c r="V21" s="29">
        <f>SUM(BaseHoras[[#This Row],[Jul/2019]:[Set/2019]])</f>
        <v>0</v>
      </c>
      <c r="W21" s="29">
        <f>SUM(BaseHoras[[#This Row],[Out/2019]:[Dez/2019]])</f>
        <v>0</v>
      </c>
    </row>
    <row r="22" spans="1:23">
      <c r="A22" t="s">
        <v>151</v>
      </c>
      <c r="B22" t="s">
        <v>168</v>
      </c>
      <c r="C22" t="s">
        <v>172</v>
      </c>
      <c r="D22" t="s">
        <v>75</v>
      </c>
      <c r="E22" t="s">
        <v>171</v>
      </c>
      <c r="F22">
        <v>2005.7432426051689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28">
        <v>0</v>
      </c>
      <c r="N22" s="28">
        <v>0</v>
      </c>
      <c r="O22">
        <v>0</v>
      </c>
      <c r="P22">
        <v>0</v>
      </c>
      <c r="Q22">
        <v>0</v>
      </c>
      <c r="R22">
        <v>0</v>
      </c>
      <c r="S22" s="28">
        <v>2005.7432426051689</v>
      </c>
      <c r="T22" s="29">
        <f>SUM(BaseHoras[[#This Row],[Jan/2019]:[Mar/2019]])</f>
        <v>2005.7432426051689</v>
      </c>
      <c r="U22" s="29">
        <f>SUM(BaseHoras[[#This Row],[Abr/2019]:[Jun/2019]])</f>
        <v>0</v>
      </c>
      <c r="V22" s="29">
        <f>SUM(BaseHoras[[#This Row],[Jul/2019]:[Set/2019]])</f>
        <v>0</v>
      </c>
      <c r="W22" s="29">
        <f>SUM(BaseHoras[[#This Row],[Out/2019]:[Dez/2019]])</f>
        <v>0</v>
      </c>
    </row>
    <row r="23" spans="1:23">
      <c r="A23" t="s">
        <v>151</v>
      </c>
      <c r="B23" t="s">
        <v>168</v>
      </c>
      <c r="C23" t="s">
        <v>172</v>
      </c>
      <c r="D23" t="s">
        <v>98</v>
      </c>
      <c r="E23" t="s">
        <v>171</v>
      </c>
      <c r="F23">
        <v>259.70572412910985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28">
        <v>0</v>
      </c>
      <c r="N23" s="28">
        <v>0</v>
      </c>
      <c r="O23">
        <v>0</v>
      </c>
      <c r="P23">
        <v>0</v>
      </c>
      <c r="Q23">
        <v>0</v>
      </c>
      <c r="R23">
        <v>0</v>
      </c>
      <c r="S23" s="28">
        <v>259.70572412910985</v>
      </c>
      <c r="T23" s="29">
        <f>SUM(BaseHoras[[#This Row],[Jan/2019]:[Mar/2019]])</f>
        <v>259.70572412910985</v>
      </c>
      <c r="U23" s="29">
        <f>SUM(BaseHoras[[#This Row],[Abr/2019]:[Jun/2019]])</f>
        <v>0</v>
      </c>
      <c r="V23" s="29">
        <f>SUM(BaseHoras[[#This Row],[Jul/2019]:[Set/2019]])</f>
        <v>0</v>
      </c>
      <c r="W23" s="29">
        <f>SUM(BaseHoras[[#This Row],[Out/2019]:[Dez/2019]])</f>
        <v>0</v>
      </c>
    </row>
    <row r="24" spans="1:23">
      <c r="A24" t="s">
        <v>151</v>
      </c>
      <c r="B24" t="s">
        <v>168</v>
      </c>
      <c r="C24" t="s">
        <v>172</v>
      </c>
      <c r="D24" t="s">
        <v>105</v>
      </c>
      <c r="E24" t="s">
        <v>171</v>
      </c>
      <c r="F24">
        <v>1076.3086081831748</v>
      </c>
      <c r="G24">
        <v>675.20075566762227</v>
      </c>
      <c r="H24">
        <v>0</v>
      </c>
      <c r="I24">
        <v>0</v>
      </c>
      <c r="J24">
        <v>0</v>
      </c>
      <c r="K24">
        <v>0</v>
      </c>
      <c r="L24">
        <v>0</v>
      </c>
      <c r="M24" s="28">
        <v>0</v>
      </c>
      <c r="N24" s="28">
        <v>0</v>
      </c>
      <c r="O24">
        <v>0</v>
      </c>
      <c r="P24">
        <v>0</v>
      </c>
      <c r="Q24">
        <v>0</v>
      </c>
      <c r="R24">
        <v>0</v>
      </c>
      <c r="S24" s="28">
        <v>1751.5093638507969</v>
      </c>
      <c r="T24" s="29">
        <f>SUM(BaseHoras[[#This Row],[Jan/2019]:[Mar/2019]])</f>
        <v>1751.5093638507969</v>
      </c>
      <c r="U24" s="29">
        <f>SUM(BaseHoras[[#This Row],[Abr/2019]:[Jun/2019]])</f>
        <v>0</v>
      </c>
      <c r="V24" s="29">
        <f>SUM(BaseHoras[[#This Row],[Jul/2019]:[Set/2019]])</f>
        <v>0</v>
      </c>
      <c r="W24" s="29">
        <f>SUM(BaseHoras[[#This Row],[Out/2019]:[Dez/2019]])</f>
        <v>0</v>
      </c>
    </row>
    <row r="25" spans="1:23">
      <c r="A25" t="s">
        <v>151</v>
      </c>
      <c r="B25" t="s">
        <v>168</v>
      </c>
      <c r="C25" t="s">
        <v>172</v>
      </c>
      <c r="D25" t="s">
        <v>111</v>
      </c>
      <c r="E25" t="s">
        <v>171</v>
      </c>
      <c r="F25">
        <v>43.744944193544576</v>
      </c>
      <c r="G25">
        <v>1930.1718962101518</v>
      </c>
      <c r="H25">
        <v>0</v>
      </c>
      <c r="I25">
        <v>0</v>
      </c>
      <c r="J25">
        <v>0</v>
      </c>
      <c r="K25">
        <v>0</v>
      </c>
      <c r="L25">
        <v>0</v>
      </c>
      <c r="M25" s="28">
        <v>0</v>
      </c>
      <c r="N25" s="28">
        <v>0</v>
      </c>
      <c r="O25">
        <v>0</v>
      </c>
      <c r="P25">
        <v>0</v>
      </c>
      <c r="Q25">
        <v>0</v>
      </c>
      <c r="R25">
        <v>0</v>
      </c>
      <c r="S25" s="28">
        <v>1973.9168404036964</v>
      </c>
      <c r="T25" s="29">
        <f>SUM(BaseHoras[[#This Row],[Jan/2019]:[Mar/2019]])</f>
        <v>1973.9168404036964</v>
      </c>
      <c r="U25" s="29">
        <f>SUM(BaseHoras[[#This Row],[Abr/2019]:[Jun/2019]])</f>
        <v>0</v>
      </c>
      <c r="V25" s="29">
        <f>SUM(BaseHoras[[#This Row],[Jul/2019]:[Set/2019]])</f>
        <v>0</v>
      </c>
      <c r="W25" s="29">
        <f>SUM(BaseHoras[[#This Row],[Out/2019]:[Dez/2019]])</f>
        <v>0</v>
      </c>
    </row>
    <row r="26" spans="1:23">
      <c r="A26" t="s">
        <v>151</v>
      </c>
      <c r="B26" t="s">
        <v>168</v>
      </c>
      <c r="C26" t="s">
        <v>172</v>
      </c>
      <c r="D26" t="s">
        <v>157</v>
      </c>
      <c r="E26" t="s">
        <v>171</v>
      </c>
      <c r="F26">
        <v>113.54129518744763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28">
        <v>0</v>
      </c>
      <c r="N26" s="28">
        <v>0</v>
      </c>
      <c r="O26">
        <v>0</v>
      </c>
      <c r="P26">
        <v>0</v>
      </c>
      <c r="Q26">
        <v>0</v>
      </c>
      <c r="R26">
        <v>0</v>
      </c>
      <c r="S26" s="28">
        <v>113.54129518744763</v>
      </c>
      <c r="T26" s="29">
        <f>SUM(BaseHoras[[#This Row],[Jan/2019]:[Mar/2019]])</f>
        <v>113.54129518744763</v>
      </c>
      <c r="U26" s="29">
        <f>SUM(BaseHoras[[#This Row],[Abr/2019]:[Jun/2019]])</f>
        <v>0</v>
      </c>
      <c r="V26" s="29">
        <f>SUM(BaseHoras[[#This Row],[Jul/2019]:[Set/2019]])</f>
        <v>0</v>
      </c>
      <c r="W26" s="29">
        <f>SUM(BaseHoras[[#This Row],[Out/2019]:[Dez/2019]])</f>
        <v>0</v>
      </c>
    </row>
    <row r="27" spans="1:23">
      <c r="A27" t="s">
        <v>151</v>
      </c>
      <c r="B27" t="s">
        <v>168</v>
      </c>
      <c r="C27" t="s">
        <v>172</v>
      </c>
      <c r="D27" t="s">
        <v>118</v>
      </c>
      <c r="E27" t="s">
        <v>171</v>
      </c>
      <c r="F27">
        <v>5557.1148025450721</v>
      </c>
      <c r="G27">
        <v>98.674064838388134</v>
      </c>
      <c r="H27">
        <v>0</v>
      </c>
      <c r="I27">
        <v>0</v>
      </c>
      <c r="J27">
        <v>0</v>
      </c>
      <c r="K27">
        <v>0</v>
      </c>
      <c r="L27">
        <v>0</v>
      </c>
      <c r="M27" s="28">
        <v>0</v>
      </c>
      <c r="N27" s="28">
        <v>0</v>
      </c>
      <c r="O27">
        <v>0</v>
      </c>
      <c r="P27">
        <v>0</v>
      </c>
      <c r="Q27">
        <v>0</v>
      </c>
      <c r="R27">
        <v>0</v>
      </c>
      <c r="S27" s="28">
        <v>5655.7888673834605</v>
      </c>
      <c r="T27" s="29">
        <f>SUM(BaseHoras[[#This Row],[Jan/2019]:[Mar/2019]])</f>
        <v>5655.7888673834605</v>
      </c>
      <c r="U27" s="29">
        <f>SUM(BaseHoras[[#This Row],[Abr/2019]:[Jun/2019]])</f>
        <v>0</v>
      </c>
      <c r="V27" s="29">
        <f>SUM(BaseHoras[[#This Row],[Jul/2019]:[Set/2019]])</f>
        <v>0</v>
      </c>
      <c r="W27" s="29">
        <f>SUM(BaseHoras[[#This Row],[Out/2019]:[Dez/2019]])</f>
        <v>0</v>
      </c>
    </row>
    <row r="28" spans="1:23">
      <c r="A28" t="s">
        <v>151</v>
      </c>
      <c r="B28" t="s">
        <v>168</v>
      </c>
      <c r="C28" t="s">
        <v>172</v>
      </c>
      <c r="D28" t="s">
        <v>129</v>
      </c>
      <c r="E28" t="s">
        <v>171</v>
      </c>
      <c r="F28">
        <v>0</v>
      </c>
      <c r="G28">
        <v>0</v>
      </c>
      <c r="H28">
        <v>6.5453403676383637</v>
      </c>
      <c r="I28">
        <v>0</v>
      </c>
      <c r="J28">
        <v>0</v>
      </c>
      <c r="K28">
        <v>0</v>
      </c>
      <c r="L28">
        <v>0</v>
      </c>
      <c r="M28" s="28">
        <v>0</v>
      </c>
      <c r="N28" s="28">
        <v>0</v>
      </c>
      <c r="O28">
        <v>0</v>
      </c>
      <c r="P28">
        <v>0</v>
      </c>
      <c r="Q28">
        <v>0</v>
      </c>
      <c r="R28">
        <v>0</v>
      </c>
      <c r="S28" s="28">
        <v>6.5453403676383637</v>
      </c>
      <c r="T28" s="29">
        <f>SUM(BaseHoras[[#This Row],[Jan/2019]:[Mar/2019]])</f>
        <v>6.5453403676383637</v>
      </c>
      <c r="U28" s="29">
        <f>SUM(BaseHoras[[#This Row],[Abr/2019]:[Jun/2019]])</f>
        <v>0</v>
      </c>
      <c r="V28" s="29">
        <f>SUM(BaseHoras[[#This Row],[Jul/2019]:[Set/2019]])</f>
        <v>0</v>
      </c>
      <c r="W28" s="29">
        <f>SUM(BaseHoras[[#This Row],[Out/2019]:[Dez/2019]])</f>
        <v>0</v>
      </c>
    </row>
    <row r="29" spans="1:23">
      <c r="A29" t="s">
        <v>151</v>
      </c>
      <c r="B29" t="s">
        <v>168</v>
      </c>
      <c r="C29" t="s">
        <v>173</v>
      </c>
      <c r="D29" t="s">
        <v>29</v>
      </c>
      <c r="E29" t="s">
        <v>152</v>
      </c>
      <c r="F29">
        <v>13.640121934057204</v>
      </c>
      <c r="G29">
        <v>78.653888241319962</v>
      </c>
      <c r="H29">
        <v>0</v>
      </c>
      <c r="I29">
        <v>0</v>
      </c>
      <c r="J29">
        <v>0</v>
      </c>
      <c r="K29">
        <v>0</v>
      </c>
      <c r="L29">
        <v>0</v>
      </c>
      <c r="M29" s="28">
        <v>0</v>
      </c>
      <c r="N29" s="28">
        <v>48.276267873940363</v>
      </c>
      <c r="O29">
        <v>0</v>
      </c>
      <c r="P29">
        <v>0</v>
      </c>
      <c r="Q29">
        <v>0</v>
      </c>
      <c r="R29">
        <v>0</v>
      </c>
      <c r="S29" s="28">
        <v>140.57027804931752</v>
      </c>
      <c r="T29" s="29">
        <f>SUM(BaseHoras[[#This Row],[Jan/2019]:[Mar/2019]])</f>
        <v>92.294010175377167</v>
      </c>
      <c r="U29" s="29">
        <f>SUM(BaseHoras[[#This Row],[Abr/2019]:[Jun/2019]])</f>
        <v>0</v>
      </c>
      <c r="V29" s="29">
        <f>SUM(BaseHoras[[#This Row],[Jul/2019]:[Set/2019]])</f>
        <v>48.276267873940363</v>
      </c>
      <c r="W29" s="29">
        <f>SUM(BaseHoras[[#This Row],[Out/2019]:[Dez/2019]])</f>
        <v>0</v>
      </c>
    </row>
    <row r="30" spans="1:23">
      <c r="A30" t="s">
        <v>151</v>
      </c>
      <c r="B30" t="s">
        <v>168</v>
      </c>
      <c r="C30" t="s">
        <v>173</v>
      </c>
      <c r="D30" t="s">
        <v>87</v>
      </c>
      <c r="E30" t="s">
        <v>152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28">
        <v>0</v>
      </c>
      <c r="N30" s="28">
        <v>0</v>
      </c>
      <c r="O30">
        <v>0</v>
      </c>
      <c r="P30">
        <v>0</v>
      </c>
      <c r="Q30">
        <v>32.705933109342062</v>
      </c>
      <c r="R30">
        <v>0</v>
      </c>
      <c r="S30" s="28">
        <v>32.705933109342062</v>
      </c>
      <c r="T30" s="29">
        <f>SUM(BaseHoras[[#This Row],[Jan/2019]:[Mar/2019]])</f>
        <v>0</v>
      </c>
      <c r="U30" s="29">
        <f>SUM(BaseHoras[[#This Row],[Abr/2019]:[Jun/2019]])</f>
        <v>0</v>
      </c>
      <c r="V30" s="29">
        <f>SUM(BaseHoras[[#This Row],[Jul/2019]:[Set/2019]])</f>
        <v>0</v>
      </c>
      <c r="W30" s="29">
        <f>SUM(BaseHoras[[#This Row],[Out/2019]:[Dez/2019]])</f>
        <v>32.705933109342062</v>
      </c>
    </row>
    <row r="31" spans="1:23">
      <c r="A31" t="s">
        <v>151</v>
      </c>
      <c r="B31" t="s">
        <v>168</v>
      </c>
      <c r="C31" t="s">
        <v>173</v>
      </c>
      <c r="D31" t="s">
        <v>128</v>
      </c>
      <c r="E31" t="s">
        <v>152</v>
      </c>
      <c r="F31">
        <v>0</v>
      </c>
      <c r="G31">
        <v>8.8543634605870913</v>
      </c>
      <c r="H31">
        <v>0</v>
      </c>
      <c r="I31">
        <v>0</v>
      </c>
      <c r="J31">
        <v>0</v>
      </c>
      <c r="K31">
        <v>0</v>
      </c>
      <c r="L31">
        <v>0</v>
      </c>
      <c r="M31" s="28">
        <v>0</v>
      </c>
      <c r="N31" s="28">
        <v>0</v>
      </c>
      <c r="O31">
        <v>0</v>
      </c>
      <c r="P31">
        <v>0</v>
      </c>
      <c r="Q31">
        <v>0</v>
      </c>
      <c r="R31">
        <v>0</v>
      </c>
      <c r="S31" s="28">
        <v>8.8543634605870913</v>
      </c>
      <c r="T31" s="29">
        <f>SUM(BaseHoras[[#This Row],[Jan/2019]:[Mar/2019]])</f>
        <v>8.8543634605870913</v>
      </c>
      <c r="U31" s="29">
        <f>SUM(BaseHoras[[#This Row],[Abr/2019]:[Jun/2019]])</f>
        <v>0</v>
      </c>
      <c r="V31" s="29">
        <f>SUM(BaseHoras[[#This Row],[Jul/2019]:[Set/2019]])</f>
        <v>0</v>
      </c>
      <c r="W31" s="29">
        <f>SUM(BaseHoras[[#This Row],[Out/2019]:[Dez/2019]])</f>
        <v>0</v>
      </c>
    </row>
    <row r="32" spans="1:23">
      <c r="A32" t="s">
        <v>151</v>
      </c>
      <c r="B32" t="s">
        <v>168</v>
      </c>
      <c r="C32" t="s">
        <v>174</v>
      </c>
      <c r="D32" t="s">
        <v>29</v>
      </c>
      <c r="E32" t="s">
        <v>175</v>
      </c>
      <c r="F32">
        <v>24.704793855785606</v>
      </c>
      <c r="G32">
        <v>46.11087420798021</v>
      </c>
      <c r="H32">
        <v>0</v>
      </c>
      <c r="I32">
        <v>0</v>
      </c>
      <c r="J32">
        <v>0</v>
      </c>
      <c r="K32">
        <v>0</v>
      </c>
      <c r="L32">
        <v>0</v>
      </c>
      <c r="M32" s="28">
        <v>0</v>
      </c>
      <c r="N32" s="28">
        <v>0</v>
      </c>
      <c r="O32">
        <v>0</v>
      </c>
      <c r="P32">
        <v>0</v>
      </c>
      <c r="Q32">
        <v>0</v>
      </c>
      <c r="R32">
        <v>0</v>
      </c>
      <c r="S32" s="28">
        <v>70.815668063765813</v>
      </c>
      <c r="T32" s="29">
        <f>SUM(BaseHoras[[#This Row],[Jan/2019]:[Mar/2019]])</f>
        <v>70.815668063765813</v>
      </c>
      <c r="U32" s="29">
        <f>SUM(BaseHoras[[#This Row],[Abr/2019]:[Jun/2019]])</f>
        <v>0</v>
      </c>
      <c r="V32" s="29">
        <f>SUM(BaseHoras[[#This Row],[Jul/2019]:[Set/2019]])</f>
        <v>0</v>
      </c>
      <c r="W32" s="29">
        <f>SUM(BaseHoras[[#This Row],[Out/2019]:[Dez/2019]])</f>
        <v>0</v>
      </c>
    </row>
    <row r="33" spans="1:23">
      <c r="A33" t="s">
        <v>151</v>
      </c>
      <c r="B33" t="s">
        <v>168</v>
      </c>
      <c r="C33" t="s">
        <v>174</v>
      </c>
      <c r="D33" t="s">
        <v>30</v>
      </c>
      <c r="E33" t="s">
        <v>175</v>
      </c>
      <c r="F33">
        <v>411.41974004872526</v>
      </c>
      <c r="G33">
        <v>58.700810793431295</v>
      </c>
      <c r="H33">
        <v>0</v>
      </c>
      <c r="I33">
        <v>0</v>
      </c>
      <c r="J33">
        <v>0</v>
      </c>
      <c r="K33">
        <v>0</v>
      </c>
      <c r="L33">
        <v>0</v>
      </c>
      <c r="M33" s="28">
        <v>0</v>
      </c>
      <c r="N33" s="28">
        <v>0</v>
      </c>
      <c r="O33">
        <v>0</v>
      </c>
      <c r="P33">
        <v>0</v>
      </c>
      <c r="Q33">
        <v>0</v>
      </c>
      <c r="R33">
        <v>0</v>
      </c>
      <c r="S33" s="28">
        <v>470.12055084215655</v>
      </c>
      <c r="T33" s="29">
        <f>SUM(BaseHoras[[#This Row],[Jan/2019]:[Mar/2019]])</f>
        <v>470.12055084215655</v>
      </c>
      <c r="U33" s="29">
        <f>SUM(BaseHoras[[#This Row],[Abr/2019]:[Jun/2019]])</f>
        <v>0</v>
      </c>
      <c r="V33" s="29">
        <f>SUM(BaseHoras[[#This Row],[Jul/2019]:[Set/2019]])</f>
        <v>0</v>
      </c>
      <c r="W33" s="29">
        <f>SUM(BaseHoras[[#This Row],[Out/2019]:[Dez/2019]])</f>
        <v>0</v>
      </c>
    </row>
    <row r="34" spans="1:23">
      <c r="A34" t="s">
        <v>151</v>
      </c>
      <c r="B34" t="s">
        <v>168</v>
      </c>
      <c r="C34" t="s">
        <v>174</v>
      </c>
      <c r="D34" t="s">
        <v>40</v>
      </c>
      <c r="E34" t="s">
        <v>175</v>
      </c>
      <c r="F34">
        <v>135.5264632107058</v>
      </c>
      <c r="G34">
        <v>29.438264801733002</v>
      </c>
      <c r="H34">
        <v>0</v>
      </c>
      <c r="I34">
        <v>0</v>
      </c>
      <c r="J34">
        <v>0</v>
      </c>
      <c r="K34">
        <v>0</v>
      </c>
      <c r="L34">
        <v>0</v>
      </c>
      <c r="M34" s="28">
        <v>0</v>
      </c>
      <c r="N34" s="28">
        <v>0</v>
      </c>
      <c r="O34">
        <v>0</v>
      </c>
      <c r="P34">
        <v>0</v>
      </c>
      <c r="Q34">
        <v>0</v>
      </c>
      <c r="R34">
        <v>0</v>
      </c>
      <c r="S34" s="28">
        <v>164.9647280124388</v>
      </c>
      <c r="T34" s="29">
        <f>SUM(BaseHoras[[#This Row],[Jan/2019]:[Mar/2019]])</f>
        <v>164.9647280124388</v>
      </c>
      <c r="U34" s="29">
        <f>SUM(BaseHoras[[#This Row],[Abr/2019]:[Jun/2019]])</f>
        <v>0</v>
      </c>
      <c r="V34" s="29">
        <f>SUM(BaseHoras[[#This Row],[Jul/2019]:[Set/2019]])</f>
        <v>0</v>
      </c>
      <c r="W34" s="29">
        <f>SUM(BaseHoras[[#This Row],[Out/2019]:[Dez/2019]])</f>
        <v>0</v>
      </c>
    </row>
    <row r="35" spans="1:23">
      <c r="A35" t="s">
        <v>151</v>
      </c>
      <c r="B35" t="s">
        <v>168</v>
      </c>
      <c r="C35" t="s">
        <v>174</v>
      </c>
      <c r="D35" t="s">
        <v>41</v>
      </c>
      <c r="E35" t="s">
        <v>175</v>
      </c>
      <c r="F35">
        <v>51.847691735096703</v>
      </c>
      <c r="G35">
        <v>233.59801565667848</v>
      </c>
      <c r="H35">
        <v>0</v>
      </c>
      <c r="I35">
        <v>0</v>
      </c>
      <c r="J35">
        <v>0</v>
      </c>
      <c r="K35">
        <v>0</v>
      </c>
      <c r="L35">
        <v>0</v>
      </c>
      <c r="M35" s="28">
        <v>0</v>
      </c>
      <c r="N35" s="28">
        <v>0</v>
      </c>
      <c r="O35">
        <v>0</v>
      </c>
      <c r="P35">
        <v>0</v>
      </c>
      <c r="Q35">
        <v>0</v>
      </c>
      <c r="R35">
        <v>0</v>
      </c>
      <c r="S35" s="28">
        <v>285.44570739177516</v>
      </c>
      <c r="T35" s="29">
        <f>SUM(BaseHoras[[#This Row],[Jan/2019]:[Mar/2019]])</f>
        <v>285.44570739177516</v>
      </c>
      <c r="U35" s="29">
        <f>SUM(BaseHoras[[#This Row],[Abr/2019]:[Jun/2019]])</f>
        <v>0</v>
      </c>
      <c r="V35" s="29">
        <f>SUM(BaseHoras[[#This Row],[Jul/2019]:[Set/2019]])</f>
        <v>0</v>
      </c>
      <c r="W35" s="29">
        <f>SUM(BaseHoras[[#This Row],[Out/2019]:[Dez/2019]])</f>
        <v>0</v>
      </c>
    </row>
    <row r="36" spans="1:23">
      <c r="A36" t="s">
        <v>151</v>
      </c>
      <c r="B36" t="s">
        <v>168</v>
      </c>
      <c r="C36" t="s">
        <v>174</v>
      </c>
      <c r="D36" t="s">
        <v>55</v>
      </c>
      <c r="E36" t="s">
        <v>175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28">
        <v>0</v>
      </c>
      <c r="N36" s="28">
        <v>0</v>
      </c>
      <c r="O36">
        <v>0</v>
      </c>
      <c r="P36" t="s">
        <v>395</v>
      </c>
      <c r="Q36">
        <v>0</v>
      </c>
      <c r="R36">
        <v>0</v>
      </c>
      <c r="S36" s="28">
        <v>0</v>
      </c>
      <c r="T36" s="29">
        <f>SUM(BaseHoras[[#This Row],[Jan/2019]:[Mar/2019]])</f>
        <v>0</v>
      </c>
      <c r="U36" s="29">
        <f>SUM(BaseHoras[[#This Row],[Abr/2019]:[Jun/2019]])</f>
        <v>0</v>
      </c>
      <c r="V36" s="29">
        <f>SUM(BaseHoras[[#This Row],[Jul/2019]:[Set/2019]])</f>
        <v>0</v>
      </c>
      <c r="W36" s="29">
        <f>SUM(BaseHoras[[#This Row],[Out/2019]:[Dez/2019]])</f>
        <v>0</v>
      </c>
    </row>
    <row r="37" spans="1:23">
      <c r="A37" t="s">
        <v>151</v>
      </c>
      <c r="B37" t="s">
        <v>168</v>
      </c>
      <c r="C37" t="s">
        <v>174</v>
      </c>
      <c r="D37" t="s">
        <v>76</v>
      </c>
      <c r="E37" t="s">
        <v>175</v>
      </c>
      <c r="F37">
        <v>37.577398998864922</v>
      </c>
      <c r="G37">
        <v>47.028294596564656</v>
      </c>
      <c r="H37">
        <v>0</v>
      </c>
      <c r="I37">
        <v>0</v>
      </c>
      <c r="J37">
        <v>0</v>
      </c>
      <c r="K37">
        <v>0</v>
      </c>
      <c r="L37">
        <v>0</v>
      </c>
      <c r="M37" s="28">
        <v>0</v>
      </c>
      <c r="N37" s="28">
        <v>0</v>
      </c>
      <c r="O37">
        <v>0</v>
      </c>
      <c r="P37">
        <v>0</v>
      </c>
      <c r="Q37">
        <v>0</v>
      </c>
      <c r="R37">
        <v>0</v>
      </c>
      <c r="S37" s="28">
        <v>84.605693595429585</v>
      </c>
      <c r="T37" s="29">
        <f>SUM(BaseHoras[[#This Row],[Jan/2019]:[Mar/2019]])</f>
        <v>84.605693595429585</v>
      </c>
      <c r="U37" s="29">
        <f>SUM(BaseHoras[[#This Row],[Abr/2019]:[Jun/2019]])</f>
        <v>0</v>
      </c>
      <c r="V37" s="29">
        <f>SUM(BaseHoras[[#This Row],[Jul/2019]:[Set/2019]])</f>
        <v>0</v>
      </c>
      <c r="W37" s="29">
        <f>SUM(BaseHoras[[#This Row],[Out/2019]:[Dez/2019]])</f>
        <v>0</v>
      </c>
    </row>
    <row r="38" spans="1:23">
      <c r="A38" t="s">
        <v>151</v>
      </c>
      <c r="B38" t="s">
        <v>168</v>
      </c>
      <c r="C38" t="s">
        <v>174</v>
      </c>
      <c r="D38" t="s">
        <v>98</v>
      </c>
      <c r="E38" t="s">
        <v>175</v>
      </c>
      <c r="F38">
        <v>13.847966415030534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s="28">
        <v>0</v>
      </c>
      <c r="N38" s="28">
        <v>0</v>
      </c>
      <c r="O38">
        <v>0</v>
      </c>
      <c r="P38">
        <v>0</v>
      </c>
      <c r="Q38">
        <v>0</v>
      </c>
      <c r="R38">
        <v>0</v>
      </c>
      <c r="S38" s="28">
        <v>13.847966415030534</v>
      </c>
      <c r="T38" s="29">
        <f>SUM(BaseHoras[[#This Row],[Jan/2019]:[Mar/2019]])</f>
        <v>13.847966415030534</v>
      </c>
      <c r="U38" s="29">
        <f>SUM(BaseHoras[[#This Row],[Abr/2019]:[Jun/2019]])</f>
        <v>0</v>
      </c>
      <c r="V38" s="29">
        <f>SUM(BaseHoras[[#This Row],[Jul/2019]:[Set/2019]])</f>
        <v>0</v>
      </c>
      <c r="W38" s="29">
        <f>SUM(BaseHoras[[#This Row],[Out/2019]:[Dez/2019]])</f>
        <v>0</v>
      </c>
    </row>
    <row r="39" spans="1:23">
      <c r="A39" t="s">
        <v>151</v>
      </c>
      <c r="B39" t="s">
        <v>168</v>
      </c>
      <c r="C39" t="s">
        <v>174</v>
      </c>
      <c r="D39" t="s">
        <v>100</v>
      </c>
      <c r="E39" t="s">
        <v>175</v>
      </c>
      <c r="F39">
        <v>0</v>
      </c>
      <c r="G39">
        <v>36.183387978578786</v>
      </c>
      <c r="H39">
        <v>0</v>
      </c>
      <c r="I39">
        <v>0</v>
      </c>
      <c r="J39">
        <v>0</v>
      </c>
      <c r="K39">
        <v>0</v>
      </c>
      <c r="L39">
        <v>0</v>
      </c>
      <c r="M39" s="28">
        <v>0</v>
      </c>
      <c r="N39" s="28">
        <v>0</v>
      </c>
      <c r="O39">
        <v>0</v>
      </c>
      <c r="P39">
        <v>0</v>
      </c>
      <c r="Q39">
        <v>0</v>
      </c>
      <c r="R39">
        <v>0</v>
      </c>
      <c r="S39" s="28">
        <v>36.183387978578786</v>
      </c>
      <c r="T39" s="29">
        <f>SUM(BaseHoras[[#This Row],[Jan/2019]:[Mar/2019]])</f>
        <v>36.183387978578786</v>
      </c>
      <c r="U39" s="29">
        <f>SUM(BaseHoras[[#This Row],[Abr/2019]:[Jun/2019]])</f>
        <v>0</v>
      </c>
      <c r="V39" s="29">
        <f>SUM(BaseHoras[[#This Row],[Jul/2019]:[Set/2019]])</f>
        <v>0</v>
      </c>
      <c r="W39" s="29">
        <f>SUM(BaseHoras[[#This Row],[Out/2019]:[Dez/2019]])</f>
        <v>0</v>
      </c>
    </row>
    <row r="40" spans="1:23">
      <c r="A40" t="s">
        <v>151</v>
      </c>
      <c r="B40" t="s">
        <v>168</v>
      </c>
      <c r="C40" t="s">
        <v>174</v>
      </c>
      <c r="D40" t="s">
        <v>102</v>
      </c>
      <c r="E40" t="s">
        <v>175</v>
      </c>
      <c r="F40">
        <v>51.169218932832891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s="28">
        <v>0</v>
      </c>
      <c r="N40" s="28">
        <v>0</v>
      </c>
      <c r="O40">
        <v>0</v>
      </c>
      <c r="P40">
        <v>0</v>
      </c>
      <c r="Q40">
        <v>0</v>
      </c>
      <c r="R40">
        <v>0</v>
      </c>
      <c r="S40" s="28">
        <v>51.169218932832891</v>
      </c>
      <c r="T40" s="29">
        <f>SUM(BaseHoras[[#This Row],[Jan/2019]:[Mar/2019]])</f>
        <v>51.169218932832891</v>
      </c>
      <c r="U40" s="29">
        <f>SUM(BaseHoras[[#This Row],[Abr/2019]:[Jun/2019]])</f>
        <v>0</v>
      </c>
      <c r="V40" s="29">
        <f>SUM(BaseHoras[[#This Row],[Jul/2019]:[Set/2019]])</f>
        <v>0</v>
      </c>
      <c r="W40" s="29">
        <f>SUM(BaseHoras[[#This Row],[Out/2019]:[Dez/2019]])</f>
        <v>0</v>
      </c>
    </row>
    <row r="41" spans="1:23">
      <c r="A41" t="s">
        <v>151</v>
      </c>
      <c r="B41" t="s">
        <v>168</v>
      </c>
      <c r="C41" t="s">
        <v>174</v>
      </c>
      <c r="D41" t="s">
        <v>105</v>
      </c>
      <c r="E41" t="s">
        <v>175</v>
      </c>
      <c r="F41">
        <v>317.84828702050675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28">
        <v>0</v>
      </c>
      <c r="N41" s="28">
        <v>0</v>
      </c>
      <c r="O41">
        <v>0</v>
      </c>
      <c r="P41">
        <v>0</v>
      </c>
      <c r="Q41">
        <v>0</v>
      </c>
      <c r="R41">
        <v>0</v>
      </c>
      <c r="S41" s="28">
        <v>317.84828702050675</v>
      </c>
      <c r="T41" s="29">
        <f>SUM(BaseHoras[[#This Row],[Jan/2019]:[Mar/2019]])</f>
        <v>317.84828702050675</v>
      </c>
      <c r="U41" s="29">
        <f>SUM(BaseHoras[[#This Row],[Abr/2019]:[Jun/2019]])</f>
        <v>0</v>
      </c>
      <c r="V41" s="29">
        <f>SUM(BaseHoras[[#This Row],[Jul/2019]:[Set/2019]])</f>
        <v>0</v>
      </c>
      <c r="W41" s="29">
        <f>SUM(BaseHoras[[#This Row],[Out/2019]:[Dez/2019]])</f>
        <v>0</v>
      </c>
    </row>
    <row r="42" spans="1:23">
      <c r="A42" t="s">
        <v>151</v>
      </c>
      <c r="B42" t="s">
        <v>168</v>
      </c>
      <c r="C42" t="s">
        <v>174</v>
      </c>
      <c r="D42" t="s">
        <v>106</v>
      </c>
      <c r="E42" t="s">
        <v>175</v>
      </c>
      <c r="F42">
        <v>7.500788308507409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s="28">
        <v>0</v>
      </c>
      <c r="N42" s="28">
        <v>0</v>
      </c>
      <c r="O42">
        <v>0</v>
      </c>
      <c r="P42">
        <v>0</v>
      </c>
      <c r="Q42">
        <v>0</v>
      </c>
      <c r="R42">
        <v>0</v>
      </c>
      <c r="S42" s="28">
        <v>7.500788308507409</v>
      </c>
      <c r="T42" s="29">
        <f>SUM(BaseHoras[[#This Row],[Jan/2019]:[Mar/2019]])</f>
        <v>7.500788308507409</v>
      </c>
      <c r="U42" s="29">
        <f>SUM(BaseHoras[[#This Row],[Abr/2019]:[Jun/2019]])</f>
        <v>0</v>
      </c>
      <c r="V42" s="29">
        <f>SUM(BaseHoras[[#This Row],[Jul/2019]:[Set/2019]])</f>
        <v>0</v>
      </c>
      <c r="W42" s="29">
        <f>SUM(BaseHoras[[#This Row],[Out/2019]:[Dez/2019]])</f>
        <v>0</v>
      </c>
    </row>
    <row r="43" spans="1:23">
      <c r="A43" t="s">
        <v>151</v>
      </c>
      <c r="B43" t="s">
        <v>168</v>
      </c>
      <c r="C43" t="s">
        <v>174</v>
      </c>
      <c r="D43" t="s">
        <v>107</v>
      </c>
      <c r="E43" t="s">
        <v>175</v>
      </c>
      <c r="F43">
        <v>0</v>
      </c>
      <c r="G43">
        <v>0</v>
      </c>
      <c r="H43">
        <v>0</v>
      </c>
      <c r="I43">
        <v>18.393015539706322</v>
      </c>
      <c r="J43">
        <v>0</v>
      </c>
      <c r="K43">
        <v>0</v>
      </c>
      <c r="L43">
        <v>0</v>
      </c>
      <c r="M43" s="28">
        <v>0</v>
      </c>
      <c r="N43" s="28">
        <v>0</v>
      </c>
      <c r="O43">
        <v>0</v>
      </c>
      <c r="P43">
        <v>0</v>
      </c>
      <c r="Q43">
        <v>0</v>
      </c>
      <c r="R43">
        <v>0</v>
      </c>
      <c r="S43" s="28">
        <v>18.393015539706322</v>
      </c>
      <c r="T43" s="29">
        <f>SUM(BaseHoras[[#This Row],[Jan/2019]:[Mar/2019]])</f>
        <v>0</v>
      </c>
      <c r="U43" s="29">
        <f>SUM(BaseHoras[[#This Row],[Abr/2019]:[Jun/2019]])</f>
        <v>18.393015539706322</v>
      </c>
      <c r="V43" s="29">
        <f>SUM(BaseHoras[[#This Row],[Jul/2019]:[Set/2019]])</f>
        <v>0</v>
      </c>
      <c r="W43" s="29">
        <f>SUM(BaseHoras[[#This Row],[Out/2019]:[Dez/2019]])</f>
        <v>0</v>
      </c>
    </row>
    <row r="44" spans="1:23">
      <c r="A44" t="s">
        <v>151</v>
      </c>
      <c r="B44" t="s">
        <v>168</v>
      </c>
      <c r="C44" t="s">
        <v>174</v>
      </c>
      <c r="D44" t="s">
        <v>112</v>
      </c>
      <c r="E44" t="s">
        <v>175</v>
      </c>
      <c r="F44">
        <v>1067.4782820903422</v>
      </c>
      <c r="G44">
        <v>370.55561166818984</v>
      </c>
      <c r="H44">
        <v>0</v>
      </c>
      <c r="I44">
        <v>0</v>
      </c>
      <c r="J44">
        <v>0</v>
      </c>
      <c r="K44">
        <v>0</v>
      </c>
      <c r="L44">
        <v>0</v>
      </c>
      <c r="M44" s="28">
        <v>0</v>
      </c>
      <c r="N44" s="28">
        <v>0</v>
      </c>
      <c r="O44">
        <v>0</v>
      </c>
      <c r="P44">
        <v>0</v>
      </c>
      <c r="Q44">
        <v>0</v>
      </c>
      <c r="R44">
        <v>0</v>
      </c>
      <c r="S44" s="28">
        <v>1438.033893758532</v>
      </c>
      <c r="T44" s="29">
        <f>SUM(BaseHoras[[#This Row],[Jan/2019]:[Mar/2019]])</f>
        <v>1438.033893758532</v>
      </c>
      <c r="U44" s="29">
        <f>SUM(BaseHoras[[#This Row],[Abr/2019]:[Jun/2019]])</f>
        <v>0</v>
      </c>
      <c r="V44" s="29">
        <f>SUM(BaseHoras[[#This Row],[Jul/2019]:[Set/2019]])</f>
        <v>0</v>
      </c>
      <c r="W44" s="29">
        <f>SUM(BaseHoras[[#This Row],[Out/2019]:[Dez/2019]])</f>
        <v>0</v>
      </c>
    </row>
    <row r="45" spans="1:23">
      <c r="A45" t="s">
        <v>151</v>
      </c>
      <c r="B45" t="s">
        <v>168</v>
      </c>
      <c r="C45" t="s">
        <v>174</v>
      </c>
      <c r="D45" t="s">
        <v>116</v>
      </c>
      <c r="E45" t="s">
        <v>175</v>
      </c>
      <c r="F45">
        <v>0</v>
      </c>
      <c r="G45">
        <v>20.743222150374066</v>
      </c>
      <c r="H45">
        <v>0</v>
      </c>
      <c r="I45">
        <v>0</v>
      </c>
      <c r="J45">
        <v>0</v>
      </c>
      <c r="K45">
        <v>0</v>
      </c>
      <c r="L45">
        <v>0</v>
      </c>
      <c r="M45" s="28">
        <v>0</v>
      </c>
      <c r="N45" s="28">
        <v>0</v>
      </c>
      <c r="O45">
        <v>0</v>
      </c>
      <c r="P45">
        <v>0</v>
      </c>
      <c r="Q45">
        <v>0</v>
      </c>
      <c r="R45">
        <v>0</v>
      </c>
      <c r="S45" s="28">
        <v>20.743222150374066</v>
      </c>
      <c r="T45" s="29">
        <f>SUM(BaseHoras[[#This Row],[Jan/2019]:[Mar/2019]])</f>
        <v>20.743222150374066</v>
      </c>
      <c r="U45" s="29">
        <f>SUM(BaseHoras[[#This Row],[Abr/2019]:[Jun/2019]])</f>
        <v>0</v>
      </c>
      <c r="V45" s="29">
        <f>SUM(BaseHoras[[#This Row],[Jul/2019]:[Set/2019]])</f>
        <v>0</v>
      </c>
      <c r="W45" s="29">
        <f>SUM(BaseHoras[[#This Row],[Out/2019]:[Dez/2019]])</f>
        <v>0</v>
      </c>
    </row>
    <row r="46" spans="1:23">
      <c r="A46" t="s">
        <v>151</v>
      </c>
      <c r="B46" t="s">
        <v>168</v>
      </c>
      <c r="C46" t="s">
        <v>174</v>
      </c>
      <c r="D46" t="s">
        <v>128</v>
      </c>
      <c r="E46" t="s">
        <v>175</v>
      </c>
      <c r="F46">
        <v>0</v>
      </c>
      <c r="G46">
        <v>74.189896232523708</v>
      </c>
      <c r="H46">
        <v>13.975294990188081</v>
      </c>
      <c r="I46">
        <v>0</v>
      </c>
      <c r="J46">
        <v>0</v>
      </c>
      <c r="K46">
        <v>0</v>
      </c>
      <c r="L46">
        <v>0</v>
      </c>
      <c r="M46" s="28">
        <v>0</v>
      </c>
      <c r="N46" s="28">
        <v>0</v>
      </c>
      <c r="O46">
        <v>0</v>
      </c>
      <c r="P46">
        <v>0</v>
      </c>
      <c r="Q46">
        <v>0</v>
      </c>
      <c r="R46">
        <v>0</v>
      </c>
      <c r="S46" s="28">
        <v>88.165191222711783</v>
      </c>
      <c r="T46" s="29">
        <f>SUM(BaseHoras[[#This Row],[Jan/2019]:[Mar/2019]])</f>
        <v>88.165191222711783</v>
      </c>
      <c r="U46" s="29">
        <f>SUM(BaseHoras[[#This Row],[Abr/2019]:[Jun/2019]])</f>
        <v>0</v>
      </c>
      <c r="V46" s="29">
        <f>SUM(BaseHoras[[#This Row],[Jul/2019]:[Set/2019]])</f>
        <v>0</v>
      </c>
      <c r="W46" s="29">
        <f>SUM(BaseHoras[[#This Row],[Out/2019]:[Dez/2019]])</f>
        <v>0</v>
      </c>
    </row>
    <row r="47" spans="1:23">
      <c r="A47" t="s">
        <v>151</v>
      </c>
      <c r="B47" t="s">
        <v>168</v>
      </c>
      <c r="C47" t="s">
        <v>174</v>
      </c>
      <c r="D47" t="s">
        <v>132</v>
      </c>
      <c r="E47" t="s">
        <v>175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s="28">
        <v>0</v>
      </c>
      <c r="N47" s="28">
        <v>0</v>
      </c>
      <c r="O47">
        <v>0</v>
      </c>
      <c r="P47">
        <v>7.2654830874886054</v>
      </c>
      <c r="Q47">
        <v>0</v>
      </c>
      <c r="R47">
        <v>0</v>
      </c>
      <c r="S47" s="28">
        <v>7.2654830874886054</v>
      </c>
      <c r="T47" s="29">
        <f>SUM(BaseHoras[[#This Row],[Jan/2019]:[Mar/2019]])</f>
        <v>0</v>
      </c>
      <c r="U47" s="29">
        <f>SUM(BaseHoras[[#This Row],[Abr/2019]:[Jun/2019]])</f>
        <v>0</v>
      </c>
      <c r="V47" s="29">
        <f>SUM(BaseHoras[[#This Row],[Jul/2019]:[Set/2019]])</f>
        <v>0</v>
      </c>
      <c r="W47" s="29">
        <f>SUM(BaseHoras[[#This Row],[Out/2019]:[Dez/2019]])</f>
        <v>7.2654830874886054</v>
      </c>
    </row>
    <row r="48" spans="1:23">
      <c r="A48" t="s">
        <v>151</v>
      </c>
      <c r="B48" t="s">
        <v>168</v>
      </c>
      <c r="C48" t="s">
        <v>174</v>
      </c>
      <c r="D48" t="s">
        <v>150</v>
      </c>
      <c r="E48" t="s">
        <v>175</v>
      </c>
      <c r="F48">
        <v>15.906450687333162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28">
        <v>0</v>
      </c>
      <c r="N48" s="28">
        <v>0</v>
      </c>
      <c r="O48">
        <v>0</v>
      </c>
      <c r="P48">
        <v>0</v>
      </c>
      <c r="Q48">
        <v>0</v>
      </c>
      <c r="R48">
        <v>0</v>
      </c>
      <c r="S48" s="28">
        <v>15.906450687333162</v>
      </c>
      <c r="T48" s="29">
        <f>SUM(BaseHoras[[#This Row],[Jan/2019]:[Mar/2019]])</f>
        <v>15.906450687333162</v>
      </c>
      <c r="U48" s="29">
        <f>SUM(BaseHoras[[#This Row],[Abr/2019]:[Jun/2019]])</f>
        <v>0</v>
      </c>
      <c r="V48" s="29">
        <f>SUM(BaseHoras[[#This Row],[Jul/2019]:[Set/2019]])</f>
        <v>0</v>
      </c>
      <c r="W48" s="29">
        <f>SUM(BaseHoras[[#This Row],[Out/2019]:[Dez/2019]])</f>
        <v>0</v>
      </c>
    </row>
    <row r="49" spans="1:23">
      <c r="A49" t="s">
        <v>151</v>
      </c>
      <c r="B49" t="s">
        <v>168</v>
      </c>
      <c r="C49" t="s">
        <v>176</v>
      </c>
      <c r="D49" t="s">
        <v>25</v>
      </c>
      <c r="E49" t="s">
        <v>152</v>
      </c>
      <c r="F49">
        <v>0</v>
      </c>
      <c r="G49">
        <v>0</v>
      </c>
      <c r="H49">
        <v>0</v>
      </c>
      <c r="I49" t="s">
        <v>395</v>
      </c>
      <c r="J49">
        <v>0</v>
      </c>
      <c r="K49">
        <v>0</v>
      </c>
      <c r="L49">
        <v>0</v>
      </c>
      <c r="M49" s="28">
        <v>0</v>
      </c>
      <c r="N49" s="28">
        <v>0</v>
      </c>
      <c r="O49">
        <v>0</v>
      </c>
      <c r="P49">
        <v>0</v>
      </c>
      <c r="Q49">
        <v>0</v>
      </c>
      <c r="R49">
        <v>0</v>
      </c>
      <c r="S49" s="28">
        <v>0</v>
      </c>
      <c r="T49" s="29">
        <f>SUM(BaseHoras[[#This Row],[Jan/2019]:[Mar/2019]])</f>
        <v>0</v>
      </c>
      <c r="U49" s="29">
        <f>SUM(BaseHoras[[#This Row],[Abr/2019]:[Jun/2019]])</f>
        <v>0</v>
      </c>
      <c r="V49" s="29">
        <f>SUM(BaseHoras[[#This Row],[Jul/2019]:[Set/2019]])</f>
        <v>0</v>
      </c>
      <c r="W49" s="29">
        <f>SUM(BaseHoras[[#This Row],[Out/2019]:[Dez/2019]])</f>
        <v>0</v>
      </c>
    </row>
    <row r="50" spans="1:23">
      <c r="A50" t="s">
        <v>151</v>
      </c>
      <c r="B50" t="s">
        <v>168</v>
      </c>
      <c r="C50" t="s">
        <v>176</v>
      </c>
      <c r="D50" t="s">
        <v>155</v>
      </c>
      <c r="E50" t="s">
        <v>152</v>
      </c>
      <c r="F50">
        <v>0</v>
      </c>
      <c r="G50">
        <v>2556.7332423589328</v>
      </c>
      <c r="H50">
        <v>0</v>
      </c>
      <c r="I50">
        <v>0</v>
      </c>
      <c r="J50">
        <v>0</v>
      </c>
      <c r="K50">
        <v>0</v>
      </c>
      <c r="L50">
        <v>0</v>
      </c>
      <c r="M50" s="28">
        <v>0</v>
      </c>
      <c r="N50" s="28">
        <v>0</v>
      </c>
      <c r="O50">
        <v>0</v>
      </c>
      <c r="P50">
        <v>0</v>
      </c>
      <c r="Q50">
        <v>0</v>
      </c>
      <c r="R50">
        <v>0</v>
      </c>
      <c r="S50" s="28">
        <v>2556.7332423589328</v>
      </c>
      <c r="T50" s="29">
        <f>SUM(BaseHoras[[#This Row],[Jan/2019]:[Mar/2019]])</f>
        <v>2556.7332423589328</v>
      </c>
      <c r="U50" s="29">
        <f>SUM(BaseHoras[[#This Row],[Abr/2019]:[Jun/2019]])</f>
        <v>0</v>
      </c>
      <c r="V50" s="29">
        <f>SUM(BaseHoras[[#This Row],[Jul/2019]:[Set/2019]])</f>
        <v>0</v>
      </c>
      <c r="W50" s="29">
        <f>SUM(BaseHoras[[#This Row],[Out/2019]:[Dez/2019]])</f>
        <v>0</v>
      </c>
    </row>
    <row r="51" spans="1:23">
      <c r="A51" t="s">
        <v>151</v>
      </c>
      <c r="B51" t="s">
        <v>168</v>
      </c>
      <c r="C51" t="s">
        <v>176</v>
      </c>
      <c r="D51" t="s">
        <v>64</v>
      </c>
      <c r="E51" t="s">
        <v>152</v>
      </c>
      <c r="F51">
        <v>0</v>
      </c>
      <c r="G51">
        <v>0</v>
      </c>
      <c r="H51">
        <v>0</v>
      </c>
      <c r="I51">
        <v>38.263136337778967</v>
      </c>
      <c r="J51">
        <v>0</v>
      </c>
      <c r="K51">
        <v>0</v>
      </c>
      <c r="L51">
        <v>0</v>
      </c>
      <c r="M51" s="28">
        <v>0</v>
      </c>
      <c r="N51" s="28">
        <v>0</v>
      </c>
      <c r="O51">
        <v>0</v>
      </c>
      <c r="P51">
        <v>0</v>
      </c>
      <c r="Q51">
        <v>0</v>
      </c>
      <c r="R51">
        <v>0</v>
      </c>
      <c r="S51" s="28">
        <v>38.263136337778967</v>
      </c>
      <c r="T51" s="29">
        <f>SUM(BaseHoras[[#This Row],[Jan/2019]:[Mar/2019]])</f>
        <v>0</v>
      </c>
      <c r="U51" s="29">
        <f>SUM(BaseHoras[[#This Row],[Abr/2019]:[Jun/2019]])</f>
        <v>38.263136337778967</v>
      </c>
      <c r="V51" s="29">
        <f>SUM(BaseHoras[[#This Row],[Jul/2019]:[Set/2019]])</f>
        <v>0</v>
      </c>
      <c r="W51" s="29">
        <f>SUM(BaseHoras[[#This Row],[Out/2019]:[Dez/2019]])</f>
        <v>0</v>
      </c>
    </row>
    <row r="52" spans="1:23">
      <c r="A52" t="s">
        <v>151</v>
      </c>
      <c r="B52" t="s">
        <v>168</v>
      </c>
      <c r="C52" t="s">
        <v>176</v>
      </c>
      <c r="D52" t="s">
        <v>73</v>
      </c>
      <c r="E52" t="s">
        <v>152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28">
        <v>0</v>
      </c>
      <c r="N52" s="28">
        <v>0</v>
      </c>
      <c r="O52">
        <v>0</v>
      </c>
      <c r="P52">
        <v>0</v>
      </c>
      <c r="Q52">
        <v>5.633949827944627</v>
      </c>
      <c r="R52">
        <v>0</v>
      </c>
      <c r="S52" s="28">
        <v>5.633949827944627</v>
      </c>
      <c r="T52" s="29">
        <f>SUM(BaseHoras[[#This Row],[Jan/2019]:[Mar/2019]])</f>
        <v>0</v>
      </c>
      <c r="U52" s="29">
        <f>SUM(BaseHoras[[#This Row],[Abr/2019]:[Jun/2019]])</f>
        <v>0</v>
      </c>
      <c r="V52" s="29">
        <f>SUM(BaseHoras[[#This Row],[Jul/2019]:[Set/2019]])</f>
        <v>0</v>
      </c>
      <c r="W52" s="29">
        <f>SUM(BaseHoras[[#This Row],[Out/2019]:[Dez/2019]])</f>
        <v>5.633949827944627</v>
      </c>
    </row>
    <row r="53" spans="1:23">
      <c r="A53" t="s">
        <v>151</v>
      </c>
      <c r="B53" t="s">
        <v>168</v>
      </c>
      <c r="C53" t="s">
        <v>176</v>
      </c>
      <c r="D53" t="s">
        <v>93</v>
      </c>
      <c r="E53" t="s">
        <v>152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s="28">
        <v>0</v>
      </c>
      <c r="N53" s="28">
        <v>0</v>
      </c>
      <c r="O53">
        <v>0</v>
      </c>
      <c r="P53">
        <v>55.578349296812554</v>
      </c>
      <c r="Q53">
        <v>0</v>
      </c>
      <c r="R53">
        <v>0</v>
      </c>
      <c r="S53" s="28">
        <v>55.578349296812554</v>
      </c>
      <c r="T53" s="29">
        <f>SUM(BaseHoras[[#This Row],[Jan/2019]:[Mar/2019]])</f>
        <v>0</v>
      </c>
      <c r="U53" s="29">
        <f>SUM(BaseHoras[[#This Row],[Abr/2019]:[Jun/2019]])</f>
        <v>0</v>
      </c>
      <c r="V53" s="29">
        <f>SUM(BaseHoras[[#This Row],[Jul/2019]:[Set/2019]])</f>
        <v>0</v>
      </c>
      <c r="W53" s="29">
        <f>SUM(BaseHoras[[#This Row],[Out/2019]:[Dez/2019]])</f>
        <v>55.578349296812554</v>
      </c>
    </row>
    <row r="54" spans="1:23">
      <c r="A54" t="s">
        <v>151</v>
      </c>
      <c r="B54" t="s">
        <v>168</v>
      </c>
      <c r="C54" t="s">
        <v>176</v>
      </c>
      <c r="D54" t="s">
        <v>125</v>
      </c>
      <c r="E54" t="s">
        <v>152</v>
      </c>
      <c r="F54">
        <v>333.21111909126978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s="28">
        <v>0</v>
      </c>
      <c r="N54" s="28">
        <v>0</v>
      </c>
      <c r="O54">
        <v>0</v>
      </c>
      <c r="P54">
        <v>0</v>
      </c>
      <c r="Q54">
        <v>0</v>
      </c>
      <c r="R54">
        <v>0</v>
      </c>
      <c r="S54" s="28">
        <v>333.21111909126978</v>
      </c>
      <c r="T54" s="29">
        <f>SUM(BaseHoras[[#This Row],[Jan/2019]:[Mar/2019]])</f>
        <v>333.21111909126978</v>
      </c>
      <c r="U54" s="29">
        <f>SUM(BaseHoras[[#This Row],[Abr/2019]:[Jun/2019]])</f>
        <v>0</v>
      </c>
      <c r="V54" s="29">
        <f>SUM(BaseHoras[[#This Row],[Jul/2019]:[Set/2019]])</f>
        <v>0</v>
      </c>
      <c r="W54" s="29">
        <f>SUM(BaseHoras[[#This Row],[Out/2019]:[Dez/2019]])</f>
        <v>0</v>
      </c>
    </row>
    <row r="55" spans="1:23">
      <c r="A55" t="s">
        <v>151</v>
      </c>
      <c r="B55" t="s">
        <v>168</v>
      </c>
      <c r="C55" t="s">
        <v>176</v>
      </c>
      <c r="D55" t="s">
        <v>133</v>
      </c>
      <c r="E55" t="s">
        <v>152</v>
      </c>
      <c r="F55">
        <v>0</v>
      </c>
      <c r="G55">
        <v>0</v>
      </c>
      <c r="H55">
        <v>0</v>
      </c>
      <c r="I55">
        <v>1355.5032200852677</v>
      </c>
      <c r="J55">
        <v>1807.4321426280546</v>
      </c>
      <c r="K55">
        <v>586.44174592205252</v>
      </c>
      <c r="L55">
        <v>0</v>
      </c>
      <c r="M55" s="28">
        <v>0</v>
      </c>
      <c r="N55" s="28">
        <v>0</v>
      </c>
      <c r="O55">
        <v>0</v>
      </c>
      <c r="P55">
        <v>0</v>
      </c>
      <c r="Q55">
        <v>0</v>
      </c>
      <c r="R55">
        <v>0</v>
      </c>
      <c r="S55" s="28">
        <v>3749.377108635375</v>
      </c>
      <c r="T55" s="29">
        <f>SUM(BaseHoras[[#This Row],[Jan/2019]:[Mar/2019]])</f>
        <v>0</v>
      </c>
      <c r="U55" s="29">
        <f>SUM(BaseHoras[[#This Row],[Abr/2019]:[Jun/2019]])</f>
        <v>3749.377108635375</v>
      </c>
      <c r="V55" s="29">
        <f>SUM(BaseHoras[[#This Row],[Jul/2019]:[Set/2019]])</f>
        <v>0</v>
      </c>
      <c r="W55" s="29">
        <f>SUM(BaseHoras[[#This Row],[Out/2019]:[Dez/2019]])</f>
        <v>0</v>
      </c>
    </row>
    <row r="56" spans="1:23">
      <c r="A56" t="s">
        <v>151</v>
      </c>
      <c r="B56" t="s">
        <v>168</v>
      </c>
      <c r="C56" t="s">
        <v>176</v>
      </c>
      <c r="D56" t="s">
        <v>138</v>
      </c>
      <c r="E56" t="s">
        <v>152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28">
        <v>0</v>
      </c>
      <c r="N56" s="28">
        <v>57.230502508929604</v>
      </c>
      <c r="O56">
        <v>0</v>
      </c>
      <c r="P56">
        <v>0</v>
      </c>
      <c r="Q56">
        <v>0</v>
      </c>
      <c r="R56">
        <v>0</v>
      </c>
      <c r="S56" s="28">
        <v>57.230502508929604</v>
      </c>
      <c r="T56" s="29">
        <f>SUM(BaseHoras[[#This Row],[Jan/2019]:[Mar/2019]])</f>
        <v>0</v>
      </c>
      <c r="U56" s="29">
        <f>SUM(BaseHoras[[#This Row],[Abr/2019]:[Jun/2019]])</f>
        <v>0</v>
      </c>
      <c r="V56" s="29">
        <f>SUM(BaseHoras[[#This Row],[Jul/2019]:[Set/2019]])</f>
        <v>57.230502508929604</v>
      </c>
      <c r="W56" s="29">
        <f>SUM(BaseHoras[[#This Row],[Out/2019]:[Dez/2019]])</f>
        <v>0</v>
      </c>
    </row>
    <row r="57" spans="1:23">
      <c r="A57" t="s">
        <v>151</v>
      </c>
      <c r="B57" t="s">
        <v>168</v>
      </c>
      <c r="C57" t="s">
        <v>176</v>
      </c>
      <c r="D57" t="s">
        <v>140</v>
      </c>
      <c r="E57" t="s">
        <v>152</v>
      </c>
      <c r="F57">
        <v>0</v>
      </c>
      <c r="G57">
        <v>0</v>
      </c>
      <c r="H57">
        <v>39.909461497196517</v>
      </c>
      <c r="I57">
        <v>122.92637770556549</v>
      </c>
      <c r="J57">
        <v>0</v>
      </c>
      <c r="K57">
        <v>0</v>
      </c>
      <c r="L57">
        <v>0</v>
      </c>
      <c r="M57" s="28">
        <v>0</v>
      </c>
      <c r="N57" s="28">
        <v>0</v>
      </c>
      <c r="O57">
        <v>0</v>
      </c>
      <c r="P57">
        <v>0</v>
      </c>
      <c r="Q57">
        <v>0</v>
      </c>
      <c r="R57">
        <v>0</v>
      </c>
      <c r="S57" s="28">
        <v>162.835839202762</v>
      </c>
      <c r="T57" s="29">
        <f>SUM(BaseHoras[[#This Row],[Jan/2019]:[Mar/2019]])</f>
        <v>39.909461497196517</v>
      </c>
      <c r="U57" s="29">
        <f>SUM(BaseHoras[[#This Row],[Abr/2019]:[Jun/2019]])</f>
        <v>122.92637770556549</v>
      </c>
      <c r="V57" s="29">
        <f>SUM(BaseHoras[[#This Row],[Jul/2019]:[Set/2019]])</f>
        <v>0</v>
      </c>
      <c r="W57" s="29">
        <f>SUM(BaseHoras[[#This Row],[Out/2019]:[Dez/2019]])</f>
        <v>0</v>
      </c>
    </row>
    <row r="58" spans="1:23">
      <c r="A58" t="s">
        <v>151</v>
      </c>
      <c r="B58" t="s">
        <v>168</v>
      </c>
      <c r="C58" t="s">
        <v>176</v>
      </c>
      <c r="D58" t="s">
        <v>146</v>
      </c>
      <c r="E58" t="s">
        <v>152</v>
      </c>
      <c r="F58">
        <v>0</v>
      </c>
      <c r="G58">
        <v>0</v>
      </c>
      <c r="H58">
        <v>0</v>
      </c>
      <c r="I58">
        <v>0</v>
      </c>
      <c r="J58">
        <v>0</v>
      </c>
      <c r="K58">
        <v>106.08261281251441</v>
      </c>
      <c r="L58">
        <v>37.823956787581452</v>
      </c>
      <c r="M58" s="28">
        <v>0</v>
      </c>
      <c r="N58" s="28">
        <v>0</v>
      </c>
      <c r="O58">
        <v>0</v>
      </c>
      <c r="P58">
        <v>0</v>
      </c>
      <c r="Q58">
        <v>0</v>
      </c>
      <c r="R58">
        <v>0</v>
      </c>
      <c r="S58" s="28">
        <v>143.90656960009585</v>
      </c>
      <c r="T58" s="29">
        <f>SUM(BaseHoras[[#This Row],[Jan/2019]:[Mar/2019]])</f>
        <v>0</v>
      </c>
      <c r="U58" s="29">
        <f>SUM(BaseHoras[[#This Row],[Abr/2019]:[Jun/2019]])</f>
        <v>106.08261281251441</v>
      </c>
      <c r="V58" s="29">
        <f>SUM(BaseHoras[[#This Row],[Jul/2019]:[Set/2019]])</f>
        <v>37.823956787581452</v>
      </c>
      <c r="W58" s="29">
        <f>SUM(BaseHoras[[#This Row],[Out/2019]:[Dez/2019]])</f>
        <v>0</v>
      </c>
    </row>
    <row r="59" spans="1:23">
      <c r="A59" t="s">
        <v>151</v>
      </c>
      <c r="B59" t="s">
        <v>168</v>
      </c>
      <c r="C59" t="s">
        <v>177</v>
      </c>
      <c r="D59" t="s">
        <v>64</v>
      </c>
      <c r="E59" t="s">
        <v>152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28">
        <v>0</v>
      </c>
      <c r="N59" s="28">
        <v>0</v>
      </c>
      <c r="O59">
        <v>0</v>
      </c>
      <c r="P59">
        <v>0</v>
      </c>
      <c r="Q59">
        <v>29.501574740451105</v>
      </c>
      <c r="R59">
        <v>0</v>
      </c>
      <c r="S59" s="28">
        <v>29.501574740451105</v>
      </c>
      <c r="T59" s="29">
        <f>SUM(BaseHoras[[#This Row],[Jan/2019]:[Mar/2019]])</f>
        <v>0</v>
      </c>
      <c r="U59" s="29">
        <f>SUM(BaseHoras[[#This Row],[Abr/2019]:[Jun/2019]])</f>
        <v>0</v>
      </c>
      <c r="V59" s="29">
        <f>SUM(BaseHoras[[#This Row],[Jul/2019]:[Set/2019]])</f>
        <v>0</v>
      </c>
      <c r="W59" s="29">
        <f>SUM(BaseHoras[[#This Row],[Out/2019]:[Dez/2019]])</f>
        <v>29.501574740451105</v>
      </c>
    </row>
    <row r="60" spans="1:23">
      <c r="A60" t="s">
        <v>151</v>
      </c>
      <c r="B60" t="s">
        <v>168</v>
      </c>
      <c r="C60" t="s">
        <v>178</v>
      </c>
      <c r="D60" t="s">
        <v>149</v>
      </c>
      <c r="E60" t="s">
        <v>179</v>
      </c>
      <c r="F60">
        <v>104.23359281572361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s="28">
        <v>0</v>
      </c>
      <c r="N60" s="28">
        <v>0</v>
      </c>
      <c r="O60">
        <v>0</v>
      </c>
      <c r="P60">
        <v>0</v>
      </c>
      <c r="Q60">
        <v>0</v>
      </c>
      <c r="R60">
        <v>0</v>
      </c>
      <c r="S60" s="28">
        <v>104.23359281572361</v>
      </c>
      <c r="T60" s="29">
        <f>SUM(BaseHoras[[#This Row],[Jan/2019]:[Mar/2019]])</f>
        <v>104.23359281572361</v>
      </c>
      <c r="U60" s="29">
        <f>SUM(BaseHoras[[#This Row],[Abr/2019]:[Jun/2019]])</f>
        <v>0</v>
      </c>
      <c r="V60" s="29">
        <f>SUM(BaseHoras[[#This Row],[Jul/2019]:[Set/2019]])</f>
        <v>0</v>
      </c>
      <c r="W60" s="29">
        <f>SUM(BaseHoras[[#This Row],[Out/2019]:[Dez/2019]])</f>
        <v>0</v>
      </c>
    </row>
    <row r="61" spans="1:23">
      <c r="A61" t="s">
        <v>151</v>
      </c>
      <c r="B61" t="s">
        <v>168</v>
      </c>
      <c r="C61" t="s">
        <v>180</v>
      </c>
      <c r="D61" t="s">
        <v>60</v>
      </c>
      <c r="E61" t="s">
        <v>175</v>
      </c>
      <c r="F61">
        <v>0</v>
      </c>
      <c r="G61">
        <v>0</v>
      </c>
      <c r="H61">
        <v>0</v>
      </c>
      <c r="I61">
        <v>36.154872672342258</v>
      </c>
      <c r="J61">
        <v>0</v>
      </c>
      <c r="K61">
        <v>0</v>
      </c>
      <c r="L61">
        <v>0</v>
      </c>
      <c r="M61" s="28">
        <v>0</v>
      </c>
      <c r="N61" s="28">
        <v>0</v>
      </c>
      <c r="O61">
        <v>0</v>
      </c>
      <c r="P61">
        <v>0</v>
      </c>
      <c r="Q61">
        <v>0</v>
      </c>
      <c r="R61">
        <v>0</v>
      </c>
      <c r="S61" s="28">
        <v>36.154872672342258</v>
      </c>
      <c r="T61" s="29">
        <f>SUM(BaseHoras[[#This Row],[Jan/2019]:[Mar/2019]])</f>
        <v>0</v>
      </c>
      <c r="U61" s="29">
        <f>SUM(BaseHoras[[#This Row],[Abr/2019]:[Jun/2019]])</f>
        <v>36.154872672342258</v>
      </c>
      <c r="V61" s="29">
        <f>SUM(BaseHoras[[#This Row],[Jul/2019]:[Set/2019]])</f>
        <v>0</v>
      </c>
      <c r="W61" s="29">
        <f>SUM(BaseHoras[[#This Row],[Out/2019]:[Dez/2019]])</f>
        <v>0</v>
      </c>
    </row>
    <row r="62" spans="1:23">
      <c r="A62" t="s">
        <v>151</v>
      </c>
      <c r="B62" t="s">
        <v>168</v>
      </c>
      <c r="C62" t="s">
        <v>180</v>
      </c>
      <c r="D62" t="s">
        <v>68</v>
      </c>
      <c r="E62" t="s">
        <v>175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838.3881348586134</v>
      </c>
      <c r="M62" s="28">
        <v>0</v>
      </c>
      <c r="N62" s="28">
        <v>0</v>
      </c>
      <c r="O62">
        <v>0</v>
      </c>
      <c r="P62">
        <v>0</v>
      </c>
      <c r="Q62">
        <v>0</v>
      </c>
      <c r="R62">
        <v>0</v>
      </c>
      <c r="S62" s="28">
        <v>838.3881348586134</v>
      </c>
      <c r="T62" s="29">
        <f>SUM(BaseHoras[[#This Row],[Jan/2019]:[Mar/2019]])</f>
        <v>0</v>
      </c>
      <c r="U62" s="29">
        <f>SUM(BaseHoras[[#This Row],[Abr/2019]:[Jun/2019]])</f>
        <v>0</v>
      </c>
      <c r="V62" s="29">
        <f>SUM(BaseHoras[[#This Row],[Jul/2019]:[Set/2019]])</f>
        <v>838.3881348586134</v>
      </c>
      <c r="W62" s="29">
        <f>SUM(BaseHoras[[#This Row],[Out/2019]:[Dez/2019]])</f>
        <v>0</v>
      </c>
    </row>
    <row r="63" spans="1:23">
      <c r="A63" t="s">
        <v>151</v>
      </c>
      <c r="B63" t="s">
        <v>168</v>
      </c>
      <c r="C63" t="s">
        <v>180</v>
      </c>
      <c r="D63" t="s">
        <v>106</v>
      </c>
      <c r="E63" t="s">
        <v>175</v>
      </c>
      <c r="F63">
        <v>0</v>
      </c>
      <c r="G63">
        <v>0</v>
      </c>
      <c r="H63">
        <v>0</v>
      </c>
      <c r="I63">
        <v>54.698128794866882</v>
      </c>
      <c r="J63">
        <v>0</v>
      </c>
      <c r="K63">
        <v>0</v>
      </c>
      <c r="L63">
        <v>0</v>
      </c>
      <c r="M63" s="28">
        <v>0</v>
      </c>
      <c r="N63" s="28">
        <v>0</v>
      </c>
      <c r="O63">
        <v>0</v>
      </c>
      <c r="P63">
        <v>0</v>
      </c>
      <c r="Q63">
        <v>0</v>
      </c>
      <c r="R63">
        <v>0</v>
      </c>
      <c r="S63" s="28">
        <v>54.698128794866882</v>
      </c>
      <c r="T63" s="29">
        <f>SUM(BaseHoras[[#This Row],[Jan/2019]:[Mar/2019]])</f>
        <v>0</v>
      </c>
      <c r="U63" s="29">
        <f>SUM(BaseHoras[[#This Row],[Abr/2019]:[Jun/2019]])</f>
        <v>54.698128794866882</v>
      </c>
      <c r="V63" s="29">
        <f>SUM(BaseHoras[[#This Row],[Jul/2019]:[Set/2019]])</f>
        <v>0</v>
      </c>
      <c r="W63" s="29">
        <f>SUM(BaseHoras[[#This Row],[Out/2019]:[Dez/2019]])</f>
        <v>0</v>
      </c>
    </row>
    <row r="64" spans="1:23">
      <c r="A64" t="s">
        <v>151</v>
      </c>
      <c r="B64" t="s">
        <v>168</v>
      </c>
      <c r="C64" t="s">
        <v>181</v>
      </c>
      <c r="D64" t="s">
        <v>64</v>
      </c>
      <c r="E64" t="s">
        <v>152</v>
      </c>
      <c r="F64">
        <v>17.141009365144679</v>
      </c>
      <c r="G64">
        <v>0</v>
      </c>
      <c r="H64">
        <v>417.48440595220029</v>
      </c>
      <c r="I64">
        <v>0</v>
      </c>
      <c r="J64">
        <v>0</v>
      </c>
      <c r="K64">
        <v>0</v>
      </c>
      <c r="L64">
        <v>0</v>
      </c>
      <c r="M64" s="28">
        <v>0</v>
      </c>
      <c r="N64" s="28">
        <v>0</v>
      </c>
      <c r="O64">
        <v>0</v>
      </c>
      <c r="P64">
        <v>0</v>
      </c>
      <c r="Q64">
        <v>0</v>
      </c>
      <c r="R64">
        <v>0</v>
      </c>
      <c r="S64" s="28">
        <v>434.62541531734496</v>
      </c>
      <c r="T64" s="29">
        <f>SUM(BaseHoras[[#This Row],[Jan/2019]:[Mar/2019]])</f>
        <v>434.62541531734496</v>
      </c>
      <c r="U64" s="29">
        <f>SUM(BaseHoras[[#This Row],[Abr/2019]:[Jun/2019]])</f>
        <v>0</v>
      </c>
      <c r="V64" s="29">
        <f>SUM(BaseHoras[[#This Row],[Jul/2019]:[Set/2019]])</f>
        <v>0</v>
      </c>
      <c r="W64" s="29">
        <f>SUM(BaseHoras[[#This Row],[Out/2019]:[Dez/2019]])</f>
        <v>0</v>
      </c>
    </row>
    <row r="65" spans="1:23">
      <c r="A65" t="s">
        <v>151</v>
      </c>
      <c r="B65" t="s">
        <v>168</v>
      </c>
      <c r="C65" t="s">
        <v>181</v>
      </c>
      <c r="D65" t="s">
        <v>104</v>
      </c>
      <c r="E65" t="s">
        <v>152</v>
      </c>
      <c r="F65">
        <v>125.65315509836371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s="28">
        <v>45.551680712321698</v>
      </c>
      <c r="N65" s="28">
        <v>0</v>
      </c>
      <c r="O65">
        <v>0</v>
      </c>
      <c r="P65">
        <v>0</v>
      </c>
      <c r="Q65">
        <v>0</v>
      </c>
      <c r="R65">
        <v>0</v>
      </c>
      <c r="S65" s="28">
        <v>171.20483581068541</v>
      </c>
      <c r="T65" s="29">
        <f>SUM(BaseHoras[[#This Row],[Jan/2019]:[Mar/2019]])</f>
        <v>125.65315509836371</v>
      </c>
      <c r="U65" s="29">
        <f>SUM(BaseHoras[[#This Row],[Abr/2019]:[Jun/2019]])</f>
        <v>0</v>
      </c>
      <c r="V65" s="29">
        <f>SUM(BaseHoras[[#This Row],[Jul/2019]:[Set/2019]])</f>
        <v>45.551680712321698</v>
      </c>
      <c r="W65" s="29">
        <f>SUM(BaseHoras[[#This Row],[Out/2019]:[Dez/2019]])</f>
        <v>0</v>
      </c>
    </row>
    <row r="66" spans="1:23">
      <c r="A66" t="s">
        <v>151</v>
      </c>
      <c r="B66" t="s">
        <v>168</v>
      </c>
      <c r="C66" t="s">
        <v>182</v>
      </c>
      <c r="D66" t="s">
        <v>110</v>
      </c>
      <c r="E66" t="s">
        <v>183</v>
      </c>
      <c r="F66">
        <v>0</v>
      </c>
      <c r="G66">
        <v>32.471431266615994</v>
      </c>
      <c r="H66">
        <v>11.911156273566004</v>
      </c>
      <c r="I66">
        <v>0</v>
      </c>
      <c r="J66">
        <v>0</v>
      </c>
      <c r="K66">
        <v>0</v>
      </c>
      <c r="L66">
        <v>0</v>
      </c>
      <c r="M66" s="28">
        <v>0</v>
      </c>
      <c r="N66" s="28">
        <v>0</v>
      </c>
      <c r="O66">
        <v>0</v>
      </c>
      <c r="P66">
        <v>0</v>
      </c>
      <c r="Q66">
        <v>0</v>
      </c>
      <c r="R66">
        <v>0</v>
      </c>
      <c r="S66" s="28">
        <v>44.382587540182001</v>
      </c>
      <c r="T66" s="29">
        <f>SUM(BaseHoras[[#This Row],[Jan/2019]:[Mar/2019]])</f>
        <v>44.382587540182001</v>
      </c>
      <c r="U66" s="29">
        <f>SUM(BaseHoras[[#This Row],[Abr/2019]:[Jun/2019]])</f>
        <v>0</v>
      </c>
      <c r="V66" s="29">
        <f>SUM(BaseHoras[[#This Row],[Jul/2019]:[Set/2019]])</f>
        <v>0</v>
      </c>
      <c r="W66" s="29">
        <f>SUM(BaseHoras[[#This Row],[Out/2019]:[Dez/2019]])</f>
        <v>0</v>
      </c>
    </row>
    <row r="67" spans="1:23">
      <c r="A67" t="s">
        <v>151</v>
      </c>
      <c r="B67" t="s">
        <v>168</v>
      </c>
      <c r="C67" t="s">
        <v>184</v>
      </c>
      <c r="D67" t="s">
        <v>32</v>
      </c>
      <c r="E67" t="s">
        <v>152</v>
      </c>
      <c r="F67">
        <v>1.412667764024593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28">
        <v>0</v>
      </c>
      <c r="N67" s="28">
        <v>0</v>
      </c>
      <c r="O67">
        <v>0</v>
      </c>
      <c r="P67">
        <v>0</v>
      </c>
      <c r="Q67">
        <v>0</v>
      </c>
      <c r="R67">
        <v>0</v>
      </c>
      <c r="S67" s="28">
        <v>1.412667764024593</v>
      </c>
      <c r="T67" s="29">
        <f>SUM(BaseHoras[[#This Row],[Jan/2019]:[Mar/2019]])</f>
        <v>1.412667764024593</v>
      </c>
      <c r="U67" s="29">
        <f>SUM(BaseHoras[[#This Row],[Abr/2019]:[Jun/2019]])</f>
        <v>0</v>
      </c>
      <c r="V67" s="29">
        <f>SUM(BaseHoras[[#This Row],[Jul/2019]:[Set/2019]])</f>
        <v>0</v>
      </c>
      <c r="W67" s="29">
        <f>SUM(BaseHoras[[#This Row],[Out/2019]:[Dez/2019]])</f>
        <v>0</v>
      </c>
    </row>
    <row r="68" spans="1:23">
      <c r="A68" t="s">
        <v>151</v>
      </c>
      <c r="B68" t="s">
        <v>168</v>
      </c>
      <c r="C68" t="s">
        <v>185</v>
      </c>
      <c r="D68" t="s">
        <v>81</v>
      </c>
      <c r="E68" t="s">
        <v>183</v>
      </c>
      <c r="F68">
        <v>0</v>
      </c>
      <c r="G68">
        <v>0</v>
      </c>
      <c r="H68">
        <v>0</v>
      </c>
      <c r="I68">
        <v>0</v>
      </c>
      <c r="J68">
        <v>75.957906375381583</v>
      </c>
      <c r="K68">
        <v>0</v>
      </c>
      <c r="L68">
        <v>0</v>
      </c>
      <c r="M68" s="28">
        <v>0</v>
      </c>
      <c r="N68" s="28">
        <v>0</v>
      </c>
      <c r="O68">
        <v>0</v>
      </c>
      <c r="P68">
        <v>0</v>
      </c>
      <c r="Q68">
        <v>0</v>
      </c>
      <c r="R68">
        <v>0</v>
      </c>
      <c r="S68" s="28">
        <v>75.957906375381583</v>
      </c>
      <c r="T68" s="29">
        <f>SUM(BaseHoras[[#This Row],[Jan/2019]:[Mar/2019]])</f>
        <v>0</v>
      </c>
      <c r="U68" s="29">
        <f>SUM(BaseHoras[[#This Row],[Abr/2019]:[Jun/2019]])</f>
        <v>75.957906375381583</v>
      </c>
      <c r="V68" s="29">
        <f>SUM(BaseHoras[[#This Row],[Jul/2019]:[Set/2019]])</f>
        <v>0</v>
      </c>
      <c r="W68" s="29">
        <f>SUM(BaseHoras[[#This Row],[Out/2019]:[Dez/2019]])</f>
        <v>0</v>
      </c>
    </row>
    <row r="69" spans="1:23">
      <c r="A69" t="s">
        <v>151</v>
      </c>
      <c r="B69" t="s">
        <v>168</v>
      </c>
      <c r="C69" t="s">
        <v>186</v>
      </c>
      <c r="D69" t="s">
        <v>45</v>
      </c>
      <c r="E69" t="s">
        <v>179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s="28">
        <v>0</v>
      </c>
      <c r="N69" s="28">
        <v>0</v>
      </c>
      <c r="O69">
        <v>0</v>
      </c>
      <c r="P69">
        <v>0</v>
      </c>
      <c r="Q69">
        <v>19.505189588755826</v>
      </c>
      <c r="R69">
        <v>0</v>
      </c>
      <c r="S69" s="28">
        <v>19.505189588755826</v>
      </c>
      <c r="T69" s="29">
        <f>SUM(BaseHoras[[#This Row],[Jan/2019]:[Mar/2019]])</f>
        <v>0</v>
      </c>
      <c r="U69" s="29">
        <f>SUM(BaseHoras[[#This Row],[Abr/2019]:[Jun/2019]])</f>
        <v>0</v>
      </c>
      <c r="V69" s="29">
        <f>SUM(BaseHoras[[#This Row],[Jul/2019]:[Set/2019]])</f>
        <v>0</v>
      </c>
      <c r="W69" s="29">
        <f>SUM(BaseHoras[[#This Row],[Out/2019]:[Dez/2019]])</f>
        <v>19.505189588755826</v>
      </c>
    </row>
    <row r="70" spans="1:23">
      <c r="A70" t="s">
        <v>151</v>
      </c>
      <c r="B70" t="s">
        <v>168</v>
      </c>
      <c r="C70" t="s">
        <v>187</v>
      </c>
      <c r="D70" t="s">
        <v>32</v>
      </c>
      <c r="E70" t="s">
        <v>188</v>
      </c>
      <c r="F70">
        <v>0</v>
      </c>
      <c r="G70">
        <v>0</v>
      </c>
      <c r="H70">
        <v>177.36009130390326</v>
      </c>
      <c r="I70">
        <v>0</v>
      </c>
      <c r="J70">
        <v>0</v>
      </c>
      <c r="K70">
        <v>0</v>
      </c>
      <c r="L70">
        <v>0</v>
      </c>
      <c r="M70" s="28">
        <v>0</v>
      </c>
      <c r="N70" s="28">
        <v>0</v>
      </c>
      <c r="O70">
        <v>0</v>
      </c>
      <c r="P70">
        <v>0</v>
      </c>
      <c r="Q70">
        <v>0</v>
      </c>
      <c r="R70">
        <v>0</v>
      </c>
      <c r="S70" s="28">
        <v>177.36009130390326</v>
      </c>
      <c r="T70" s="29">
        <f>SUM(BaseHoras[[#This Row],[Jan/2019]:[Mar/2019]])</f>
        <v>177.36009130390326</v>
      </c>
      <c r="U70" s="29">
        <f>SUM(BaseHoras[[#This Row],[Abr/2019]:[Jun/2019]])</f>
        <v>0</v>
      </c>
      <c r="V70" s="29">
        <f>SUM(BaseHoras[[#This Row],[Jul/2019]:[Set/2019]])</f>
        <v>0</v>
      </c>
      <c r="W70" s="29">
        <f>SUM(BaseHoras[[#This Row],[Out/2019]:[Dez/2019]])</f>
        <v>0</v>
      </c>
    </row>
    <row r="71" spans="1:23">
      <c r="A71" t="s">
        <v>151</v>
      </c>
      <c r="B71" t="s">
        <v>168</v>
      </c>
      <c r="C71" t="s">
        <v>189</v>
      </c>
      <c r="D71" t="s">
        <v>49</v>
      </c>
      <c r="E71" t="s">
        <v>152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s="28">
        <v>62.573888807067604</v>
      </c>
      <c r="N71" s="28">
        <v>0</v>
      </c>
      <c r="O71">
        <v>0</v>
      </c>
      <c r="P71">
        <v>0</v>
      </c>
      <c r="Q71">
        <v>0</v>
      </c>
      <c r="R71">
        <v>0</v>
      </c>
      <c r="S71" s="28">
        <v>62.573888807067604</v>
      </c>
      <c r="T71" s="29">
        <f>SUM(BaseHoras[[#This Row],[Jan/2019]:[Mar/2019]])</f>
        <v>0</v>
      </c>
      <c r="U71" s="29">
        <f>SUM(BaseHoras[[#This Row],[Abr/2019]:[Jun/2019]])</f>
        <v>0</v>
      </c>
      <c r="V71" s="29">
        <f>SUM(BaseHoras[[#This Row],[Jul/2019]:[Set/2019]])</f>
        <v>62.573888807067604</v>
      </c>
      <c r="W71" s="29">
        <f>SUM(BaseHoras[[#This Row],[Out/2019]:[Dez/2019]])</f>
        <v>0</v>
      </c>
    </row>
    <row r="72" spans="1:23">
      <c r="A72" t="s">
        <v>151</v>
      </c>
      <c r="B72" t="s">
        <v>168</v>
      </c>
      <c r="C72" t="s">
        <v>190</v>
      </c>
      <c r="D72" t="s">
        <v>48</v>
      </c>
      <c r="E72" t="s">
        <v>152</v>
      </c>
      <c r="F72">
        <v>0</v>
      </c>
      <c r="G72">
        <v>0</v>
      </c>
      <c r="H72">
        <v>0</v>
      </c>
      <c r="I72">
        <v>48.841410831043483</v>
      </c>
      <c r="J72">
        <v>1353.2715405141764</v>
      </c>
      <c r="K72">
        <v>0</v>
      </c>
      <c r="L72">
        <v>0</v>
      </c>
      <c r="M72" s="28">
        <v>0</v>
      </c>
      <c r="N72" s="28">
        <v>0</v>
      </c>
      <c r="O72">
        <v>0</v>
      </c>
      <c r="P72">
        <v>0</v>
      </c>
      <c r="Q72">
        <v>0</v>
      </c>
      <c r="R72">
        <v>0</v>
      </c>
      <c r="S72" s="28">
        <v>1402.1129513452199</v>
      </c>
      <c r="T72" s="29">
        <f>SUM(BaseHoras[[#This Row],[Jan/2019]:[Mar/2019]])</f>
        <v>0</v>
      </c>
      <c r="U72" s="29">
        <f>SUM(BaseHoras[[#This Row],[Abr/2019]:[Jun/2019]])</f>
        <v>1402.1129513452199</v>
      </c>
      <c r="V72" s="29">
        <f>SUM(BaseHoras[[#This Row],[Jul/2019]:[Set/2019]])</f>
        <v>0</v>
      </c>
      <c r="W72" s="29">
        <f>SUM(BaseHoras[[#This Row],[Out/2019]:[Dez/2019]])</f>
        <v>0</v>
      </c>
    </row>
    <row r="73" spans="1:23">
      <c r="A73" t="s">
        <v>151</v>
      </c>
      <c r="B73" t="s">
        <v>168</v>
      </c>
      <c r="C73" t="s">
        <v>191</v>
      </c>
      <c r="D73" t="s">
        <v>38</v>
      </c>
      <c r="E73" t="s">
        <v>192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s="28">
        <v>0</v>
      </c>
      <c r="N73" s="28">
        <v>0</v>
      </c>
      <c r="O73">
        <v>0</v>
      </c>
      <c r="P73">
        <v>4.7083955171016001</v>
      </c>
      <c r="Q73">
        <v>0</v>
      </c>
      <c r="R73">
        <v>0</v>
      </c>
      <c r="S73" s="28">
        <v>4.7083955171016001</v>
      </c>
      <c r="T73" s="29">
        <f>SUM(BaseHoras[[#This Row],[Jan/2019]:[Mar/2019]])</f>
        <v>0</v>
      </c>
      <c r="U73" s="29">
        <f>SUM(BaseHoras[[#This Row],[Abr/2019]:[Jun/2019]])</f>
        <v>0</v>
      </c>
      <c r="V73" s="29">
        <f>SUM(BaseHoras[[#This Row],[Jul/2019]:[Set/2019]])</f>
        <v>0</v>
      </c>
      <c r="W73" s="29">
        <f>SUM(BaseHoras[[#This Row],[Out/2019]:[Dez/2019]])</f>
        <v>4.7083955171016001</v>
      </c>
    </row>
    <row r="74" spans="1:23">
      <c r="A74" t="s">
        <v>151</v>
      </c>
      <c r="B74" t="s">
        <v>168</v>
      </c>
      <c r="C74" t="s">
        <v>193</v>
      </c>
      <c r="D74" t="s">
        <v>45</v>
      </c>
      <c r="E74" t="s">
        <v>194</v>
      </c>
      <c r="F74">
        <v>0</v>
      </c>
      <c r="G74">
        <v>0</v>
      </c>
      <c r="H74">
        <v>0</v>
      </c>
      <c r="I74">
        <v>0</v>
      </c>
      <c r="J74">
        <v>11.480021079029783</v>
      </c>
      <c r="K74">
        <v>0</v>
      </c>
      <c r="L74">
        <v>0</v>
      </c>
      <c r="M74" s="28">
        <v>0</v>
      </c>
      <c r="N74" s="28">
        <v>0</v>
      </c>
      <c r="O74">
        <v>0</v>
      </c>
      <c r="P74">
        <v>0</v>
      </c>
      <c r="Q74">
        <v>0</v>
      </c>
      <c r="R74">
        <v>0</v>
      </c>
      <c r="S74" s="28">
        <v>11.480021079029783</v>
      </c>
      <c r="T74" s="29">
        <f>SUM(BaseHoras[[#This Row],[Jan/2019]:[Mar/2019]])</f>
        <v>0</v>
      </c>
      <c r="U74" s="29">
        <f>SUM(BaseHoras[[#This Row],[Abr/2019]:[Jun/2019]])</f>
        <v>11.480021079029783</v>
      </c>
      <c r="V74" s="29">
        <f>SUM(BaseHoras[[#This Row],[Jul/2019]:[Set/2019]])</f>
        <v>0</v>
      </c>
      <c r="W74" s="29">
        <f>SUM(BaseHoras[[#This Row],[Out/2019]:[Dez/2019]])</f>
        <v>0</v>
      </c>
    </row>
    <row r="75" spans="1:23">
      <c r="A75" t="s">
        <v>151</v>
      </c>
      <c r="B75" t="s">
        <v>168</v>
      </c>
      <c r="C75" t="s">
        <v>195</v>
      </c>
      <c r="D75" t="s">
        <v>82</v>
      </c>
      <c r="E75" t="s">
        <v>152</v>
      </c>
      <c r="F75">
        <v>0</v>
      </c>
      <c r="G75">
        <v>0</v>
      </c>
      <c r="H75">
        <v>0</v>
      </c>
      <c r="I75">
        <v>0</v>
      </c>
      <c r="J75">
        <v>0</v>
      </c>
      <c r="K75">
        <v>2.7551440110359109</v>
      </c>
      <c r="L75">
        <v>0</v>
      </c>
      <c r="M75" s="28">
        <v>0</v>
      </c>
      <c r="N75" s="28">
        <v>0</v>
      </c>
      <c r="O75">
        <v>0</v>
      </c>
      <c r="P75">
        <v>0</v>
      </c>
      <c r="Q75">
        <v>0</v>
      </c>
      <c r="R75">
        <v>0</v>
      </c>
      <c r="S75" s="28">
        <v>2.7551440110359109</v>
      </c>
      <c r="T75" s="29">
        <f>SUM(BaseHoras[[#This Row],[Jan/2019]:[Mar/2019]])</f>
        <v>0</v>
      </c>
      <c r="U75" s="29">
        <f>SUM(BaseHoras[[#This Row],[Abr/2019]:[Jun/2019]])</f>
        <v>2.7551440110359109</v>
      </c>
      <c r="V75" s="29">
        <f>SUM(BaseHoras[[#This Row],[Jul/2019]:[Set/2019]])</f>
        <v>0</v>
      </c>
      <c r="W75" s="29">
        <f>SUM(BaseHoras[[#This Row],[Out/2019]:[Dez/2019]])</f>
        <v>0</v>
      </c>
    </row>
    <row r="76" spans="1:23">
      <c r="A76" t="s">
        <v>151</v>
      </c>
      <c r="B76" t="s">
        <v>168</v>
      </c>
      <c r="C76" t="s">
        <v>195</v>
      </c>
      <c r="D76" t="s">
        <v>107</v>
      </c>
      <c r="E76" t="s">
        <v>152</v>
      </c>
      <c r="F76">
        <v>0</v>
      </c>
      <c r="G76">
        <v>49.886048933818657</v>
      </c>
      <c r="H76">
        <v>12.419901232639331</v>
      </c>
      <c r="I76">
        <v>0</v>
      </c>
      <c r="J76">
        <v>6.8760279960504853</v>
      </c>
      <c r="K76">
        <v>0</v>
      </c>
      <c r="L76">
        <v>0</v>
      </c>
      <c r="M76" s="28">
        <v>0</v>
      </c>
      <c r="N76" s="28">
        <v>0</v>
      </c>
      <c r="O76">
        <v>0</v>
      </c>
      <c r="P76">
        <v>0</v>
      </c>
      <c r="Q76">
        <v>0</v>
      </c>
      <c r="R76">
        <v>0</v>
      </c>
      <c r="S76" s="28">
        <v>69.181978162508472</v>
      </c>
      <c r="T76" s="29">
        <f>SUM(BaseHoras[[#This Row],[Jan/2019]:[Mar/2019]])</f>
        <v>62.30595016645799</v>
      </c>
      <c r="U76" s="29">
        <f>SUM(BaseHoras[[#This Row],[Abr/2019]:[Jun/2019]])</f>
        <v>6.8760279960504853</v>
      </c>
      <c r="V76" s="29">
        <f>SUM(BaseHoras[[#This Row],[Jul/2019]:[Set/2019]])</f>
        <v>0</v>
      </c>
      <c r="W76" s="29">
        <f>SUM(BaseHoras[[#This Row],[Out/2019]:[Dez/2019]])</f>
        <v>0</v>
      </c>
    </row>
    <row r="77" spans="1:23">
      <c r="A77" t="s">
        <v>151</v>
      </c>
      <c r="B77" t="s">
        <v>168</v>
      </c>
      <c r="C77" t="s">
        <v>195</v>
      </c>
      <c r="D77" t="s">
        <v>136</v>
      </c>
      <c r="E77" t="s">
        <v>152</v>
      </c>
      <c r="F77">
        <v>0</v>
      </c>
      <c r="G77">
        <v>440.6366930525229</v>
      </c>
      <c r="H77">
        <v>14.827056679081961</v>
      </c>
      <c r="I77">
        <v>0</v>
      </c>
      <c r="J77">
        <v>0</v>
      </c>
      <c r="K77">
        <v>0</v>
      </c>
      <c r="L77">
        <v>0</v>
      </c>
      <c r="M77" s="28">
        <v>0</v>
      </c>
      <c r="N77" s="28">
        <v>0</v>
      </c>
      <c r="O77">
        <v>0</v>
      </c>
      <c r="P77">
        <v>0</v>
      </c>
      <c r="Q77">
        <v>0</v>
      </c>
      <c r="R77">
        <v>0</v>
      </c>
      <c r="S77" s="28">
        <v>455.46374973160488</v>
      </c>
      <c r="T77" s="29">
        <f>SUM(BaseHoras[[#This Row],[Jan/2019]:[Mar/2019]])</f>
        <v>455.46374973160488</v>
      </c>
      <c r="U77" s="29">
        <f>SUM(BaseHoras[[#This Row],[Abr/2019]:[Jun/2019]])</f>
        <v>0</v>
      </c>
      <c r="V77" s="29">
        <f>SUM(BaseHoras[[#This Row],[Jul/2019]:[Set/2019]])</f>
        <v>0</v>
      </c>
      <c r="W77" s="29">
        <f>SUM(BaseHoras[[#This Row],[Out/2019]:[Dez/2019]])</f>
        <v>0</v>
      </c>
    </row>
    <row r="78" spans="1:23">
      <c r="A78" t="s">
        <v>151</v>
      </c>
      <c r="B78" t="s">
        <v>168</v>
      </c>
      <c r="C78" t="s">
        <v>196</v>
      </c>
      <c r="D78" t="s">
        <v>25</v>
      </c>
      <c r="E78" t="s">
        <v>192</v>
      </c>
      <c r="F78">
        <v>0</v>
      </c>
      <c r="G78">
        <v>0</v>
      </c>
      <c r="H78">
        <v>10.810841526218971</v>
      </c>
      <c r="I78">
        <v>0</v>
      </c>
      <c r="J78">
        <v>0</v>
      </c>
      <c r="K78">
        <v>0</v>
      </c>
      <c r="L78">
        <v>0</v>
      </c>
      <c r="M78" s="28">
        <v>0</v>
      </c>
      <c r="N78" s="28">
        <v>0</v>
      </c>
      <c r="O78">
        <v>0</v>
      </c>
      <c r="P78">
        <v>0</v>
      </c>
      <c r="Q78">
        <v>0</v>
      </c>
      <c r="R78">
        <v>0</v>
      </c>
      <c r="S78" s="28">
        <v>10.810841526218971</v>
      </c>
      <c r="T78" s="29">
        <f>SUM(BaseHoras[[#This Row],[Jan/2019]:[Mar/2019]])</f>
        <v>10.810841526218971</v>
      </c>
      <c r="U78" s="29">
        <f>SUM(BaseHoras[[#This Row],[Abr/2019]:[Jun/2019]])</f>
        <v>0</v>
      </c>
      <c r="V78" s="29">
        <f>SUM(BaseHoras[[#This Row],[Jul/2019]:[Set/2019]])</f>
        <v>0</v>
      </c>
      <c r="W78" s="29">
        <f>SUM(BaseHoras[[#This Row],[Out/2019]:[Dez/2019]])</f>
        <v>0</v>
      </c>
    </row>
    <row r="79" spans="1:23">
      <c r="A79" t="s">
        <v>151</v>
      </c>
      <c r="B79" t="s">
        <v>168</v>
      </c>
      <c r="C79" t="s">
        <v>196</v>
      </c>
      <c r="D79" t="s">
        <v>66</v>
      </c>
      <c r="E79" t="s">
        <v>192</v>
      </c>
      <c r="F79">
        <v>0</v>
      </c>
      <c r="G79">
        <v>66.891924469850665</v>
      </c>
      <c r="H79">
        <v>0</v>
      </c>
      <c r="I79">
        <v>0</v>
      </c>
      <c r="J79">
        <v>0</v>
      </c>
      <c r="K79">
        <v>0</v>
      </c>
      <c r="L79">
        <v>0</v>
      </c>
      <c r="M79" s="28">
        <v>0</v>
      </c>
      <c r="N79" s="28">
        <v>0</v>
      </c>
      <c r="O79">
        <v>0</v>
      </c>
      <c r="P79">
        <v>0</v>
      </c>
      <c r="Q79">
        <v>0</v>
      </c>
      <c r="R79">
        <v>0</v>
      </c>
      <c r="S79" s="28">
        <v>66.891924469850665</v>
      </c>
      <c r="T79" s="29">
        <f>SUM(BaseHoras[[#This Row],[Jan/2019]:[Mar/2019]])</f>
        <v>66.891924469850665</v>
      </c>
      <c r="U79" s="29">
        <f>SUM(BaseHoras[[#This Row],[Abr/2019]:[Jun/2019]])</f>
        <v>0</v>
      </c>
      <c r="V79" s="29">
        <f>SUM(BaseHoras[[#This Row],[Jul/2019]:[Set/2019]])</f>
        <v>0</v>
      </c>
      <c r="W79" s="29">
        <f>SUM(BaseHoras[[#This Row],[Out/2019]:[Dez/2019]])</f>
        <v>0</v>
      </c>
    </row>
    <row r="80" spans="1:23">
      <c r="A80" t="s">
        <v>151</v>
      </c>
      <c r="B80" t="s">
        <v>168</v>
      </c>
      <c r="C80" t="s">
        <v>196</v>
      </c>
      <c r="D80" t="s">
        <v>71</v>
      </c>
      <c r="E80" t="s">
        <v>192</v>
      </c>
      <c r="F80">
        <v>21.118344426587761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s="28">
        <v>0</v>
      </c>
      <c r="N80" s="28">
        <v>0</v>
      </c>
      <c r="O80">
        <v>0</v>
      </c>
      <c r="P80">
        <v>0</v>
      </c>
      <c r="Q80">
        <v>0</v>
      </c>
      <c r="R80">
        <v>0</v>
      </c>
      <c r="S80" s="28">
        <v>21.118344426587761</v>
      </c>
      <c r="T80" s="29">
        <f>SUM(BaseHoras[[#This Row],[Jan/2019]:[Mar/2019]])</f>
        <v>21.118344426587761</v>
      </c>
      <c r="U80" s="29">
        <f>SUM(BaseHoras[[#This Row],[Abr/2019]:[Jun/2019]])</f>
        <v>0</v>
      </c>
      <c r="V80" s="29">
        <f>SUM(BaseHoras[[#This Row],[Jul/2019]:[Set/2019]])</f>
        <v>0</v>
      </c>
      <c r="W80" s="29">
        <f>SUM(BaseHoras[[#This Row],[Out/2019]:[Dez/2019]])</f>
        <v>0</v>
      </c>
    </row>
    <row r="81" spans="1:23">
      <c r="A81" t="s">
        <v>151</v>
      </c>
      <c r="B81" t="s">
        <v>168</v>
      </c>
      <c r="C81" t="s">
        <v>196</v>
      </c>
      <c r="D81" t="s">
        <v>138</v>
      </c>
      <c r="E81" t="s">
        <v>192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28">
        <v>0</v>
      </c>
      <c r="N81" s="28">
        <v>0</v>
      </c>
      <c r="O81">
        <v>0</v>
      </c>
      <c r="P81">
        <v>108.15235720811121</v>
      </c>
      <c r="Q81">
        <v>0</v>
      </c>
      <c r="R81">
        <v>0</v>
      </c>
      <c r="S81" s="28">
        <v>108.15235720811121</v>
      </c>
      <c r="T81" s="29">
        <f>SUM(BaseHoras[[#This Row],[Jan/2019]:[Mar/2019]])</f>
        <v>0</v>
      </c>
      <c r="U81" s="29">
        <f>SUM(BaseHoras[[#This Row],[Abr/2019]:[Jun/2019]])</f>
        <v>0</v>
      </c>
      <c r="V81" s="29">
        <f>SUM(BaseHoras[[#This Row],[Jul/2019]:[Set/2019]])</f>
        <v>0</v>
      </c>
      <c r="W81" s="29">
        <f>SUM(BaseHoras[[#This Row],[Out/2019]:[Dez/2019]])</f>
        <v>108.15235720811121</v>
      </c>
    </row>
    <row r="82" spans="1:23">
      <c r="A82" t="s">
        <v>151</v>
      </c>
      <c r="B82" t="s">
        <v>168</v>
      </c>
      <c r="C82" t="s">
        <v>196</v>
      </c>
      <c r="D82" t="s">
        <v>144</v>
      </c>
      <c r="E82" t="s">
        <v>192</v>
      </c>
      <c r="F82">
        <v>0</v>
      </c>
      <c r="G82">
        <v>0</v>
      </c>
      <c r="H82">
        <v>0</v>
      </c>
      <c r="I82">
        <v>103.10088078538915</v>
      </c>
      <c r="J82">
        <v>0</v>
      </c>
      <c r="K82">
        <v>0</v>
      </c>
      <c r="L82">
        <v>0</v>
      </c>
      <c r="M82" s="28">
        <v>0</v>
      </c>
      <c r="N82" s="28">
        <v>0</v>
      </c>
      <c r="O82">
        <v>0</v>
      </c>
      <c r="P82">
        <v>0</v>
      </c>
      <c r="Q82">
        <v>0</v>
      </c>
      <c r="R82">
        <v>0</v>
      </c>
      <c r="S82" s="28">
        <v>103.10088078538915</v>
      </c>
      <c r="T82" s="29">
        <f>SUM(BaseHoras[[#This Row],[Jan/2019]:[Mar/2019]])</f>
        <v>0</v>
      </c>
      <c r="U82" s="29">
        <f>SUM(BaseHoras[[#This Row],[Abr/2019]:[Jun/2019]])</f>
        <v>103.10088078538915</v>
      </c>
      <c r="V82" s="29">
        <f>SUM(BaseHoras[[#This Row],[Jul/2019]:[Set/2019]])</f>
        <v>0</v>
      </c>
      <c r="W82" s="29">
        <f>SUM(BaseHoras[[#This Row],[Out/2019]:[Dez/2019]])</f>
        <v>0</v>
      </c>
    </row>
    <row r="83" spans="1:23">
      <c r="A83" t="s">
        <v>151</v>
      </c>
      <c r="B83" t="s">
        <v>168</v>
      </c>
      <c r="C83" t="s">
        <v>197</v>
      </c>
      <c r="D83" t="s">
        <v>81</v>
      </c>
      <c r="E83" t="s">
        <v>183</v>
      </c>
      <c r="F83">
        <v>0</v>
      </c>
      <c r="G83">
        <v>0</v>
      </c>
      <c r="H83">
        <v>0</v>
      </c>
      <c r="I83">
        <v>0</v>
      </c>
      <c r="J83">
        <v>0</v>
      </c>
      <c r="K83">
        <v>7.6628556645536232</v>
      </c>
      <c r="L83">
        <v>0</v>
      </c>
      <c r="M83" s="28">
        <v>0</v>
      </c>
      <c r="N83" s="28">
        <v>0</v>
      </c>
      <c r="O83">
        <v>0</v>
      </c>
      <c r="P83">
        <v>0</v>
      </c>
      <c r="Q83">
        <v>0</v>
      </c>
      <c r="R83">
        <v>0</v>
      </c>
      <c r="S83" s="28">
        <v>7.6628556645536232</v>
      </c>
      <c r="T83" s="29">
        <f>SUM(BaseHoras[[#This Row],[Jan/2019]:[Mar/2019]])</f>
        <v>0</v>
      </c>
      <c r="U83" s="29">
        <f>SUM(BaseHoras[[#This Row],[Abr/2019]:[Jun/2019]])</f>
        <v>7.6628556645536232</v>
      </c>
      <c r="V83" s="29">
        <f>SUM(BaseHoras[[#This Row],[Jul/2019]:[Set/2019]])</f>
        <v>0</v>
      </c>
      <c r="W83" s="29">
        <f>SUM(BaseHoras[[#This Row],[Out/2019]:[Dez/2019]])</f>
        <v>0</v>
      </c>
    </row>
    <row r="84" spans="1:23">
      <c r="A84" t="s">
        <v>151</v>
      </c>
      <c r="B84" t="s">
        <v>168</v>
      </c>
      <c r="C84" t="s">
        <v>198</v>
      </c>
      <c r="D84" t="s">
        <v>55</v>
      </c>
      <c r="E84" t="s">
        <v>152</v>
      </c>
      <c r="F84">
        <v>11.56957492575178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s="28">
        <v>0</v>
      </c>
      <c r="N84" s="28">
        <v>0</v>
      </c>
      <c r="O84">
        <v>0</v>
      </c>
      <c r="P84">
        <v>0</v>
      </c>
      <c r="Q84">
        <v>0</v>
      </c>
      <c r="R84">
        <v>0</v>
      </c>
      <c r="S84" s="28">
        <v>11.56957492575178</v>
      </c>
      <c r="T84" s="29">
        <f>SUM(BaseHoras[[#This Row],[Jan/2019]:[Mar/2019]])</f>
        <v>11.56957492575178</v>
      </c>
      <c r="U84" s="29">
        <f>SUM(BaseHoras[[#This Row],[Abr/2019]:[Jun/2019]])</f>
        <v>0</v>
      </c>
      <c r="V84" s="29">
        <f>SUM(BaseHoras[[#This Row],[Jul/2019]:[Set/2019]])</f>
        <v>0</v>
      </c>
      <c r="W84" s="29">
        <f>SUM(BaseHoras[[#This Row],[Out/2019]:[Dez/2019]])</f>
        <v>0</v>
      </c>
    </row>
    <row r="85" spans="1:23">
      <c r="A85" t="s">
        <v>151</v>
      </c>
      <c r="B85" t="s">
        <v>168</v>
      </c>
      <c r="C85" t="s">
        <v>198</v>
      </c>
      <c r="D85" t="s">
        <v>131</v>
      </c>
      <c r="E85" t="s">
        <v>152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s="28">
        <v>0</v>
      </c>
      <c r="N85" s="28">
        <v>0</v>
      </c>
      <c r="O85">
        <v>23.769602449746785</v>
      </c>
      <c r="P85">
        <v>0</v>
      </c>
      <c r="Q85">
        <v>0</v>
      </c>
      <c r="R85">
        <v>0</v>
      </c>
      <c r="S85" s="28">
        <v>23.769602449746785</v>
      </c>
      <c r="T85" s="29">
        <f>SUM(BaseHoras[[#This Row],[Jan/2019]:[Mar/2019]])</f>
        <v>0</v>
      </c>
      <c r="U85" s="29">
        <f>SUM(BaseHoras[[#This Row],[Abr/2019]:[Jun/2019]])</f>
        <v>0</v>
      </c>
      <c r="V85" s="29">
        <f>SUM(BaseHoras[[#This Row],[Jul/2019]:[Set/2019]])</f>
        <v>0</v>
      </c>
      <c r="W85" s="29">
        <f>SUM(BaseHoras[[#This Row],[Out/2019]:[Dez/2019]])</f>
        <v>23.769602449746785</v>
      </c>
    </row>
    <row r="86" spans="1:23">
      <c r="A86" t="s">
        <v>151</v>
      </c>
      <c r="B86" t="s">
        <v>168</v>
      </c>
      <c r="C86" t="s">
        <v>199</v>
      </c>
      <c r="D86" t="s">
        <v>55</v>
      </c>
      <c r="E86" t="s">
        <v>192</v>
      </c>
      <c r="F86">
        <v>0</v>
      </c>
      <c r="G86" t="s">
        <v>395</v>
      </c>
      <c r="H86">
        <v>1.4696718413180196</v>
      </c>
      <c r="I86">
        <v>0</v>
      </c>
      <c r="J86">
        <v>0</v>
      </c>
      <c r="K86">
        <v>0</v>
      </c>
      <c r="L86">
        <v>0</v>
      </c>
      <c r="M86" s="28">
        <v>0</v>
      </c>
      <c r="N86" s="28">
        <v>0</v>
      </c>
      <c r="O86">
        <v>0</v>
      </c>
      <c r="P86">
        <v>0</v>
      </c>
      <c r="Q86">
        <v>0</v>
      </c>
      <c r="R86">
        <v>0</v>
      </c>
      <c r="S86" s="28">
        <v>1.4696718413180196</v>
      </c>
      <c r="T86" s="29">
        <f>SUM(BaseHoras[[#This Row],[Jan/2019]:[Mar/2019]])</f>
        <v>1.4696718413180196</v>
      </c>
      <c r="U86" s="29">
        <f>SUM(BaseHoras[[#This Row],[Abr/2019]:[Jun/2019]])</f>
        <v>0</v>
      </c>
      <c r="V86" s="29">
        <f>SUM(BaseHoras[[#This Row],[Jul/2019]:[Set/2019]])</f>
        <v>0</v>
      </c>
      <c r="W86" s="29">
        <f>SUM(BaseHoras[[#This Row],[Out/2019]:[Dez/2019]])</f>
        <v>0</v>
      </c>
    </row>
    <row r="87" spans="1:23">
      <c r="A87" t="s">
        <v>151</v>
      </c>
      <c r="B87" t="s">
        <v>168</v>
      </c>
      <c r="C87" t="s">
        <v>199</v>
      </c>
      <c r="D87" t="s">
        <v>56</v>
      </c>
      <c r="E87" t="s">
        <v>192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13.352238468547686</v>
      </c>
      <c r="M87" s="28">
        <v>0</v>
      </c>
      <c r="N87" s="28">
        <v>0</v>
      </c>
      <c r="O87">
        <v>0</v>
      </c>
      <c r="P87">
        <v>0</v>
      </c>
      <c r="Q87">
        <v>0</v>
      </c>
      <c r="R87">
        <v>0</v>
      </c>
      <c r="S87" s="28">
        <v>13.352238468547686</v>
      </c>
      <c r="T87" s="29">
        <f>SUM(BaseHoras[[#This Row],[Jan/2019]:[Mar/2019]])</f>
        <v>0</v>
      </c>
      <c r="U87" s="29">
        <f>SUM(BaseHoras[[#This Row],[Abr/2019]:[Jun/2019]])</f>
        <v>0</v>
      </c>
      <c r="V87" s="29">
        <f>SUM(BaseHoras[[#This Row],[Jul/2019]:[Set/2019]])</f>
        <v>13.352238468547686</v>
      </c>
      <c r="W87" s="29">
        <f>SUM(BaseHoras[[#This Row],[Out/2019]:[Dez/2019]])</f>
        <v>0</v>
      </c>
    </row>
    <row r="88" spans="1:23">
      <c r="A88" t="s">
        <v>151</v>
      </c>
      <c r="B88" t="s">
        <v>168</v>
      </c>
      <c r="C88" t="s">
        <v>200</v>
      </c>
      <c r="D88" t="s">
        <v>32</v>
      </c>
      <c r="E88" t="s">
        <v>152</v>
      </c>
      <c r="F88">
        <v>4.1715554061266227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s="28">
        <v>0</v>
      </c>
      <c r="N88" s="28">
        <v>0</v>
      </c>
      <c r="O88">
        <v>0</v>
      </c>
      <c r="P88">
        <v>0</v>
      </c>
      <c r="Q88">
        <v>0</v>
      </c>
      <c r="R88">
        <v>0</v>
      </c>
      <c r="S88" s="28">
        <v>4.1715554061266227</v>
      </c>
      <c r="T88" s="29">
        <f>SUM(BaseHoras[[#This Row],[Jan/2019]:[Mar/2019]])</f>
        <v>4.1715554061266227</v>
      </c>
      <c r="U88" s="29">
        <f>SUM(BaseHoras[[#This Row],[Abr/2019]:[Jun/2019]])</f>
        <v>0</v>
      </c>
      <c r="V88" s="29">
        <f>SUM(BaseHoras[[#This Row],[Jul/2019]:[Set/2019]])</f>
        <v>0</v>
      </c>
      <c r="W88" s="29">
        <f>SUM(BaseHoras[[#This Row],[Out/2019]:[Dez/2019]])</f>
        <v>0</v>
      </c>
    </row>
    <row r="89" spans="1:23">
      <c r="A89" t="s">
        <v>151</v>
      </c>
      <c r="B89" t="s">
        <v>168</v>
      </c>
      <c r="C89" t="s">
        <v>201</v>
      </c>
      <c r="D89" t="s">
        <v>25</v>
      </c>
      <c r="E89" t="s">
        <v>188</v>
      </c>
      <c r="F89">
        <v>0</v>
      </c>
      <c r="G89">
        <v>0</v>
      </c>
      <c r="H89">
        <v>48.379482806315814</v>
      </c>
      <c r="I89">
        <v>11.227611874734075</v>
      </c>
      <c r="J89">
        <v>583.16973148441116</v>
      </c>
      <c r="K89">
        <v>258.3557153548478</v>
      </c>
      <c r="L89">
        <v>0</v>
      </c>
      <c r="M89" s="28">
        <v>0</v>
      </c>
      <c r="N89" s="28">
        <v>0</v>
      </c>
      <c r="O89">
        <v>0</v>
      </c>
      <c r="P89">
        <v>0</v>
      </c>
      <c r="Q89">
        <v>0</v>
      </c>
      <c r="R89">
        <v>0</v>
      </c>
      <c r="S89" s="28">
        <v>901.13254152030879</v>
      </c>
      <c r="T89" s="29">
        <f>SUM(BaseHoras[[#This Row],[Jan/2019]:[Mar/2019]])</f>
        <v>48.379482806315814</v>
      </c>
      <c r="U89" s="29">
        <f>SUM(BaseHoras[[#This Row],[Abr/2019]:[Jun/2019]])</f>
        <v>852.75305871399303</v>
      </c>
      <c r="V89" s="29">
        <f>SUM(BaseHoras[[#This Row],[Jul/2019]:[Set/2019]])</f>
        <v>0</v>
      </c>
      <c r="W89" s="29">
        <f>SUM(BaseHoras[[#This Row],[Out/2019]:[Dez/2019]])</f>
        <v>0</v>
      </c>
    </row>
    <row r="90" spans="1:23">
      <c r="A90" t="s">
        <v>151</v>
      </c>
      <c r="B90" t="s">
        <v>168</v>
      </c>
      <c r="C90" t="s">
        <v>201</v>
      </c>
      <c r="D90" t="s">
        <v>55</v>
      </c>
      <c r="E90" t="s">
        <v>188</v>
      </c>
      <c r="F90">
        <v>0</v>
      </c>
      <c r="G90">
        <v>0</v>
      </c>
      <c r="H90" t="s">
        <v>395</v>
      </c>
      <c r="I90">
        <v>0</v>
      </c>
      <c r="J90">
        <v>0</v>
      </c>
      <c r="K90">
        <v>0</v>
      </c>
      <c r="L90">
        <v>0</v>
      </c>
      <c r="M90" s="28">
        <v>0</v>
      </c>
      <c r="N90" s="28">
        <v>0</v>
      </c>
      <c r="O90">
        <v>0</v>
      </c>
      <c r="P90">
        <v>0</v>
      </c>
      <c r="Q90">
        <v>0</v>
      </c>
      <c r="R90">
        <v>0</v>
      </c>
      <c r="S90" s="28">
        <v>0</v>
      </c>
      <c r="T90" s="29">
        <f>SUM(BaseHoras[[#This Row],[Jan/2019]:[Mar/2019]])</f>
        <v>0</v>
      </c>
      <c r="U90" s="29">
        <f>SUM(BaseHoras[[#This Row],[Abr/2019]:[Jun/2019]])</f>
        <v>0</v>
      </c>
      <c r="V90" s="29">
        <f>SUM(BaseHoras[[#This Row],[Jul/2019]:[Set/2019]])</f>
        <v>0</v>
      </c>
      <c r="W90" s="29">
        <f>SUM(BaseHoras[[#This Row],[Out/2019]:[Dez/2019]])</f>
        <v>0</v>
      </c>
    </row>
    <row r="91" spans="1:23">
      <c r="A91" t="s">
        <v>151</v>
      </c>
      <c r="B91" t="s">
        <v>168</v>
      </c>
      <c r="C91" t="s">
        <v>201</v>
      </c>
      <c r="D91" t="s">
        <v>134</v>
      </c>
      <c r="E91" t="s">
        <v>188</v>
      </c>
      <c r="F91">
        <v>0</v>
      </c>
      <c r="G91">
        <v>0</v>
      </c>
      <c r="H91">
        <v>268.36475935948272</v>
      </c>
      <c r="I91">
        <v>0</v>
      </c>
      <c r="J91">
        <v>0</v>
      </c>
      <c r="K91">
        <v>0</v>
      </c>
      <c r="L91">
        <v>0</v>
      </c>
      <c r="M91" s="28">
        <v>0</v>
      </c>
      <c r="N91" s="28">
        <v>0</v>
      </c>
      <c r="O91">
        <v>0</v>
      </c>
      <c r="P91">
        <v>0</v>
      </c>
      <c r="Q91">
        <v>0</v>
      </c>
      <c r="R91">
        <v>0</v>
      </c>
      <c r="S91" s="28">
        <v>268.36475935948272</v>
      </c>
      <c r="T91" s="29">
        <f>SUM(BaseHoras[[#This Row],[Jan/2019]:[Mar/2019]])</f>
        <v>268.36475935948272</v>
      </c>
      <c r="U91" s="29">
        <f>SUM(BaseHoras[[#This Row],[Abr/2019]:[Jun/2019]])</f>
        <v>0</v>
      </c>
      <c r="V91" s="29">
        <f>SUM(BaseHoras[[#This Row],[Jul/2019]:[Set/2019]])</f>
        <v>0</v>
      </c>
      <c r="W91" s="29">
        <f>SUM(BaseHoras[[#This Row],[Out/2019]:[Dez/2019]])</f>
        <v>0</v>
      </c>
    </row>
    <row r="92" spans="1:23">
      <c r="A92" t="s">
        <v>151</v>
      </c>
      <c r="B92" t="s">
        <v>168</v>
      </c>
      <c r="C92" t="s">
        <v>202</v>
      </c>
      <c r="D92" t="s">
        <v>107</v>
      </c>
      <c r="E92" t="s">
        <v>203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29.680693068981693</v>
      </c>
      <c r="M92" s="28">
        <v>68.69563007771194</v>
      </c>
      <c r="N92" s="28">
        <v>0</v>
      </c>
      <c r="O92">
        <v>0</v>
      </c>
      <c r="P92">
        <v>0</v>
      </c>
      <c r="Q92">
        <v>0</v>
      </c>
      <c r="R92">
        <v>0</v>
      </c>
      <c r="S92" s="28">
        <v>98.376323146693636</v>
      </c>
      <c r="T92" s="29">
        <f>SUM(BaseHoras[[#This Row],[Jan/2019]:[Mar/2019]])</f>
        <v>0</v>
      </c>
      <c r="U92" s="29">
        <f>SUM(BaseHoras[[#This Row],[Abr/2019]:[Jun/2019]])</f>
        <v>0</v>
      </c>
      <c r="V92" s="29">
        <f>SUM(BaseHoras[[#This Row],[Jul/2019]:[Set/2019]])</f>
        <v>98.376323146693636</v>
      </c>
      <c r="W92" s="29">
        <f>SUM(BaseHoras[[#This Row],[Out/2019]:[Dez/2019]])</f>
        <v>0</v>
      </c>
    </row>
    <row r="93" spans="1:23">
      <c r="A93" t="s">
        <v>151</v>
      </c>
      <c r="B93" t="s">
        <v>168</v>
      </c>
      <c r="C93" t="s">
        <v>204</v>
      </c>
      <c r="D93" t="s">
        <v>25</v>
      </c>
      <c r="E93" t="s">
        <v>205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s="28" t="s">
        <v>395</v>
      </c>
      <c r="N93" s="28">
        <v>0</v>
      </c>
      <c r="O93">
        <v>0</v>
      </c>
      <c r="P93">
        <v>0</v>
      </c>
      <c r="Q93">
        <v>0</v>
      </c>
      <c r="R93">
        <v>0</v>
      </c>
      <c r="S93" s="28">
        <v>0</v>
      </c>
      <c r="T93" s="29">
        <f>SUM(BaseHoras[[#This Row],[Jan/2019]:[Mar/2019]])</f>
        <v>0</v>
      </c>
      <c r="U93" s="29">
        <f>SUM(BaseHoras[[#This Row],[Abr/2019]:[Jun/2019]])</f>
        <v>0</v>
      </c>
      <c r="V93" s="29">
        <f>SUM(BaseHoras[[#This Row],[Jul/2019]:[Set/2019]])</f>
        <v>0</v>
      </c>
      <c r="W93" s="29">
        <f>SUM(BaseHoras[[#This Row],[Out/2019]:[Dez/2019]])</f>
        <v>0</v>
      </c>
    </row>
    <row r="94" spans="1:23">
      <c r="A94" t="s">
        <v>151</v>
      </c>
      <c r="B94" t="s">
        <v>168</v>
      </c>
      <c r="C94" t="s">
        <v>204</v>
      </c>
      <c r="D94" t="s">
        <v>55</v>
      </c>
      <c r="E94" t="s">
        <v>205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2.0427126582188051</v>
      </c>
      <c r="M94" s="28">
        <v>0</v>
      </c>
      <c r="N94" s="28">
        <v>0</v>
      </c>
      <c r="O94">
        <v>0</v>
      </c>
      <c r="P94">
        <v>0</v>
      </c>
      <c r="Q94">
        <v>0</v>
      </c>
      <c r="R94">
        <v>0</v>
      </c>
      <c r="S94" s="28">
        <v>2.0427126582188051</v>
      </c>
      <c r="T94" s="29">
        <f>SUM(BaseHoras[[#This Row],[Jan/2019]:[Mar/2019]])</f>
        <v>0</v>
      </c>
      <c r="U94" s="29">
        <f>SUM(BaseHoras[[#This Row],[Abr/2019]:[Jun/2019]])</f>
        <v>0</v>
      </c>
      <c r="V94" s="29">
        <f>SUM(BaseHoras[[#This Row],[Jul/2019]:[Set/2019]])</f>
        <v>2.0427126582188051</v>
      </c>
      <c r="W94" s="29">
        <f>SUM(BaseHoras[[#This Row],[Out/2019]:[Dez/2019]])</f>
        <v>0</v>
      </c>
    </row>
    <row r="95" spans="1:23">
      <c r="A95" t="s">
        <v>151</v>
      </c>
      <c r="B95" t="s">
        <v>168</v>
      </c>
      <c r="C95" t="s">
        <v>204</v>
      </c>
      <c r="D95" t="s">
        <v>131</v>
      </c>
      <c r="E95" t="s">
        <v>205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s="28">
        <v>87.681853834754605</v>
      </c>
      <c r="N95" s="28">
        <v>0</v>
      </c>
      <c r="O95">
        <v>0</v>
      </c>
      <c r="P95">
        <v>0</v>
      </c>
      <c r="Q95">
        <v>0</v>
      </c>
      <c r="R95">
        <v>0</v>
      </c>
      <c r="S95" s="28">
        <v>87.681853834754605</v>
      </c>
      <c r="T95" s="29">
        <f>SUM(BaseHoras[[#This Row],[Jan/2019]:[Mar/2019]])</f>
        <v>0</v>
      </c>
      <c r="U95" s="29">
        <f>SUM(BaseHoras[[#This Row],[Abr/2019]:[Jun/2019]])</f>
        <v>0</v>
      </c>
      <c r="V95" s="29">
        <f>SUM(BaseHoras[[#This Row],[Jul/2019]:[Set/2019]])</f>
        <v>87.681853834754605</v>
      </c>
      <c r="W95" s="29">
        <f>SUM(BaseHoras[[#This Row],[Out/2019]:[Dez/2019]])</f>
        <v>0</v>
      </c>
    </row>
    <row r="96" spans="1:23">
      <c r="A96" t="s">
        <v>151</v>
      </c>
      <c r="B96" t="s">
        <v>168</v>
      </c>
      <c r="C96" t="s">
        <v>206</v>
      </c>
      <c r="D96" t="s">
        <v>91</v>
      </c>
      <c r="E96" t="s">
        <v>179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s="28">
        <v>0</v>
      </c>
      <c r="N96" s="28">
        <v>0</v>
      </c>
      <c r="O96">
        <v>0</v>
      </c>
      <c r="P96">
        <v>99.161792147607585</v>
      </c>
      <c r="Q96">
        <v>0</v>
      </c>
      <c r="R96">
        <v>0</v>
      </c>
      <c r="S96" s="28">
        <v>99.161792147607585</v>
      </c>
      <c r="T96" s="29">
        <f>SUM(BaseHoras[[#This Row],[Jan/2019]:[Mar/2019]])</f>
        <v>0</v>
      </c>
      <c r="U96" s="29">
        <f>SUM(BaseHoras[[#This Row],[Abr/2019]:[Jun/2019]])</f>
        <v>0</v>
      </c>
      <c r="V96" s="29">
        <f>SUM(BaseHoras[[#This Row],[Jul/2019]:[Set/2019]])</f>
        <v>0</v>
      </c>
      <c r="W96" s="29">
        <f>SUM(BaseHoras[[#This Row],[Out/2019]:[Dez/2019]])</f>
        <v>99.161792147607585</v>
      </c>
    </row>
    <row r="97" spans="1:23">
      <c r="A97" t="s">
        <v>151</v>
      </c>
      <c r="B97" t="s">
        <v>168</v>
      </c>
      <c r="C97" t="s">
        <v>207</v>
      </c>
      <c r="D97" t="s">
        <v>32</v>
      </c>
      <c r="E97" t="s">
        <v>179</v>
      </c>
      <c r="F97">
        <v>1693.0283884104815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s="28">
        <v>0</v>
      </c>
      <c r="N97" s="28">
        <v>0</v>
      </c>
      <c r="O97">
        <v>0</v>
      </c>
      <c r="P97">
        <v>0</v>
      </c>
      <c r="Q97">
        <v>0</v>
      </c>
      <c r="R97">
        <v>0</v>
      </c>
      <c r="S97" s="28">
        <v>1693.0283884104815</v>
      </c>
      <c r="T97" s="29">
        <f>SUM(BaseHoras[[#This Row],[Jan/2019]:[Mar/2019]])</f>
        <v>1693.0283884104815</v>
      </c>
      <c r="U97" s="29">
        <f>SUM(BaseHoras[[#This Row],[Abr/2019]:[Jun/2019]])</f>
        <v>0</v>
      </c>
      <c r="V97" s="29">
        <f>SUM(BaseHoras[[#This Row],[Jul/2019]:[Set/2019]])</f>
        <v>0</v>
      </c>
      <c r="W97" s="29">
        <f>SUM(BaseHoras[[#This Row],[Out/2019]:[Dez/2019]])</f>
        <v>0</v>
      </c>
    </row>
    <row r="98" spans="1:23">
      <c r="A98" t="s">
        <v>151</v>
      </c>
      <c r="B98" t="s">
        <v>168</v>
      </c>
      <c r="C98" t="s">
        <v>208</v>
      </c>
      <c r="D98" t="s">
        <v>19</v>
      </c>
      <c r="E98" t="s">
        <v>179</v>
      </c>
      <c r="F98">
        <v>0</v>
      </c>
      <c r="G98">
        <v>29.510455572918339</v>
      </c>
      <c r="H98">
        <v>0</v>
      </c>
      <c r="I98">
        <v>0</v>
      </c>
      <c r="J98">
        <v>0</v>
      </c>
      <c r="K98">
        <v>0</v>
      </c>
      <c r="L98">
        <v>0</v>
      </c>
      <c r="M98" s="28">
        <v>0</v>
      </c>
      <c r="N98" s="28">
        <v>0</v>
      </c>
      <c r="O98">
        <v>0</v>
      </c>
      <c r="P98">
        <v>0</v>
      </c>
      <c r="Q98">
        <v>0</v>
      </c>
      <c r="R98">
        <v>0</v>
      </c>
      <c r="S98" s="28">
        <v>29.510455572918339</v>
      </c>
      <c r="T98" s="29">
        <f>SUM(BaseHoras[[#This Row],[Jan/2019]:[Mar/2019]])</f>
        <v>29.510455572918339</v>
      </c>
      <c r="U98" s="29">
        <f>SUM(BaseHoras[[#This Row],[Abr/2019]:[Jun/2019]])</f>
        <v>0</v>
      </c>
      <c r="V98" s="29">
        <f>SUM(BaseHoras[[#This Row],[Jul/2019]:[Set/2019]])</f>
        <v>0</v>
      </c>
      <c r="W98" s="29">
        <f>SUM(BaseHoras[[#This Row],[Out/2019]:[Dez/2019]])</f>
        <v>0</v>
      </c>
    </row>
    <row r="99" spans="1:23">
      <c r="A99" t="s">
        <v>151</v>
      </c>
      <c r="B99" t="s">
        <v>168</v>
      </c>
      <c r="C99" t="s">
        <v>209</v>
      </c>
      <c r="D99" t="s">
        <v>55</v>
      </c>
      <c r="E99" t="s">
        <v>179</v>
      </c>
      <c r="F99" t="s">
        <v>395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s="28">
        <v>0</v>
      </c>
      <c r="N99" s="28">
        <v>0</v>
      </c>
      <c r="O99">
        <v>0</v>
      </c>
      <c r="P99">
        <v>0</v>
      </c>
      <c r="Q99">
        <v>0</v>
      </c>
      <c r="R99">
        <v>0</v>
      </c>
      <c r="S99" s="28">
        <v>0</v>
      </c>
      <c r="T99" s="29">
        <f>SUM(BaseHoras[[#This Row],[Jan/2019]:[Mar/2019]])</f>
        <v>0</v>
      </c>
      <c r="U99" s="29">
        <f>SUM(BaseHoras[[#This Row],[Abr/2019]:[Jun/2019]])</f>
        <v>0</v>
      </c>
      <c r="V99" s="29">
        <f>SUM(BaseHoras[[#This Row],[Jul/2019]:[Set/2019]])</f>
        <v>0</v>
      </c>
      <c r="W99" s="29">
        <f>SUM(BaseHoras[[#This Row],[Out/2019]:[Dez/2019]])</f>
        <v>0</v>
      </c>
    </row>
    <row r="100" spans="1:23">
      <c r="A100" t="s">
        <v>151</v>
      </c>
      <c r="B100" t="s">
        <v>168</v>
      </c>
      <c r="C100" t="s">
        <v>210</v>
      </c>
      <c r="D100" t="s">
        <v>55</v>
      </c>
      <c r="E100" t="s">
        <v>179</v>
      </c>
      <c r="F100">
        <v>60.650359618329702</v>
      </c>
      <c r="G100" t="s">
        <v>395</v>
      </c>
      <c r="H100">
        <v>0</v>
      </c>
      <c r="I100">
        <v>0</v>
      </c>
      <c r="J100">
        <v>0</v>
      </c>
      <c r="K100">
        <v>0</v>
      </c>
      <c r="L100">
        <v>0</v>
      </c>
      <c r="M100" s="28">
        <v>0</v>
      </c>
      <c r="N100" s="28">
        <v>0</v>
      </c>
      <c r="O100">
        <v>0</v>
      </c>
      <c r="P100">
        <v>0</v>
      </c>
      <c r="Q100">
        <v>0</v>
      </c>
      <c r="R100">
        <v>0</v>
      </c>
      <c r="S100" s="28">
        <v>60.650359618329702</v>
      </c>
      <c r="T100" s="29">
        <f>SUM(BaseHoras[[#This Row],[Jan/2019]:[Mar/2019]])</f>
        <v>60.650359618329702</v>
      </c>
      <c r="U100" s="29">
        <f>SUM(BaseHoras[[#This Row],[Abr/2019]:[Jun/2019]])</f>
        <v>0</v>
      </c>
      <c r="V100" s="29">
        <f>SUM(BaseHoras[[#This Row],[Jul/2019]:[Set/2019]])</f>
        <v>0</v>
      </c>
      <c r="W100" s="29">
        <f>SUM(BaseHoras[[#This Row],[Out/2019]:[Dez/2019]])</f>
        <v>0</v>
      </c>
    </row>
    <row r="101" spans="1:23">
      <c r="A101" t="s">
        <v>151</v>
      </c>
      <c r="B101" t="s">
        <v>168</v>
      </c>
      <c r="C101" t="s">
        <v>210</v>
      </c>
      <c r="D101" t="s">
        <v>81</v>
      </c>
      <c r="E101" t="s">
        <v>179</v>
      </c>
      <c r="F101">
        <v>1.5737006422912818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s="28">
        <v>0</v>
      </c>
      <c r="N101" s="28">
        <v>0</v>
      </c>
      <c r="O101">
        <v>0</v>
      </c>
      <c r="P101">
        <v>0</v>
      </c>
      <c r="Q101">
        <v>0</v>
      </c>
      <c r="R101">
        <v>0</v>
      </c>
      <c r="S101" s="28">
        <v>1.5737006422912818</v>
      </c>
      <c r="T101" s="29">
        <f>SUM(BaseHoras[[#This Row],[Jan/2019]:[Mar/2019]])</f>
        <v>1.5737006422912818</v>
      </c>
      <c r="U101" s="29">
        <f>SUM(BaseHoras[[#This Row],[Abr/2019]:[Jun/2019]])</f>
        <v>0</v>
      </c>
      <c r="V101" s="29">
        <f>SUM(BaseHoras[[#This Row],[Jul/2019]:[Set/2019]])</f>
        <v>0</v>
      </c>
      <c r="W101" s="29">
        <f>SUM(BaseHoras[[#This Row],[Out/2019]:[Dez/2019]])</f>
        <v>0</v>
      </c>
    </row>
    <row r="102" spans="1:23">
      <c r="A102" t="s">
        <v>151</v>
      </c>
      <c r="B102" t="s">
        <v>168</v>
      </c>
      <c r="C102" t="s">
        <v>210</v>
      </c>
      <c r="D102" t="s">
        <v>98</v>
      </c>
      <c r="E102" t="s">
        <v>179</v>
      </c>
      <c r="F102">
        <v>0</v>
      </c>
      <c r="G102">
        <v>180.92044671801492</v>
      </c>
      <c r="H102">
        <v>0</v>
      </c>
      <c r="I102">
        <v>0</v>
      </c>
      <c r="J102">
        <v>0</v>
      </c>
      <c r="K102">
        <v>0</v>
      </c>
      <c r="L102">
        <v>0</v>
      </c>
      <c r="M102" s="28">
        <v>0</v>
      </c>
      <c r="N102" s="28">
        <v>0</v>
      </c>
      <c r="O102">
        <v>0</v>
      </c>
      <c r="P102">
        <v>0</v>
      </c>
      <c r="Q102">
        <v>0</v>
      </c>
      <c r="R102">
        <v>0</v>
      </c>
      <c r="S102" s="28">
        <v>180.92044671801492</v>
      </c>
      <c r="T102" s="29">
        <f>SUM(BaseHoras[[#This Row],[Jan/2019]:[Mar/2019]])</f>
        <v>180.92044671801492</v>
      </c>
      <c r="U102" s="29">
        <f>SUM(BaseHoras[[#This Row],[Abr/2019]:[Jun/2019]])</f>
        <v>0</v>
      </c>
      <c r="V102" s="29">
        <f>SUM(BaseHoras[[#This Row],[Jul/2019]:[Set/2019]])</f>
        <v>0</v>
      </c>
      <c r="W102" s="29">
        <f>SUM(BaseHoras[[#This Row],[Out/2019]:[Dez/2019]])</f>
        <v>0</v>
      </c>
    </row>
    <row r="103" spans="1:23">
      <c r="A103" t="s">
        <v>151</v>
      </c>
      <c r="B103" t="s">
        <v>168</v>
      </c>
      <c r="C103" t="s">
        <v>210</v>
      </c>
      <c r="D103" t="s">
        <v>102</v>
      </c>
      <c r="E103" t="s">
        <v>179</v>
      </c>
      <c r="F103">
        <v>14.897793829302385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s="28">
        <v>0</v>
      </c>
      <c r="N103" s="28">
        <v>0</v>
      </c>
      <c r="O103">
        <v>0</v>
      </c>
      <c r="P103">
        <v>0</v>
      </c>
      <c r="Q103">
        <v>0</v>
      </c>
      <c r="R103">
        <v>0</v>
      </c>
      <c r="S103" s="28">
        <v>14.897793829302385</v>
      </c>
      <c r="T103" s="29">
        <f>SUM(BaseHoras[[#This Row],[Jan/2019]:[Mar/2019]])</f>
        <v>14.897793829302385</v>
      </c>
      <c r="U103" s="29">
        <f>SUM(BaseHoras[[#This Row],[Abr/2019]:[Jun/2019]])</f>
        <v>0</v>
      </c>
      <c r="V103" s="29">
        <f>SUM(BaseHoras[[#This Row],[Jul/2019]:[Set/2019]])</f>
        <v>0</v>
      </c>
      <c r="W103" s="29">
        <f>SUM(BaseHoras[[#This Row],[Out/2019]:[Dez/2019]])</f>
        <v>0</v>
      </c>
    </row>
    <row r="104" spans="1:23">
      <c r="A104" t="s">
        <v>151</v>
      </c>
      <c r="B104" t="s">
        <v>168</v>
      </c>
      <c r="C104" t="s">
        <v>210</v>
      </c>
      <c r="D104" t="s">
        <v>144</v>
      </c>
      <c r="E104" t="s">
        <v>179</v>
      </c>
      <c r="F104">
        <v>0</v>
      </c>
      <c r="G104">
        <v>141.71222282236607</v>
      </c>
      <c r="H104">
        <v>0</v>
      </c>
      <c r="I104">
        <v>0</v>
      </c>
      <c r="J104">
        <v>0</v>
      </c>
      <c r="K104">
        <v>0</v>
      </c>
      <c r="L104">
        <v>0</v>
      </c>
      <c r="M104" s="28">
        <v>0</v>
      </c>
      <c r="N104" s="28">
        <v>0</v>
      </c>
      <c r="O104">
        <v>0</v>
      </c>
      <c r="P104">
        <v>0</v>
      </c>
      <c r="Q104">
        <v>0</v>
      </c>
      <c r="R104">
        <v>0</v>
      </c>
      <c r="S104" s="28">
        <v>141.71222282236607</v>
      </c>
      <c r="T104" s="29">
        <f>SUM(BaseHoras[[#This Row],[Jan/2019]:[Mar/2019]])</f>
        <v>141.71222282236607</v>
      </c>
      <c r="U104" s="29">
        <f>SUM(BaseHoras[[#This Row],[Abr/2019]:[Jun/2019]])</f>
        <v>0</v>
      </c>
      <c r="V104" s="29">
        <f>SUM(BaseHoras[[#This Row],[Jul/2019]:[Set/2019]])</f>
        <v>0</v>
      </c>
      <c r="W104" s="29">
        <f>SUM(BaseHoras[[#This Row],[Out/2019]:[Dez/2019]])</f>
        <v>0</v>
      </c>
    </row>
    <row r="105" spans="1:23">
      <c r="A105" t="s">
        <v>151</v>
      </c>
      <c r="B105" t="s">
        <v>168</v>
      </c>
      <c r="C105" t="s">
        <v>211</v>
      </c>
      <c r="D105" t="s">
        <v>55</v>
      </c>
      <c r="E105" t="s">
        <v>179</v>
      </c>
      <c r="F105" t="s">
        <v>395</v>
      </c>
      <c r="G105">
        <v>2.4641074749222174</v>
      </c>
      <c r="H105">
        <v>0</v>
      </c>
      <c r="I105">
        <v>0</v>
      </c>
      <c r="J105">
        <v>0</v>
      </c>
      <c r="K105">
        <v>0</v>
      </c>
      <c r="L105">
        <v>0</v>
      </c>
      <c r="M105" s="28">
        <v>0</v>
      </c>
      <c r="N105" s="28">
        <v>0</v>
      </c>
      <c r="O105">
        <v>0</v>
      </c>
      <c r="P105">
        <v>0</v>
      </c>
      <c r="Q105">
        <v>0</v>
      </c>
      <c r="R105">
        <v>0</v>
      </c>
      <c r="S105" s="28">
        <v>2.4641074749222174</v>
      </c>
      <c r="T105" s="29">
        <f>SUM(BaseHoras[[#This Row],[Jan/2019]:[Mar/2019]])</f>
        <v>2.4641074749222174</v>
      </c>
      <c r="U105" s="29">
        <f>SUM(BaseHoras[[#This Row],[Abr/2019]:[Jun/2019]])</f>
        <v>0</v>
      </c>
      <c r="V105" s="29">
        <f>SUM(BaseHoras[[#This Row],[Jul/2019]:[Set/2019]])</f>
        <v>0</v>
      </c>
      <c r="W105" s="29">
        <f>SUM(BaseHoras[[#This Row],[Out/2019]:[Dez/2019]])</f>
        <v>0</v>
      </c>
    </row>
    <row r="106" spans="1:23">
      <c r="A106" t="s">
        <v>151</v>
      </c>
      <c r="B106" t="s">
        <v>168</v>
      </c>
      <c r="C106" t="s">
        <v>212</v>
      </c>
      <c r="D106" t="s">
        <v>45</v>
      </c>
      <c r="E106" t="s">
        <v>152</v>
      </c>
      <c r="F106">
        <v>0</v>
      </c>
      <c r="G106">
        <v>0</v>
      </c>
      <c r="H106">
        <v>379.10087234786852</v>
      </c>
      <c r="I106">
        <v>0</v>
      </c>
      <c r="J106">
        <v>0</v>
      </c>
      <c r="K106">
        <v>0</v>
      </c>
      <c r="L106">
        <v>0</v>
      </c>
      <c r="M106" s="28">
        <v>0</v>
      </c>
      <c r="N106" s="28">
        <v>0</v>
      </c>
      <c r="O106">
        <v>0</v>
      </c>
      <c r="P106">
        <v>0</v>
      </c>
      <c r="Q106">
        <v>0</v>
      </c>
      <c r="R106">
        <v>0</v>
      </c>
      <c r="S106" s="28">
        <v>379.10087234786852</v>
      </c>
      <c r="T106" s="29">
        <f>SUM(BaseHoras[[#This Row],[Jan/2019]:[Mar/2019]])</f>
        <v>379.10087234786852</v>
      </c>
      <c r="U106" s="29">
        <f>SUM(BaseHoras[[#This Row],[Abr/2019]:[Jun/2019]])</f>
        <v>0</v>
      </c>
      <c r="V106" s="29">
        <f>SUM(BaseHoras[[#This Row],[Jul/2019]:[Set/2019]])</f>
        <v>0</v>
      </c>
      <c r="W106" s="29">
        <f>SUM(BaseHoras[[#This Row],[Out/2019]:[Dez/2019]])</f>
        <v>0</v>
      </c>
    </row>
    <row r="107" spans="1:23">
      <c r="A107" t="s">
        <v>151</v>
      </c>
      <c r="B107" t="s">
        <v>168</v>
      </c>
      <c r="C107" t="s">
        <v>213</v>
      </c>
      <c r="D107" t="s">
        <v>56</v>
      </c>
      <c r="E107" t="s">
        <v>152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100.31104404186512</v>
      </c>
      <c r="M107" s="28">
        <v>63.856101819076237</v>
      </c>
      <c r="N107" s="28">
        <v>0</v>
      </c>
      <c r="O107">
        <v>0</v>
      </c>
      <c r="P107">
        <v>0</v>
      </c>
      <c r="Q107">
        <v>0</v>
      </c>
      <c r="R107">
        <v>0</v>
      </c>
      <c r="S107" s="28">
        <v>164.16714586094136</v>
      </c>
      <c r="T107" s="29">
        <f>SUM(BaseHoras[[#This Row],[Jan/2019]:[Mar/2019]])</f>
        <v>0</v>
      </c>
      <c r="U107" s="29">
        <f>SUM(BaseHoras[[#This Row],[Abr/2019]:[Jun/2019]])</f>
        <v>0</v>
      </c>
      <c r="V107" s="29">
        <f>SUM(BaseHoras[[#This Row],[Jul/2019]:[Set/2019]])</f>
        <v>164.16714586094136</v>
      </c>
      <c r="W107" s="29">
        <f>SUM(BaseHoras[[#This Row],[Out/2019]:[Dez/2019]])</f>
        <v>0</v>
      </c>
    </row>
    <row r="108" spans="1:23">
      <c r="A108" t="s">
        <v>151</v>
      </c>
      <c r="B108" t="s">
        <v>168</v>
      </c>
      <c r="C108" t="s">
        <v>214</v>
      </c>
      <c r="D108" t="s">
        <v>91</v>
      </c>
      <c r="E108" t="s">
        <v>215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s="28">
        <v>0</v>
      </c>
      <c r="N108" s="28">
        <v>115.534425281512</v>
      </c>
      <c r="O108">
        <v>215.92047069445138</v>
      </c>
      <c r="P108">
        <v>38.398822000155747</v>
      </c>
      <c r="Q108">
        <v>0</v>
      </c>
      <c r="R108">
        <v>0</v>
      </c>
      <c r="S108" s="28">
        <v>369.85371797611913</v>
      </c>
      <c r="T108" s="29">
        <f>SUM(BaseHoras[[#This Row],[Jan/2019]:[Mar/2019]])</f>
        <v>0</v>
      </c>
      <c r="U108" s="29">
        <f>SUM(BaseHoras[[#This Row],[Abr/2019]:[Jun/2019]])</f>
        <v>0</v>
      </c>
      <c r="V108" s="29">
        <f>SUM(BaseHoras[[#This Row],[Jul/2019]:[Set/2019]])</f>
        <v>115.534425281512</v>
      </c>
      <c r="W108" s="29">
        <f>SUM(BaseHoras[[#This Row],[Out/2019]:[Dez/2019]])</f>
        <v>254.31929269460713</v>
      </c>
    </row>
    <row r="109" spans="1:23">
      <c r="A109" t="s">
        <v>151</v>
      </c>
      <c r="B109" t="s">
        <v>168</v>
      </c>
      <c r="C109" t="s">
        <v>214</v>
      </c>
      <c r="D109" t="s">
        <v>132</v>
      </c>
      <c r="E109" t="s">
        <v>215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s="28">
        <v>0</v>
      </c>
      <c r="N109" s="28">
        <v>0</v>
      </c>
      <c r="O109">
        <v>3.1922636667834214</v>
      </c>
      <c r="P109">
        <v>0</v>
      </c>
      <c r="Q109">
        <v>0</v>
      </c>
      <c r="R109">
        <v>0</v>
      </c>
      <c r="S109" s="28">
        <v>3.1922636667834214</v>
      </c>
      <c r="T109" s="29">
        <f>SUM(BaseHoras[[#This Row],[Jan/2019]:[Mar/2019]])</f>
        <v>0</v>
      </c>
      <c r="U109" s="29">
        <f>SUM(BaseHoras[[#This Row],[Abr/2019]:[Jun/2019]])</f>
        <v>0</v>
      </c>
      <c r="V109" s="29">
        <f>SUM(BaseHoras[[#This Row],[Jul/2019]:[Set/2019]])</f>
        <v>0</v>
      </c>
      <c r="W109" s="29">
        <f>SUM(BaseHoras[[#This Row],[Out/2019]:[Dez/2019]])</f>
        <v>3.1922636667834214</v>
      </c>
    </row>
    <row r="110" spans="1:23">
      <c r="A110" t="s">
        <v>151</v>
      </c>
      <c r="B110" t="s">
        <v>168</v>
      </c>
      <c r="C110" t="s">
        <v>216</v>
      </c>
      <c r="D110" t="s">
        <v>107</v>
      </c>
      <c r="E110" t="s">
        <v>215</v>
      </c>
      <c r="F110">
        <v>0</v>
      </c>
      <c r="G110">
        <v>0</v>
      </c>
      <c r="H110">
        <v>0</v>
      </c>
      <c r="I110">
        <v>0</v>
      </c>
      <c r="J110">
        <v>41.082054483446221</v>
      </c>
      <c r="K110">
        <v>0</v>
      </c>
      <c r="L110">
        <v>0</v>
      </c>
      <c r="M110" s="28">
        <v>0</v>
      </c>
      <c r="N110" s="28">
        <v>0</v>
      </c>
      <c r="O110">
        <v>0</v>
      </c>
      <c r="P110">
        <v>0</v>
      </c>
      <c r="Q110">
        <v>0</v>
      </c>
      <c r="R110">
        <v>0</v>
      </c>
      <c r="S110" s="28">
        <v>41.082054483446221</v>
      </c>
      <c r="T110" s="29">
        <f>SUM(BaseHoras[[#This Row],[Jan/2019]:[Mar/2019]])</f>
        <v>0</v>
      </c>
      <c r="U110" s="29">
        <f>SUM(BaseHoras[[#This Row],[Abr/2019]:[Jun/2019]])</f>
        <v>41.082054483446221</v>
      </c>
      <c r="V110" s="29">
        <f>SUM(BaseHoras[[#This Row],[Jul/2019]:[Set/2019]])</f>
        <v>0</v>
      </c>
      <c r="W110" s="29">
        <f>SUM(BaseHoras[[#This Row],[Out/2019]:[Dez/2019]])</f>
        <v>0</v>
      </c>
    </row>
    <row r="111" spans="1:23">
      <c r="A111" t="s">
        <v>151</v>
      </c>
      <c r="B111" t="s">
        <v>168</v>
      </c>
      <c r="C111" t="s">
        <v>217</v>
      </c>
      <c r="D111" t="s">
        <v>107</v>
      </c>
      <c r="E111" t="s">
        <v>215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s="28">
        <v>0</v>
      </c>
      <c r="N111" s="28">
        <v>0</v>
      </c>
      <c r="O111">
        <v>0</v>
      </c>
      <c r="P111">
        <v>0</v>
      </c>
      <c r="Q111">
        <v>44.294086779067555</v>
      </c>
      <c r="R111">
        <v>0</v>
      </c>
      <c r="S111" s="28">
        <v>44.294086779067555</v>
      </c>
      <c r="T111" s="29">
        <f>SUM(BaseHoras[[#This Row],[Jan/2019]:[Mar/2019]])</f>
        <v>0</v>
      </c>
      <c r="U111" s="29">
        <f>SUM(BaseHoras[[#This Row],[Abr/2019]:[Jun/2019]])</f>
        <v>0</v>
      </c>
      <c r="V111" s="29">
        <f>SUM(BaseHoras[[#This Row],[Jul/2019]:[Set/2019]])</f>
        <v>0</v>
      </c>
      <c r="W111" s="29">
        <f>SUM(BaseHoras[[#This Row],[Out/2019]:[Dez/2019]])</f>
        <v>44.294086779067555</v>
      </c>
    </row>
    <row r="112" spans="1:23">
      <c r="A112" t="s">
        <v>151</v>
      </c>
      <c r="B112" t="s">
        <v>168</v>
      </c>
      <c r="C112" t="s">
        <v>218</v>
      </c>
      <c r="D112" t="s">
        <v>40</v>
      </c>
      <c r="E112" t="s">
        <v>215</v>
      </c>
      <c r="F112">
        <v>0</v>
      </c>
      <c r="G112">
        <v>0</v>
      </c>
      <c r="H112">
        <v>0</v>
      </c>
      <c r="I112">
        <v>0</v>
      </c>
      <c r="J112">
        <v>9.5230367146679491</v>
      </c>
      <c r="K112">
        <v>3.4542692157658852</v>
      </c>
      <c r="L112">
        <v>0</v>
      </c>
      <c r="M112" s="28">
        <v>0</v>
      </c>
      <c r="N112" s="28">
        <v>0</v>
      </c>
      <c r="O112">
        <v>0</v>
      </c>
      <c r="P112">
        <v>0</v>
      </c>
      <c r="Q112">
        <v>0</v>
      </c>
      <c r="R112">
        <v>0</v>
      </c>
      <c r="S112" s="28">
        <v>12.977305930433834</v>
      </c>
      <c r="T112" s="29">
        <f>SUM(BaseHoras[[#This Row],[Jan/2019]:[Mar/2019]])</f>
        <v>0</v>
      </c>
      <c r="U112" s="29">
        <f>SUM(BaseHoras[[#This Row],[Abr/2019]:[Jun/2019]])</f>
        <v>12.977305930433834</v>
      </c>
      <c r="V112" s="29">
        <f>SUM(BaseHoras[[#This Row],[Jul/2019]:[Set/2019]])</f>
        <v>0</v>
      </c>
      <c r="W112" s="29">
        <f>SUM(BaseHoras[[#This Row],[Out/2019]:[Dez/2019]])</f>
        <v>0</v>
      </c>
    </row>
    <row r="113" spans="1:23">
      <c r="A113" t="s">
        <v>151</v>
      </c>
      <c r="B113" t="s">
        <v>168</v>
      </c>
      <c r="C113" t="s">
        <v>219</v>
      </c>
      <c r="D113" t="s">
        <v>81</v>
      </c>
      <c r="E113" t="s">
        <v>215</v>
      </c>
      <c r="F113">
        <v>0</v>
      </c>
      <c r="G113">
        <v>11.87197526010633</v>
      </c>
      <c r="H113">
        <v>0</v>
      </c>
      <c r="I113">
        <v>0</v>
      </c>
      <c r="J113">
        <v>0</v>
      </c>
      <c r="K113">
        <v>0</v>
      </c>
      <c r="L113">
        <v>0</v>
      </c>
      <c r="M113" s="28">
        <v>0</v>
      </c>
      <c r="N113" s="28">
        <v>0</v>
      </c>
      <c r="O113">
        <v>0</v>
      </c>
      <c r="P113">
        <v>0</v>
      </c>
      <c r="Q113">
        <v>0</v>
      </c>
      <c r="R113">
        <v>0</v>
      </c>
      <c r="S113" s="28">
        <v>11.87197526010633</v>
      </c>
      <c r="T113" s="29">
        <f>SUM(BaseHoras[[#This Row],[Jan/2019]:[Mar/2019]])</f>
        <v>11.87197526010633</v>
      </c>
      <c r="U113" s="29">
        <f>SUM(BaseHoras[[#This Row],[Abr/2019]:[Jun/2019]])</f>
        <v>0</v>
      </c>
      <c r="V113" s="29">
        <f>SUM(BaseHoras[[#This Row],[Jul/2019]:[Set/2019]])</f>
        <v>0</v>
      </c>
      <c r="W113" s="29">
        <f>SUM(BaseHoras[[#This Row],[Out/2019]:[Dez/2019]])</f>
        <v>0</v>
      </c>
    </row>
    <row r="114" spans="1:23">
      <c r="A114" t="s">
        <v>151</v>
      </c>
      <c r="B114" t="s">
        <v>168</v>
      </c>
      <c r="C114" t="s">
        <v>220</v>
      </c>
      <c r="D114" t="s">
        <v>134</v>
      </c>
      <c r="E114" t="s">
        <v>215</v>
      </c>
      <c r="F114">
        <v>66.688191125025682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s="28">
        <v>0</v>
      </c>
      <c r="N114" s="28">
        <v>0</v>
      </c>
      <c r="O114">
        <v>0</v>
      </c>
      <c r="P114">
        <v>0</v>
      </c>
      <c r="Q114">
        <v>0</v>
      </c>
      <c r="R114">
        <v>0</v>
      </c>
      <c r="S114" s="28">
        <v>66.688191125025682</v>
      </c>
      <c r="T114" s="29">
        <f>SUM(BaseHoras[[#This Row],[Jan/2019]:[Mar/2019]])</f>
        <v>66.688191125025682</v>
      </c>
      <c r="U114" s="29">
        <f>SUM(BaseHoras[[#This Row],[Abr/2019]:[Jun/2019]])</f>
        <v>0</v>
      </c>
      <c r="V114" s="29">
        <f>SUM(BaseHoras[[#This Row],[Jul/2019]:[Set/2019]])</f>
        <v>0</v>
      </c>
      <c r="W114" s="29">
        <f>SUM(BaseHoras[[#This Row],[Out/2019]:[Dez/2019]])</f>
        <v>0</v>
      </c>
    </row>
    <row r="115" spans="1:23">
      <c r="A115" t="s">
        <v>151</v>
      </c>
      <c r="B115" t="s">
        <v>168</v>
      </c>
      <c r="C115" t="s">
        <v>221</v>
      </c>
      <c r="D115" t="s">
        <v>55</v>
      </c>
      <c r="E115" t="s">
        <v>152</v>
      </c>
      <c r="F115">
        <v>3.7647081696607412</v>
      </c>
      <c r="G115" t="s">
        <v>395</v>
      </c>
      <c r="H115">
        <v>0</v>
      </c>
      <c r="I115">
        <v>0</v>
      </c>
      <c r="J115">
        <v>0</v>
      </c>
      <c r="K115">
        <v>0</v>
      </c>
      <c r="L115">
        <v>0</v>
      </c>
      <c r="M115" s="28">
        <v>0</v>
      </c>
      <c r="N115" s="28">
        <v>0</v>
      </c>
      <c r="O115">
        <v>0</v>
      </c>
      <c r="P115">
        <v>0</v>
      </c>
      <c r="Q115">
        <v>0</v>
      </c>
      <c r="R115">
        <v>0</v>
      </c>
      <c r="S115" s="28">
        <v>3.7647081696607412</v>
      </c>
      <c r="T115" s="29">
        <f>SUM(BaseHoras[[#This Row],[Jan/2019]:[Mar/2019]])</f>
        <v>3.7647081696607412</v>
      </c>
      <c r="U115" s="29">
        <f>SUM(BaseHoras[[#This Row],[Abr/2019]:[Jun/2019]])</f>
        <v>0</v>
      </c>
      <c r="V115" s="29">
        <f>SUM(BaseHoras[[#This Row],[Jul/2019]:[Set/2019]])</f>
        <v>0</v>
      </c>
      <c r="W115" s="29">
        <f>SUM(BaseHoras[[#This Row],[Out/2019]:[Dez/2019]])</f>
        <v>0</v>
      </c>
    </row>
    <row r="116" spans="1:23">
      <c r="A116" t="s">
        <v>151</v>
      </c>
      <c r="B116" t="s">
        <v>168</v>
      </c>
      <c r="C116" t="s">
        <v>222</v>
      </c>
      <c r="D116" t="s">
        <v>81</v>
      </c>
      <c r="E116" t="s">
        <v>215</v>
      </c>
      <c r="F116">
        <v>0</v>
      </c>
      <c r="G116" t="s">
        <v>395</v>
      </c>
      <c r="H116">
        <v>0</v>
      </c>
      <c r="I116">
        <v>0</v>
      </c>
      <c r="J116">
        <v>0</v>
      </c>
      <c r="K116">
        <v>0</v>
      </c>
      <c r="L116">
        <v>0</v>
      </c>
      <c r="M116" s="28">
        <v>0</v>
      </c>
      <c r="N116" s="28">
        <v>0</v>
      </c>
      <c r="O116">
        <v>0</v>
      </c>
      <c r="P116">
        <v>0</v>
      </c>
      <c r="Q116">
        <v>0</v>
      </c>
      <c r="R116">
        <v>0</v>
      </c>
      <c r="S116" s="28">
        <v>0</v>
      </c>
      <c r="T116" s="29">
        <f>SUM(BaseHoras[[#This Row],[Jan/2019]:[Mar/2019]])</f>
        <v>0</v>
      </c>
      <c r="U116" s="29">
        <f>SUM(BaseHoras[[#This Row],[Abr/2019]:[Jun/2019]])</f>
        <v>0</v>
      </c>
      <c r="V116" s="29">
        <f>SUM(BaseHoras[[#This Row],[Jul/2019]:[Set/2019]])</f>
        <v>0</v>
      </c>
      <c r="W116" s="29">
        <f>SUM(BaseHoras[[#This Row],[Out/2019]:[Dez/2019]])</f>
        <v>0</v>
      </c>
    </row>
    <row r="117" spans="1:23">
      <c r="A117" t="s">
        <v>151</v>
      </c>
      <c r="B117" t="s">
        <v>168</v>
      </c>
      <c r="C117" t="s">
        <v>223</v>
      </c>
      <c r="D117" t="s">
        <v>55</v>
      </c>
      <c r="E117" t="s">
        <v>215</v>
      </c>
      <c r="F117">
        <v>63.754212498695921</v>
      </c>
      <c r="G117">
        <v>16.999807708989305</v>
      </c>
      <c r="H117">
        <v>0</v>
      </c>
      <c r="I117">
        <v>0</v>
      </c>
      <c r="J117">
        <v>0</v>
      </c>
      <c r="K117">
        <v>0</v>
      </c>
      <c r="L117">
        <v>0</v>
      </c>
      <c r="M117" s="28">
        <v>0</v>
      </c>
      <c r="N117" s="28">
        <v>0</v>
      </c>
      <c r="O117">
        <v>0</v>
      </c>
      <c r="P117">
        <v>0</v>
      </c>
      <c r="Q117">
        <v>0</v>
      </c>
      <c r="R117">
        <v>0</v>
      </c>
      <c r="S117" s="28">
        <v>80.75402020768523</v>
      </c>
      <c r="T117" s="29">
        <f>SUM(BaseHoras[[#This Row],[Jan/2019]:[Mar/2019]])</f>
        <v>80.75402020768523</v>
      </c>
      <c r="U117" s="29">
        <f>SUM(BaseHoras[[#This Row],[Abr/2019]:[Jun/2019]])</f>
        <v>0</v>
      </c>
      <c r="V117" s="29">
        <f>SUM(BaseHoras[[#This Row],[Jul/2019]:[Set/2019]])</f>
        <v>0</v>
      </c>
      <c r="W117" s="29">
        <f>SUM(BaseHoras[[#This Row],[Out/2019]:[Dez/2019]])</f>
        <v>0</v>
      </c>
    </row>
    <row r="118" spans="1:23">
      <c r="A118" t="s">
        <v>151</v>
      </c>
      <c r="B118" t="s">
        <v>168</v>
      </c>
      <c r="C118" t="s">
        <v>223</v>
      </c>
      <c r="D118" t="s">
        <v>81</v>
      </c>
      <c r="E118" t="s">
        <v>215</v>
      </c>
      <c r="F118">
        <v>0</v>
      </c>
      <c r="G118">
        <v>0</v>
      </c>
      <c r="H118" t="s">
        <v>395</v>
      </c>
      <c r="I118">
        <v>0</v>
      </c>
      <c r="J118">
        <v>0</v>
      </c>
      <c r="K118">
        <v>0</v>
      </c>
      <c r="L118">
        <v>0</v>
      </c>
      <c r="M118" s="28">
        <v>0</v>
      </c>
      <c r="N118" s="28">
        <v>0</v>
      </c>
      <c r="O118">
        <v>0</v>
      </c>
      <c r="P118">
        <v>0</v>
      </c>
      <c r="Q118">
        <v>0</v>
      </c>
      <c r="R118">
        <v>0</v>
      </c>
      <c r="S118" s="28">
        <v>0</v>
      </c>
      <c r="T118" s="29">
        <f>SUM(BaseHoras[[#This Row],[Jan/2019]:[Mar/2019]])</f>
        <v>0</v>
      </c>
      <c r="U118" s="29">
        <f>SUM(BaseHoras[[#This Row],[Abr/2019]:[Jun/2019]])</f>
        <v>0</v>
      </c>
      <c r="V118" s="29">
        <f>SUM(BaseHoras[[#This Row],[Jul/2019]:[Set/2019]])</f>
        <v>0</v>
      </c>
      <c r="W118" s="29">
        <f>SUM(BaseHoras[[#This Row],[Out/2019]:[Dez/2019]])</f>
        <v>0</v>
      </c>
    </row>
    <row r="119" spans="1:23">
      <c r="A119" t="s">
        <v>151</v>
      </c>
      <c r="B119" t="s">
        <v>168</v>
      </c>
      <c r="C119" t="s">
        <v>223</v>
      </c>
      <c r="D119" t="s">
        <v>125</v>
      </c>
      <c r="E119" t="s">
        <v>215</v>
      </c>
      <c r="F119">
        <v>0</v>
      </c>
      <c r="G119">
        <v>0</v>
      </c>
      <c r="H119">
        <v>6.4300593980597407</v>
      </c>
      <c r="I119">
        <v>0</v>
      </c>
      <c r="J119">
        <v>0</v>
      </c>
      <c r="K119">
        <v>0</v>
      </c>
      <c r="L119">
        <v>0</v>
      </c>
      <c r="M119" s="28">
        <v>0</v>
      </c>
      <c r="N119" s="28">
        <v>0</v>
      </c>
      <c r="O119">
        <v>0</v>
      </c>
      <c r="P119">
        <v>0</v>
      </c>
      <c r="Q119">
        <v>0</v>
      </c>
      <c r="R119">
        <v>0</v>
      </c>
      <c r="S119" s="28">
        <v>6.4300593980597407</v>
      </c>
      <c r="T119" s="29">
        <f>SUM(BaseHoras[[#This Row],[Jan/2019]:[Mar/2019]])</f>
        <v>6.4300593980597407</v>
      </c>
      <c r="U119" s="29">
        <f>SUM(BaseHoras[[#This Row],[Abr/2019]:[Jun/2019]])</f>
        <v>0</v>
      </c>
      <c r="V119" s="29">
        <f>SUM(BaseHoras[[#This Row],[Jul/2019]:[Set/2019]])</f>
        <v>0</v>
      </c>
      <c r="W119" s="29">
        <f>SUM(BaseHoras[[#This Row],[Out/2019]:[Dez/2019]])</f>
        <v>0</v>
      </c>
    </row>
    <row r="120" spans="1:23">
      <c r="A120" t="s">
        <v>151</v>
      </c>
      <c r="B120" t="s">
        <v>168</v>
      </c>
      <c r="C120" t="s">
        <v>224</v>
      </c>
      <c r="D120" t="s">
        <v>136</v>
      </c>
      <c r="E120" t="s">
        <v>205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s="28">
        <v>0</v>
      </c>
      <c r="N120" s="28">
        <v>0</v>
      </c>
      <c r="O120">
        <v>0</v>
      </c>
      <c r="P120">
        <v>26.171797912552744</v>
      </c>
      <c r="Q120">
        <v>0</v>
      </c>
      <c r="R120">
        <v>0</v>
      </c>
      <c r="S120" s="28">
        <v>26.171797912552744</v>
      </c>
      <c r="T120" s="29">
        <f>SUM(BaseHoras[[#This Row],[Jan/2019]:[Mar/2019]])</f>
        <v>0</v>
      </c>
      <c r="U120" s="29">
        <f>SUM(BaseHoras[[#This Row],[Abr/2019]:[Jun/2019]])</f>
        <v>0</v>
      </c>
      <c r="V120" s="29">
        <f>SUM(BaseHoras[[#This Row],[Jul/2019]:[Set/2019]])</f>
        <v>0</v>
      </c>
      <c r="W120" s="29">
        <f>SUM(BaseHoras[[#This Row],[Out/2019]:[Dez/2019]])</f>
        <v>26.171797912552744</v>
      </c>
    </row>
    <row r="121" spans="1:23">
      <c r="A121" t="s">
        <v>151</v>
      </c>
      <c r="B121" t="s">
        <v>168</v>
      </c>
      <c r="C121" t="s">
        <v>225</v>
      </c>
      <c r="D121" t="s">
        <v>81</v>
      </c>
      <c r="E121" t="s">
        <v>192</v>
      </c>
      <c r="F121">
        <v>10.400303752250034</v>
      </c>
      <c r="G121">
        <v>577.41971362605568</v>
      </c>
      <c r="H121">
        <v>0</v>
      </c>
      <c r="I121">
        <v>0</v>
      </c>
      <c r="J121">
        <v>0</v>
      </c>
      <c r="K121">
        <v>0</v>
      </c>
      <c r="L121">
        <v>0</v>
      </c>
      <c r="M121" s="28">
        <v>0</v>
      </c>
      <c r="N121" s="28">
        <v>0</v>
      </c>
      <c r="O121">
        <v>0</v>
      </c>
      <c r="P121">
        <v>0</v>
      </c>
      <c r="Q121">
        <v>0</v>
      </c>
      <c r="R121">
        <v>0</v>
      </c>
      <c r="S121" s="28">
        <v>587.82001737830569</v>
      </c>
      <c r="T121" s="29">
        <f>SUM(BaseHoras[[#This Row],[Jan/2019]:[Mar/2019]])</f>
        <v>587.82001737830569</v>
      </c>
      <c r="U121" s="29">
        <f>SUM(BaseHoras[[#This Row],[Abr/2019]:[Jun/2019]])</f>
        <v>0</v>
      </c>
      <c r="V121" s="29">
        <f>SUM(BaseHoras[[#This Row],[Jul/2019]:[Set/2019]])</f>
        <v>0</v>
      </c>
      <c r="W121" s="29">
        <f>SUM(BaseHoras[[#This Row],[Out/2019]:[Dez/2019]])</f>
        <v>0</v>
      </c>
    </row>
    <row r="122" spans="1:23">
      <c r="A122" t="s">
        <v>151</v>
      </c>
      <c r="B122" t="s">
        <v>168</v>
      </c>
      <c r="C122" t="s">
        <v>225</v>
      </c>
      <c r="D122" t="s">
        <v>134</v>
      </c>
      <c r="E122" t="s">
        <v>192</v>
      </c>
      <c r="F122">
        <v>264.61253368560693</v>
      </c>
      <c r="G122">
        <v>11301.370037389803</v>
      </c>
      <c r="H122">
        <v>79.996590587801222</v>
      </c>
      <c r="I122">
        <v>0</v>
      </c>
      <c r="J122">
        <v>0</v>
      </c>
      <c r="K122">
        <v>0</v>
      </c>
      <c r="L122">
        <v>0</v>
      </c>
      <c r="M122" s="28">
        <v>0</v>
      </c>
      <c r="N122" s="28">
        <v>0</v>
      </c>
      <c r="O122">
        <v>0</v>
      </c>
      <c r="P122">
        <v>0</v>
      </c>
      <c r="Q122">
        <v>0</v>
      </c>
      <c r="R122">
        <v>0</v>
      </c>
      <c r="S122" s="28">
        <v>11645.979161663212</v>
      </c>
      <c r="T122" s="29">
        <f>SUM(BaseHoras[[#This Row],[Jan/2019]:[Mar/2019]])</f>
        <v>11645.979161663212</v>
      </c>
      <c r="U122" s="29">
        <f>SUM(BaseHoras[[#This Row],[Abr/2019]:[Jun/2019]])</f>
        <v>0</v>
      </c>
      <c r="V122" s="29">
        <f>SUM(BaseHoras[[#This Row],[Jul/2019]:[Set/2019]])</f>
        <v>0</v>
      </c>
      <c r="W122" s="29">
        <f>SUM(BaseHoras[[#This Row],[Out/2019]:[Dez/2019]])</f>
        <v>0</v>
      </c>
    </row>
    <row r="123" spans="1:23">
      <c r="A123" t="s">
        <v>151</v>
      </c>
      <c r="B123" t="s">
        <v>168</v>
      </c>
      <c r="C123" t="s">
        <v>226</v>
      </c>
      <c r="D123" t="s">
        <v>145</v>
      </c>
      <c r="E123" t="s">
        <v>192</v>
      </c>
      <c r="F123">
        <v>0</v>
      </c>
      <c r="G123">
        <v>0</v>
      </c>
      <c r="H123">
        <v>0</v>
      </c>
      <c r="I123">
        <v>0</v>
      </c>
      <c r="J123">
        <v>84.903294119647867</v>
      </c>
      <c r="K123">
        <v>0</v>
      </c>
      <c r="L123">
        <v>0</v>
      </c>
      <c r="M123" s="28">
        <v>0</v>
      </c>
      <c r="N123" s="28">
        <v>0</v>
      </c>
      <c r="O123">
        <v>0</v>
      </c>
      <c r="P123">
        <v>0</v>
      </c>
      <c r="Q123">
        <v>0</v>
      </c>
      <c r="R123">
        <v>0</v>
      </c>
      <c r="S123" s="28">
        <v>84.903294119647867</v>
      </c>
      <c r="T123" s="29">
        <f>SUM(BaseHoras[[#This Row],[Jan/2019]:[Mar/2019]])</f>
        <v>0</v>
      </c>
      <c r="U123" s="29">
        <f>SUM(BaseHoras[[#This Row],[Abr/2019]:[Jun/2019]])</f>
        <v>84.903294119647867</v>
      </c>
      <c r="V123" s="29">
        <f>SUM(BaseHoras[[#This Row],[Jul/2019]:[Set/2019]])</f>
        <v>0</v>
      </c>
      <c r="W123" s="29">
        <f>SUM(BaseHoras[[#This Row],[Out/2019]:[Dez/2019]])</f>
        <v>0</v>
      </c>
    </row>
    <row r="124" spans="1:23">
      <c r="A124" t="s">
        <v>151</v>
      </c>
      <c r="B124" t="s">
        <v>168</v>
      </c>
      <c r="C124" t="s">
        <v>227</v>
      </c>
      <c r="D124" t="s">
        <v>25</v>
      </c>
      <c r="E124" t="s">
        <v>194</v>
      </c>
      <c r="F124">
        <v>0</v>
      </c>
      <c r="G124">
        <v>0</v>
      </c>
      <c r="H124">
        <v>20.657244858640002</v>
      </c>
      <c r="I124">
        <v>0</v>
      </c>
      <c r="J124">
        <v>0</v>
      </c>
      <c r="K124">
        <v>0</v>
      </c>
      <c r="L124">
        <v>0</v>
      </c>
      <c r="M124" s="28">
        <v>0</v>
      </c>
      <c r="N124" s="28">
        <v>0</v>
      </c>
      <c r="O124">
        <v>0</v>
      </c>
      <c r="P124">
        <v>0</v>
      </c>
      <c r="Q124">
        <v>0</v>
      </c>
      <c r="R124">
        <v>0</v>
      </c>
      <c r="S124" s="28">
        <v>20.657244858640002</v>
      </c>
      <c r="T124" s="29">
        <f>SUM(BaseHoras[[#This Row],[Jan/2019]:[Mar/2019]])</f>
        <v>20.657244858640002</v>
      </c>
      <c r="U124" s="29">
        <f>SUM(BaseHoras[[#This Row],[Abr/2019]:[Jun/2019]])</f>
        <v>0</v>
      </c>
      <c r="V124" s="29">
        <f>SUM(BaseHoras[[#This Row],[Jul/2019]:[Set/2019]])</f>
        <v>0</v>
      </c>
      <c r="W124" s="29">
        <f>SUM(BaseHoras[[#This Row],[Out/2019]:[Dez/2019]])</f>
        <v>0</v>
      </c>
    </row>
    <row r="125" spans="1:23">
      <c r="A125" t="s">
        <v>151</v>
      </c>
      <c r="B125" t="s">
        <v>168</v>
      </c>
      <c r="C125" t="s">
        <v>227</v>
      </c>
      <c r="D125" t="s">
        <v>32</v>
      </c>
      <c r="E125" t="s">
        <v>194</v>
      </c>
      <c r="F125">
        <v>0</v>
      </c>
      <c r="G125">
        <v>331.53247047454471</v>
      </c>
      <c r="H125">
        <v>65.660768973736168</v>
      </c>
      <c r="I125">
        <v>0</v>
      </c>
      <c r="J125">
        <v>0</v>
      </c>
      <c r="K125">
        <v>0</v>
      </c>
      <c r="L125">
        <v>0</v>
      </c>
      <c r="M125" s="28">
        <v>0</v>
      </c>
      <c r="N125" s="28">
        <v>0</v>
      </c>
      <c r="O125">
        <v>0</v>
      </c>
      <c r="P125">
        <v>0</v>
      </c>
      <c r="Q125">
        <v>0</v>
      </c>
      <c r="R125">
        <v>0</v>
      </c>
      <c r="S125" s="28">
        <v>397.19323944828091</v>
      </c>
      <c r="T125" s="29">
        <f>SUM(BaseHoras[[#This Row],[Jan/2019]:[Mar/2019]])</f>
        <v>397.19323944828091</v>
      </c>
      <c r="U125" s="29">
        <f>SUM(BaseHoras[[#This Row],[Abr/2019]:[Jun/2019]])</f>
        <v>0</v>
      </c>
      <c r="V125" s="29">
        <f>SUM(BaseHoras[[#This Row],[Jul/2019]:[Set/2019]])</f>
        <v>0</v>
      </c>
      <c r="W125" s="29">
        <f>SUM(BaseHoras[[#This Row],[Out/2019]:[Dez/2019]])</f>
        <v>0</v>
      </c>
    </row>
    <row r="126" spans="1:23">
      <c r="A126" t="s">
        <v>151</v>
      </c>
      <c r="B126" t="s">
        <v>168</v>
      </c>
      <c r="C126" t="s">
        <v>228</v>
      </c>
      <c r="D126" t="s">
        <v>45</v>
      </c>
      <c r="E126" t="s">
        <v>192</v>
      </c>
      <c r="F126">
        <v>0</v>
      </c>
      <c r="G126">
        <v>0</v>
      </c>
      <c r="H126">
        <v>0</v>
      </c>
      <c r="I126">
        <v>0</v>
      </c>
      <c r="J126">
        <v>10.971815710495381</v>
      </c>
      <c r="K126">
        <v>15.854300646734558</v>
      </c>
      <c r="L126">
        <v>0</v>
      </c>
      <c r="M126" s="28">
        <v>0</v>
      </c>
      <c r="N126" s="28">
        <v>0</v>
      </c>
      <c r="O126">
        <v>0</v>
      </c>
      <c r="P126">
        <v>0</v>
      </c>
      <c r="Q126">
        <v>0</v>
      </c>
      <c r="R126">
        <v>0</v>
      </c>
      <c r="S126" s="28">
        <v>26.826116357229939</v>
      </c>
      <c r="T126" s="29">
        <f>SUM(BaseHoras[[#This Row],[Jan/2019]:[Mar/2019]])</f>
        <v>0</v>
      </c>
      <c r="U126" s="29">
        <f>SUM(BaseHoras[[#This Row],[Abr/2019]:[Jun/2019]])</f>
        <v>26.826116357229939</v>
      </c>
      <c r="V126" s="29">
        <f>SUM(BaseHoras[[#This Row],[Jul/2019]:[Set/2019]])</f>
        <v>0</v>
      </c>
      <c r="W126" s="29">
        <f>SUM(BaseHoras[[#This Row],[Out/2019]:[Dez/2019]])</f>
        <v>0</v>
      </c>
    </row>
    <row r="127" spans="1:23">
      <c r="A127" t="s">
        <v>151</v>
      </c>
      <c r="B127" t="s">
        <v>168</v>
      </c>
      <c r="C127" t="s">
        <v>229</v>
      </c>
      <c r="D127" t="s">
        <v>26</v>
      </c>
      <c r="E127" t="s">
        <v>192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s="28">
        <v>408.67935591132613</v>
      </c>
      <c r="N127" s="28">
        <v>0</v>
      </c>
      <c r="O127">
        <v>0</v>
      </c>
      <c r="P127">
        <v>0</v>
      </c>
      <c r="Q127">
        <v>0</v>
      </c>
      <c r="R127">
        <v>0</v>
      </c>
      <c r="S127" s="28">
        <v>408.67935591132613</v>
      </c>
      <c r="T127" s="29">
        <f>SUM(BaseHoras[[#This Row],[Jan/2019]:[Mar/2019]])</f>
        <v>0</v>
      </c>
      <c r="U127" s="29">
        <f>SUM(BaseHoras[[#This Row],[Abr/2019]:[Jun/2019]])</f>
        <v>0</v>
      </c>
      <c r="V127" s="29">
        <f>SUM(BaseHoras[[#This Row],[Jul/2019]:[Set/2019]])</f>
        <v>408.67935591132613</v>
      </c>
      <c r="W127" s="29">
        <f>SUM(BaseHoras[[#This Row],[Out/2019]:[Dez/2019]])</f>
        <v>0</v>
      </c>
    </row>
    <row r="128" spans="1:23">
      <c r="A128" t="s">
        <v>151</v>
      </c>
      <c r="B128" t="s">
        <v>168</v>
      </c>
      <c r="C128" t="s">
        <v>230</v>
      </c>
      <c r="D128" t="s">
        <v>89</v>
      </c>
      <c r="E128" t="s">
        <v>192</v>
      </c>
      <c r="F128">
        <v>175.82298283586459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s="28">
        <v>0</v>
      </c>
      <c r="N128" s="28">
        <v>0</v>
      </c>
      <c r="O128">
        <v>0</v>
      </c>
      <c r="P128">
        <v>0</v>
      </c>
      <c r="Q128">
        <v>0</v>
      </c>
      <c r="R128">
        <v>0</v>
      </c>
      <c r="S128" s="28">
        <v>175.82298283586459</v>
      </c>
      <c r="T128" s="29">
        <f>SUM(BaseHoras[[#This Row],[Jan/2019]:[Mar/2019]])</f>
        <v>175.82298283586459</v>
      </c>
      <c r="U128" s="29">
        <f>SUM(BaseHoras[[#This Row],[Abr/2019]:[Jun/2019]])</f>
        <v>0</v>
      </c>
      <c r="V128" s="29">
        <f>SUM(BaseHoras[[#This Row],[Jul/2019]:[Set/2019]])</f>
        <v>0</v>
      </c>
      <c r="W128" s="29">
        <f>SUM(BaseHoras[[#This Row],[Out/2019]:[Dez/2019]])</f>
        <v>0</v>
      </c>
    </row>
    <row r="129" spans="1:23">
      <c r="A129" t="s">
        <v>151</v>
      </c>
      <c r="B129" t="s">
        <v>168</v>
      </c>
      <c r="C129" t="s">
        <v>231</v>
      </c>
      <c r="D129" t="s">
        <v>81</v>
      </c>
      <c r="E129" t="s">
        <v>152</v>
      </c>
      <c r="F129">
        <v>5.1532061906901863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s="28">
        <v>0</v>
      </c>
      <c r="N129" s="28">
        <v>0</v>
      </c>
      <c r="O129">
        <v>0</v>
      </c>
      <c r="P129">
        <v>0</v>
      </c>
      <c r="Q129">
        <v>0</v>
      </c>
      <c r="R129">
        <v>0</v>
      </c>
      <c r="S129" s="28">
        <v>5.1532061906901863</v>
      </c>
      <c r="T129" s="29">
        <f>SUM(BaseHoras[[#This Row],[Jan/2019]:[Mar/2019]])</f>
        <v>5.1532061906901863</v>
      </c>
      <c r="U129" s="29">
        <f>SUM(BaseHoras[[#This Row],[Abr/2019]:[Jun/2019]])</f>
        <v>0</v>
      </c>
      <c r="V129" s="29">
        <f>SUM(BaseHoras[[#This Row],[Jul/2019]:[Set/2019]])</f>
        <v>0</v>
      </c>
      <c r="W129" s="29">
        <f>SUM(BaseHoras[[#This Row],[Out/2019]:[Dez/2019]])</f>
        <v>0</v>
      </c>
    </row>
    <row r="130" spans="1:23">
      <c r="A130" t="s">
        <v>151</v>
      </c>
      <c r="B130" t="s">
        <v>168</v>
      </c>
      <c r="C130" t="s">
        <v>232</v>
      </c>
      <c r="D130" t="s">
        <v>26</v>
      </c>
      <c r="E130" t="s">
        <v>192</v>
      </c>
      <c r="F130">
        <v>0</v>
      </c>
      <c r="G130">
        <v>0</v>
      </c>
      <c r="H130">
        <v>19.441453410822703</v>
      </c>
      <c r="I130">
        <v>0</v>
      </c>
      <c r="J130">
        <v>0</v>
      </c>
      <c r="K130">
        <v>0</v>
      </c>
      <c r="L130">
        <v>0</v>
      </c>
      <c r="M130" s="28">
        <v>0</v>
      </c>
      <c r="N130" s="28">
        <v>0</v>
      </c>
      <c r="O130">
        <v>0</v>
      </c>
      <c r="P130">
        <v>0</v>
      </c>
      <c r="Q130">
        <v>0</v>
      </c>
      <c r="R130">
        <v>0</v>
      </c>
      <c r="S130" s="28">
        <v>19.441453410822703</v>
      </c>
      <c r="T130" s="29">
        <f>SUM(BaseHoras[[#This Row],[Jan/2019]:[Mar/2019]])</f>
        <v>19.441453410822703</v>
      </c>
      <c r="U130" s="29">
        <f>SUM(BaseHoras[[#This Row],[Abr/2019]:[Jun/2019]])</f>
        <v>0</v>
      </c>
      <c r="V130" s="29">
        <f>SUM(BaseHoras[[#This Row],[Jul/2019]:[Set/2019]])</f>
        <v>0</v>
      </c>
      <c r="W130" s="29">
        <f>SUM(BaseHoras[[#This Row],[Out/2019]:[Dez/2019]])</f>
        <v>0</v>
      </c>
    </row>
    <row r="131" spans="1:23">
      <c r="A131" t="s">
        <v>151</v>
      </c>
      <c r="B131" t="s">
        <v>168</v>
      </c>
      <c r="C131" t="s">
        <v>233</v>
      </c>
      <c r="D131" t="s">
        <v>25</v>
      </c>
      <c r="E131" t="s">
        <v>152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s="28">
        <v>16.453856129320208</v>
      </c>
      <c r="N131" s="28">
        <v>0</v>
      </c>
      <c r="O131">
        <v>0</v>
      </c>
      <c r="P131">
        <v>0</v>
      </c>
      <c r="Q131">
        <v>0</v>
      </c>
      <c r="R131">
        <v>0</v>
      </c>
      <c r="S131" s="28">
        <v>16.453856129320208</v>
      </c>
      <c r="T131" s="29">
        <f>SUM(BaseHoras[[#This Row],[Jan/2019]:[Mar/2019]])</f>
        <v>0</v>
      </c>
      <c r="U131" s="29">
        <f>SUM(BaseHoras[[#This Row],[Abr/2019]:[Jun/2019]])</f>
        <v>0</v>
      </c>
      <c r="V131" s="29">
        <f>SUM(BaseHoras[[#This Row],[Jul/2019]:[Set/2019]])</f>
        <v>16.453856129320208</v>
      </c>
      <c r="W131" s="29">
        <f>SUM(BaseHoras[[#This Row],[Out/2019]:[Dez/2019]])</f>
        <v>0</v>
      </c>
    </row>
    <row r="132" spans="1:23">
      <c r="A132" t="s">
        <v>151</v>
      </c>
      <c r="B132" t="s">
        <v>168</v>
      </c>
      <c r="C132" t="s">
        <v>234</v>
      </c>
      <c r="D132" t="s">
        <v>131</v>
      </c>
      <c r="E132" t="s">
        <v>152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s="28">
        <v>0</v>
      </c>
      <c r="N132" s="28">
        <v>0</v>
      </c>
      <c r="O132">
        <v>7.1152713710146411</v>
      </c>
      <c r="P132">
        <v>0</v>
      </c>
      <c r="Q132">
        <v>0</v>
      </c>
      <c r="R132">
        <v>0</v>
      </c>
      <c r="S132" s="28">
        <v>7.1152713710146411</v>
      </c>
      <c r="T132" s="29">
        <f>SUM(BaseHoras[[#This Row],[Jan/2019]:[Mar/2019]])</f>
        <v>0</v>
      </c>
      <c r="U132" s="29">
        <f>SUM(BaseHoras[[#This Row],[Abr/2019]:[Jun/2019]])</f>
        <v>0</v>
      </c>
      <c r="V132" s="29">
        <f>SUM(BaseHoras[[#This Row],[Jul/2019]:[Set/2019]])</f>
        <v>0</v>
      </c>
      <c r="W132" s="29">
        <f>SUM(BaseHoras[[#This Row],[Out/2019]:[Dez/2019]])</f>
        <v>7.1152713710146411</v>
      </c>
    </row>
    <row r="133" spans="1:23">
      <c r="A133" t="s">
        <v>151</v>
      </c>
      <c r="B133" t="s">
        <v>168</v>
      </c>
      <c r="C133" t="s">
        <v>235</v>
      </c>
      <c r="D133" t="s">
        <v>60</v>
      </c>
      <c r="E133" t="s">
        <v>215</v>
      </c>
      <c r="F133">
        <v>84.938589309893501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s="28">
        <v>0</v>
      </c>
      <c r="N133" s="28">
        <v>0</v>
      </c>
      <c r="O133">
        <v>0</v>
      </c>
      <c r="P133">
        <v>0</v>
      </c>
      <c r="Q133">
        <v>0</v>
      </c>
      <c r="R133">
        <v>0</v>
      </c>
      <c r="S133" s="28">
        <v>84.938589309893501</v>
      </c>
      <c r="T133" s="29">
        <f>SUM(BaseHoras[[#This Row],[Jan/2019]:[Mar/2019]])</f>
        <v>84.938589309893501</v>
      </c>
      <c r="U133" s="29">
        <f>SUM(BaseHoras[[#This Row],[Abr/2019]:[Jun/2019]])</f>
        <v>0</v>
      </c>
      <c r="V133" s="29">
        <f>SUM(BaseHoras[[#This Row],[Jul/2019]:[Set/2019]])</f>
        <v>0</v>
      </c>
      <c r="W133" s="29">
        <f>SUM(BaseHoras[[#This Row],[Out/2019]:[Dez/2019]])</f>
        <v>0</v>
      </c>
    </row>
    <row r="134" spans="1:23">
      <c r="A134" t="s">
        <v>151</v>
      </c>
      <c r="B134" t="s">
        <v>168</v>
      </c>
      <c r="C134" t="s">
        <v>235</v>
      </c>
      <c r="D134" t="s">
        <v>107</v>
      </c>
      <c r="E134" t="s">
        <v>215</v>
      </c>
      <c r="F134">
        <v>0</v>
      </c>
      <c r="G134">
        <v>0</v>
      </c>
      <c r="H134">
        <v>0</v>
      </c>
      <c r="I134">
        <v>17.739332264841199</v>
      </c>
      <c r="J134">
        <v>0</v>
      </c>
      <c r="K134">
        <v>0</v>
      </c>
      <c r="L134">
        <v>0</v>
      </c>
      <c r="M134" s="28">
        <v>0</v>
      </c>
      <c r="N134" s="28">
        <v>0</v>
      </c>
      <c r="O134">
        <v>0</v>
      </c>
      <c r="P134">
        <v>0</v>
      </c>
      <c r="Q134">
        <v>0</v>
      </c>
      <c r="R134">
        <v>0</v>
      </c>
      <c r="S134" s="28">
        <v>17.739332264841199</v>
      </c>
      <c r="T134" s="29">
        <f>SUM(BaseHoras[[#This Row],[Jan/2019]:[Mar/2019]])</f>
        <v>0</v>
      </c>
      <c r="U134" s="29">
        <f>SUM(BaseHoras[[#This Row],[Abr/2019]:[Jun/2019]])</f>
        <v>17.739332264841199</v>
      </c>
      <c r="V134" s="29">
        <f>SUM(BaseHoras[[#This Row],[Jul/2019]:[Set/2019]])</f>
        <v>0</v>
      </c>
      <c r="W134" s="29">
        <f>SUM(BaseHoras[[#This Row],[Out/2019]:[Dez/2019]])</f>
        <v>0</v>
      </c>
    </row>
    <row r="135" spans="1:23">
      <c r="A135" t="s">
        <v>151</v>
      </c>
      <c r="B135" t="s">
        <v>168</v>
      </c>
      <c r="C135" t="s">
        <v>236</v>
      </c>
      <c r="D135" t="s">
        <v>131</v>
      </c>
      <c r="E135" t="s">
        <v>215</v>
      </c>
      <c r="F135">
        <v>0</v>
      </c>
      <c r="G135">
        <v>0</v>
      </c>
      <c r="H135">
        <v>0</v>
      </c>
      <c r="I135">
        <v>10.705974299946929</v>
      </c>
      <c r="J135">
        <v>0</v>
      </c>
      <c r="K135">
        <v>0</v>
      </c>
      <c r="L135">
        <v>0</v>
      </c>
      <c r="M135" s="28">
        <v>0</v>
      </c>
      <c r="N135" s="28">
        <v>0</v>
      </c>
      <c r="O135">
        <v>0</v>
      </c>
      <c r="P135">
        <v>0</v>
      </c>
      <c r="Q135">
        <v>0</v>
      </c>
      <c r="R135">
        <v>0</v>
      </c>
      <c r="S135" s="28">
        <v>10.705974299946929</v>
      </c>
      <c r="T135" s="29">
        <f>SUM(BaseHoras[[#This Row],[Jan/2019]:[Mar/2019]])</f>
        <v>0</v>
      </c>
      <c r="U135" s="29">
        <f>SUM(BaseHoras[[#This Row],[Abr/2019]:[Jun/2019]])</f>
        <v>10.705974299946929</v>
      </c>
      <c r="V135" s="29">
        <f>SUM(BaseHoras[[#This Row],[Jul/2019]:[Set/2019]])</f>
        <v>0</v>
      </c>
      <c r="W135" s="29">
        <f>SUM(BaseHoras[[#This Row],[Out/2019]:[Dez/2019]])</f>
        <v>0</v>
      </c>
    </row>
    <row r="136" spans="1:23">
      <c r="A136" t="s">
        <v>151</v>
      </c>
      <c r="B136" t="s">
        <v>168</v>
      </c>
      <c r="C136" t="s">
        <v>237</v>
      </c>
      <c r="D136" t="s">
        <v>45</v>
      </c>
      <c r="E136" t="s">
        <v>152</v>
      </c>
      <c r="F136">
        <v>21.496179377772499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s="28">
        <v>0</v>
      </c>
      <c r="N136" s="28">
        <v>0</v>
      </c>
      <c r="O136">
        <v>0</v>
      </c>
      <c r="P136">
        <v>0</v>
      </c>
      <c r="Q136">
        <v>0</v>
      </c>
      <c r="R136">
        <v>0</v>
      </c>
      <c r="S136" s="28">
        <v>21.496179377772499</v>
      </c>
      <c r="T136" s="29">
        <f>SUM(BaseHoras[[#This Row],[Jan/2019]:[Mar/2019]])</f>
        <v>21.496179377772499</v>
      </c>
      <c r="U136" s="29">
        <f>SUM(BaseHoras[[#This Row],[Abr/2019]:[Jun/2019]])</f>
        <v>0</v>
      </c>
      <c r="V136" s="29">
        <f>SUM(BaseHoras[[#This Row],[Jul/2019]:[Set/2019]])</f>
        <v>0</v>
      </c>
      <c r="W136" s="29">
        <f>SUM(BaseHoras[[#This Row],[Out/2019]:[Dez/2019]])</f>
        <v>0</v>
      </c>
    </row>
    <row r="137" spans="1:23">
      <c r="A137" t="s">
        <v>151</v>
      </c>
      <c r="B137" t="s">
        <v>168</v>
      </c>
      <c r="C137" t="s">
        <v>238</v>
      </c>
      <c r="D137" t="s">
        <v>26</v>
      </c>
      <c r="E137" t="s">
        <v>192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s="28">
        <v>0</v>
      </c>
      <c r="N137" s="28">
        <v>0</v>
      </c>
      <c r="O137">
        <v>144.67086151990733</v>
      </c>
      <c r="P137">
        <v>0</v>
      </c>
      <c r="Q137">
        <v>0</v>
      </c>
      <c r="R137">
        <v>0</v>
      </c>
      <c r="S137" s="28">
        <v>144.67086151990733</v>
      </c>
      <c r="T137" s="29">
        <f>SUM(BaseHoras[[#This Row],[Jan/2019]:[Mar/2019]])</f>
        <v>0</v>
      </c>
      <c r="U137" s="29">
        <f>SUM(BaseHoras[[#This Row],[Abr/2019]:[Jun/2019]])</f>
        <v>0</v>
      </c>
      <c r="V137" s="29">
        <f>SUM(BaseHoras[[#This Row],[Jul/2019]:[Set/2019]])</f>
        <v>0</v>
      </c>
      <c r="W137" s="29">
        <f>SUM(BaseHoras[[#This Row],[Out/2019]:[Dez/2019]])</f>
        <v>144.67086151990733</v>
      </c>
    </row>
    <row r="138" spans="1:23">
      <c r="A138" t="s">
        <v>151</v>
      </c>
      <c r="B138" t="s">
        <v>168</v>
      </c>
      <c r="C138" t="s">
        <v>239</v>
      </c>
      <c r="D138" t="s">
        <v>38</v>
      </c>
      <c r="E138" t="s">
        <v>192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s="28">
        <v>0</v>
      </c>
      <c r="N138" s="28">
        <v>0</v>
      </c>
      <c r="O138">
        <v>9.8496923432538566</v>
      </c>
      <c r="P138">
        <v>0</v>
      </c>
      <c r="Q138">
        <v>0</v>
      </c>
      <c r="R138">
        <v>0</v>
      </c>
      <c r="S138" s="28">
        <v>9.8496923432538566</v>
      </c>
      <c r="T138" s="29">
        <f>SUM(BaseHoras[[#This Row],[Jan/2019]:[Mar/2019]])</f>
        <v>0</v>
      </c>
      <c r="U138" s="29">
        <f>SUM(BaseHoras[[#This Row],[Abr/2019]:[Jun/2019]])</f>
        <v>0</v>
      </c>
      <c r="V138" s="29">
        <f>SUM(BaseHoras[[#This Row],[Jul/2019]:[Set/2019]])</f>
        <v>0</v>
      </c>
      <c r="W138" s="29">
        <f>SUM(BaseHoras[[#This Row],[Out/2019]:[Dez/2019]])</f>
        <v>9.8496923432538566</v>
      </c>
    </row>
    <row r="139" spans="1:23">
      <c r="A139" t="s">
        <v>151</v>
      </c>
      <c r="B139" t="s">
        <v>168</v>
      </c>
      <c r="C139" t="s">
        <v>239</v>
      </c>
      <c r="D139" t="s">
        <v>109</v>
      </c>
      <c r="E139" t="s">
        <v>192</v>
      </c>
      <c r="F139">
        <v>4.9716682910144767</v>
      </c>
      <c r="G139">
        <v>139.03695742804211</v>
      </c>
      <c r="H139">
        <v>0</v>
      </c>
      <c r="I139">
        <v>0</v>
      </c>
      <c r="J139">
        <v>0</v>
      </c>
      <c r="K139">
        <v>0</v>
      </c>
      <c r="L139">
        <v>0</v>
      </c>
      <c r="M139" s="28">
        <v>0</v>
      </c>
      <c r="N139" s="28">
        <v>0</v>
      </c>
      <c r="O139">
        <v>0</v>
      </c>
      <c r="P139">
        <v>0</v>
      </c>
      <c r="Q139">
        <v>0</v>
      </c>
      <c r="R139">
        <v>0</v>
      </c>
      <c r="S139" s="28">
        <v>144.0086257190566</v>
      </c>
      <c r="T139" s="29">
        <f>SUM(BaseHoras[[#This Row],[Jan/2019]:[Mar/2019]])</f>
        <v>144.0086257190566</v>
      </c>
      <c r="U139" s="29">
        <f>SUM(BaseHoras[[#This Row],[Abr/2019]:[Jun/2019]])</f>
        <v>0</v>
      </c>
      <c r="V139" s="29">
        <f>SUM(BaseHoras[[#This Row],[Jul/2019]:[Set/2019]])</f>
        <v>0</v>
      </c>
      <c r="W139" s="29">
        <f>SUM(BaseHoras[[#This Row],[Out/2019]:[Dez/2019]])</f>
        <v>0</v>
      </c>
    </row>
    <row r="140" spans="1:23">
      <c r="A140" t="s">
        <v>151</v>
      </c>
      <c r="B140" t="s">
        <v>168</v>
      </c>
      <c r="C140" t="s">
        <v>239</v>
      </c>
      <c r="D140" t="s">
        <v>134</v>
      </c>
      <c r="E140" t="s">
        <v>192</v>
      </c>
      <c r="F140">
        <v>224.44764776943941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s="28">
        <v>0</v>
      </c>
      <c r="N140" s="28">
        <v>0</v>
      </c>
      <c r="O140">
        <v>0</v>
      </c>
      <c r="P140">
        <v>0</v>
      </c>
      <c r="Q140">
        <v>0</v>
      </c>
      <c r="R140">
        <v>0</v>
      </c>
      <c r="S140" s="28">
        <v>224.44764776943941</v>
      </c>
      <c r="T140" s="29">
        <f>SUM(BaseHoras[[#This Row],[Jan/2019]:[Mar/2019]])</f>
        <v>224.44764776943941</v>
      </c>
      <c r="U140" s="29">
        <f>SUM(BaseHoras[[#This Row],[Abr/2019]:[Jun/2019]])</f>
        <v>0</v>
      </c>
      <c r="V140" s="29">
        <f>SUM(BaseHoras[[#This Row],[Jul/2019]:[Set/2019]])</f>
        <v>0</v>
      </c>
      <c r="W140" s="29">
        <f>SUM(BaseHoras[[#This Row],[Out/2019]:[Dez/2019]])</f>
        <v>0</v>
      </c>
    </row>
    <row r="141" spans="1:23">
      <c r="A141" t="s">
        <v>151</v>
      </c>
      <c r="B141" t="s">
        <v>168</v>
      </c>
      <c r="C141" t="s">
        <v>240</v>
      </c>
      <c r="D141" t="s">
        <v>109</v>
      </c>
      <c r="E141" t="s">
        <v>188</v>
      </c>
      <c r="F141">
        <v>1241.3092556999152</v>
      </c>
      <c r="G141">
        <v>121.25056293058515</v>
      </c>
      <c r="H141">
        <v>0</v>
      </c>
      <c r="I141">
        <v>0</v>
      </c>
      <c r="J141">
        <v>0</v>
      </c>
      <c r="K141">
        <v>0</v>
      </c>
      <c r="L141">
        <v>0</v>
      </c>
      <c r="M141" s="28">
        <v>0</v>
      </c>
      <c r="N141" s="28">
        <v>0</v>
      </c>
      <c r="O141">
        <v>0</v>
      </c>
      <c r="P141">
        <v>0</v>
      </c>
      <c r="Q141">
        <v>0</v>
      </c>
      <c r="R141">
        <v>0</v>
      </c>
      <c r="S141" s="28">
        <v>1362.5598186305003</v>
      </c>
      <c r="T141" s="29">
        <f>SUM(BaseHoras[[#This Row],[Jan/2019]:[Mar/2019]])</f>
        <v>1362.5598186305003</v>
      </c>
      <c r="U141" s="29">
        <f>SUM(BaseHoras[[#This Row],[Abr/2019]:[Jun/2019]])</f>
        <v>0</v>
      </c>
      <c r="V141" s="29">
        <f>SUM(BaseHoras[[#This Row],[Jul/2019]:[Set/2019]])</f>
        <v>0</v>
      </c>
      <c r="W141" s="29">
        <f>SUM(BaseHoras[[#This Row],[Out/2019]:[Dez/2019]])</f>
        <v>0</v>
      </c>
    </row>
    <row r="142" spans="1:23">
      <c r="A142" t="s">
        <v>151</v>
      </c>
      <c r="B142" t="s">
        <v>168</v>
      </c>
      <c r="C142" t="s">
        <v>240</v>
      </c>
      <c r="D142" t="s">
        <v>131</v>
      </c>
      <c r="E142" t="s">
        <v>188</v>
      </c>
      <c r="F142">
        <v>0</v>
      </c>
      <c r="G142">
        <v>0</v>
      </c>
      <c r="H142">
        <v>0</v>
      </c>
      <c r="I142">
        <v>0</v>
      </c>
      <c r="J142">
        <v>42.635970017677671</v>
      </c>
      <c r="K142">
        <v>0</v>
      </c>
      <c r="L142">
        <v>0</v>
      </c>
      <c r="M142" s="28">
        <v>0</v>
      </c>
      <c r="N142" s="28">
        <v>0</v>
      </c>
      <c r="O142">
        <v>0</v>
      </c>
      <c r="P142">
        <v>0</v>
      </c>
      <c r="Q142">
        <v>0</v>
      </c>
      <c r="R142">
        <v>0</v>
      </c>
      <c r="S142" s="28">
        <v>42.635970017677671</v>
      </c>
      <c r="T142" s="29">
        <f>SUM(BaseHoras[[#This Row],[Jan/2019]:[Mar/2019]])</f>
        <v>0</v>
      </c>
      <c r="U142" s="29">
        <f>SUM(BaseHoras[[#This Row],[Abr/2019]:[Jun/2019]])</f>
        <v>42.635970017677671</v>
      </c>
      <c r="V142" s="29">
        <f>SUM(BaseHoras[[#This Row],[Jul/2019]:[Set/2019]])</f>
        <v>0</v>
      </c>
      <c r="W142" s="29">
        <f>SUM(BaseHoras[[#This Row],[Out/2019]:[Dez/2019]])</f>
        <v>0</v>
      </c>
    </row>
    <row r="143" spans="1:23">
      <c r="A143" t="s">
        <v>151</v>
      </c>
      <c r="B143" t="s">
        <v>168</v>
      </c>
      <c r="C143" t="s">
        <v>241</v>
      </c>
      <c r="D143" t="s">
        <v>40</v>
      </c>
      <c r="E143" t="s">
        <v>188</v>
      </c>
      <c r="F143">
        <v>0</v>
      </c>
      <c r="G143">
        <v>0</v>
      </c>
      <c r="H143">
        <v>0</v>
      </c>
      <c r="I143">
        <v>0</v>
      </c>
      <c r="J143">
        <v>3.0669901887082904</v>
      </c>
      <c r="K143">
        <v>488.20495944769459</v>
      </c>
      <c r="L143">
        <v>0</v>
      </c>
      <c r="M143" s="28">
        <v>0</v>
      </c>
      <c r="N143" s="28">
        <v>0</v>
      </c>
      <c r="O143">
        <v>0</v>
      </c>
      <c r="P143">
        <v>0</v>
      </c>
      <c r="Q143">
        <v>0</v>
      </c>
      <c r="R143">
        <v>0</v>
      </c>
      <c r="S143" s="28">
        <v>491.27194963640289</v>
      </c>
      <c r="T143" s="29">
        <f>SUM(BaseHoras[[#This Row],[Jan/2019]:[Mar/2019]])</f>
        <v>0</v>
      </c>
      <c r="U143" s="29">
        <f>SUM(BaseHoras[[#This Row],[Abr/2019]:[Jun/2019]])</f>
        <v>491.27194963640289</v>
      </c>
      <c r="V143" s="29">
        <f>SUM(BaseHoras[[#This Row],[Jul/2019]:[Set/2019]])</f>
        <v>0</v>
      </c>
      <c r="W143" s="29">
        <f>SUM(BaseHoras[[#This Row],[Out/2019]:[Dez/2019]])</f>
        <v>0</v>
      </c>
    </row>
    <row r="144" spans="1:23">
      <c r="A144" t="s">
        <v>151</v>
      </c>
      <c r="B144" t="s">
        <v>168</v>
      </c>
      <c r="C144" t="s">
        <v>242</v>
      </c>
      <c r="D144" t="s">
        <v>55</v>
      </c>
      <c r="E144" t="s">
        <v>152</v>
      </c>
      <c r="F144">
        <v>0</v>
      </c>
      <c r="G144">
        <v>0</v>
      </c>
      <c r="H144" t="s">
        <v>395</v>
      </c>
      <c r="I144" t="s">
        <v>395</v>
      </c>
      <c r="J144">
        <v>0</v>
      </c>
      <c r="K144">
        <v>0</v>
      </c>
      <c r="L144">
        <v>0</v>
      </c>
      <c r="M144" s="28">
        <v>0</v>
      </c>
      <c r="N144" s="28">
        <v>0</v>
      </c>
      <c r="O144">
        <v>0</v>
      </c>
      <c r="P144">
        <v>0</v>
      </c>
      <c r="Q144">
        <v>0</v>
      </c>
      <c r="R144">
        <v>0</v>
      </c>
      <c r="S144" s="28">
        <v>0</v>
      </c>
      <c r="T144" s="29">
        <f>SUM(BaseHoras[[#This Row],[Jan/2019]:[Mar/2019]])</f>
        <v>0</v>
      </c>
      <c r="U144" s="29">
        <f>SUM(BaseHoras[[#This Row],[Abr/2019]:[Jun/2019]])</f>
        <v>0</v>
      </c>
      <c r="V144" s="29">
        <f>SUM(BaseHoras[[#This Row],[Jul/2019]:[Set/2019]])</f>
        <v>0</v>
      </c>
      <c r="W144" s="29">
        <f>SUM(BaseHoras[[#This Row],[Out/2019]:[Dez/2019]])</f>
        <v>0</v>
      </c>
    </row>
    <row r="145" spans="1:23">
      <c r="A145" t="s">
        <v>151</v>
      </c>
      <c r="B145" t="s">
        <v>168</v>
      </c>
      <c r="C145" t="s">
        <v>243</v>
      </c>
      <c r="D145" t="s">
        <v>45</v>
      </c>
      <c r="E145" t="s">
        <v>152</v>
      </c>
      <c r="F145">
        <v>0</v>
      </c>
      <c r="G145">
        <v>34.946740494063675</v>
      </c>
      <c r="H145">
        <v>0</v>
      </c>
      <c r="I145">
        <v>0</v>
      </c>
      <c r="J145">
        <v>0</v>
      </c>
      <c r="K145">
        <v>0</v>
      </c>
      <c r="L145">
        <v>0</v>
      </c>
      <c r="M145" s="28">
        <v>0</v>
      </c>
      <c r="N145" s="28">
        <v>0</v>
      </c>
      <c r="O145">
        <v>0</v>
      </c>
      <c r="P145">
        <v>0</v>
      </c>
      <c r="Q145">
        <v>0</v>
      </c>
      <c r="R145">
        <v>0</v>
      </c>
      <c r="S145" s="28">
        <v>34.946740494063675</v>
      </c>
      <c r="T145" s="29">
        <f>SUM(BaseHoras[[#This Row],[Jan/2019]:[Mar/2019]])</f>
        <v>34.946740494063675</v>
      </c>
      <c r="U145" s="29">
        <f>SUM(BaseHoras[[#This Row],[Abr/2019]:[Jun/2019]])</f>
        <v>0</v>
      </c>
      <c r="V145" s="29">
        <f>SUM(BaseHoras[[#This Row],[Jul/2019]:[Set/2019]])</f>
        <v>0</v>
      </c>
      <c r="W145" s="29">
        <f>SUM(BaseHoras[[#This Row],[Out/2019]:[Dez/2019]])</f>
        <v>0</v>
      </c>
    </row>
    <row r="146" spans="1:23">
      <c r="A146" t="s">
        <v>151</v>
      </c>
      <c r="B146" t="s">
        <v>168</v>
      </c>
      <c r="C146" t="s">
        <v>244</v>
      </c>
      <c r="D146" t="s">
        <v>32</v>
      </c>
      <c r="E146" t="s">
        <v>152</v>
      </c>
      <c r="F146">
        <v>0</v>
      </c>
      <c r="G146">
        <v>7.4887486643303651</v>
      </c>
      <c r="H146">
        <v>0</v>
      </c>
      <c r="I146">
        <v>0</v>
      </c>
      <c r="J146">
        <v>0</v>
      </c>
      <c r="K146">
        <v>0</v>
      </c>
      <c r="L146">
        <v>0</v>
      </c>
      <c r="M146" s="28">
        <v>0</v>
      </c>
      <c r="N146" s="28">
        <v>0</v>
      </c>
      <c r="O146">
        <v>0</v>
      </c>
      <c r="P146">
        <v>0</v>
      </c>
      <c r="Q146">
        <v>0</v>
      </c>
      <c r="R146">
        <v>0</v>
      </c>
      <c r="S146" s="28">
        <v>7.4887486643303651</v>
      </c>
      <c r="T146" s="29">
        <f>SUM(BaseHoras[[#This Row],[Jan/2019]:[Mar/2019]])</f>
        <v>7.4887486643303651</v>
      </c>
      <c r="U146" s="29">
        <f>SUM(BaseHoras[[#This Row],[Abr/2019]:[Jun/2019]])</f>
        <v>0</v>
      </c>
      <c r="V146" s="29">
        <f>SUM(BaseHoras[[#This Row],[Jul/2019]:[Set/2019]])</f>
        <v>0</v>
      </c>
      <c r="W146" s="29">
        <f>SUM(BaseHoras[[#This Row],[Out/2019]:[Dez/2019]])</f>
        <v>0</v>
      </c>
    </row>
    <row r="147" spans="1:23">
      <c r="A147" t="s">
        <v>151</v>
      </c>
      <c r="B147" t="s">
        <v>168</v>
      </c>
      <c r="C147" t="s">
        <v>245</v>
      </c>
      <c r="D147" t="s">
        <v>108</v>
      </c>
      <c r="E147" t="s">
        <v>246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s="28">
        <v>52.883166501446887</v>
      </c>
      <c r="N147" s="28">
        <v>0</v>
      </c>
      <c r="O147">
        <v>0</v>
      </c>
      <c r="P147">
        <v>0</v>
      </c>
      <c r="Q147">
        <v>0</v>
      </c>
      <c r="R147">
        <v>0</v>
      </c>
      <c r="S147" s="28">
        <v>52.883166501446887</v>
      </c>
      <c r="T147" s="29">
        <f>SUM(BaseHoras[[#This Row],[Jan/2019]:[Mar/2019]])</f>
        <v>0</v>
      </c>
      <c r="U147" s="29">
        <f>SUM(BaseHoras[[#This Row],[Abr/2019]:[Jun/2019]])</f>
        <v>0</v>
      </c>
      <c r="V147" s="29">
        <f>SUM(BaseHoras[[#This Row],[Jul/2019]:[Set/2019]])</f>
        <v>52.883166501446887</v>
      </c>
      <c r="W147" s="29">
        <f>SUM(BaseHoras[[#This Row],[Out/2019]:[Dez/2019]])</f>
        <v>0</v>
      </c>
    </row>
    <row r="148" spans="1:23">
      <c r="A148" t="s">
        <v>151</v>
      </c>
      <c r="B148" t="s">
        <v>168</v>
      </c>
      <c r="C148" t="s">
        <v>247</v>
      </c>
      <c r="D148" t="s">
        <v>91</v>
      </c>
      <c r="E148" t="s">
        <v>246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s="28">
        <v>0</v>
      </c>
      <c r="N148" s="28">
        <v>72.140717210140039</v>
      </c>
      <c r="O148">
        <v>399.00545758478063</v>
      </c>
      <c r="P148">
        <v>4088.4915881397988</v>
      </c>
      <c r="Q148">
        <v>0</v>
      </c>
      <c r="R148">
        <v>0</v>
      </c>
      <c r="S148" s="28">
        <v>4559.6377629347198</v>
      </c>
      <c r="T148" s="29">
        <f>SUM(BaseHoras[[#This Row],[Jan/2019]:[Mar/2019]])</f>
        <v>0</v>
      </c>
      <c r="U148" s="29">
        <f>SUM(BaseHoras[[#This Row],[Abr/2019]:[Jun/2019]])</f>
        <v>0</v>
      </c>
      <c r="V148" s="29">
        <f>SUM(BaseHoras[[#This Row],[Jul/2019]:[Set/2019]])</f>
        <v>72.140717210140039</v>
      </c>
      <c r="W148" s="29">
        <f>SUM(BaseHoras[[#This Row],[Out/2019]:[Dez/2019]])</f>
        <v>4487.497045724579</v>
      </c>
    </row>
    <row r="149" spans="1:23">
      <c r="A149" t="s">
        <v>151</v>
      </c>
      <c r="B149" t="s">
        <v>168</v>
      </c>
      <c r="C149" t="s">
        <v>248</v>
      </c>
      <c r="D149" t="s">
        <v>52</v>
      </c>
      <c r="E149" t="s">
        <v>192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180.88323483485505</v>
      </c>
      <c r="M149" s="28">
        <v>21.61201599871568</v>
      </c>
      <c r="N149" s="28">
        <v>37.452066418959369</v>
      </c>
      <c r="O149">
        <v>1150.5846464902227</v>
      </c>
      <c r="P149">
        <v>0</v>
      </c>
      <c r="Q149">
        <v>0</v>
      </c>
      <c r="R149">
        <v>0</v>
      </c>
      <c r="S149" s="28">
        <v>1390.5319637427529</v>
      </c>
      <c r="T149" s="29">
        <f>SUM(BaseHoras[[#This Row],[Jan/2019]:[Mar/2019]])</f>
        <v>0</v>
      </c>
      <c r="U149" s="29">
        <f>SUM(BaseHoras[[#This Row],[Abr/2019]:[Jun/2019]])</f>
        <v>0</v>
      </c>
      <c r="V149" s="29">
        <f>SUM(BaseHoras[[#This Row],[Jul/2019]:[Set/2019]])</f>
        <v>239.9473172525301</v>
      </c>
      <c r="W149" s="29">
        <f>SUM(BaseHoras[[#This Row],[Out/2019]:[Dez/2019]])</f>
        <v>1150.5846464902227</v>
      </c>
    </row>
    <row r="150" spans="1:23">
      <c r="A150" t="s">
        <v>151</v>
      </c>
      <c r="B150" t="s">
        <v>168</v>
      </c>
      <c r="C150" t="s">
        <v>249</v>
      </c>
      <c r="D150" t="s">
        <v>26</v>
      </c>
      <c r="E150" t="s">
        <v>192</v>
      </c>
      <c r="F150">
        <v>0</v>
      </c>
      <c r="G150">
        <v>0</v>
      </c>
      <c r="H150">
        <v>0</v>
      </c>
      <c r="I150">
        <v>0</v>
      </c>
      <c r="J150">
        <v>228.2947977198655</v>
      </c>
      <c r="K150">
        <v>342.62582167332016</v>
      </c>
      <c r="L150">
        <v>0</v>
      </c>
      <c r="M150" s="28">
        <v>0</v>
      </c>
      <c r="N150" s="28">
        <v>0</v>
      </c>
      <c r="O150">
        <v>0</v>
      </c>
      <c r="P150">
        <v>0</v>
      </c>
      <c r="Q150">
        <v>0</v>
      </c>
      <c r="R150">
        <v>0</v>
      </c>
      <c r="S150" s="28">
        <v>570.92061939318569</v>
      </c>
      <c r="T150" s="29">
        <f>SUM(BaseHoras[[#This Row],[Jan/2019]:[Mar/2019]])</f>
        <v>0</v>
      </c>
      <c r="U150" s="29">
        <f>SUM(BaseHoras[[#This Row],[Abr/2019]:[Jun/2019]])</f>
        <v>570.92061939318569</v>
      </c>
      <c r="V150" s="29">
        <f>SUM(BaseHoras[[#This Row],[Jul/2019]:[Set/2019]])</f>
        <v>0</v>
      </c>
      <c r="W150" s="29">
        <f>SUM(BaseHoras[[#This Row],[Out/2019]:[Dez/2019]])</f>
        <v>0</v>
      </c>
    </row>
    <row r="151" spans="1:23">
      <c r="A151" t="s">
        <v>151</v>
      </c>
      <c r="B151" t="s">
        <v>168</v>
      </c>
      <c r="C151" t="s">
        <v>250</v>
      </c>
      <c r="D151" t="s">
        <v>38</v>
      </c>
      <c r="E151" t="s">
        <v>152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301.3626162455414</v>
      </c>
      <c r="M151" s="28">
        <v>12.300397651797647</v>
      </c>
      <c r="N151" s="28">
        <v>0</v>
      </c>
      <c r="O151">
        <v>0</v>
      </c>
      <c r="P151">
        <v>0</v>
      </c>
      <c r="Q151">
        <v>0</v>
      </c>
      <c r="R151">
        <v>0</v>
      </c>
      <c r="S151" s="28">
        <v>313.66301389733906</v>
      </c>
      <c r="T151" s="29">
        <f>SUM(BaseHoras[[#This Row],[Jan/2019]:[Mar/2019]])</f>
        <v>0</v>
      </c>
      <c r="U151" s="29">
        <f>SUM(BaseHoras[[#This Row],[Abr/2019]:[Jun/2019]])</f>
        <v>0</v>
      </c>
      <c r="V151" s="29">
        <f>SUM(BaseHoras[[#This Row],[Jul/2019]:[Set/2019]])</f>
        <v>313.66301389733906</v>
      </c>
      <c r="W151" s="29">
        <f>SUM(BaseHoras[[#This Row],[Out/2019]:[Dez/2019]])</f>
        <v>0</v>
      </c>
    </row>
    <row r="152" spans="1:23">
      <c r="A152" t="s">
        <v>151</v>
      </c>
      <c r="B152" t="s">
        <v>168</v>
      </c>
      <c r="C152" t="s">
        <v>251</v>
      </c>
      <c r="D152" t="s">
        <v>55</v>
      </c>
      <c r="E152" t="s">
        <v>252</v>
      </c>
      <c r="F152">
        <v>5.3587627680941434</v>
      </c>
      <c r="G152">
        <v>37.331590328960068</v>
      </c>
      <c r="H152">
        <v>0</v>
      </c>
      <c r="I152">
        <v>0</v>
      </c>
      <c r="J152">
        <v>0</v>
      </c>
      <c r="K152">
        <v>0</v>
      </c>
      <c r="L152">
        <v>0</v>
      </c>
      <c r="M152" s="28">
        <v>0</v>
      </c>
      <c r="N152" s="28">
        <v>0</v>
      </c>
      <c r="O152">
        <v>0</v>
      </c>
      <c r="P152">
        <v>0</v>
      </c>
      <c r="Q152">
        <v>0</v>
      </c>
      <c r="R152">
        <v>0</v>
      </c>
      <c r="S152" s="28">
        <v>42.690353097054214</v>
      </c>
      <c r="T152" s="29">
        <f>SUM(BaseHoras[[#This Row],[Jan/2019]:[Mar/2019]])</f>
        <v>42.690353097054214</v>
      </c>
      <c r="U152" s="29">
        <f>SUM(BaseHoras[[#This Row],[Abr/2019]:[Jun/2019]])</f>
        <v>0</v>
      </c>
      <c r="V152" s="29">
        <f>SUM(BaseHoras[[#This Row],[Jul/2019]:[Set/2019]])</f>
        <v>0</v>
      </c>
      <c r="W152" s="29">
        <f>SUM(BaseHoras[[#This Row],[Out/2019]:[Dez/2019]])</f>
        <v>0</v>
      </c>
    </row>
    <row r="153" spans="1:23">
      <c r="A153" t="s">
        <v>151</v>
      </c>
      <c r="B153" t="s">
        <v>168</v>
      </c>
      <c r="C153" t="s">
        <v>251</v>
      </c>
      <c r="D153" t="s">
        <v>81</v>
      </c>
      <c r="E153" t="s">
        <v>252</v>
      </c>
      <c r="F153">
        <v>10.54862666765708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s="28">
        <v>0</v>
      </c>
      <c r="N153" s="28">
        <v>0</v>
      </c>
      <c r="O153">
        <v>0</v>
      </c>
      <c r="P153">
        <v>0</v>
      </c>
      <c r="Q153">
        <v>0</v>
      </c>
      <c r="R153">
        <v>0</v>
      </c>
      <c r="S153" s="28">
        <v>10.54862666765708</v>
      </c>
      <c r="T153" s="29">
        <f>SUM(BaseHoras[[#This Row],[Jan/2019]:[Mar/2019]])</f>
        <v>10.54862666765708</v>
      </c>
      <c r="U153" s="29">
        <f>SUM(BaseHoras[[#This Row],[Abr/2019]:[Jun/2019]])</f>
        <v>0</v>
      </c>
      <c r="V153" s="29">
        <f>SUM(BaseHoras[[#This Row],[Jul/2019]:[Set/2019]])</f>
        <v>0</v>
      </c>
      <c r="W153" s="29">
        <f>SUM(BaseHoras[[#This Row],[Out/2019]:[Dez/2019]])</f>
        <v>0</v>
      </c>
    </row>
    <row r="154" spans="1:23">
      <c r="A154" t="s">
        <v>151</v>
      </c>
      <c r="B154" t="s">
        <v>168</v>
      </c>
      <c r="C154" t="s">
        <v>251</v>
      </c>
      <c r="D154" t="s">
        <v>109</v>
      </c>
      <c r="E154" t="s">
        <v>252</v>
      </c>
      <c r="F154">
        <v>192.54009439478486</v>
      </c>
      <c r="G154">
        <v>266.77183389809124</v>
      </c>
      <c r="H154">
        <v>0</v>
      </c>
      <c r="I154">
        <v>0</v>
      </c>
      <c r="J154">
        <v>0</v>
      </c>
      <c r="K154">
        <v>0</v>
      </c>
      <c r="L154">
        <v>0</v>
      </c>
      <c r="M154" s="28">
        <v>0</v>
      </c>
      <c r="N154" s="28">
        <v>0</v>
      </c>
      <c r="O154">
        <v>0</v>
      </c>
      <c r="P154">
        <v>0</v>
      </c>
      <c r="Q154">
        <v>0</v>
      </c>
      <c r="R154">
        <v>0</v>
      </c>
      <c r="S154" s="28">
        <v>459.31192829287613</v>
      </c>
      <c r="T154" s="29">
        <f>SUM(BaseHoras[[#This Row],[Jan/2019]:[Mar/2019]])</f>
        <v>459.31192829287613</v>
      </c>
      <c r="U154" s="29">
        <f>SUM(BaseHoras[[#This Row],[Abr/2019]:[Jun/2019]])</f>
        <v>0</v>
      </c>
      <c r="V154" s="29">
        <f>SUM(BaseHoras[[#This Row],[Jul/2019]:[Set/2019]])</f>
        <v>0</v>
      </c>
      <c r="W154" s="29">
        <f>SUM(BaseHoras[[#This Row],[Out/2019]:[Dez/2019]])</f>
        <v>0</v>
      </c>
    </row>
    <row r="155" spans="1:23">
      <c r="A155" t="s">
        <v>151</v>
      </c>
      <c r="B155" t="s">
        <v>168</v>
      </c>
      <c r="C155" t="s">
        <v>251</v>
      </c>
      <c r="D155" t="s">
        <v>128</v>
      </c>
      <c r="E155" t="s">
        <v>252</v>
      </c>
      <c r="F155">
        <v>0</v>
      </c>
      <c r="G155">
        <v>48.244206751136609</v>
      </c>
      <c r="H155">
        <v>0</v>
      </c>
      <c r="I155">
        <v>0</v>
      </c>
      <c r="J155">
        <v>0</v>
      </c>
      <c r="K155">
        <v>0</v>
      </c>
      <c r="L155">
        <v>0</v>
      </c>
      <c r="M155" s="28">
        <v>0</v>
      </c>
      <c r="N155" s="28">
        <v>0</v>
      </c>
      <c r="O155">
        <v>0</v>
      </c>
      <c r="P155">
        <v>0</v>
      </c>
      <c r="Q155">
        <v>0</v>
      </c>
      <c r="R155">
        <v>0</v>
      </c>
      <c r="S155" s="28">
        <v>48.244206751136609</v>
      </c>
      <c r="T155" s="29">
        <f>SUM(BaseHoras[[#This Row],[Jan/2019]:[Mar/2019]])</f>
        <v>48.244206751136609</v>
      </c>
      <c r="U155" s="29">
        <f>SUM(BaseHoras[[#This Row],[Abr/2019]:[Jun/2019]])</f>
        <v>0</v>
      </c>
      <c r="V155" s="29">
        <f>SUM(BaseHoras[[#This Row],[Jul/2019]:[Set/2019]])</f>
        <v>0</v>
      </c>
      <c r="W155" s="29">
        <f>SUM(BaseHoras[[#This Row],[Out/2019]:[Dez/2019]])</f>
        <v>0</v>
      </c>
    </row>
    <row r="156" spans="1:23">
      <c r="A156" t="s">
        <v>151</v>
      </c>
      <c r="B156" t="s">
        <v>168</v>
      </c>
      <c r="C156" t="s">
        <v>251</v>
      </c>
      <c r="D156" t="s">
        <v>134</v>
      </c>
      <c r="E156" t="s">
        <v>252</v>
      </c>
      <c r="F156">
        <v>0</v>
      </c>
      <c r="G156">
        <v>0</v>
      </c>
      <c r="H156">
        <v>0</v>
      </c>
      <c r="I156">
        <v>229.44004156355291</v>
      </c>
      <c r="J156">
        <v>0</v>
      </c>
      <c r="K156">
        <v>0</v>
      </c>
      <c r="L156">
        <v>0</v>
      </c>
      <c r="M156" s="28">
        <v>0</v>
      </c>
      <c r="N156" s="28">
        <v>0</v>
      </c>
      <c r="O156">
        <v>0</v>
      </c>
      <c r="P156">
        <v>0</v>
      </c>
      <c r="Q156">
        <v>0</v>
      </c>
      <c r="R156">
        <v>0</v>
      </c>
      <c r="S156" s="28">
        <v>229.44004156355291</v>
      </c>
      <c r="T156" s="29">
        <f>SUM(BaseHoras[[#This Row],[Jan/2019]:[Mar/2019]])</f>
        <v>0</v>
      </c>
      <c r="U156" s="29">
        <f>SUM(BaseHoras[[#This Row],[Abr/2019]:[Jun/2019]])</f>
        <v>229.44004156355291</v>
      </c>
      <c r="V156" s="29">
        <f>SUM(BaseHoras[[#This Row],[Jul/2019]:[Set/2019]])</f>
        <v>0</v>
      </c>
      <c r="W156" s="29">
        <f>SUM(BaseHoras[[#This Row],[Out/2019]:[Dez/2019]])</f>
        <v>0</v>
      </c>
    </row>
    <row r="157" spans="1:23">
      <c r="A157" t="s">
        <v>151</v>
      </c>
      <c r="B157" t="s">
        <v>168</v>
      </c>
      <c r="C157" t="s">
        <v>253</v>
      </c>
      <c r="D157" t="s">
        <v>55</v>
      </c>
      <c r="E157" t="s">
        <v>192</v>
      </c>
      <c r="F157">
        <v>0</v>
      </c>
      <c r="G157">
        <v>0</v>
      </c>
      <c r="H157">
        <v>6.6391438687960305</v>
      </c>
      <c r="I157">
        <v>14.633153026674588</v>
      </c>
      <c r="J157">
        <v>214.38591412439868</v>
      </c>
      <c r="K157">
        <v>0</v>
      </c>
      <c r="L157">
        <v>0</v>
      </c>
      <c r="M157" s="28">
        <v>0</v>
      </c>
      <c r="N157" s="28">
        <v>0</v>
      </c>
      <c r="O157">
        <v>0</v>
      </c>
      <c r="P157">
        <v>0</v>
      </c>
      <c r="Q157">
        <v>0</v>
      </c>
      <c r="R157">
        <v>0</v>
      </c>
      <c r="S157" s="28">
        <v>235.6582110198693</v>
      </c>
      <c r="T157" s="29">
        <f>SUM(BaseHoras[[#This Row],[Jan/2019]:[Mar/2019]])</f>
        <v>6.6391438687960305</v>
      </c>
      <c r="U157" s="29">
        <f>SUM(BaseHoras[[#This Row],[Abr/2019]:[Jun/2019]])</f>
        <v>229.01906715107327</v>
      </c>
      <c r="V157" s="29">
        <f>SUM(BaseHoras[[#This Row],[Jul/2019]:[Set/2019]])</f>
        <v>0</v>
      </c>
      <c r="W157" s="29">
        <f>SUM(BaseHoras[[#This Row],[Out/2019]:[Dez/2019]])</f>
        <v>0</v>
      </c>
    </row>
    <row r="158" spans="1:23">
      <c r="A158" t="s">
        <v>151</v>
      </c>
      <c r="B158" t="s">
        <v>168</v>
      </c>
      <c r="C158" t="s">
        <v>253</v>
      </c>
      <c r="D158" t="s">
        <v>81</v>
      </c>
      <c r="E158" t="s">
        <v>192</v>
      </c>
      <c r="F158">
        <v>0</v>
      </c>
      <c r="G158">
        <v>0</v>
      </c>
      <c r="H158">
        <v>0</v>
      </c>
      <c r="I158">
        <v>0</v>
      </c>
      <c r="J158">
        <v>314.79265432300065</v>
      </c>
      <c r="K158">
        <v>0</v>
      </c>
      <c r="L158">
        <v>0</v>
      </c>
      <c r="M158" s="28">
        <v>0</v>
      </c>
      <c r="N158" s="28">
        <v>0</v>
      </c>
      <c r="O158">
        <v>0</v>
      </c>
      <c r="P158">
        <v>0</v>
      </c>
      <c r="Q158">
        <v>0</v>
      </c>
      <c r="R158">
        <v>0</v>
      </c>
      <c r="S158" s="28">
        <v>314.79265432300065</v>
      </c>
      <c r="T158" s="29">
        <f>SUM(BaseHoras[[#This Row],[Jan/2019]:[Mar/2019]])</f>
        <v>0</v>
      </c>
      <c r="U158" s="29">
        <f>SUM(BaseHoras[[#This Row],[Abr/2019]:[Jun/2019]])</f>
        <v>314.79265432300065</v>
      </c>
      <c r="V158" s="29">
        <f>SUM(BaseHoras[[#This Row],[Jul/2019]:[Set/2019]])</f>
        <v>0</v>
      </c>
      <c r="W158" s="29">
        <f>SUM(BaseHoras[[#This Row],[Out/2019]:[Dez/2019]])</f>
        <v>0</v>
      </c>
    </row>
    <row r="159" spans="1:23">
      <c r="A159" t="s">
        <v>151</v>
      </c>
      <c r="B159" t="s">
        <v>168</v>
      </c>
      <c r="C159" t="s">
        <v>254</v>
      </c>
      <c r="D159" t="s">
        <v>81</v>
      </c>
      <c r="E159" t="s">
        <v>255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s="28">
        <v>0</v>
      </c>
      <c r="N159" s="28">
        <v>0</v>
      </c>
      <c r="O159">
        <v>0</v>
      </c>
      <c r="P159">
        <v>0</v>
      </c>
      <c r="Q159">
        <v>2.3384511045132408</v>
      </c>
      <c r="R159">
        <v>0</v>
      </c>
      <c r="S159" s="28">
        <v>2.3384511045132408</v>
      </c>
      <c r="T159" s="29">
        <f>SUM(BaseHoras[[#This Row],[Jan/2019]:[Mar/2019]])</f>
        <v>0</v>
      </c>
      <c r="U159" s="29">
        <f>SUM(BaseHoras[[#This Row],[Abr/2019]:[Jun/2019]])</f>
        <v>0</v>
      </c>
      <c r="V159" s="29">
        <f>SUM(BaseHoras[[#This Row],[Jul/2019]:[Set/2019]])</f>
        <v>0</v>
      </c>
      <c r="W159" s="29">
        <f>SUM(BaseHoras[[#This Row],[Out/2019]:[Dez/2019]])</f>
        <v>2.3384511045132408</v>
      </c>
    </row>
    <row r="160" spans="1:23">
      <c r="A160" t="s">
        <v>151</v>
      </c>
      <c r="B160" t="s">
        <v>168</v>
      </c>
      <c r="C160" t="s">
        <v>256</v>
      </c>
      <c r="D160" t="s">
        <v>55</v>
      </c>
      <c r="E160" t="s">
        <v>152</v>
      </c>
      <c r="F160">
        <v>0</v>
      </c>
      <c r="G160">
        <v>0</v>
      </c>
      <c r="H160">
        <v>0</v>
      </c>
      <c r="I160">
        <v>15.031152822788794</v>
      </c>
      <c r="J160">
        <v>5.1404762332279681</v>
      </c>
      <c r="K160">
        <v>18.844077111711378</v>
      </c>
      <c r="L160" t="s">
        <v>395</v>
      </c>
      <c r="M160" s="28">
        <v>3.697113855071454</v>
      </c>
      <c r="N160" s="28">
        <v>0</v>
      </c>
      <c r="O160">
        <v>0</v>
      </c>
      <c r="P160">
        <v>0</v>
      </c>
      <c r="Q160">
        <v>0</v>
      </c>
      <c r="R160">
        <v>0</v>
      </c>
      <c r="S160" s="28">
        <v>42.712820022799598</v>
      </c>
      <c r="T160" s="29">
        <f>SUM(BaseHoras[[#This Row],[Jan/2019]:[Mar/2019]])</f>
        <v>0</v>
      </c>
      <c r="U160" s="29">
        <f>SUM(BaseHoras[[#This Row],[Abr/2019]:[Jun/2019]])</f>
        <v>39.01570616772814</v>
      </c>
      <c r="V160" s="29">
        <f>SUM(BaseHoras[[#This Row],[Jul/2019]:[Set/2019]])</f>
        <v>3.697113855071454</v>
      </c>
      <c r="W160" s="29">
        <f>SUM(BaseHoras[[#This Row],[Out/2019]:[Dez/2019]])</f>
        <v>0</v>
      </c>
    </row>
    <row r="161" spans="1:23">
      <c r="A161" t="s">
        <v>151</v>
      </c>
      <c r="B161" t="s">
        <v>168</v>
      </c>
      <c r="C161" t="s">
        <v>256</v>
      </c>
      <c r="D161" t="s">
        <v>81</v>
      </c>
      <c r="E161" t="s">
        <v>152</v>
      </c>
      <c r="F161">
        <v>0</v>
      </c>
      <c r="G161">
        <v>0</v>
      </c>
      <c r="H161">
        <v>0</v>
      </c>
      <c r="I161">
        <v>9.5639261796767983</v>
      </c>
      <c r="J161">
        <v>0</v>
      </c>
      <c r="K161">
        <v>0</v>
      </c>
      <c r="L161">
        <v>35.432755959096184</v>
      </c>
      <c r="M161" s="28">
        <v>29.947591734556998</v>
      </c>
      <c r="N161" s="28">
        <v>0</v>
      </c>
      <c r="O161">
        <v>0</v>
      </c>
      <c r="P161">
        <v>0</v>
      </c>
      <c r="Q161">
        <v>0</v>
      </c>
      <c r="R161">
        <v>0</v>
      </c>
      <c r="S161" s="28">
        <v>74.944273873329976</v>
      </c>
      <c r="T161" s="29">
        <f>SUM(BaseHoras[[#This Row],[Jan/2019]:[Mar/2019]])</f>
        <v>0</v>
      </c>
      <c r="U161" s="29">
        <f>SUM(BaseHoras[[#This Row],[Abr/2019]:[Jun/2019]])</f>
        <v>9.5639261796767983</v>
      </c>
      <c r="V161" s="29">
        <f>SUM(BaseHoras[[#This Row],[Jul/2019]:[Set/2019]])</f>
        <v>65.380347693653178</v>
      </c>
      <c r="W161" s="29">
        <f>SUM(BaseHoras[[#This Row],[Out/2019]:[Dez/2019]])</f>
        <v>0</v>
      </c>
    </row>
    <row r="162" spans="1:23">
      <c r="A162" t="s">
        <v>151</v>
      </c>
      <c r="B162" t="s">
        <v>168</v>
      </c>
      <c r="C162" t="s">
        <v>257</v>
      </c>
      <c r="D162" t="s">
        <v>81</v>
      </c>
      <c r="E162" t="s">
        <v>192</v>
      </c>
      <c r="F162">
        <v>0</v>
      </c>
      <c r="G162">
        <v>0</v>
      </c>
      <c r="H162">
        <v>0</v>
      </c>
      <c r="I162">
        <v>0</v>
      </c>
      <c r="J162">
        <v>32.074797555114493</v>
      </c>
      <c r="K162">
        <v>0</v>
      </c>
      <c r="L162">
        <v>0</v>
      </c>
      <c r="M162" s="28">
        <v>0</v>
      </c>
      <c r="N162" s="28">
        <v>0</v>
      </c>
      <c r="O162">
        <v>0</v>
      </c>
      <c r="P162">
        <v>0</v>
      </c>
      <c r="Q162">
        <v>0</v>
      </c>
      <c r="R162">
        <v>0</v>
      </c>
      <c r="S162" s="28">
        <v>32.074797555114493</v>
      </c>
      <c r="T162" s="29">
        <f>SUM(BaseHoras[[#This Row],[Jan/2019]:[Mar/2019]])</f>
        <v>0</v>
      </c>
      <c r="U162" s="29">
        <f>SUM(BaseHoras[[#This Row],[Abr/2019]:[Jun/2019]])</f>
        <v>32.074797555114493</v>
      </c>
      <c r="V162" s="29">
        <f>SUM(BaseHoras[[#This Row],[Jul/2019]:[Set/2019]])</f>
        <v>0</v>
      </c>
      <c r="W162" s="29">
        <f>SUM(BaseHoras[[#This Row],[Out/2019]:[Dez/2019]])</f>
        <v>0</v>
      </c>
    </row>
    <row r="163" spans="1:23">
      <c r="A163" t="s">
        <v>151</v>
      </c>
      <c r="B163" t="s">
        <v>168</v>
      </c>
      <c r="C163" t="s">
        <v>258</v>
      </c>
      <c r="D163" t="s">
        <v>131</v>
      </c>
      <c r="E163" t="s">
        <v>152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s="28">
        <v>0</v>
      </c>
      <c r="N163" s="28">
        <v>0</v>
      </c>
      <c r="O163">
        <v>0</v>
      </c>
      <c r="P163">
        <v>0</v>
      </c>
      <c r="Q163">
        <v>4.233811002480337</v>
      </c>
      <c r="R163">
        <v>0</v>
      </c>
      <c r="S163" s="28">
        <v>4.233811002480337</v>
      </c>
      <c r="T163" s="29">
        <f>SUM(BaseHoras[[#This Row],[Jan/2019]:[Mar/2019]])</f>
        <v>0</v>
      </c>
      <c r="U163" s="29">
        <f>SUM(BaseHoras[[#This Row],[Abr/2019]:[Jun/2019]])</f>
        <v>0</v>
      </c>
      <c r="V163" s="29">
        <f>SUM(BaseHoras[[#This Row],[Jul/2019]:[Set/2019]])</f>
        <v>0</v>
      </c>
      <c r="W163" s="29">
        <f>SUM(BaseHoras[[#This Row],[Out/2019]:[Dez/2019]])</f>
        <v>4.233811002480337</v>
      </c>
    </row>
    <row r="164" spans="1:23">
      <c r="A164" t="s">
        <v>151</v>
      </c>
      <c r="B164" t="s">
        <v>168</v>
      </c>
      <c r="C164" t="s">
        <v>259</v>
      </c>
      <c r="D164" t="s">
        <v>25</v>
      </c>
      <c r="E164" t="s">
        <v>260</v>
      </c>
      <c r="F164">
        <v>0</v>
      </c>
      <c r="G164">
        <v>0</v>
      </c>
      <c r="H164">
        <v>0</v>
      </c>
      <c r="I164">
        <v>0</v>
      </c>
      <c r="J164">
        <v>36.46827394484324</v>
      </c>
      <c r="K164">
        <v>0</v>
      </c>
      <c r="L164">
        <v>0</v>
      </c>
      <c r="M164" s="28">
        <v>0</v>
      </c>
      <c r="N164" s="28">
        <v>0</v>
      </c>
      <c r="O164">
        <v>0</v>
      </c>
      <c r="P164">
        <v>0</v>
      </c>
      <c r="Q164">
        <v>0</v>
      </c>
      <c r="R164">
        <v>0</v>
      </c>
      <c r="S164" s="28">
        <v>36.46827394484324</v>
      </c>
      <c r="T164" s="29">
        <f>SUM(BaseHoras[[#This Row],[Jan/2019]:[Mar/2019]])</f>
        <v>0</v>
      </c>
      <c r="U164" s="29">
        <f>SUM(BaseHoras[[#This Row],[Abr/2019]:[Jun/2019]])</f>
        <v>36.46827394484324</v>
      </c>
      <c r="V164" s="29">
        <f>SUM(BaseHoras[[#This Row],[Jul/2019]:[Set/2019]])</f>
        <v>0</v>
      </c>
      <c r="W164" s="29">
        <f>SUM(BaseHoras[[#This Row],[Out/2019]:[Dez/2019]])</f>
        <v>0</v>
      </c>
    </row>
    <row r="165" spans="1:23">
      <c r="A165" t="s">
        <v>151</v>
      </c>
      <c r="B165" t="s">
        <v>168</v>
      </c>
      <c r="C165" t="s">
        <v>259</v>
      </c>
      <c r="D165" t="s">
        <v>40</v>
      </c>
      <c r="E165" t="s">
        <v>260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s="28">
        <v>302.98061995731734</v>
      </c>
      <c r="N165" s="28">
        <v>0</v>
      </c>
      <c r="O165">
        <v>0</v>
      </c>
      <c r="P165">
        <v>0</v>
      </c>
      <c r="Q165">
        <v>0</v>
      </c>
      <c r="R165">
        <v>0</v>
      </c>
      <c r="S165" s="28">
        <v>302.98061995731734</v>
      </c>
      <c r="T165" s="29">
        <f>SUM(BaseHoras[[#This Row],[Jan/2019]:[Mar/2019]])</f>
        <v>0</v>
      </c>
      <c r="U165" s="29">
        <f>SUM(BaseHoras[[#This Row],[Abr/2019]:[Jun/2019]])</f>
        <v>0</v>
      </c>
      <c r="V165" s="29">
        <f>SUM(BaseHoras[[#This Row],[Jul/2019]:[Set/2019]])</f>
        <v>302.98061995731734</v>
      </c>
      <c r="W165" s="29">
        <f>SUM(BaseHoras[[#This Row],[Out/2019]:[Dez/2019]])</f>
        <v>0</v>
      </c>
    </row>
    <row r="166" spans="1:23">
      <c r="A166" t="s">
        <v>151</v>
      </c>
      <c r="B166" t="s">
        <v>168</v>
      </c>
      <c r="C166" t="s">
        <v>259</v>
      </c>
      <c r="D166" t="s">
        <v>55</v>
      </c>
      <c r="E166" t="s">
        <v>260</v>
      </c>
      <c r="F166">
        <v>0</v>
      </c>
      <c r="G166">
        <v>0</v>
      </c>
      <c r="H166">
        <v>0</v>
      </c>
      <c r="I166" t="s">
        <v>395</v>
      </c>
      <c r="J166">
        <v>4.8216658968281534</v>
      </c>
      <c r="K166">
        <v>0</v>
      </c>
      <c r="L166">
        <v>0</v>
      </c>
      <c r="M166" s="28">
        <v>0</v>
      </c>
      <c r="N166" s="28">
        <v>0</v>
      </c>
      <c r="O166">
        <v>0</v>
      </c>
      <c r="P166">
        <v>0</v>
      </c>
      <c r="Q166">
        <v>0</v>
      </c>
      <c r="R166">
        <v>0</v>
      </c>
      <c r="S166" s="28">
        <v>4.8216658968281534</v>
      </c>
      <c r="T166" s="29">
        <f>SUM(BaseHoras[[#This Row],[Jan/2019]:[Mar/2019]])</f>
        <v>0</v>
      </c>
      <c r="U166" s="29">
        <f>SUM(BaseHoras[[#This Row],[Abr/2019]:[Jun/2019]])</f>
        <v>4.8216658968281534</v>
      </c>
      <c r="V166" s="29">
        <f>SUM(BaseHoras[[#This Row],[Jul/2019]:[Set/2019]])</f>
        <v>0</v>
      </c>
      <c r="W166" s="29">
        <f>SUM(BaseHoras[[#This Row],[Out/2019]:[Dez/2019]])</f>
        <v>0</v>
      </c>
    </row>
    <row r="167" spans="1:23">
      <c r="A167" t="s">
        <v>151</v>
      </c>
      <c r="B167" t="s">
        <v>168</v>
      </c>
      <c r="C167" t="s">
        <v>259</v>
      </c>
      <c r="D167" t="s">
        <v>81</v>
      </c>
      <c r="E167" t="s">
        <v>260</v>
      </c>
      <c r="F167">
        <v>0</v>
      </c>
      <c r="G167">
        <v>0</v>
      </c>
      <c r="H167">
        <v>0</v>
      </c>
      <c r="I167">
        <v>0</v>
      </c>
      <c r="J167" t="s">
        <v>395</v>
      </c>
      <c r="K167">
        <v>0</v>
      </c>
      <c r="L167">
        <v>0</v>
      </c>
      <c r="M167" s="28">
        <v>0</v>
      </c>
      <c r="N167" s="28">
        <v>0</v>
      </c>
      <c r="O167">
        <v>0</v>
      </c>
      <c r="P167">
        <v>0</v>
      </c>
      <c r="Q167">
        <v>0</v>
      </c>
      <c r="R167">
        <v>0</v>
      </c>
      <c r="S167" s="28">
        <v>0</v>
      </c>
      <c r="T167" s="29">
        <f>SUM(BaseHoras[[#This Row],[Jan/2019]:[Mar/2019]])</f>
        <v>0</v>
      </c>
      <c r="U167" s="29">
        <f>SUM(BaseHoras[[#This Row],[Abr/2019]:[Jun/2019]])</f>
        <v>0</v>
      </c>
      <c r="V167" s="29">
        <f>SUM(BaseHoras[[#This Row],[Jul/2019]:[Set/2019]])</f>
        <v>0</v>
      </c>
      <c r="W167" s="29">
        <f>SUM(BaseHoras[[#This Row],[Out/2019]:[Dez/2019]])</f>
        <v>0</v>
      </c>
    </row>
    <row r="168" spans="1:23">
      <c r="A168" t="s">
        <v>151</v>
      </c>
      <c r="B168" t="s">
        <v>168</v>
      </c>
      <c r="C168" t="s">
        <v>259</v>
      </c>
      <c r="D168" t="s">
        <v>87</v>
      </c>
      <c r="E168" t="s">
        <v>260</v>
      </c>
      <c r="F168">
        <v>0</v>
      </c>
      <c r="G168">
        <v>0</v>
      </c>
      <c r="H168">
        <v>0</v>
      </c>
      <c r="I168">
        <v>0</v>
      </c>
      <c r="J168">
        <v>96.433799709779862</v>
      </c>
      <c r="K168">
        <v>0</v>
      </c>
      <c r="L168">
        <v>0</v>
      </c>
      <c r="M168" s="28">
        <v>0</v>
      </c>
      <c r="N168" s="28">
        <v>0</v>
      </c>
      <c r="O168">
        <v>0</v>
      </c>
      <c r="P168">
        <v>0</v>
      </c>
      <c r="Q168">
        <v>0</v>
      </c>
      <c r="R168">
        <v>0</v>
      </c>
      <c r="S168" s="28">
        <v>96.433799709779862</v>
      </c>
      <c r="T168" s="29">
        <f>SUM(BaseHoras[[#This Row],[Jan/2019]:[Mar/2019]])</f>
        <v>0</v>
      </c>
      <c r="U168" s="29">
        <f>SUM(BaseHoras[[#This Row],[Abr/2019]:[Jun/2019]])</f>
        <v>96.433799709779862</v>
      </c>
      <c r="V168" s="29">
        <f>SUM(BaseHoras[[#This Row],[Jul/2019]:[Set/2019]])</f>
        <v>0</v>
      </c>
      <c r="W168" s="29">
        <f>SUM(BaseHoras[[#This Row],[Out/2019]:[Dez/2019]])</f>
        <v>0</v>
      </c>
    </row>
    <row r="169" spans="1:23">
      <c r="A169" t="s">
        <v>151</v>
      </c>
      <c r="B169" t="s">
        <v>168</v>
      </c>
      <c r="C169" t="s">
        <v>259</v>
      </c>
      <c r="D169" t="s">
        <v>98</v>
      </c>
      <c r="E169" t="s">
        <v>260</v>
      </c>
      <c r="F169">
        <v>0</v>
      </c>
      <c r="G169">
        <v>0</v>
      </c>
      <c r="H169">
        <v>0</v>
      </c>
      <c r="I169">
        <v>0</v>
      </c>
      <c r="J169">
        <v>413.46993307239563</v>
      </c>
      <c r="K169">
        <v>0</v>
      </c>
      <c r="L169">
        <v>0</v>
      </c>
      <c r="M169" s="28">
        <v>0</v>
      </c>
      <c r="N169" s="28">
        <v>0</v>
      </c>
      <c r="O169">
        <v>0</v>
      </c>
      <c r="P169">
        <v>0</v>
      </c>
      <c r="Q169">
        <v>0</v>
      </c>
      <c r="R169">
        <v>0</v>
      </c>
      <c r="S169" s="28">
        <v>413.46993307239563</v>
      </c>
      <c r="T169" s="29">
        <f>SUM(BaseHoras[[#This Row],[Jan/2019]:[Mar/2019]])</f>
        <v>0</v>
      </c>
      <c r="U169" s="29">
        <f>SUM(BaseHoras[[#This Row],[Abr/2019]:[Jun/2019]])</f>
        <v>413.46993307239563</v>
      </c>
      <c r="V169" s="29">
        <f>SUM(BaseHoras[[#This Row],[Jul/2019]:[Set/2019]])</f>
        <v>0</v>
      </c>
      <c r="W169" s="29">
        <f>SUM(BaseHoras[[#This Row],[Out/2019]:[Dez/2019]])</f>
        <v>0</v>
      </c>
    </row>
    <row r="170" spans="1:23">
      <c r="A170" t="s">
        <v>151</v>
      </c>
      <c r="B170" t="s">
        <v>168</v>
      </c>
      <c r="C170" t="s">
        <v>259</v>
      </c>
      <c r="D170" t="s">
        <v>128</v>
      </c>
      <c r="E170" t="s">
        <v>260</v>
      </c>
      <c r="F170">
        <v>0</v>
      </c>
      <c r="G170">
        <v>0</v>
      </c>
      <c r="H170">
        <v>0</v>
      </c>
      <c r="I170">
        <v>20.272664794747648</v>
      </c>
      <c r="J170">
        <v>189.41480960940379</v>
      </c>
      <c r="K170">
        <v>29.001809904263613</v>
      </c>
      <c r="L170">
        <v>0</v>
      </c>
      <c r="M170" s="28">
        <v>0</v>
      </c>
      <c r="N170" s="28">
        <v>0</v>
      </c>
      <c r="O170">
        <v>0</v>
      </c>
      <c r="P170">
        <v>0</v>
      </c>
      <c r="Q170">
        <v>0</v>
      </c>
      <c r="R170">
        <v>0</v>
      </c>
      <c r="S170" s="28">
        <v>238.68928430841504</v>
      </c>
      <c r="T170" s="29">
        <f>SUM(BaseHoras[[#This Row],[Jan/2019]:[Mar/2019]])</f>
        <v>0</v>
      </c>
      <c r="U170" s="29">
        <f>SUM(BaseHoras[[#This Row],[Abr/2019]:[Jun/2019]])</f>
        <v>238.68928430841504</v>
      </c>
      <c r="V170" s="29">
        <f>SUM(BaseHoras[[#This Row],[Jul/2019]:[Set/2019]])</f>
        <v>0</v>
      </c>
      <c r="W170" s="29">
        <f>SUM(BaseHoras[[#This Row],[Out/2019]:[Dez/2019]])</f>
        <v>0</v>
      </c>
    </row>
    <row r="171" spans="1:23">
      <c r="A171" t="s">
        <v>151</v>
      </c>
      <c r="B171" t="s">
        <v>168</v>
      </c>
      <c r="C171" t="s">
        <v>259</v>
      </c>
      <c r="D171" t="s">
        <v>149</v>
      </c>
      <c r="E171" t="s">
        <v>260</v>
      </c>
      <c r="F171">
        <v>0</v>
      </c>
      <c r="G171">
        <v>0</v>
      </c>
      <c r="H171">
        <v>0</v>
      </c>
      <c r="I171">
        <v>0</v>
      </c>
      <c r="J171">
        <v>361.96178263877806</v>
      </c>
      <c r="K171">
        <v>0</v>
      </c>
      <c r="L171">
        <v>0</v>
      </c>
      <c r="M171" s="28">
        <v>0</v>
      </c>
      <c r="N171" s="28">
        <v>0</v>
      </c>
      <c r="O171">
        <v>0</v>
      </c>
      <c r="P171">
        <v>0</v>
      </c>
      <c r="Q171">
        <v>0</v>
      </c>
      <c r="R171">
        <v>0</v>
      </c>
      <c r="S171" s="28">
        <v>361.96178263877806</v>
      </c>
      <c r="T171" s="29">
        <f>SUM(BaseHoras[[#This Row],[Jan/2019]:[Mar/2019]])</f>
        <v>0</v>
      </c>
      <c r="U171" s="29">
        <f>SUM(BaseHoras[[#This Row],[Abr/2019]:[Jun/2019]])</f>
        <v>361.96178263877806</v>
      </c>
      <c r="V171" s="29">
        <f>SUM(BaseHoras[[#This Row],[Jul/2019]:[Set/2019]])</f>
        <v>0</v>
      </c>
      <c r="W171" s="29">
        <f>SUM(BaseHoras[[#This Row],[Out/2019]:[Dez/2019]])</f>
        <v>0</v>
      </c>
    </row>
    <row r="172" spans="1:23">
      <c r="A172" t="s">
        <v>151</v>
      </c>
      <c r="B172" t="s">
        <v>168</v>
      </c>
      <c r="C172" t="s">
        <v>261</v>
      </c>
      <c r="D172" t="s">
        <v>81</v>
      </c>
      <c r="E172" t="s">
        <v>194</v>
      </c>
      <c r="F172">
        <v>0</v>
      </c>
      <c r="G172">
        <v>0</v>
      </c>
      <c r="H172">
        <v>0</v>
      </c>
      <c r="I172">
        <v>826.54040893240892</v>
      </c>
      <c r="J172">
        <v>0</v>
      </c>
      <c r="K172">
        <v>0</v>
      </c>
      <c r="L172">
        <v>0</v>
      </c>
      <c r="M172" s="28">
        <v>0</v>
      </c>
      <c r="N172" s="28">
        <v>0</v>
      </c>
      <c r="O172">
        <v>0</v>
      </c>
      <c r="P172">
        <v>0</v>
      </c>
      <c r="Q172">
        <v>0</v>
      </c>
      <c r="R172">
        <v>0</v>
      </c>
      <c r="S172" s="28">
        <v>826.54040893240892</v>
      </c>
      <c r="T172" s="29">
        <f>SUM(BaseHoras[[#This Row],[Jan/2019]:[Mar/2019]])</f>
        <v>0</v>
      </c>
      <c r="U172" s="29">
        <f>SUM(BaseHoras[[#This Row],[Abr/2019]:[Jun/2019]])</f>
        <v>826.54040893240892</v>
      </c>
      <c r="V172" s="29">
        <f>SUM(BaseHoras[[#This Row],[Jul/2019]:[Set/2019]])</f>
        <v>0</v>
      </c>
      <c r="W172" s="29">
        <f>SUM(BaseHoras[[#This Row],[Out/2019]:[Dez/2019]])</f>
        <v>0</v>
      </c>
    </row>
    <row r="173" spans="1:23">
      <c r="A173" t="s">
        <v>151</v>
      </c>
      <c r="B173" t="s">
        <v>168</v>
      </c>
      <c r="C173" t="s">
        <v>262</v>
      </c>
      <c r="D173" t="s">
        <v>55</v>
      </c>
      <c r="E173" t="s">
        <v>152</v>
      </c>
      <c r="F173">
        <v>0</v>
      </c>
      <c r="G173">
        <v>0</v>
      </c>
      <c r="H173">
        <v>0</v>
      </c>
      <c r="I173">
        <v>2.4920314846702762</v>
      </c>
      <c r="J173" t="s">
        <v>396</v>
      </c>
      <c r="K173">
        <v>0</v>
      </c>
      <c r="L173">
        <v>0</v>
      </c>
      <c r="M173" s="28">
        <v>0</v>
      </c>
      <c r="N173" s="28">
        <v>0</v>
      </c>
      <c r="O173">
        <v>0</v>
      </c>
      <c r="P173">
        <v>0</v>
      </c>
      <c r="Q173">
        <v>0</v>
      </c>
      <c r="R173">
        <v>0</v>
      </c>
      <c r="S173" s="28">
        <v>2.4920314846702762</v>
      </c>
      <c r="T173" s="29">
        <f>SUM(BaseHoras[[#This Row],[Jan/2019]:[Mar/2019]])</f>
        <v>0</v>
      </c>
      <c r="U173" s="29">
        <f>SUM(BaseHoras[[#This Row],[Abr/2019]:[Jun/2019]])</f>
        <v>2.4920314846702762</v>
      </c>
      <c r="V173" s="29">
        <f>SUM(BaseHoras[[#This Row],[Jul/2019]:[Set/2019]])</f>
        <v>0</v>
      </c>
      <c r="W173" s="29">
        <f>SUM(BaseHoras[[#This Row],[Out/2019]:[Dez/2019]])</f>
        <v>0</v>
      </c>
    </row>
    <row r="174" spans="1:23">
      <c r="A174" t="s">
        <v>151</v>
      </c>
      <c r="B174" t="s">
        <v>168</v>
      </c>
      <c r="C174" t="s">
        <v>262</v>
      </c>
      <c r="D174" t="s">
        <v>81</v>
      </c>
      <c r="E174" t="s">
        <v>152</v>
      </c>
      <c r="F174">
        <v>0</v>
      </c>
      <c r="G174">
        <v>0</v>
      </c>
      <c r="H174">
        <v>0</v>
      </c>
      <c r="I174">
        <v>0</v>
      </c>
      <c r="J174">
        <v>4.4961064513216247</v>
      </c>
      <c r="K174">
        <v>0</v>
      </c>
      <c r="L174">
        <v>0</v>
      </c>
      <c r="M174" s="28">
        <v>0</v>
      </c>
      <c r="N174" s="28">
        <v>0</v>
      </c>
      <c r="O174">
        <v>0</v>
      </c>
      <c r="P174">
        <v>0</v>
      </c>
      <c r="Q174">
        <v>0</v>
      </c>
      <c r="R174">
        <v>0</v>
      </c>
      <c r="S174" s="28">
        <v>4.4961064513216247</v>
      </c>
      <c r="T174" s="29">
        <f>SUM(BaseHoras[[#This Row],[Jan/2019]:[Mar/2019]])</f>
        <v>0</v>
      </c>
      <c r="U174" s="29">
        <f>SUM(BaseHoras[[#This Row],[Abr/2019]:[Jun/2019]])</f>
        <v>4.4961064513216247</v>
      </c>
      <c r="V174" s="29">
        <f>SUM(BaseHoras[[#This Row],[Jul/2019]:[Set/2019]])</f>
        <v>0</v>
      </c>
      <c r="W174" s="29">
        <f>SUM(BaseHoras[[#This Row],[Out/2019]:[Dez/2019]])</f>
        <v>0</v>
      </c>
    </row>
    <row r="175" spans="1:23">
      <c r="A175" t="s">
        <v>151</v>
      </c>
      <c r="B175" t="s">
        <v>168</v>
      </c>
      <c r="C175" t="s">
        <v>263</v>
      </c>
      <c r="D175" t="s">
        <v>55</v>
      </c>
      <c r="E175" t="s">
        <v>152</v>
      </c>
      <c r="F175">
        <v>0</v>
      </c>
      <c r="G175">
        <v>0</v>
      </c>
      <c r="H175">
        <v>0</v>
      </c>
      <c r="I175">
        <v>0</v>
      </c>
      <c r="J175">
        <v>50.899420382937443</v>
      </c>
      <c r="K175">
        <v>0</v>
      </c>
      <c r="L175">
        <v>0</v>
      </c>
      <c r="M175" s="28">
        <v>0</v>
      </c>
      <c r="N175" s="28">
        <v>0</v>
      </c>
      <c r="O175">
        <v>0</v>
      </c>
      <c r="P175">
        <v>0</v>
      </c>
      <c r="Q175">
        <v>0</v>
      </c>
      <c r="R175">
        <v>0</v>
      </c>
      <c r="S175" s="28">
        <v>50.899420382937443</v>
      </c>
      <c r="T175" s="29">
        <f>SUM(BaseHoras[[#This Row],[Jan/2019]:[Mar/2019]])</f>
        <v>0</v>
      </c>
      <c r="U175" s="29">
        <f>SUM(BaseHoras[[#This Row],[Abr/2019]:[Jun/2019]])</f>
        <v>50.899420382937443</v>
      </c>
      <c r="V175" s="29">
        <f>SUM(BaseHoras[[#This Row],[Jul/2019]:[Set/2019]])</f>
        <v>0</v>
      </c>
      <c r="W175" s="29">
        <f>SUM(BaseHoras[[#This Row],[Out/2019]:[Dez/2019]])</f>
        <v>0</v>
      </c>
    </row>
    <row r="176" spans="1:23">
      <c r="A176" t="s">
        <v>151</v>
      </c>
      <c r="B176" t="s">
        <v>168</v>
      </c>
      <c r="C176" t="s">
        <v>263</v>
      </c>
      <c r="D176" t="s">
        <v>81</v>
      </c>
      <c r="E176" t="s">
        <v>152</v>
      </c>
      <c r="F176">
        <v>0</v>
      </c>
      <c r="G176">
        <v>0</v>
      </c>
      <c r="H176">
        <v>0</v>
      </c>
      <c r="I176">
        <v>1.0644329731629509</v>
      </c>
      <c r="J176">
        <v>23.660430523267095</v>
      </c>
      <c r="K176">
        <v>0</v>
      </c>
      <c r="L176">
        <v>0</v>
      </c>
      <c r="M176" s="28">
        <v>0</v>
      </c>
      <c r="N176" s="28">
        <v>0</v>
      </c>
      <c r="O176">
        <v>0</v>
      </c>
      <c r="P176">
        <v>0</v>
      </c>
      <c r="Q176">
        <v>0</v>
      </c>
      <c r="R176">
        <v>0</v>
      </c>
      <c r="S176" s="28">
        <v>24.724863496430046</v>
      </c>
      <c r="T176" s="29">
        <f>SUM(BaseHoras[[#This Row],[Jan/2019]:[Mar/2019]])</f>
        <v>0</v>
      </c>
      <c r="U176" s="29">
        <f>SUM(BaseHoras[[#This Row],[Abr/2019]:[Jun/2019]])</f>
        <v>24.724863496430046</v>
      </c>
      <c r="V176" s="29">
        <f>SUM(BaseHoras[[#This Row],[Jul/2019]:[Set/2019]])</f>
        <v>0</v>
      </c>
      <c r="W176" s="29">
        <f>SUM(BaseHoras[[#This Row],[Out/2019]:[Dez/2019]])</f>
        <v>0</v>
      </c>
    </row>
    <row r="177" spans="1:23">
      <c r="A177" t="s">
        <v>151</v>
      </c>
      <c r="B177" t="s">
        <v>168</v>
      </c>
      <c r="C177" t="s">
        <v>264</v>
      </c>
      <c r="D177" t="s">
        <v>55</v>
      </c>
      <c r="E177" t="s">
        <v>203</v>
      </c>
      <c r="F177">
        <v>0</v>
      </c>
      <c r="G177">
        <v>0</v>
      </c>
      <c r="H177">
        <v>0</v>
      </c>
      <c r="I177">
        <v>8.2633056267179494</v>
      </c>
      <c r="J177">
        <v>5.3548134945012276</v>
      </c>
      <c r="K177">
        <v>0</v>
      </c>
      <c r="L177">
        <v>0</v>
      </c>
      <c r="M177" s="28">
        <v>0</v>
      </c>
      <c r="N177" s="28">
        <v>0</v>
      </c>
      <c r="O177">
        <v>0</v>
      </c>
      <c r="P177">
        <v>0</v>
      </c>
      <c r="Q177">
        <v>0</v>
      </c>
      <c r="R177">
        <v>0</v>
      </c>
      <c r="S177" s="28">
        <v>13.618119121219177</v>
      </c>
      <c r="T177" s="29">
        <f>SUM(BaseHoras[[#This Row],[Jan/2019]:[Mar/2019]])</f>
        <v>0</v>
      </c>
      <c r="U177" s="29">
        <f>SUM(BaseHoras[[#This Row],[Abr/2019]:[Jun/2019]])</f>
        <v>13.618119121219177</v>
      </c>
      <c r="V177" s="29">
        <f>SUM(BaseHoras[[#This Row],[Jul/2019]:[Set/2019]])</f>
        <v>0</v>
      </c>
      <c r="W177" s="29">
        <f>SUM(BaseHoras[[#This Row],[Out/2019]:[Dez/2019]])</f>
        <v>0</v>
      </c>
    </row>
    <row r="178" spans="1:23">
      <c r="A178" t="s">
        <v>151</v>
      </c>
      <c r="B178" t="s">
        <v>168</v>
      </c>
      <c r="C178" t="s">
        <v>264</v>
      </c>
      <c r="D178" t="s">
        <v>81</v>
      </c>
      <c r="E178" t="s">
        <v>203</v>
      </c>
      <c r="F178">
        <v>0</v>
      </c>
      <c r="G178">
        <v>0</v>
      </c>
      <c r="H178">
        <v>0</v>
      </c>
      <c r="I178">
        <v>57.721718580986078</v>
      </c>
      <c r="J178">
        <v>7.3006991659268108</v>
      </c>
      <c r="K178">
        <v>0</v>
      </c>
      <c r="L178">
        <v>0</v>
      </c>
      <c r="M178" s="28">
        <v>0</v>
      </c>
      <c r="N178" s="28">
        <v>0</v>
      </c>
      <c r="O178">
        <v>0</v>
      </c>
      <c r="P178">
        <v>0</v>
      </c>
      <c r="Q178">
        <v>0</v>
      </c>
      <c r="R178">
        <v>0</v>
      </c>
      <c r="S178" s="28">
        <v>65.022417746912893</v>
      </c>
      <c r="T178" s="29">
        <f>SUM(BaseHoras[[#This Row],[Jan/2019]:[Mar/2019]])</f>
        <v>0</v>
      </c>
      <c r="U178" s="29">
        <f>SUM(BaseHoras[[#This Row],[Abr/2019]:[Jun/2019]])</f>
        <v>65.022417746912893</v>
      </c>
      <c r="V178" s="29">
        <f>SUM(BaseHoras[[#This Row],[Jul/2019]:[Set/2019]])</f>
        <v>0</v>
      </c>
      <c r="W178" s="29">
        <f>SUM(BaseHoras[[#This Row],[Out/2019]:[Dez/2019]])</f>
        <v>0</v>
      </c>
    </row>
    <row r="179" spans="1:23">
      <c r="A179" t="s">
        <v>151</v>
      </c>
      <c r="B179" t="s">
        <v>168</v>
      </c>
      <c r="C179" t="s">
        <v>264</v>
      </c>
      <c r="D179" t="s">
        <v>129</v>
      </c>
      <c r="E179" t="s">
        <v>203</v>
      </c>
      <c r="F179">
        <v>0</v>
      </c>
      <c r="G179">
        <v>0</v>
      </c>
      <c r="H179">
        <v>0</v>
      </c>
      <c r="I179">
        <v>0</v>
      </c>
      <c r="J179">
        <v>5.8653565993467511</v>
      </c>
      <c r="K179">
        <v>0</v>
      </c>
      <c r="L179">
        <v>0</v>
      </c>
      <c r="M179" s="28">
        <v>0</v>
      </c>
      <c r="N179" s="28">
        <v>0</v>
      </c>
      <c r="O179">
        <v>0</v>
      </c>
      <c r="P179">
        <v>0</v>
      </c>
      <c r="Q179">
        <v>0</v>
      </c>
      <c r="R179">
        <v>0</v>
      </c>
      <c r="S179" s="28">
        <v>5.8653565993467511</v>
      </c>
      <c r="T179" s="29">
        <f>SUM(BaseHoras[[#This Row],[Jan/2019]:[Mar/2019]])</f>
        <v>0</v>
      </c>
      <c r="U179" s="29">
        <f>SUM(BaseHoras[[#This Row],[Abr/2019]:[Jun/2019]])</f>
        <v>5.8653565993467511</v>
      </c>
      <c r="V179" s="29">
        <f>SUM(BaseHoras[[#This Row],[Jul/2019]:[Set/2019]])</f>
        <v>0</v>
      </c>
      <c r="W179" s="29">
        <f>SUM(BaseHoras[[#This Row],[Out/2019]:[Dez/2019]])</f>
        <v>0</v>
      </c>
    </row>
    <row r="180" spans="1:23">
      <c r="A180" t="s">
        <v>151</v>
      </c>
      <c r="B180" t="s">
        <v>168</v>
      </c>
      <c r="C180" t="s">
        <v>264</v>
      </c>
      <c r="D180" t="s">
        <v>131</v>
      </c>
      <c r="E180" t="s">
        <v>203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49.649709149822073</v>
      </c>
      <c r="L180">
        <v>0</v>
      </c>
      <c r="M180" s="28">
        <v>0</v>
      </c>
      <c r="N180" s="28">
        <v>60.601292351382725</v>
      </c>
      <c r="O180">
        <v>0</v>
      </c>
      <c r="P180">
        <v>0</v>
      </c>
      <c r="Q180">
        <v>0</v>
      </c>
      <c r="R180">
        <v>0</v>
      </c>
      <c r="S180" s="28">
        <v>110.2510015012048</v>
      </c>
      <c r="T180" s="29">
        <f>SUM(BaseHoras[[#This Row],[Jan/2019]:[Mar/2019]])</f>
        <v>0</v>
      </c>
      <c r="U180" s="29">
        <f>SUM(BaseHoras[[#This Row],[Abr/2019]:[Jun/2019]])</f>
        <v>49.649709149822073</v>
      </c>
      <c r="V180" s="29">
        <f>SUM(BaseHoras[[#This Row],[Jul/2019]:[Set/2019]])</f>
        <v>60.601292351382725</v>
      </c>
      <c r="W180" s="29">
        <f>SUM(BaseHoras[[#This Row],[Out/2019]:[Dez/2019]])</f>
        <v>0</v>
      </c>
    </row>
    <row r="181" spans="1:23">
      <c r="A181" t="s">
        <v>151</v>
      </c>
      <c r="B181" t="s">
        <v>168</v>
      </c>
      <c r="C181" t="s">
        <v>264</v>
      </c>
      <c r="D181" t="s">
        <v>147</v>
      </c>
      <c r="E181" t="s">
        <v>203</v>
      </c>
      <c r="F181">
        <v>0</v>
      </c>
      <c r="G181">
        <v>0</v>
      </c>
      <c r="H181">
        <v>0</v>
      </c>
      <c r="I181">
        <v>0</v>
      </c>
      <c r="J181">
        <v>155.60497550482401</v>
      </c>
      <c r="K181">
        <v>0</v>
      </c>
      <c r="L181">
        <v>0</v>
      </c>
      <c r="M181" s="28">
        <v>0</v>
      </c>
      <c r="N181" s="28">
        <v>0</v>
      </c>
      <c r="O181">
        <v>0</v>
      </c>
      <c r="P181">
        <v>0</v>
      </c>
      <c r="Q181">
        <v>0</v>
      </c>
      <c r="R181">
        <v>0</v>
      </c>
      <c r="S181" s="28">
        <v>155.60497550482401</v>
      </c>
      <c r="T181" s="29">
        <f>SUM(BaseHoras[[#This Row],[Jan/2019]:[Mar/2019]])</f>
        <v>0</v>
      </c>
      <c r="U181" s="29">
        <f>SUM(BaseHoras[[#This Row],[Abr/2019]:[Jun/2019]])</f>
        <v>155.60497550482401</v>
      </c>
      <c r="V181" s="29">
        <f>SUM(BaseHoras[[#This Row],[Jul/2019]:[Set/2019]])</f>
        <v>0</v>
      </c>
      <c r="W181" s="29">
        <f>SUM(BaseHoras[[#This Row],[Out/2019]:[Dez/2019]])</f>
        <v>0</v>
      </c>
    </row>
    <row r="182" spans="1:23">
      <c r="A182" t="s">
        <v>151</v>
      </c>
      <c r="B182" t="s">
        <v>168</v>
      </c>
      <c r="C182" t="s">
        <v>265</v>
      </c>
      <c r="D182" t="s">
        <v>55</v>
      </c>
      <c r="E182" t="s">
        <v>192</v>
      </c>
      <c r="F182">
        <v>0</v>
      </c>
      <c r="G182">
        <v>0</v>
      </c>
      <c r="H182">
        <v>0</v>
      </c>
      <c r="I182">
        <v>0</v>
      </c>
      <c r="J182">
        <v>65.834853116943918</v>
      </c>
      <c r="K182">
        <v>0</v>
      </c>
      <c r="L182">
        <v>0</v>
      </c>
      <c r="M182" s="28">
        <v>0</v>
      </c>
      <c r="N182" s="28">
        <v>0</v>
      </c>
      <c r="O182">
        <v>0</v>
      </c>
      <c r="P182">
        <v>0</v>
      </c>
      <c r="Q182">
        <v>0</v>
      </c>
      <c r="R182">
        <v>0</v>
      </c>
      <c r="S182" s="28">
        <v>65.834853116943918</v>
      </c>
      <c r="T182" s="29">
        <f>SUM(BaseHoras[[#This Row],[Jan/2019]:[Mar/2019]])</f>
        <v>0</v>
      </c>
      <c r="U182" s="29">
        <f>SUM(BaseHoras[[#This Row],[Abr/2019]:[Jun/2019]])</f>
        <v>65.834853116943918</v>
      </c>
      <c r="V182" s="29">
        <f>SUM(BaseHoras[[#This Row],[Jul/2019]:[Set/2019]])</f>
        <v>0</v>
      </c>
      <c r="W182" s="29">
        <f>SUM(BaseHoras[[#This Row],[Out/2019]:[Dez/2019]])</f>
        <v>0</v>
      </c>
    </row>
    <row r="183" spans="1:23">
      <c r="A183" t="s">
        <v>151</v>
      </c>
      <c r="B183" t="s">
        <v>168</v>
      </c>
      <c r="C183" t="s">
        <v>266</v>
      </c>
      <c r="D183" t="s">
        <v>55</v>
      </c>
      <c r="E183" t="s">
        <v>152</v>
      </c>
      <c r="F183">
        <v>0</v>
      </c>
      <c r="G183">
        <v>0</v>
      </c>
      <c r="H183">
        <v>0</v>
      </c>
      <c r="I183">
        <v>0</v>
      </c>
      <c r="J183" t="s">
        <v>395</v>
      </c>
      <c r="K183">
        <v>9.4074924125005204</v>
      </c>
      <c r="L183">
        <v>0</v>
      </c>
      <c r="M183" s="28">
        <v>0</v>
      </c>
      <c r="N183" s="28">
        <v>0</v>
      </c>
      <c r="O183">
        <v>0</v>
      </c>
      <c r="P183">
        <v>0</v>
      </c>
      <c r="Q183">
        <v>0</v>
      </c>
      <c r="R183">
        <v>0</v>
      </c>
      <c r="S183" s="28">
        <v>9.4074924125005204</v>
      </c>
      <c r="T183" s="29">
        <f>SUM(BaseHoras[[#This Row],[Jan/2019]:[Mar/2019]])</f>
        <v>0</v>
      </c>
      <c r="U183" s="29">
        <f>SUM(BaseHoras[[#This Row],[Abr/2019]:[Jun/2019]])</f>
        <v>9.4074924125005204</v>
      </c>
      <c r="V183" s="29">
        <f>SUM(BaseHoras[[#This Row],[Jul/2019]:[Set/2019]])</f>
        <v>0</v>
      </c>
      <c r="W183" s="29">
        <f>SUM(BaseHoras[[#This Row],[Out/2019]:[Dez/2019]])</f>
        <v>0</v>
      </c>
    </row>
    <row r="184" spans="1:23">
      <c r="A184" t="s">
        <v>151</v>
      </c>
      <c r="B184" t="s">
        <v>168</v>
      </c>
      <c r="C184" t="s">
        <v>266</v>
      </c>
      <c r="D184" t="s">
        <v>56</v>
      </c>
      <c r="E184" t="s">
        <v>152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2.9922064102583241</v>
      </c>
      <c r="M184" s="28">
        <v>0</v>
      </c>
      <c r="N184" s="28">
        <v>0</v>
      </c>
      <c r="O184">
        <v>0</v>
      </c>
      <c r="P184">
        <v>0</v>
      </c>
      <c r="Q184">
        <v>0</v>
      </c>
      <c r="R184">
        <v>0</v>
      </c>
      <c r="S184" s="28">
        <v>2.9922064102583241</v>
      </c>
      <c r="T184" s="29">
        <f>SUM(BaseHoras[[#This Row],[Jan/2019]:[Mar/2019]])</f>
        <v>0</v>
      </c>
      <c r="U184" s="29">
        <f>SUM(BaseHoras[[#This Row],[Abr/2019]:[Jun/2019]])</f>
        <v>0</v>
      </c>
      <c r="V184" s="29">
        <f>SUM(BaseHoras[[#This Row],[Jul/2019]:[Set/2019]])</f>
        <v>2.9922064102583241</v>
      </c>
      <c r="W184" s="29">
        <f>SUM(BaseHoras[[#This Row],[Out/2019]:[Dez/2019]])</f>
        <v>0</v>
      </c>
    </row>
    <row r="185" spans="1:23">
      <c r="A185" t="s">
        <v>151</v>
      </c>
      <c r="B185" t="s">
        <v>168</v>
      </c>
      <c r="C185" t="s">
        <v>267</v>
      </c>
      <c r="D185" t="s">
        <v>45</v>
      </c>
      <c r="E185" t="s">
        <v>152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s="28">
        <v>0</v>
      </c>
      <c r="N185" s="28">
        <v>0</v>
      </c>
      <c r="O185">
        <v>57.682919252604648</v>
      </c>
      <c r="P185">
        <v>0</v>
      </c>
      <c r="Q185">
        <v>0</v>
      </c>
      <c r="R185">
        <v>0</v>
      </c>
      <c r="S185" s="28">
        <v>57.682919252604648</v>
      </c>
      <c r="T185" s="29">
        <f>SUM(BaseHoras[[#This Row],[Jan/2019]:[Mar/2019]])</f>
        <v>0</v>
      </c>
      <c r="U185" s="29">
        <f>SUM(BaseHoras[[#This Row],[Abr/2019]:[Jun/2019]])</f>
        <v>0</v>
      </c>
      <c r="V185" s="29">
        <f>SUM(BaseHoras[[#This Row],[Jul/2019]:[Set/2019]])</f>
        <v>0</v>
      </c>
      <c r="W185" s="29">
        <f>SUM(BaseHoras[[#This Row],[Out/2019]:[Dez/2019]])</f>
        <v>57.682919252604648</v>
      </c>
    </row>
    <row r="186" spans="1:23">
      <c r="A186" t="s">
        <v>151</v>
      </c>
      <c r="B186" t="s">
        <v>168</v>
      </c>
      <c r="C186" t="s">
        <v>267</v>
      </c>
      <c r="D186" t="s">
        <v>131</v>
      </c>
      <c r="E186" t="s">
        <v>152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28">
        <v>0</v>
      </c>
      <c r="N186" s="28">
        <v>0</v>
      </c>
      <c r="O186">
        <v>7.3792731975286161</v>
      </c>
      <c r="P186">
        <v>0</v>
      </c>
      <c r="Q186">
        <v>0</v>
      </c>
      <c r="R186">
        <v>0</v>
      </c>
      <c r="S186" s="28">
        <v>7.3792731975286161</v>
      </c>
      <c r="T186" s="29">
        <f>SUM(BaseHoras[[#This Row],[Jan/2019]:[Mar/2019]])</f>
        <v>0</v>
      </c>
      <c r="U186" s="29">
        <f>SUM(BaseHoras[[#This Row],[Abr/2019]:[Jun/2019]])</f>
        <v>0</v>
      </c>
      <c r="V186" s="29">
        <f>SUM(BaseHoras[[#This Row],[Jul/2019]:[Set/2019]])</f>
        <v>0</v>
      </c>
      <c r="W186" s="29">
        <f>SUM(BaseHoras[[#This Row],[Out/2019]:[Dez/2019]])</f>
        <v>7.3792731975286161</v>
      </c>
    </row>
    <row r="187" spans="1:23">
      <c r="A187" t="s">
        <v>151</v>
      </c>
      <c r="B187" t="s">
        <v>168</v>
      </c>
      <c r="C187" t="s">
        <v>268</v>
      </c>
      <c r="D187" t="s">
        <v>81</v>
      </c>
      <c r="E187" t="s">
        <v>152</v>
      </c>
      <c r="F187">
        <v>0</v>
      </c>
      <c r="G187">
        <v>0</v>
      </c>
      <c r="H187">
        <v>0</v>
      </c>
      <c r="I187">
        <v>0</v>
      </c>
      <c r="J187">
        <v>41.656025733065789</v>
      </c>
      <c r="K187">
        <v>0</v>
      </c>
      <c r="L187">
        <v>0</v>
      </c>
      <c r="M187" s="28">
        <v>0</v>
      </c>
      <c r="N187" s="28">
        <v>0</v>
      </c>
      <c r="O187">
        <v>0</v>
      </c>
      <c r="P187">
        <v>0</v>
      </c>
      <c r="Q187">
        <v>0</v>
      </c>
      <c r="R187">
        <v>0</v>
      </c>
      <c r="S187" s="28">
        <v>41.656025733065789</v>
      </c>
      <c r="T187" s="29">
        <f>SUM(BaseHoras[[#This Row],[Jan/2019]:[Mar/2019]])</f>
        <v>0</v>
      </c>
      <c r="U187" s="29">
        <f>SUM(BaseHoras[[#This Row],[Abr/2019]:[Jun/2019]])</f>
        <v>41.656025733065789</v>
      </c>
      <c r="V187" s="29">
        <f>SUM(BaseHoras[[#This Row],[Jul/2019]:[Set/2019]])</f>
        <v>0</v>
      </c>
      <c r="W187" s="29">
        <f>SUM(BaseHoras[[#This Row],[Out/2019]:[Dez/2019]])</f>
        <v>0</v>
      </c>
    </row>
    <row r="188" spans="1:23">
      <c r="A188" t="s">
        <v>151</v>
      </c>
      <c r="B188" t="s">
        <v>168</v>
      </c>
      <c r="C188" t="s">
        <v>269</v>
      </c>
      <c r="D188" t="s">
        <v>45</v>
      </c>
      <c r="E188" t="s">
        <v>152</v>
      </c>
      <c r="F188">
        <v>0</v>
      </c>
      <c r="G188">
        <v>0</v>
      </c>
      <c r="H188">
        <v>0</v>
      </c>
      <c r="I188">
        <v>0</v>
      </c>
      <c r="J188">
        <v>78.764529041278209</v>
      </c>
      <c r="K188">
        <v>0</v>
      </c>
      <c r="L188">
        <v>0</v>
      </c>
      <c r="M188" s="28">
        <v>0</v>
      </c>
      <c r="N188" s="28">
        <v>0</v>
      </c>
      <c r="O188">
        <v>0</v>
      </c>
      <c r="P188">
        <v>0</v>
      </c>
      <c r="Q188">
        <v>0</v>
      </c>
      <c r="R188">
        <v>0</v>
      </c>
      <c r="S188" s="28">
        <v>78.764529041278209</v>
      </c>
      <c r="T188" s="29">
        <f>SUM(BaseHoras[[#This Row],[Jan/2019]:[Mar/2019]])</f>
        <v>0</v>
      </c>
      <c r="U188" s="29">
        <f>SUM(BaseHoras[[#This Row],[Abr/2019]:[Jun/2019]])</f>
        <v>78.764529041278209</v>
      </c>
      <c r="V188" s="29">
        <f>SUM(BaseHoras[[#This Row],[Jul/2019]:[Set/2019]])</f>
        <v>0</v>
      </c>
      <c r="W188" s="29">
        <f>SUM(BaseHoras[[#This Row],[Out/2019]:[Dez/2019]])</f>
        <v>0</v>
      </c>
    </row>
    <row r="189" spans="1:23">
      <c r="A189" t="s">
        <v>151</v>
      </c>
      <c r="B189" t="s">
        <v>168</v>
      </c>
      <c r="C189" t="s">
        <v>270</v>
      </c>
      <c r="D189" t="s">
        <v>25</v>
      </c>
      <c r="E189" t="s">
        <v>271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2.6400760879653413</v>
      </c>
      <c r="M189" s="28">
        <v>0</v>
      </c>
      <c r="N189" s="28">
        <v>0</v>
      </c>
      <c r="O189">
        <v>0</v>
      </c>
      <c r="P189">
        <v>0</v>
      </c>
      <c r="Q189">
        <v>0</v>
      </c>
      <c r="R189">
        <v>0</v>
      </c>
      <c r="S189" s="28">
        <v>2.6400760879653413</v>
      </c>
      <c r="T189" s="29">
        <f>SUM(BaseHoras[[#This Row],[Jan/2019]:[Mar/2019]])</f>
        <v>0</v>
      </c>
      <c r="U189" s="29">
        <f>SUM(BaseHoras[[#This Row],[Abr/2019]:[Jun/2019]])</f>
        <v>0</v>
      </c>
      <c r="V189" s="29">
        <f>SUM(BaseHoras[[#This Row],[Jul/2019]:[Set/2019]])</f>
        <v>2.6400760879653413</v>
      </c>
      <c r="W189" s="29">
        <f>SUM(BaseHoras[[#This Row],[Out/2019]:[Dez/2019]])</f>
        <v>0</v>
      </c>
    </row>
    <row r="190" spans="1:23">
      <c r="A190" t="s">
        <v>151</v>
      </c>
      <c r="B190" t="s">
        <v>168</v>
      </c>
      <c r="C190" t="s">
        <v>270</v>
      </c>
      <c r="D190" t="s">
        <v>72</v>
      </c>
      <c r="E190" t="s">
        <v>271</v>
      </c>
      <c r="F190">
        <v>0</v>
      </c>
      <c r="G190">
        <v>0</v>
      </c>
      <c r="H190">
        <v>0</v>
      </c>
      <c r="I190">
        <v>0</v>
      </c>
      <c r="J190">
        <v>2.7222235418808154</v>
      </c>
      <c r="K190">
        <v>0</v>
      </c>
      <c r="L190">
        <v>0</v>
      </c>
      <c r="M190" s="28">
        <v>0</v>
      </c>
      <c r="N190" s="28">
        <v>0</v>
      </c>
      <c r="O190">
        <v>0</v>
      </c>
      <c r="P190">
        <v>0</v>
      </c>
      <c r="Q190">
        <v>0</v>
      </c>
      <c r="R190">
        <v>0</v>
      </c>
      <c r="S190" s="28">
        <v>2.7222235418808154</v>
      </c>
      <c r="T190" s="29">
        <f>SUM(BaseHoras[[#This Row],[Jan/2019]:[Mar/2019]])</f>
        <v>0</v>
      </c>
      <c r="U190" s="29">
        <f>SUM(BaseHoras[[#This Row],[Abr/2019]:[Jun/2019]])</f>
        <v>2.7222235418808154</v>
      </c>
      <c r="V190" s="29">
        <f>SUM(BaseHoras[[#This Row],[Jul/2019]:[Set/2019]])</f>
        <v>0</v>
      </c>
      <c r="W190" s="29">
        <f>SUM(BaseHoras[[#This Row],[Out/2019]:[Dez/2019]])</f>
        <v>0</v>
      </c>
    </row>
    <row r="191" spans="1:23">
      <c r="A191" t="s">
        <v>151</v>
      </c>
      <c r="B191" t="s">
        <v>168</v>
      </c>
      <c r="C191" t="s">
        <v>270</v>
      </c>
      <c r="D191" t="s">
        <v>78</v>
      </c>
      <c r="E191" t="s">
        <v>271</v>
      </c>
      <c r="F191">
        <v>0</v>
      </c>
      <c r="G191">
        <v>0</v>
      </c>
      <c r="H191">
        <v>0</v>
      </c>
      <c r="I191">
        <v>28.327152201619807</v>
      </c>
      <c r="J191">
        <v>13.631086735644377</v>
      </c>
      <c r="K191">
        <v>0</v>
      </c>
      <c r="L191">
        <v>0</v>
      </c>
      <c r="M191" s="28">
        <v>0</v>
      </c>
      <c r="N191" s="28">
        <v>0</v>
      </c>
      <c r="O191">
        <v>0</v>
      </c>
      <c r="P191">
        <v>0</v>
      </c>
      <c r="Q191">
        <v>0</v>
      </c>
      <c r="R191">
        <v>0</v>
      </c>
      <c r="S191" s="28">
        <v>41.958238937264184</v>
      </c>
      <c r="T191" s="29">
        <f>SUM(BaseHoras[[#This Row],[Jan/2019]:[Mar/2019]])</f>
        <v>0</v>
      </c>
      <c r="U191" s="29">
        <f>SUM(BaseHoras[[#This Row],[Abr/2019]:[Jun/2019]])</f>
        <v>41.958238937264184</v>
      </c>
      <c r="V191" s="29">
        <f>SUM(BaseHoras[[#This Row],[Jul/2019]:[Set/2019]])</f>
        <v>0</v>
      </c>
      <c r="W191" s="29">
        <f>SUM(BaseHoras[[#This Row],[Out/2019]:[Dez/2019]])</f>
        <v>0</v>
      </c>
    </row>
    <row r="192" spans="1:23">
      <c r="A192" t="s">
        <v>151</v>
      </c>
      <c r="B192" t="s">
        <v>168</v>
      </c>
      <c r="C192" t="s">
        <v>270</v>
      </c>
      <c r="D192" t="s">
        <v>106</v>
      </c>
      <c r="E192" t="s">
        <v>271</v>
      </c>
      <c r="F192">
        <v>0</v>
      </c>
      <c r="G192">
        <v>0</v>
      </c>
      <c r="H192">
        <v>0</v>
      </c>
      <c r="I192">
        <v>32.878547426049799</v>
      </c>
      <c r="J192">
        <v>0</v>
      </c>
      <c r="K192">
        <v>0</v>
      </c>
      <c r="L192">
        <v>0</v>
      </c>
      <c r="M192" s="28">
        <v>0</v>
      </c>
      <c r="N192" s="28">
        <v>0</v>
      </c>
      <c r="O192">
        <v>0</v>
      </c>
      <c r="P192">
        <v>0</v>
      </c>
      <c r="Q192">
        <v>0</v>
      </c>
      <c r="R192">
        <v>0</v>
      </c>
      <c r="S192" s="28">
        <v>32.878547426049799</v>
      </c>
      <c r="T192" s="29">
        <f>SUM(BaseHoras[[#This Row],[Jan/2019]:[Mar/2019]])</f>
        <v>0</v>
      </c>
      <c r="U192" s="29">
        <f>SUM(BaseHoras[[#This Row],[Abr/2019]:[Jun/2019]])</f>
        <v>32.878547426049799</v>
      </c>
      <c r="V192" s="29">
        <f>SUM(BaseHoras[[#This Row],[Jul/2019]:[Set/2019]])</f>
        <v>0</v>
      </c>
      <c r="W192" s="29">
        <f>SUM(BaseHoras[[#This Row],[Out/2019]:[Dez/2019]])</f>
        <v>0</v>
      </c>
    </row>
    <row r="193" spans="1:23">
      <c r="A193" t="s">
        <v>151</v>
      </c>
      <c r="B193" t="s">
        <v>168</v>
      </c>
      <c r="C193" t="s">
        <v>270</v>
      </c>
      <c r="D193" t="s">
        <v>118</v>
      </c>
      <c r="E193" t="s">
        <v>271</v>
      </c>
      <c r="F193">
        <v>0</v>
      </c>
      <c r="G193">
        <v>0</v>
      </c>
      <c r="H193">
        <v>0</v>
      </c>
      <c r="I193">
        <v>0</v>
      </c>
      <c r="J193">
        <v>23.291189931544057</v>
      </c>
      <c r="K193">
        <v>0</v>
      </c>
      <c r="L193">
        <v>0</v>
      </c>
      <c r="M193" s="28">
        <v>0</v>
      </c>
      <c r="N193" s="28">
        <v>0</v>
      </c>
      <c r="O193">
        <v>0</v>
      </c>
      <c r="P193">
        <v>0</v>
      </c>
      <c r="Q193">
        <v>0</v>
      </c>
      <c r="R193">
        <v>0</v>
      </c>
      <c r="S193" s="28">
        <v>23.291189931544057</v>
      </c>
      <c r="T193" s="29">
        <f>SUM(BaseHoras[[#This Row],[Jan/2019]:[Mar/2019]])</f>
        <v>0</v>
      </c>
      <c r="U193" s="29">
        <f>SUM(BaseHoras[[#This Row],[Abr/2019]:[Jun/2019]])</f>
        <v>23.291189931544057</v>
      </c>
      <c r="V193" s="29">
        <f>SUM(BaseHoras[[#This Row],[Jul/2019]:[Set/2019]])</f>
        <v>0</v>
      </c>
      <c r="W193" s="29">
        <f>SUM(BaseHoras[[#This Row],[Out/2019]:[Dez/2019]])</f>
        <v>0</v>
      </c>
    </row>
    <row r="194" spans="1:23">
      <c r="A194" t="s">
        <v>151</v>
      </c>
      <c r="B194" t="s">
        <v>168</v>
      </c>
      <c r="C194" t="s">
        <v>270</v>
      </c>
      <c r="D194" t="s">
        <v>147</v>
      </c>
      <c r="E194" t="s">
        <v>271</v>
      </c>
      <c r="F194">
        <v>0</v>
      </c>
      <c r="G194">
        <v>0</v>
      </c>
      <c r="H194">
        <v>0</v>
      </c>
      <c r="I194">
        <v>0</v>
      </c>
      <c r="J194">
        <v>115.37660816954076</v>
      </c>
      <c r="K194">
        <v>0</v>
      </c>
      <c r="L194">
        <v>0</v>
      </c>
      <c r="M194" s="28">
        <v>0</v>
      </c>
      <c r="N194" s="28">
        <v>0</v>
      </c>
      <c r="O194">
        <v>0</v>
      </c>
      <c r="P194">
        <v>0</v>
      </c>
      <c r="Q194">
        <v>0</v>
      </c>
      <c r="R194">
        <v>0</v>
      </c>
      <c r="S194" s="28">
        <v>115.37660816954076</v>
      </c>
      <c r="T194" s="29">
        <f>SUM(BaseHoras[[#This Row],[Jan/2019]:[Mar/2019]])</f>
        <v>0</v>
      </c>
      <c r="U194" s="29">
        <f>SUM(BaseHoras[[#This Row],[Abr/2019]:[Jun/2019]])</f>
        <v>115.37660816954076</v>
      </c>
      <c r="V194" s="29">
        <f>SUM(BaseHoras[[#This Row],[Jul/2019]:[Set/2019]])</f>
        <v>0</v>
      </c>
      <c r="W194" s="29">
        <f>SUM(BaseHoras[[#This Row],[Out/2019]:[Dez/2019]])</f>
        <v>0</v>
      </c>
    </row>
    <row r="195" spans="1:23">
      <c r="A195" t="s">
        <v>151</v>
      </c>
      <c r="B195" t="s">
        <v>168</v>
      </c>
      <c r="C195" t="s">
        <v>272</v>
      </c>
      <c r="D195" t="s">
        <v>25</v>
      </c>
      <c r="E195" t="s">
        <v>183</v>
      </c>
      <c r="F195">
        <v>0</v>
      </c>
      <c r="G195">
        <v>0</v>
      </c>
      <c r="H195">
        <v>13.133303631769383</v>
      </c>
      <c r="I195">
        <v>0</v>
      </c>
      <c r="J195">
        <v>0</v>
      </c>
      <c r="K195">
        <v>0</v>
      </c>
      <c r="L195">
        <v>0</v>
      </c>
      <c r="M195" s="28">
        <v>0</v>
      </c>
      <c r="N195" s="28">
        <v>0</v>
      </c>
      <c r="O195">
        <v>0</v>
      </c>
      <c r="P195">
        <v>0</v>
      </c>
      <c r="Q195">
        <v>0</v>
      </c>
      <c r="R195">
        <v>0</v>
      </c>
      <c r="S195" s="28">
        <v>13.133303631769383</v>
      </c>
      <c r="T195" s="29">
        <f>SUM(BaseHoras[[#This Row],[Jan/2019]:[Mar/2019]])</f>
        <v>13.133303631769383</v>
      </c>
      <c r="U195" s="29">
        <f>SUM(BaseHoras[[#This Row],[Abr/2019]:[Jun/2019]])</f>
        <v>0</v>
      </c>
      <c r="V195" s="29">
        <f>SUM(BaseHoras[[#This Row],[Jul/2019]:[Set/2019]])</f>
        <v>0</v>
      </c>
      <c r="W195" s="29">
        <f>SUM(BaseHoras[[#This Row],[Out/2019]:[Dez/2019]])</f>
        <v>0</v>
      </c>
    </row>
    <row r="196" spans="1:23">
      <c r="A196" t="s">
        <v>151</v>
      </c>
      <c r="B196" t="s">
        <v>168</v>
      </c>
      <c r="C196" t="s">
        <v>272</v>
      </c>
      <c r="D196" t="s">
        <v>35</v>
      </c>
      <c r="E196" t="s">
        <v>183</v>
      </c>
      <c r="F196">
        <v>95.350502486546063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s="28">
        <v>0</v>
      </c>
      <c r="N196" s="28">
        <v>0</v>
      </c>
      <c r="O196">
        <v>0</v>
      </c>
      <c r="P196">
        <v>0</v>
      </c>
      <c r="Q196">
        <v>0</v>
      </c>
      <c r="R196">
        <v>0</v>
      </c>
      <c r="S196" s="28">
        <v>95.350502486546063</v>
      </c>
      <c r="T196" s="29">
        <f>SUM(BaseHoras[[#This Row],[Jan/2019]:[Mar/2019]])</f>
        <v>95.350502486546063</v>
      </c>
      <c r="U196" s="29">
        <f>SUM(BaseHoras[[#This Row],[Abr/2019]:[Jun/2019]])</f>
        <v>0</v>
      </c>
      <c r="V196" s="29">
        <f>SUM(BaseHoras[[#This Row],[Jul/2019]:[Set/2019]])</f>
        <v>0</v>
      </c>
      <c r="W196" s="29">
        <f>SUM(BaseHoras[[#This Row],[Out/2019]:[Dez/2019]])</f>
        <v>0</v>
      </c>
    </row>
    <row r="197" spans="1:23">
      <c r="A197" t="s">
        <v>151</v>
      </c>
      <c r="B197" t="s">
        <v>168</v>
      </c>
      <c r="C197" t="s">
        <v>272</v>
      </c>
      <c r="D197" t="s">
        <v>36</v>
      </c>
      <c r="E197" t="s">
        <v>183</v>
      </c>
      <c r="F197">
        <v>0</v>
      </c>
      <c r="G197">
        <v>0</v>
      </c>
      <c r="H197">
        <v>181.90656061351643</v>
      </c>
      <c r="I197">
        <v>77.637544557416788</v>
      </c>
      <c r="J197">
        <v>0</v>
      </c>
      <c r="K197">
        <v>0</v>
      </c>
      <c r="L197">
        <v>0</v>
      </c>
      <c r="M197" s="28">
        <v>0</v>
      </c>
      <c r="N197" s="28">
        <v>0</v>
      </c>
      <c r="O197">
        <v>0</v>
      </c>
      <c r="P197">
        <v>0</v>
      </c>
      <c r="Q197">
        <v>0</v>
      </c>
      <c r="R197">
        <v>0</v>
      </c>
      <c r="S197" s="28">
        <v>259.54410517093322</v>
      </c>
      <c r="T197" s="29">
        <f>SUM(BaseHoras[[#This Row],[Jan/2019]:[Mar/2019]])</f>
        <v>181.90656061351643</v>
      </c>
      <c r="U197" s="29">
        <f>SUM(BaseHoras[[#This Row],[Abr/2019]:[Jun/2019]])</f>
        <v>77.637544557416788</v>
      </c>
      <c r="V197" s="29">
        <f>SUM(BaseHoras[[#This Row],[Jul/2019]:[Set/2019]])</f>
        <v>0</v>
      </c>
      <c r="W197" s="29">
        <f>SUM(BaseHoras[[#This Row],[Out/2019]:[Dez/2019]])</f>
        <v>0</v>
      </c>
    </row>
    <row r="198" spans="1:23">
      <c r="A198" t="s">
        <v>151</v>
      </c>
      <c r="B198" t="s">
        <v>168</v>
      </c>
      <c r="C198" t="s">
        <v>272</v>
      </c>
      <c r="D198" t="s">
        <v>79</v>
      </c>
      <c r="E198" t="s">
        <v>183</v>
      </c>
      <c r="F198">
        <v>141.17040188218533</v>
      </c>
      <c r="G198">
        <v>494.64748061102313</v>
      </c>
      <c r="H198">
        <v>0</v>
      </c>
      <c r="I198">
        <v>0</v>
      </c>
      <c r="J198">
        <v>0</v>
      </c>
      <c r="K198">
        <v>0</v>
      </c>
      <c r="L198">
        <v>0</v>
      </c>
      <c r="M198" s="28">
        <v>0</v>
      </c>
      <c r="N198" s="28">
        <v>0</v>
      </c>
      <c r="O198">
        <v>0</v>
      </c>
      <c r="P198">
        <v>0</v>
      </c>
      <c r="Q198">
        <v>0</v>
      </c>
      <c r="R198">
        <v>0</v>
      </c>
      <c r="S198" s="28">
        <v>635.81788249320846</v>
      </c>
      <c r="T198" s="29">
        <f>SUM(BaseHoras[[#This Row],[Jan/2019]:[Mar/2019]])</f>
        <v>635.81788249320846</v>
      </c>
      <c r="U198" s="29">
        <f>SUM(BaseHoras[[#This Row],[Abr/2019]:[Jun/2019]])</f>
        <v>0</v>
      </c>
      <c r="V198" s="29">
        <f>SUM(BaseHoras[[#This Row],[Jul/2019]:[Set/2019]])</f>
        <v>0</v>
      </c>
      <c r="W198" s="29">
        <f>SUM(BaseHoras[[#This Row],[Out/2019]:[Dez/2019]])</f>
        <v>0</v>
      </c>
    </row>
    <row r="199" spans="1:23">
      <c r="A199" t="s">
        <v>151</v>
      </c>
      <c r="B199" t="s">
        <v>168</v>
      </c>
      <c r="C199" t="s">
        <v>272</v>
      </c>
      <c r="D199" t="s">
        <v>95</v>
      </c>
      <c r="E199" t="s">
        <v>183</v>
      </c>
      <c r="F199">
        <v>198.30773664404072</v>
      </c>
      <c r="G199">
        <v>55.416209501450318</v>
      </c>
      <c r="H199">
        <v>81.200614043436431</v>
      </c>
      <c r="I199">
        <v>0</v>
      </c>
      <c r="J199">
        <v>0</v>
      </c>
      <c r="K199">
        <v>0</v>
      </c>
      <c r="L199">
        <v>0</v>
      </c>
      <c r="M199" s="28">
        <v>0</v>
      </c>
      <c r="N199" s="28">
        <v>0</v>
      </c>
      <c r="O199">
        <v>0</v>
      </c>
      <c r="P199">
        <v>0</v>
      </c>
      <c r="Q199">
        <v>0</v>
      </c>
      <c r="R199">
        <v>0</v>
      </c>
      <c r="S199" s="28">
        <v>334.92456018892744</v>
      </c>
      <c r="T199" s="29">
        <f>SUM(BaseHoras[[#This Row],[Jan/2019]:[Mar/2019]])</f>
        <v>334.92456018892744</v>
      </c>
      <c r="U199" s="29">
        <f>SUM(BaseHoras[[#This Row],[Abr/2019]:[Jun/2019]])</f>
        <v>0</v>
      </c>
      <c r="V199" s="29">
        <f>SUM(BaseHoras[[#This Row],[Jul/2019]:[Set/2019]])</f>
        <v>0</v>
      </c>
      <c r="W199" s="29">
        <f>SUM(BaseHoras[[#This Row],[Out/2019]:[Dez/2019]])</f>
        <v>0</v>
      </c>
    </row>
    <row r="200" spans="1:23">
      <c r="A200" t="s">
        <v>151</v>
      </c>
      <c r="B200" t="s">
        <v>168</v>
      </c>
      <c r="C200" t="s">
        <v>272</v>
      </c>
      <c r="D200" t="s">
        <v>100</v>
      </c>
      <c r="E200" t="s">
        <v>183</v>
      </c>
      <c r="F200">
        <v>416.44179037774933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s="28">
        <v>0</v>
      </c>
      <c r="N200" s="28">
        <v>0</v>
      </c>
      <c r="O200">
        <v>0</v>
      </c>
      <c r="P200">
        <v>0</v>
      </c>
      <c r="Q200">
        <v>0</v>
      </c>
      <c r="R200">
        <v>0</v>
      </c>
      <c r="S200" s="28">
        <v>416.44179037774933</v>
      </c>
      <c r="T200" s="29">
        <f>SUM(BaseHoras[[#This Row],[Jan/2019]:[Mar/2019]])</f>
        <v>416.44179037774933</v>
      </c>
      <c r="U200" s="29">
        <f>SUM(BaseHoras[[#This Row],[Abr/2019]:[Jun/2019]])</f>
        <v>0</v>
      </c>
      <c r="V200" s="29">
        <f>SUM(BaseHoras[[#This Row],[Jul/2019]:[Set/2019]])</f>
        <v>0</v>
      </c>
      <c r="W200" s="29">
        <f>SUM(BaseHoras[[#This Row],[Out/2019]:[Dez/2019]])</f>
        <v>0</v>
      </c>
    </row>
    <row r="201" spans="1:23">
      <c r="A201" t="s">
        <v>151</v>
      </c>
      <c r="B201" t="s">
        <v>168</v>
      </c>
      <c r="C201" t="s">
        <v>272</v>
      </c>
      <c r="D201" t="s">
        <v>109</v>
      </c>
      <c r="E201" t="s">
        <v>183</v>
      </c>
      <c r="F201">
        <v>0</v>
      </c>
      <c r="G201">
        <v>0</v>
      </c>
      <c r="H201">
        <v>0</v>
      </c>
      <c r="I201">
        <v>120.3073697964607</v>
      </c>
      <c r="J201">
        <v>7.8354533210593722</v>
      </c>
      <c r="K201">
        <v>0</v>
      </c>
      <c r="L201">
        <v>0</v>
      </c>
      <c r="M201" s="28">
        <v>0</v>
      </c>
      <c r="N201" s="28">
        <v>0</v>
      </c>
      <c r="O201">
        <v>0</v>
      </c>
      <c r="P201">
        <v>0</v>
      </c>
      <c r="Q201">
        <v>0</v>
      </c>
      <c r="R201">
        <v>0</v>
      </c>
      <c r="S201" s="28">
        <v>128.14282311752007</v>
      </c>
      <c r="T201" s="29">
        <f>SUM(BaseHoras[[#This Row],[Jan/2019]:[Mar/2019]])</f>
        <v>0</v>
      </c>
      <c r="U201" s="29">
        <f>SUM(BaseHoras[[#This Row],[Abr/2019]:[Jun/2019]])</f>
        <v>128.14282311752007</v>
      </c>
      <c r="V201" s="29">
        <f>SUM(BaseHoras[[#This Row],[Jul/2019]:[Set/2019]])</f>
        <v>0</v>
      </c>
      <c r="W201" s="29">
        <f>SUM(BaseHoras[[#This Row],[Out/2019]:[Dez/2019]])</f>
        <v>0</v>
      </c>
    </row>
    <row r="202" spans="1:23">
      <c r="A202" t="s">
        <v>151</v>
      </c>
      <c r="B202" t="s">
        <v>168</v>
      </c>
      <c r="C202" t="s">
        <v>272</v>
      </c>
      <c r="D202" t="s">
        <v>118</v>
      </c>
      <c r="E202" t="s">
        <v>183</v>
      </c>
      <c r="F202">
        <v>4740.6342896749766</v>
      </c>
      <c r="G202">
        <v>462.80449723071376</v>
      </c>
      <c r="H202">
        <v>323.33391135560294</v>
      </c>
      <c r="I202">
        <v>358.09883128842114</v>
      </c>
      <c r="J202">
        <v>25.432385748841995</v>
      </c>
      <c r="K202">
        <v>0</v>
      </c>
      <c r="L202">
        <v>0</v>
      </c>
      <c r="M202" s="28">
        <v>0</v>
      </c>
      <c r="N202" s="28">
        <v>0</v>
      </c>
      <c r="O202">
        <v>0</v>
      </c>
      <c r="P202">
        <v>0</v>
      </c>
      <c r="Q202">
        <v>0</v>
      </c>
      <c r="R202">
        <v>0</v>
      </c>
      <c r="S202" s="28">
        <v>5910.3039152985557</v>
      </c>
      <c r="T202" s="29">
        <f>SUM(BaseHoras[[#This Row],[Jan/2019]:[Mar/2019]])</f>
        <v>5526.772698261293</v>
      </c>
      <c r="U202" s="29">
        <f>SUM(BaseHoras[[#This Row],[Abr/2019]:[Jun/2019]])</f>
        <v>383.5312170372631</v>
      </c>
      <c r="V202" s="29">
        <f>SUM(BaseHoras[[#This Row],[Jul/2019]:[Set/2019]])</f>
        <v>0</v>
      </c>
      <c r="W202" s="29">
        <f>SUM(BaseHoras[[#This Row],[Out/2019]:[Dez/2019]])</f>
        <v>0</v>
      </c>
    </row>
    <row r="203" spans="1:23">
      <c r="A203" t="s">
        <v>151</v>
      </c>
      <c r="B203" t="s">
        <v>168</v>
      </c>
      <c r="C203" t="s">
        <v>272</v>
      </c>
      <c r="D203" t="s">
        <v>134</v>
      </c>
      <c r="E203" t="s">
        <v>183</v>
      </c>
      <c r="F203">
        <v>0</v>
      </c>
      <c r="G203">
        <v>0</v>
      </c>
      <c r="H203">
        <v>0</v>
      </c>
      <c r="I203">
        <v>109.02717158221807</v>
      </c>
      <c r="J203">
        <v>0</v>
      </c>
      <c r="K203">
        <v>0</v>
      </c>
      <c r="L203">
        <v>0</v>
      </c>
      <c r="M203" s="28">
        <v>0</v>
      </c>
      <c r="N203" s="28">
        <v>0</v>
      </c>
      <c r="O203">
        <v>0</v>
      </c>
      <c r="P203">
        <v>0</v>
      </c>
      <c r="Q203">
        <v>0</v>
      </c>
      <c r="R203">
        <v>0</v>
      </c>
      <c r="S203" s="28">
        <v>109.02717158221807</v>
      </c>
      <c r="T203" s="29">
        <f>SUM(BaseHoras[[#This Row],[Jan/2019]:[Mar/2019]])</f>
        <v>0</v>
      </c>
      <c r="U203" s="29">
        <f>SUM(BaseHoras[[#This Row],[Abr/2019]:[Jun/2019]])</f>
        <v>109.02717158221807</v>
      </c>
      <c r="V203" s="29">
        <f>SUM(BaseHoras[[#This Row],[Jul/2019]:[Set/2019]])</f>
        <v>0</v>
      </c>
      <c r="W203" s="29">
        <f>SUM(BaseHoras[[#This Row],[Out/2019]:[Dez/2019]])</f>
        <v>0</v>
      </c>
    </row>
    <row r="204" spans="1:23">
      <c r="A204" t="s">
        <v>151</v>
      </c>
      <c r="B204" t="s">
        <v>168</v>
      </c>
      <c r="C204" t="s">
        <v>272</v>
      </c>
      <c r="D204" t="s">
        <v>136</v>
      </c>
      <c r="E204" t="s">
        <v>183</v>
      </c>
      <c r="F204">
        <v>0</v>
      </c>
      <c r="G204">
        <v>0</v>
      </c>
      <c r="H204">
        <v>302.29670068547665</v>
      </c>
      <c r="I204">
        <v>0</v>
      </c>
      <c r="J204">
        <v>0</v>
      </c>
      <c r="K204">
        <v>0</v>
      </c>
      <c r="L204">
        <v>0</v>
      </c>
      <c r="M204" s="28">
        <v>0</v>
      </c>
      <c r="N204" s="28">
        <v>0</v>
      </c>
      <c r="O204">
        <v>0</v>
      </c>
      <c r="P204">
        <v>0</v>
      </c>
      <c r="Q204">
        <v>0</v>
      </c>
      <c r="R204">
        <v>0</v>
      </c>
      <c r="S204" s="28">
        <v>302.29670068547665</v>
      </c>
      <c r="T204" s="29">
        <f>SUM(BaseHoras[[#This Row],[Jan/2019]:[Mar/2019]])</f>
        <v>302.29670068547665</v>
      </c>
      <c r="U204" s="29">
        <f>SUM(BaseHoras[[#This Row],[Abr/2019]:[Jun/2019]])</f>
        <v>0</v>
      </c>
      <c r="V204" s="29">
        <f>SUM(BaseHoras[[#This Row],[Jul/2019]:[Set/2019]])</f>
        <v>0</v>
      </c>
      <c r="W204" s="29">
        <f>SUM(BaseHoras[[#This Row],[Out/2019]:[Dez/2019]])</f>
        <v>0</v>
      </c>
    </row>
    <row r="205" spans="1:23">
      <c r="A205" t="s">
        <v>151</v>
      </c>
      <c r="B205" t="s">
        <v>168</v>
      </c>
      <c r="C205" t="s">
        <v>272</v>
      </c>
      <c r="D205" t="s">
        <v>150</v>
      </c>
      <c r="E205" t="s">
        <v>183</v>
      </c>
      <c r="F205">
        <v>16.080811056944682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s="28">
        <v>0</v>
      </c>
      <c r="N205" s="28">
        <v>0</v>
      </c>
      <c r="O205">
        <v>0</v>
      </c>
      <c r="P205">
        <v>0</v>
      </c>
      <c r="Q205">
        <v>0</v>
      </c>
      <c r="R205">
        <v>0</v>
      </c>
      <c r="S205" s="28">
        <v>16.080811056944682</v>
      </c>
      <c r="T205" s="29">
        <f>SUM(BaseHoras[[#This Row],[Jan/2019]:[Mar/2019]])</f>
        <v>16.080811056944682</v>
      </c>
      <c r="U205" s="29">
        <f>SUM(BaseHoras[[#This Row],[Abr/2019]:[Jun/2019]])</f>
        <v>0</v>
      </c>
      <c r="V205" s="29">
        <f>SUM(BaseHoras[[#This Row],[Jul/2019]:[Set/2019]])</f>
        <v>0</v>
      </c>
      <c r="W205" s="29">
        <f>SUM(BaseHoras[[#This Row],[Out/2019]:[Dez/2019]])</f>
        <v>0</v>
      </c>
    </row>
    <row r="206" spans="1:23">
      <c r="A206" t="s">
        <v>151</v>
      </c>
      <c r="B206" t="s">
        <v>168</v>
      </c>
      <c r="C206" t="s">
        <v>272</v>
      </c>
      <c r="D206" t="s">
        <v>163</v>
      </c>
      <c r="E206" t="s">
        <v>183</v>
      </c>
      <c r="F206">
        <v>409.76764668839422</v>
      </c>
      <c r="G206">
        <v>258.07900130741297</v>
      </c>
      <c r="H206">
        <v>600.94794165674864</v>
      </c>
      <c r="I206">
        <v>0</v>
      </c>
      <c r="J206">
        <v>0</v>
      </c>
      <c r="K206">
        <v>0</v>
      </c>
      <c r="L206">
        <v>0</v>
      </c>
      <c r="M206" s="28">
        <v>0</v>
      </c>
      <c r="N206" s="28">
        <v>0</v>
      </c>
      <c r="O206">
        <v>0</v>
      </c>
      <c r="P206">
        <v>0</v>
      </c>
      <c r="Q206">
        <v>0</v>
      </c>
      <c r="R206">
        <v>0</v>
      </c>
      <c r="S206" s="28">
        <v>1268.7945896525557</v>
      </c>
      <c r="T206" s="29">
        <f>SUM(BaseHoras[[#This Row],[Jan/2019]:[Mar/2019]])</f>
        <v>1268.7945896525557</v>
      </c>
      <c r="U206" s="29">
        <f>SUM(BaseHoras[[#This Row],[Abr/2019]:[Jun/2019]])</f>
        <v>0</v>
      </c>
      <c r="V206" s="29">
        <f>SUM(BaseHoras[[#This Row],[Jul/2019]:[Set/2019]])</f>
        <v>0</v>
      </c>
      <c r="W206" s="29">
        <f>SUM(BaseHoras[[#This Row],[Out/2019]:[Dez/2019]])</f>
        <v>0</v>
      </c>
    </row>
    <row r="207" spans="1:23">
      <c r="A207" t="s">
        <v>151</v>
      </c>
      <c r="B207" t="s">
        <v>168</v>
      </c>
      <c r="C207" t="s">
        <v>273</v>
      </c>
      <c r="D207" t="s">
        <v>19</v>
      </c>
      <c r="E207" t="s">
        <v>183</v>
      </c>
      <c r="F207">
        <v>4533.060000680799</v>
      </c>
      <c r="G207">
        <v>118.13159687417085</v>
      </c>
      <c r="H207">
        <v>0</v>
      </c>
      <c r="I207">
        <v>0</v>
      </c>
      <c r="J207">
        <v>0</v>
      </c>
      <c r="K207">
        <v>0</v>
      </c>
      <c r="L207">
        <v>34.219357339946754</v>
      </c>
      <c r="M207" s="28">
        <v>0</v>
      </c>
      <c r="N207" s="28">
        <v>0</v>
      </c>
      <c r="O207">
        <v>0</v>
      </c>
      <c r="P207">
        <v>147.09008039640662</v>
      </c>
      <c r="Q207">
        <v>0</v>
      </c>
      <c r="R207">
        <v>0</v>
      </c>
      <c r="S207" s="28">
        <v>4832.5010352913232</v>
      </c>
      <c r="T207" s="29">
        <f>SUM(BaseHoras[[#This Row],[Jan/2019]:[Mar/2019]])</f>
        <v>4651.19159755497</v>
      </c>
      <c r="U207" s="29">
        <f>SUM(BaseHoras[[#This Row],[Abr/2019]:[Jun/2019]])</f>
        <v>0</v>
      </c>
      <c r="V207" s="29">
        <f>SUM(BaseHoras[[#This Row],[Jul/2019]:[Set/2019]])</f>
        <v>34.219357339946754</v>
      </c>
      <c r="W207" s="29">
        <f>SUM(BaseHoras[[#This Row],[Out/2019]:[Dez/2019]])</f>
        <v>147.09008039640662</v>
      </c>
    </row>
    <row r="208" spans="1:23">
      <c r="A208" t="s">
        <v>151</v>
      </c>
      <c r="B208" t="s">
        <v>168</v>
      </c>
      <c r="C208" t="s">
        <v>273</v>
      </c>
      <c r="D208" t="s">
        <v>36</v>
      </c>
      <c r="E208" t="s">
        <v>183</v>
      </c>
      <c r="F208">
        <v>55.159385844360102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s="28">
        <v>0</v>
      </c>
      <c r="N208" s="28">
        <v>0</v>
      </c>
      <c r="O208">
        <v>0</v>
      </c>
      <c r="P208">
        <v>0</v>
      </c>
      <c r="Q208">
        <v>0</v>
      </c>
      <c r="R208">
        <v>0</v>
      </c>
      <c r="S208" s="28">
        <v>55.159385844360102</v>
      </c>
      <c r="T208" s="29">
        <f>SUM(BaseHoras[[#This Row],[Jan/2019]:[Mar/2019]])</f>
        <v>55.159385844360102</v>
      </c>
      <c r="U208" s="29">
        <f>SUM(BaseHoras[[#This Row],[Abr/2019]:[Jun/2019]])</f>
        <v>0</v>
      </c>
      <c r="V208" s="29">
        <f>SUM(BaseHoras[[#This Row],[Jul/2019]:[Set/2019]])</f>
        <v>0</v>
      </c>
      <c r="W208" s="29">
        <f>SUM(BaseHoras[[#This Row],[Out/2019]:[Dez/2019]])</f>
        <v>0</v>
      </c>
    </row>
    <row r="209" spans="1:23">
      <c r="A209" t="s">
        <v>151</v>
      </c>
      <c r="B209" t="s">
        <v>168</v>
      </c>
      <c r="C209" t="s">
        <v>273</v>
      </c>
      <c r="D209" t="s">
        <v>52</v>
      </c>
      <c r="E209" t="s">
        <v>183</v>
      </c>
      <c r="F209">
        <v>267.9891844289923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s="28">
        <v>0</v>
      </c>
      <c r="N209" s="28">
        <v>0</v>
      </c>
      <c r="O209">
        <v>0</v>
      </c>
      <c r="P209">
        <v>0</v>
      </c>
      <c r="Q209">
        <v>0</v>
      </c>
      <c r="R209">
        <v>0</v>
      </c>
      <c r="S209" s="28">
        <v>267.9891844289923</v>
      </c>
      <c r="T209" s="29">
        <f>SUM(BaseHoras[[#This Row],[Jan/2019]:[Mar/2019]])</f>
        <v>267.9891844289923</v>
      </c>
      <c r="U209" s="29">
        <f>SUM(BaseHoras[[#This Row],[Abr/2019]:[Jun/2019]])</f>
        <v>0</v>
      </c>
      <c r="V209" s="29">
        <f>SUM(BaseHoras[[#This Row],[Jul/2019]:[Set/2019]])</f>
        <v>0</v>
      </c>
      <c r="W209" s="29">
        <f>SUM(BaseHoras[[#This Row],[Out/2019]:[Dez/2019]])</f>
        <v>0</v>
      </c>
    </row>
    <row r="210" spans="1:23">
      <c r="A210" t="s">
        <v>151</v>
      </c>
      <c r="B210" t="s">
        <v>168</v>
      </c>
      <c r="C210" t="s">
        <v>273</v>
      </c>
      <c r="D210" t="s">
        <v>81</v>
      </c>
      <c r="E210" t="s">
        <v>183</v>
      </c>
      <c r="F210">
        <v>18.995365172006267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s="28">
        <v>0</v>
      </c>
      <c r="N210" s="28">
        <v>0</v>
      </c>
      <c r="O210">
        <v>0</v>
      </c>
      <c r="P210">
        <v>0</v>
      </c>
      <c r="Q210">
        <v>0</v>
      </c>
      <c r="R210">
        <v>0</v>
      </c>
      <c r="S210" s="28">
        <v>18.995365172006267</v>
      </c>
      <c r="T210" s="29">
        <f>SUM(BaseHoras[[#This Row],[Jan/2019]:[Mar/2019]])</f>
        <v>18.995365172006267</v>
      </c>
      <c r="U210" s="29">
        <f>SUM(BaseHoras[[#This Row],[Abr/2019]:[Jun/2019]])</f>
        <v>0</v>
      </c>
      <c r="V210" s="29">
        <f>SUM(BaseHoras[[#This Row],[Jul/2019]:[Set/2019]])</f>
        <v>0</v>
      </c>
      <c r="W210" s="29">
        <f>SUM(BaseHoras[[#This Row],[Out/2019]:[Dez/2019]])</f>
        <v>0</v>
      </c>
    </row>
    <row r="211" spans="1:23">
      <c r="A211" t="s">
        <v>151</v>
      </c>
      <c r="B211" t="s">
        <v>168</v>
      </c>
      <c r="C211" t="s">
        <v>273</v>
      </c>
      <c r="D211" t="s">
        <v>82</v>
      </c>
      <c r="E211" t="s">
        <v>183</v>
      </c>
      <c r="F211">
        <v>29.862943272279875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s="28">
        <v>0</v>
      </c>
      <c r="N211" s="28">
        <v>0</v>
      </c>
      <c r="O211">
        <v>0</v>
      </c>
      <c r="P211">
        <v>0</v>
      </c>
      <c r="Q211">
        <v>0</v>
      </c>
      <c r="R211">
        <v>0</v>
      </c>
      <c r="S211" s="28">
        <v>29.862943272279875</v>
      </c>
      <c r="T211" s="29">
        <f>SUM(BaseHoras[[#This Row],[Jan/2019]:[Mar/2019]])</f>
        <v>29.862943272279875</v>
      </c>
      <c r="U211" s="29">
        <f>SUM(BaseHoras[[#This Row],[Abr/2019]:[Jun/2019]])</f>
        <v>0</v>
      </c>
      <c r="V211" s="29">
        <f>SUM(BaseHoras[[#This Row],[Jul/2019]:[Set/2019]])</f>
        <v>0</v>
      </c>
      <c r="W211" s="29">
        <f>SUM(BaseHoras[[#This Row],[Out/2019]:[Dez/2019]])</f>
        <v>0</v>
      </c>
    </row>
    <row r="212" spans="1:23">
      <c r="A212" t="s">
        <v>151</v>
      </c>
      <c r="B212" t="s">
        <v>168</v>
      </c>
      <c r="C212" t="s">
        <v>273</v>
      </c>
      <c r="D212" t="s">
        <v>100</v>
      </c>
      <c r="E212" t="s">
        <v>183</v>
      </c>
      <c r="F212">
        <v>40.528339125843722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s="28">
        <v>0</v>
      </c>
      <c r="N212" s="28">
        <v>0</v>
      </c>
      <c r="O212">
        <v>0</v>
      </c>
      <c r="P212">
        <v>0</v>
      </c>
      <c r="Q212">
        <v>0</v>
      </c>
      <c r="R212">
        <v>0</v>
      </c>
      <c r="S212" s="28">
        <v>40.528339125843722</v>
      </c>
      <c r="T212" s="29">
        <f>SUM(BaseHoras[[#This Row],[Jan/2019]:[Mar/2019]])</f>
        <v>40.528339125843722</v>
      </c>
      <c r="U212" s="29">
        <f>SUM(BaseHoras[[#This Row],[Abr/2019]:[Jun/2019]])</f>
        <v>0</v>
      </c>
      <c r="V212" s="29">
        <f>SUM(BaseHoras[[#This Row],[Jul/2019]:[Set/2019]])</f>
        <v>0</v>
      </c>
      <c r="W212" s="29">
        <f>SUM(BaseHoras[[#This Row],[Out/2019]:[Dez/2019]])</f>
        <v>0</v>
      </c>
    </row>
    <row r="213" spans="1:23">
      <c r="A213" t="s">
        <v>151</v>
      </c>
      <c r="B213" t="s">
        <v>168</v>
      </c>
      <c r="C213" t="s">
        <v>273</v>
      </c>
      <c r="D213" t="s">
        <v>102</v>
      </c>
      <c r="E213" t="s">
        <v>183</v>
      </c>
      <c r="F213">
        <v>23.069286356794617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s="28">
        <v>0</v>
      </c>
      <c r="N213" s="28">
        <v>0</v>
      </c>
      <c r="O213">
        <v>0</v>
      </c>
      <c r="P213">
        <v>0</v>
      </c>
      <c r="Q213">
        <v>0</v>
      </c>
      <c r="R213">
        <v>0</v>
      </c>
      <c r="S213" s="28">
        <v>23.069286356794617</v>
      </c>
      <c r="T213" s="29">
        <f>SUM(BaseHoras[[#This Row],[Jan/2019]:[Mar/2019]])</f>
        <v>23.069286356794617</v>
      </c>
      <c r="U213" s="29">
        <f>SUM(BaseHoras[[#This Row],[Abr/2019]:[Jun/2019]])</f>
        <v>0</v>
      </c>
      <c r="V213" s="29">
        <f>SUM(BaseHoras[[#This Row],[Jul/2019]:[Set/2019]])</f>
        <v>0</v>
      </c>
      <c r="W213" s="29">
        <f>SUM(BaseHoras[[#This Row],[Out/2019]:[Dez/2019]])</f>
        <v>0</v>
      </c>
    </row>
    <row r="214" spans="1:23">
      <c r="A214" t="s">
        <v>151</v>
      </c>
      <c r="B214" t="s">
        <v>168</v>
      </c>
      <c r="C214" t="s">
        <v>273</v>
      </c>
      <c r="D214" t="s">
        <v>106</v>
      </c>
      <c r="E214" t="s">
        <v>183</v>
      </c>
      <c r="F214">
        <v>50.97380968843121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s="28">
        <v>0</v>
      </c>
      <c r="N214" s="28">
        <v>0</v>
      </c>
      <c r="O214">
        <v>0</v>
      </c>
      <c r="P214">
        <v>0</v>
      </c>
      <c r="Q214">
        <v>0</v>
      </c>
      <c r="R214">
        <v>0</v>
      </c>
      <c r="S214" s="28">
        <v>50.97380968843121</v>
      </c>
      <c r="T214" s="29">
        <f>SUM(BaseHoras[[#This Row],[Jan/2019]:[Mar/2019]])</f>
        <v>50.97380968843121</v>
      </c>
      <c r="U214" s="29">
        <f>SUM(BaseHoras[[#This Row],[Abr/2019]:[Jun/2019]])</f>
        <v>0</v>
      </c>
      <c r="V214" s="29">
        <f>SUM(BaseHoras[[#This Row],[Jul/2019]:[Set/2019]])</f>
        <v>0</v>
      </c>
      <c r="W214" s="29">
        <f>SUM(BaseHoras[[#This Row],[Out/2019]:[Dez/2019]])</f>
        <v>0</v>
      </c>
    </row>
    <row r="215" spans="1:23">
      <c r="A215" t="s">
        <v>151</v>
      </c>
      <c r="B215" t="s">
        <v>168</v>
      </c>
      <c r="C215" t="s">
        <v>273</v>
      </c>
      <c r="D215" t="s">
        <v>118</v>
      </c>
      <c r="E215" t="s">
        <v>183</v>
      </c>
      <c r="F215">
        <v>269.49823315638736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s="28">
        <v>0</v>
      </c>
      <c r="N215" s="28">
        <v>0</v>
      </c>
      <c r="O215">
        <v>0</v>
      </c>
      <c r="P215">
        <v>0</v>
      </c>
      <c r="Q215">
        <v>0</v>
      </c>
      <c r="R215">
        <v>0</v>
      </c>
      <c r="S215" s="28">
        <v>269.49823315638736</v>
      </c>
      <c r="T215" s="29">
        <f>SUM(BaseHoras[[#This Row],[Jan/2019]:[Mar/2019]])</f>
        <v>269.49823315638736</v>
      </c>
      <c r="U215" s="29">
        <f>SUM(BaseHoras[[#This Row],[Abr/2019]:[Jun/2019]])</f>
        <v>0</v>
      </c>
      <c r="V215" s="29">
        <f>SUM(BaseHoras[[#This Row],[Jul/2019]:[Set/2019]])</f>
        <v>0</v>
      </c>
      <c r="W215" s="29">
        <f>SUM(BaseHoras[[#This Row],[Out/2019]:[Dez/2019]])</f>
        <v>0</v>
      </c>
    </row>
    <row r="216" spans="1:23">
      <c r="A216" t="s">
        <v>151</v>
      </c>
      <c r="B216" t="s">
        <v>168</v>
      </c>
      <c r="C216" t="s">
        <v>273</v>
      </c>
      <c r="D216" t="s">
        <v>123</v>
      </c>
      <c r="E216" t="s">
        <v>183</v>
      </c>
      <c r="F216">
        <v>202.30778689218135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s="28">
        <v>0</v>
      </c>
      <c r="N216" s="28">
        <v>0</v>
      </c>
      <c r="O216">
        <v>0</v>
      </c>
      <c r="P216">
        <v>0</v>
      </c>
      <c r="Q216">
        <v>0</v>
      </c>
      <c r="R216">
        <v>0</v>
      </c>
      <c r="S216" s="28">
        <v>202.30778689218135</v>
      </c>
      <c r="T216" s="29">
        <f>SUM(BaseHoras[[#This Row],[Jan/2019]:[Mar/2019]])</f>
        <v>202.30778689218135</v>
      </c>
      <c r="U216" s="29">
        <f>SUM(BaseHoras[[#This Row],[Abr/2019]:[Jun/2019]])</f>
        <v>0</v>
      </c>
      <c r="V216" s="29">
        <f>SUM(BaseHoras[[#This Row],[Jul/2019]:[Set/2019]])</f>
        <v>0</v>
      </c>
      <c r="W216" s="29">
        <f>SUM(BaseHoras[[#This Row],[Out/2019]:[Dez/2019]])</f>
        <v>0</v>
      </c>
    </row>
    <row r="217" spans="1:23">
      <c r="A217" t="s">
        <v>151</v>
      </c>
      <c r="B217" t="s">
        <v>168</v>
      </c>
      <c r="C217" t="s">
        <v>273</v>
      </c>
      <c r="D217" t="s">
        <v>128</v>
      </c>
      <c r="E217" t="s">
        <v>183</v>
      </c>
      <c r="F217">
        <v>282.45797753773013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s="28">
        <v>0</v>
      </c>
      <c r="N217" s="28">
        <v>0</v>
      </c>
      <c r="O217">
        <v>0</v>
      </c>
      <c r="P217">
        <v>0</v>
      </c>
      <c r="Q217">
        <v>0</v>
      </c>
      <c r="R217">
        <v>0</v>
      </c>
      <c r="S217" s="28">
        <v>282.45797753773013</v>
      </c>
      <c r="T217" s="29">
        <f>SUM(BaseHoras[[#This Row],[Jan/2019]:[Mar/2019]])</f>
        <v>282.45797753773013</v>
      </c>
      <c r="U217" s="29">
        <f>SUM(BaseHoras[[#This Row],[Abr/2019]:[Jun/2019]])</f>
        <v>0</v>
      </c>
      <c r="V217" s="29">
        <f>SUM(BaseHoras[[#This Row],[Jul/2019]:[Set/2019]])</f>
        <v>0</v>
      </c>
      <c r="W217" s="29">
        <f>SUM(BaseHoras[[#This Row],[Out/2019]:[Dez/2019]])</f>
        <v>0</v>
      </c>
    </row>
    <row r="218" spans="1:23">
      <c r="A218" t="s">
        <v>151</v>
      </c>
      <c r="B218" t="s">
        <v>168</v>
      </c>
      <c r="C218" t="s">
        <v>273</v>
      </c>
      <c r="D218" t="s">
        <v>132</v>
      </c>
      <c r="E218" t="s">
        <v>183</v>
      </c>
      <c r="F218">
        <v>291.86101799707222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s="28">
        <v>0</v>
      </c>
      <c r="N218" s="28">
        <v>0</v>
      </c>
      <c r="O218">
        <v>0</v>
      </c>
      <c r="P218">
        <v>0</v>
      </c>
      <c r="Q218">
        <v>0</v>
      </c>
      <c r="R218">
        <v>0</v>
      </c>
      <c r="S218" s="28">
        <v>291.86101799707222</v>
      </c>
      <c r="T218" s="29">
        <f>SUM(BaseHoras[[#This Row],[Jan/2019]:[Mar/2019]])</f>
        <v>291.86101799707222</v>
      </c>
      <c r="U218" s="29">
        <f>SUM(BaseHoras[[#This Row],[Abr/2019]:[Jun/2019]])</f>
        <v>0</v>
      </c>
      <c r="V218" s="29">
        <f>SUM(BaseHoras[[#This Row],[Jul/2019]:[Set/2019]])</f>
        <v>0</v>
      </c>
      <c r="W218" s="29">
        <f>SUM(BaseHoras[[#This Row],[Out/2019]:[Dez/2019]])</f>
        <v>0</v>
      </c>
    </row>
    <row r="219" spans="1:23">
      <c r="A219" t="s">
        <v>151</v>
      </c>
      <c r="B219" t="s">
        <v>168</v>
      </c>
      <c r="C219" t="s">
        <v>273</v>
      </c>
      <c r="D219" t="s">
        <v>144</v>
      </c>
      <c r="E219" t="s">
        <v>183</v>
      </c>
      <c r="F219">
        <v>0</v>
      </c>
      <c r="G219">
        <v>0</v>
      </c>
      <c r="H219">
        <v>122.34270045168198</v>
      </c>
      <c r="I219">
        <v>0</v>
      </c>
      <c r="J219">
        <v>0</v>
      </c>
      <c r="K219">
        <v>0</v>
      </c>
      <c r="L219">
        <v>0</v>
      </c>
      <c r="M219" s="28">
        <v>0</v>
      </c>
      <c r="N219" s="28">
        <v>0</v>
      </c>
      <c r="O219">
        <v>0</v>
      </c>
      <c r="P219">
        <v>0</v>
      </c>
      <c r="Q219">
        <v>0</v>
      </c>
      <c r="R219">
        <v>0</v>
      </c>
      <c r="S219" s="28">
        <v>122.34270045168198</v>
      </c>
      <c r="T219" s="29">
        <f>SUM(BaseHoras[[#This Row],[Jan/2019]:[Mar/2019]])</f>
        <v>122.34270045168198</v>
      </c>
      <c r="U219" s="29">
        <f>SUM(BaseHoras[[#This Row],[Abr/2019]:[Jun/2019]])</f>
        <v>0</v>
      </c>
      <c r="V219" s="29">
        <f>SUM(BaseHoras[[#This Row],[Jul/2019]:[Set/2019]])</f>
        <v>0</v>
      </c>
      <c r="W219" s="29">
        <f>SUM(BaseHoras[[#This Row],[Out/2019]:[Dez/2019]])</f>
        <v>0</v>
      </c>
    </row>
    <row r="220" spans="1:23">
      <c r="A220" t="s">
        <v>151</v>
      </c>
      <c r="B220" t="s">
        <v>168</v>
      </c>
      <c r="C220" t="s">
        <v>273</v>
      </c>
      <c r="D220" t="s">
        <v>149</v>
      </c>
      <c r="E220" t="s">
        <v>183</v>
      </c>
      <c r="F220">
        <v>1210.8809420136351</v>
      </c>
      <c r="G220">
        <v>154.49574137897662</v>
      </c>
      <c r="H220">
        <v>0</v>
      </c>
      <c r="I220">
        <v>0</v>
      </c>
      <c r="J220">
        <v>0</v>
      </c>
      <c r="K220">
        <v>0</v>
      </c>
      <c r="L220">
        <v>0</v>
      </c>
      <c r="M220" s="28">
        <v>0</v>
      </c>
      <c r="N220" s="28">
        <v>0</v>
      </c>
      <c r="O220">
        <v>0</v>
      </c>
      <c r="P220">
        <v>0</v>
      </c>
      <c r="Q220">
        <v>0</v>
      </c>
      <c r="R220">
        <v>0</v>
      </c>
      <c r="S220" s="28">
        <v>1365.3766833926118</v>
      </c>
      <c r="T220" s="29">
        <f>SUM(BaseHoras[[#This Row],[Jan/2019]:[Mar/2019]])</f>
        <v>1365.3766833926118</v>
      </c>
      <c r="U220" s="29">
        <f>SUM(BaseHoras[[#This Row],[Abr/2019]:[Jun/2019]])</f>
        <v>0</v>
      </c>
      <c r="V220" s="29">
        <f>SUM(BaseHoras[[#This Row],[Jul/2019]:[Set/2019]])</f>
        <v>0</v>
      </c>
      <c r="W220" s="29">
        <f>SUM(BaseHoras[[#This Row],[Out/2019]:[Dez/2019]])</f>
        <v>0</v>
      </c>
    </row>
    <row r="221" spans="1:23">
      <c r="A221" t="s">
        <v>151</v>
      </c>
      <c r="B221" t="s">
        <v>168</v>
      </c>
      <c r="C221" t="s">
        <v>274</v>
      </c>
      <c r="D221" t="s">
        <v>25</v>
      </c>
      <c r="E221" t="s">
        <v>183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1368.4882705083949</v>
      </c>
      <c r="M221" s="28">
        <v>0</v>
      </c>
      <c r="N221" s="28">
        <v>0</v>
      </c>
      <c r="O221">
        <v>0</v>
      </c>
      <c r="P221">
        <v>0</v>
      </c>
      <c r="Q221">
        <v>0</v>
      </c>
      <c r="R221">
        <v>0</v>
      </c>
      <c r="S221" s="28">
        <v>1368.4882705083949</v>
      </c>
      <c r="T221" s="29">
        <f>SUM(BaseHoras[[#This Row],[Jan/2019]:[Mar/2019]])</f>
        <v>0</v>
      </c>
      <c r="U221" s="29">
        <f>SUM(BaseHoras[[#This Row],[Abr/2019]:[Jun/2019]])</f>
        <v>0</v>
      </c>
      <c r="V221" s="29">
        <f>SUM(BaseHoras[[#This Row],[Jul/2019]:[Set/2019]])</f>
        <v>1368.4882705083949</v>
      </c>
      <c r="W221" s="29">
        <f>SUM(BaseHoras[[#This Row],[Out/2019]:[Dez/2019]])</f>
        <v>0</v>
      </c>
    </row>
    <row r="222" spans="1:23">
      <c r="A222" t="s">
        <v>151</v>
      </c>
      <c r="B222" t="s">
        <v>168</v>
      </c>
      <c r="C222" t="s">
        <v>274</v>
      </c>
      <c r="D222" t="s">
        <v>28</v>
      </c>
      <c r="E222" t="s">
        <v>183</v>
      </c>
      <c r="F222">
        <v>0</v>
      </c>
      <c r="G222">
        <v>34.968312596301551</v>
      </c>
      <c r="H222">
        <v>0</v>
      </c>
      <c r="I222">
        <v>0</v>
      </c>
      <c r="J222">
        <v>0</v>
      </c>
      <c r="K222">
        <v>0</v>
      </c>
      <c r="L222">
        <v>0</v>
      </c>
      <c r="M222" s="28">
        <v>0</v>
      </c>
      <c r="N222" s="28">
        <v>0</v>
      </c>
      <c r="O222">
        <v>0</v>
      </c>
      <c r="P222">
        <v>0</v>
      </c>
      <c r="Q222">
        <v>0</v>
      </c>
      <c r="R222">
        <v>0</v>
      </c>
      <c r="S222" s="28">
        <v>34.968312596301551</v>
      </c>
      <c r="T222" s="29">
        <f>SUM(BaseHoras[[#This Row],[Jan/2019]:[Mar/2019]])</f>
        <v>34.968312596301551</v>
      </c>
      <c r="U222" s="29">
        <f>SUM(BaseHoras[[#This Row],[Abr/2019]:[Jun/2019]])</f>
        <v>0</v>
      </c>
      <c r="V222" s="29">
        <f>SUM(BaseHoras[[#This Row],[Jul/2019]:[Set/2019]])</f>
        <v>0</v>
      </c>
      <c r="W222" s="29">
        <f>SUM(BaseHoras[[#This Row],[Out/2019]:[Dez/2019]])</f>
        <v>0</v>
      </c>
    </row>
    <row r="223" spans="1:23">
      <c r="A223" t="s">
        <v>151</v>
      </c>
      <c r="B223" t="s">
        <v>168</v>
      </c>
      <c r="C223" t="s">
        <v>274</v>
      </c>
      <c r="D223" t="s">
        <v>35</v>
      </c>
      <c r="E223" t="s">
        <v>183</v>
      </c>
      <c r="F223">
        <v>0</v>
      </c>
      <c r="G223">
        <v>6.6531100883435323</v>
      </c>
      <c r="H223">
        <v>0</v>
      </c>
      <c r="I223">
        <v>0</v>
      </c>
      <c r="J223">
        <v>0</v>
      </c>
      <c r="K223">
        <v>0</v>
      </c>
      <c r="L223">
        <v>0</v>
      </c>
      <c r="M223" s="28">
        <v>0</v>
      </c>
      <c r="N223" s="28">
        <v>0</v>
      </c>
      <c r="O223">
        <v>0</v>
      </c>
      <c r="P223">
        <v>0</v>
      </c>
      <c r="Q223">
        <v>0</v>
      </c>
      <c r="R223">
        <v>0</v>
      </c>
      <c r="S223" s="28">
        <v>6.6531100883435323</v>
      </c>
      <c r="T223" s="29">
        <f>SUM(BaseHoras[[#This Row],[Jan/2019]:[Mar/2019]])</f>
        <v>6.6531100883435323</v>
      </c>
      <c r="U223" s="29">
        <f>SUM(BaseHoras[[#This Row],[Abr/2019]:[Jun/2019]])</f>
        <v>0</v>
      </c>
      <c r="V223" s="29">
        <f>SUM(BaseHoras[[#This Row],[Jul/2019]:[Set/2019]])</f>
        <v>0</v>
      </c>
      <c r="W223" s="29">
        <f>SUM(BaseHoras[[#This Row],[Out/2019]:[Dez/2019]])</f>
        <v>0</v>
      </c>
    </row>
    <row r="224" spans="1:23">
      <c r="A224" t="s">
        <v>151</v>
      </c>
      <c r="B224" t="s">
        <v>168</v>
      </c>
      <c r="C224" t="s">
        <v>274</v>
      </c>
      <c r="D224" t="s">
        <v>36</v>
      </c>
      <c r="E224" t="s">
        <v>183</v>
      </c>
      <c r="F224">
        <v>0</v>
      </c>
      <c r="G224">
        <v>0</v>
      </c>
      <c r="H224">
        <v>0</v>
      </c>
      <c r="I224">
        <v>0</v>
      </c>
      <c r="J224">
        <v>41.994120913028567</v>
      </c>
      <c r="K224">
        <v>11.686416027817446</v>
      </c>
      <c r="L224">
        <v>0</v>
      </c>
      <c r="M224" s="28">
        <v>0</v>
      </c>
      <c r="N224" s="28">
        <v>0</v>
      </c>
      <c r="O224">
        <v>0</v>
      </c>
      <c r="P224">
        <v>0</v>
      </c>
      <c r="Q224">
        <v>0</v>
      </c>
      <c r="R224">
        <v>0</v>
      </c>
      <c r="S224" s="28">
        <v>53.680536940846011</v>
      </c>
      <c r="T224" s="29">
        <f>SUM(BaseHoras[[#This Row],[Jan/2019]:[Mar/2019]])</f>
        <v>0</v>
      </c>
      <c r="U224" s="29">
        <f>SUM(BaseHoras[[#This Row],[Abr/2019]:[Jun/2019]])</f>
        <v>53.680536940846011</v>
      </c>
      <c r="V224" s="29">
        <f>SUM(BaseHoras[[#This Row],[Jul/2019]:[Set/2019]])</f>
        <v>0</v>
      </c>
      <c r="W224" s="29">
        <f>SUM(BaseHoras[[#This Row],[Out/2019]:[Dez/2019]])</f>
        <v>0</v>
      </c>
    </row>
    <row r="225" spans="1:23">
      <c r="A225" t="s">
        <v>151</v>
      </c>
      <c r="B225" t="s">
        <v>168</v>
      </c>
      <c r="C225" t="s">
        <v>274</v>
      </c>
      <c r="D225" t="s">
        <v>55</v>
      </c>
      <c r="E225" t="s">
        <v>183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4.9594162189731321</v>
      </c>
      <c r="L225">
        <v>14.57119042141448</v>
      </c>
      <c r="M225" s="28">
        <v>0</v>
      </c>
      <c r="N225" s="28">
        <v>0</v>
      </c>
      <c r="O225">
        <v>0</v>
      </c>
      <c r="P225">
        <v>0</v>
      </c>
      <c r="Q225">
        <v>0</v>
      </c>
      <c r="R225">
        <v>0</v>
      </c>
      <c r="S225" s="28">
        <v>19.53060664038761</v>
      </c>
      <c r="T225" s="29">
        <f>SUM(BaseHoras[[#This Row],[Jan/2019]:[Mar/2019]])</f>
        <v>0</v>
      </c>
      <c r="U225" s="29">
        <f>SUM(BaseHoras[[#This Row],[Abr/2019]:[Jun/2019]])</f>
        <v>4.9594162189731321</v>
      </c>
      <c r="V225" s="29">
        <f>SUM(BaseHoras[[#This Row],[Jul/2019]:[Set/2019]])</f>
        <v>14.57119042141448</v>
      </c>
      <c r="W225" s="29">
        <f>SUM(BaseHoras[[#This Row],[Out/2019]:[Dez/2019]])</f>
        <v>0</v>
      </c>
    </row>
    <row r="226" spans="1:23">
      <c r="A226" t="s">
        <v>151</v>
      </c>
      <c r="B226" t="s">
        <v>168</v>
      </c>
      <c r="C226" t="s">
        <v>274</v>
      </c>
      <c r="D226" t="s">
        <v>65</v>
      </c>
      <c r="E226" t="s">
        <v>183</v>
      </c>
      <c r="F226">
        <v>0</v>
      </c>
      <c r="G226">
        <v>368.31119942846499</v>
      </c>
      <c r="H226">
        <v>0</v>
      </c>
      <c r="I226">
        <v>0</v>
      </c>
      <c r="J226">
        <v>0</v>
      </c>
      <c r="K226">
        <v>0</v>
      </c>
      <c r="L226">
        <v>0</v>
      </c>
      <c r="M226" s="28">
        <v>0</v>
      </c>
      <c r="N226" s="28">
        <v>0</v>
      </c>
      <c r="O226">
        <v>0</v>
      </c>
      <c r="P226">
        <v>0</v>
      </c>
      <c r="Q226">
        <v>0</v>
      </c>
      <c r="R226">
        <v>0</v>
      </c>
      <c r="S226" s="28">
        <v>368.31119942846499</v>
      </c>
      <c r="T226" s="29">
        <f>SUM(BaseHoras[[#This Row],[Jan/2019]:[Mar/2019]])</f>
        <v>368.31119942846499</v>
      </c>
      <c r="U226" s="29">
        <f>SUM(BaseHoras[[#This Row],[Abr/2019]:[Jun/2019]])</f>
        <v>0</v>
      </c>
      <c r="V226" s="29">
        <f>SUM(BaseHoras[[#This Row],[Jul/2019]:[Set/2019]])</f>
        <v>0</v>
      </c>
      <c r="W226" s="29">
        <f>SUM(BaseHoras[[#This Row],[Out/2019]:[Dez/2019]])</f>
        <v>0</v>
      </c>
    </row>
    <row r="227" spans="1:23">
      <c r="A227" t="s">
        <v>151</v>
      </c>
      <c r="B227" t="s">
        <v>168</v>
      </c>
      <c r="C227" t="s">
        <v>274</v>
      </c>
      <c r="D227" t="s">
        <v>81</v>
      </c>
      <c r="E227" t="s">
        <v>183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6.3738482539202312</v>
      </c>
      <c r="M227" s="28">
        <v>0</v>
      </c>
      <c r="N227" s="28">
        <v>0</v>
      </c>
      <c r="O227">
        <v>0</v>
      </c>
      <c r="P227">
        <v>0</v>
      </c>
      <c r="Q227">
        <v>0</v>
      </c>
      <c r="R227">
        <v>0</v>
      </c>
      <c r="S227" s="28">
        <v>6.3738482539202312</v>
      </c>
      <c r="T227" s="29">
        <f>SUM(BaseHoras[[#This Row],[Jan/2019]:[Mar/2019]])</f>
        <v>0</v>
      </c>
      <c r="U227" s="29">
        <f>SUM(BaseHoras[[#This Row],[Abr/2019]:[Jun/2019]])</f>
        <v>0</v>
      </c>
      <c r="V227" s="29">
        <f>SUM(BaseHoras[[#This Row],[Jul/2019]:[Set/2019]])</f>
        <v>6.3738482539202312</v>
      </c>
      <c r="W227" s="29">
        <f>SUM(BaseHoras[[#This Row],[Out/2019]:[Dez/2019]])</f>
        <v>0</v>
      </c>
    </row>
    <row r="228" spans="1:23">
      <c r="A228" t="s">
        <v>151</v>
      </c>
      <c r="B228" t="s">
        <v>168</v>
      </c>
      <c r="C228" t="s">
        <v>274</v>
      </c>
      <c r="D228" t="s">
        <v>100</v>
      </c>
      <c r="E228" t="s">
        <v>183</v>
      </c>
      <c r="F228">
        <v>0</v>
      </c>
      <c r="G228">
        <v>23.024402021524022</v>
      </c>
      <c r="H228">
        <v>0</v>
      </c>
      <c r="I228">
        <v>0</v>
      </c>
      <c r="J228">
        <v>0</v>
      </c>
      <c r="K228">
        <v>0</v>
      </c>
      <c r="L228">
        <v>0</v>
      </c>
      <c r="M228" s="28">
        <v>0</v>
      </c>
      <c r="N228" s="28">
        <v>0</v>
      </c>
      <c r="O228">
        <v>0</v>
      </c>
      <c r="P228">
        <v>0</v>
      </c>
      <c r="Q228">
        <v>0</v>
      </c>
      <c r="R228">
        <v>0</v>
      </c>
      <c r="S228" s="28">
        <v>23.024402021524022</v>
      </c>
      <c r="T228" s="29">
        <f>SUM(BaseHoras[[#This Row],[Jan/2019]:[Mar/2019]])</f>
        <v>23.024402021524022</v>
      </c>
      <c r="U228" s="29">
        <f>SUM(BaseHoras[[#This Row],[Abr/2019]:[Jun/2019]])</f>
        <v>0</v>
      </c>
      <c r="V228" s="29">
        <f>SUM(BaseHoras[[#This Row],[Jul/2019]:[Set/2019]])</f>
        <v>0</v>
      </c>
      <c r="W228" s="29">
        <f>SUM(BaseHoras[[#This Row],[Out/2019]:[Dez/2019]])</f>
        <v>0</v>
      </c>
    </row>
    <row r="229" spans="1:23">
      <c r="A229" t="s">
        <v>151</v>
      </c>
      <c r="B229" t="s">
        <v>168</v>
      </c>
      <c r="C229" t="s">
        <v>274</v>
      </c>
      <c r="D229" t="s">
        <v>106</v>
      </c>
      <c r="E229" t="s">
        <v>183</v>
      </c>
      <c r="F229">
        <v>0</v>
      </c>
      <c r="G229">
        <v>0</v>
      </c>
      <c r="H229">
        <v>0</v>
      </c>
      <c r="I229">
        <v>13.787218826735598</v>
      </c>
      <c r="J229">
        <v>0</v>
      </c>
      <c r="K229">
        <v>0</v>
      </c>
      <c r="L229">
        <v>0</v>
      </c>
      <c r="M229" s="28">
        <v>0</v>
      </c>
      <c r="N229" s="28">
        <v>0</v>
      </c>
      <c r="O229">
        <v>0</v>
      </c>
      <c r="P229">
        <v>0</v>
      </c>
      <c r="Q229">
        <v>0</v>
      </c>
      <c r="R229">
        <v>0</v>
      </c>
      <c r="S229" s="28">
        <v>13.787218826735598</v>
      </c>
      <c r="T229" s="29">
        <f>SUM(BaseHoras[[#This Row],[Jan/2019]:[Mar/2019]])</f>
        <v>0</v>
      </c>
      <c r="U229" s="29">
        <f>SUM(BaseHoras[[#This Row],[Abr/2019]:[Jun/2019]])</f>
        <v>13.787218826735598</v>
      </c>
      <c r="V229" s="29">
        <f>SUM(BaseHoras[[#This Row],[Jul/2019]:[Set/2019]])</f>
        <v>0</v>
      </c>
      <c r="W229" s="29">
        <f>SUM(BaseHoras[[#This Row],[Out/2019]:[Dez/2019]])</f>
        <v>0</v>
      </c>
    </row>
    <row r="230" spans="1:23">
      <c r="A230" t="s">
        <v>151</v>
      </c>
      <c r="B230" t="s">
        <v>168</v>
      </c>
      <c r="C230" t="s">
        <v>274</v>
      </c>
      <c r="D230" t="s">
        <v>107</v>
      </c>
      <c r="E230" t="s">
        <v>183</v>
      </c>
      <c r="F230">
        <v>0</v>
      </c>
      <c r="G230">
        <v>0</v>
      </c>
      <c r="H230">
        <v>0</v>
      </c>
      <c r="I230">
        <v>0</v>
      </c>
      <c r="J230">
        <v>59.211866929213961</v>
      </c>
      <c r="K230">
        <v>0</v>
      </c>
      <c r="L230">
        <v>0</v>
      </c>
      <c r="M230" s="28">
        <v>0</v>
      </c>
      <c r="N230" s="28">
        <v>0</v>
      </c>
      <c r="O230">
        <v>0</v>
      </c>
      <c r="P230">
        <v>0</v>
      </c>
      <c r="Q230">
        <v>0</v>
      </c>
      <c r="R230">
        <v>0</v>
      </c>
      <c r="S230" s="28">
        <v>59.211866929213961</v>
      </c>
      <c r="T230" s="29">
        <f>SUM(BaseHoras[[#This Row],[Jan/2019]:[Mar/2019]])</f>
        <v>0</v>
      </c>
      <c r="U230" s="29">
        <f>SUM(BaseHoras[[#This Row],[Abr/2019]:[Jun/2019]])</f>
        <v>59.211866929213961</v>
      </c>
      <c r="V230" s="29">
        <f>SUM(BaseHoras[[#This Row],[Jul/2019]:[Set/2019]])</f>
        <v>0</v>
      </c>
      <c r="W230" s="29">
        <f>SUM(BaseHoras[[#This Row],[Out/2019]:[Dez/2019]])</f>
        <v>0</v>
      </c>
    </row>
    <row r="231" spans="1:23">
      <c r="A231" t="s">
        <v>151</v>
      </c>
      <c r="B231" t="s">
        <v>168</v>
      </c>
      <c r="C231" t="s">
        <v>274</v>
      </c>
      <c r="D231" t="s">
        <v>109</v>
      </c>
      <c r="E231" t="s">
        <v>183</v>
      </c>
      <c r="F231">
        <v>0</v>
      </c>
      <c r="G231">
        <v>0</v>
      </c>
      <c r="H231">
        <v>0</v>
      </c>
      <c r="I231">
        <v>0</v>
      </c>
      <c r="J231">
        <v>94.710177516019797</v>
      </c>
      <c r="K231">
        <v>18.858407306862425</v>
      </c>
      <c r="L231">
        <v>0</v>
      </c>
      <c r="M231" s="28">
        <v>0</v>
      </c>
      <c r="N231" s="28">
        <v>0</v>
      </c>
      <c r="O231">
        <v>0</v>
      </c>
      <c r="P231">
        <v>0</v>
      </c>
      <c r="Q231">
        <v>0</v>
      </c>
      <c r="R231">
        <v>0</v>
      </c>
      <c r="S231" s="28">
        <v>113.56858482288223</v>
      </c>
      <c r="T231" s="29">
        <f>SUM(BaseHoras[[#This Row],[Jan/2019]:[Mar/2019]])</f>
        <v>0</v>
      </c>
      <c r="U231" s="29">
        <f>SUM(BaseHoras[[#This Row],[Abr/2019]:[Jun/2019]])</f>
        <v>113.56858482288223</v>
      </c>
      <c r="V231" s="29">
        <f>SUM(BaseHoras[[#This Row],[Jul/2019]:[Set/2019]])</f>
        <v>0</v>
      </c>
      <c r="W231" s="29">
        <f>SUM(BaseHoras[[#This Row],[Out/2019]:[Dez/2019]])</f>
        <v>0</v>
      </c>
    </row>
    <row r="232" spans="1:23">
      <c r="A232" t="s">
        <v>151</v>
      </c>
      <c r="B232" t="s">
        <v>168</v>
      </c>
      <c r="C232" t="s">
        <v>274</v>
      </c>
      <c r="D232" t="s">
        <v>118</v>
      </c>
      <c r="E232" t="s">
        <v>183</v>
      </c>
      <c r="F232">
        <v>25.797608292436692</v>
      </c>
      <c r="G232">
        <v>73.264755317211893</v>
      </c>
      <c r="H232">
        <v>11246.22653820131</v>
      </c>
      <c r="I232">
        <v>149.08646578672841</v>
      </c>
      <c r="J232">
        <v>50.72614113334069</v>
      </c>
      <c r="K232">
        <v>0</v>
      </c>
      <c r="L232">
        <v>0</v>
      </c>
      <c r="M232" s="28">
        <v>0</v>
      </c>
      <c r="N232" s="28">
        <v>0</v>
      </c>
      <c r="O232">
        <v>0</v>
      </c>
      <c r="P232">
        <v>0</v>
      </c>
      <c r="Q232">
        <v>0</v>
      </c>
      <c r="R232">
        <v>0</v>
      </c>
      <c r="S232" s="28">
        <v>11545.101508731026</v>
      </c>
      <c r="T232" s="29">
        <f>SUM(BaseHoras[[#This Row],[Jan/2019]:[Mar/2019]])</f>
        <v>11345.288901810958</v>
      </c>
      <c r="U232" s="29">
        <f>SUM(BaseHoras[[#This Row],[Abr/2019]:[Jun/2019]])</f>
        <v>199.8126069200691</v>
      </c>
      <c r="V232" s="29">
        <f>SUM(BaseHoras[[#This Row],[Jul/2019]:[Set/2019]])</f>
        <v>0</v>
      </c>
      <c r="W232" s="29">
        <f>SUM(BaseHoras[[#This Row],[Out/2019]:[Dez/2019]])</f>
        <v>0</v>
      </c>
    </row>
    <row r="233" spans="1:23">
      <c r="A233" t="s">
        <v>151</v>
      </c>
      <c r="B233" t="s">
        <v>168</v>
      </c>
      <c r="C233" t="s">
        <v>274</v>
      </c>
      <c r="D233" t="s">
        <v>132</v>
      </c>
      <c r="E233" t="s">
        <v>183</v>
      </c>
      <c r="F233">
        <v>0</v>
      </c>
      <c r="G233">
        <v>0</v>
      </c>
      <c r="H233">
        <v>0</v>
      </c>
      <c r="I233">
        <v>0</v>
      </c>
      <c r="J233">
        <v>27.623576685102226</v>
      </c>
      <c r="K233">
        <v>0</v>
      </c>
      <c r="L233">
        <v>0</v>
      </c>
      <c r="M233" s="28">
        <v>0</v>
      </c>
      <c r="N233" s="28">
        <v>0</v>
      </c>
      <c r="O233">
        <v>0</v>
      </c>
      <c r="P233">
        <v>0</v>
      </c>
      <c r="Q233">
        <v>0</v>
      </c>
      <c r="R233">
        <v>0</v>
      </c>
      <c r="S233" s="28">
        <v>27.623576685102226</v>
      </c>
      <c r="T233" s="29">
        <f>SUM(BaseHoras[[#This Row],[Jan/2019]:[Mar/2019]])</f>
        <v>0</v>
      </c>
      <c r="U233" s="29">
        <f>SUM(BaseHoras[[#This Row],[Abr/2019]:[Jun/2019]])</f>
        <v>27.623576685102226</v>
      </c>
      <c r="V233" s="29">
        <f>SUM(BaseHoras[[#This Row],[Jul/2019]:[Set/2019]])</f>
        <v>0</v>
      </c>
      <c r="W233" s="29">
        <f>SUM(BaseHoras[[#This Row],[Out/2019]:[Dez/2019]])</f>
        <v>0</v>
      </c>
    </row>
    <row r="234" spans="1:23">
      <c r="A234" t="s">
        <v>151</v>
      </c>
      <c r="B234" t="s">
        <v>168</v>
      </c>
      <c r="C234" t="s">
        <v>274</v>
      </c>
      <c r="D234" t="s">
        <v>136</v>
      </c>
      <c r="E234" t="s">
        <v>183</v>
      </c>
      <c r="F234">
        <v>0</v>
      </c>
      <c r="G234">
        <v>0</v>
      </c>
      <c r="H234">
        <v>0</v>
      </c>
      <c r="I234">
        <v>0</v>
      </c>
      <c r="J234">
        <v>42.575164312944842</v>
      </c>
      <c r="K234">
        <v>231.13784786712793</v>
      </c>
      <c r="L234">
        <v>0</v>
      </c>
      <c r="M234" s="28">
        <v>11.458184438498908</v>
      </c>
      <c r="N234" s="28">
        <v>0</v>
      </c>
      <c r="O234">
        <v>0</v>
      </c>
      <c r="P234">
        <v>0</v>
      </c>
      <c r="Q234">
        <v>0</v>
      </c>
      <c r="R234">
        <v>0</v>
      </c>
      <c r="S234" s="28">
        <v>285.17119661857168</v>
      </c>
      <c r="T234" s="29">
        <f>SUM(BaseHoras[[#This Row],[Jan/2019]:[Mar/2019]])</f>
        <v>0</v>
      </c>
      <c r="U234" s="29">
        <f>SUM(BaseHoras[[#This Row],[Abr/2019]:[Jun/2019]])</f>
        <v>273.71301218007278</v>
      </c>
      <c r="V234" s="29">
        <f>SUM(BaseHoras[[#This Row],[Jul/2019]:[Set/2019]])</f>
        <v>11.458184438498908</v>
      </c>
      <c r="W234" s="29">
        <f>SUM(BaseHoras[[#This Row],[Out/2019]:[Dez/2019]])</f>
        <v>0</v>
      </c>
    </row>
    <row r="235" spans="1:23">
      <c r="A235" t="s">
        <v>151</v>
      </c>
      <c r="B235" t="s">
        <v>168</v>
      </c>
      <c r="C235" t="s">
        <v>275</v>
      </c>
      <c r="D235" t="s">
        <v>40</v>
      </c>
      <c r="E235" t="s">
        <v>152</v>
      </c>
      <c r="F235">
        <v>39.578808926201013</v>
      </c>
      <c r="G235">
        <v>523.82117557667141</v>
      </c>
      <c r="H235">
        <v>0</v>
      </c>
      <c r="I235">
        <v>0</v>
      </c>
      <c r="J235">
        <v>0</v>
      </c>
      <c r="K235">
        <v>0</v>
      </c>
      <c r="L235">
        <v>0</v>
      </c>
      <c r="M235" s="28">
        <v>0</v>
      </c>
      <c r="N235" s="28">
        <v>0</v>
      </c>
      <c r="O235">
        <v>0</v>
      </c>
      <c r="P235">
        <v>0</v>
      </c>
      <c r="Q235">
        <v>0</v>
      </c>
      <c r="R235">
        <v>0</v>
      </c>
      <c r="S235" s="28">
        <v>563.39998450287237</v>
      </c>
      <c r="T235" s="29">
        <f>SUM(BaseHoras[[#This Row],[Jan/2019]:[Mar/2019]])</f>
        <v>563.39998450287237</v>
      </c>
      <c r="U235" s="29">
        <f>SUM(BaseHoras[[#This Row],[Abr/2019]:[Jun/2019]])</f>
        <v>0</v>
      </c>
      <c r="V235" s="29">
        <f>SUM(BaseHoras[[#This Row],[Jul/2019]:[Set/2019]])</f>
        <v>0</v>
      </c>
      <c r="W235" s="29">
        <f>SUM(BaseHoras[[#This Row],[Out/2019]:[Dez/2019]])</f>
        <v>0</v>
      </c>
    </row>
    <row r="236" spans="1:23">
      <c r="A236" t="s">
        <v>151</v>
      </c>
      <c r="B236" t="s">
        <v>168</v>
      </c>
      <c r="C236" t="s">
        <v>275</v>
      </c>
      <c r="D236" t="s">
        <v>132</v>
      </c>
      <c r="E236" t="s">
        <v>152</v>
      </c>
      <c r="F236">
        <v>0</v>
      </c>
      <c r="G236">
        <v>0</v>
      </c>
      <c r="H236">
        <v>18.327501370465843</v>
      </c>
      <c r="I236">
        <v>0</v>
      </c>
      <c r="J236">
        <v>0</v>
      </c>
      <c r="K236">
        <v>0</v>
      </c>
      <c r="L236">
        <v>0</v>
      </c>
      <c r="M236" s="28">
        <v>0</v>
      </c>
      <c r="N236" s="28">
        <v>0</v>
      </c>
      <c r="O236">
        <v>0</v>
      </c>
      <c r="P236">
        <v>0</v>
      </c>
      <c r="Q236">
        <v>0</v>
      </c>
      <c r="R236">
        <v>0</v>
      </c>
      <c r="S236" s="28">
        <v>18.327501370465843</v>
      </c>
      <c r="T236" s="29">
        <f>SUM(BaseHoras[[#This Row],[Jan/2019]:[Mar/2019]])</f>
        <v>18.327501370465843</v>
      </c>
      <c r="U236" s="29">
        <f>SUM(BaseHoras[[#This Row],[Abr/2019]:[Jun/2019]])</f>
        <v>0</v>
      </c>
      <c r="V236" s="29">
        <f>SUM(BaseHoras[[#This Row],[Jul/2019]:[Set/2019]])</f>
        <v>0</v>
      </c>
      <c r="W236" s="29">
        <f>SUM(BaseHoras[[#This Row],[Out/2019]:[Dez/2019]])</f>
        <v>0</v>
      </c>
    </row>
    <row r="237" spans="1:23">
      <c r="A237" t="s">
        <v>151</v>
      </c>
      <c r="B237" t="s">
        <v>168</v>
      </c>
      <c r="C237" t="s">
        <v>276</v>
      </c>
      <c r="D237" t="s">
        <v>19</v>
      </c>
      <c r="E237" t="s">
        <v>183</v>
      </c>
      <c r="F237">
        <v>0</v>
      </c>
      <c r="G237">
        <v>26.709309240546595</v>
      </c>
      <c r="H237">
        <v>0</v>
      </c>
      <c r="I237">
        <v>0</v>
      </c>
      <c r="J237">
        <v>0</v>
      </c>
      <c r="K237">
        <v>0</v>
      </c>
      <c r="L237">
        <v>0</v>
      </c>
      <c r="M237" s="28">
        <v>0</v>
      </c>
      <c r="N237" s="28">
        <v>0</v>
      </c>
      <c r="O237">
        <v>0</v>
      </c>
      <c r="P237">
        <v>0</v>
      </c>
      <c r="Q237">
        <v>0</v>
      </c>
      <c r="R237">
        <v>0</v>
      </c>
      <c r="S237" s="28">
        <v>26.709309240546595</v>
      </c>
      <c r="T237" s="29">
        <f>SUM(BaseHoras[[#This Row],[Jan/2019]:[Mar/2019]])</f>
        <v>26.709309240546595</v>
      </c>
      <c r="U237" s="29">
        <f>SUM(BaseHoras[[#This Row],[Abr/2019]:[Jun/2019]])</f>
        <v>0</v>
      </c>
      <c r="V237" s="29">
        <f>SUM(BaseHoras[[#This Row],[Jul/2019]:[Set/2019]])</f>
        <v>0</v>
      </c>
      <c r="W237" s="29">
        <f>SUM(BaseHoras[[#This Row],[Out/2019]:[Dez/2019]])</f>
        <v>0</v>
      </c>
    </row>
    <row r="238" spans="1:23">
      <c r="A238" t="s">
        <v>151</v>
      </c>
      <c r="B238" t="s">
        <v>168</v>
      </c>
      <c r="C238" t="s">
        <v>276</v>
      </c>
      <c r="D238" t="s">
        <v>35</v>
      </c>
      <c r="E238" t="s">
        <v>183</v>
      </c>
      <c r="F238">
        <v>0</v>
      </c>
      <c r="G238">
        <v>12.051404586795231</v>
      </c>
      <c r="H238">
        <v>21.180130453696009</v>
      </c>
      <c r="I238">
        <v>2086.3525567806491</v>
      </c>
      <c r="J238">
        <v>95.833873048517376</v>
      </c>
      <c r="K238">
        <v>0</v>
      </c>
      <c r="L238">
        <v>12.127423042803056</v>
      </c>
      <c r="M238" s="28">
        <v>0</v>
      </c>
      <c r="N238" s="28">
        <v>0</v>
      </c>
      <c r="O238">
        <v>0</v>
      </c>
      <c r="P238">
        <v>0</v>
      </c>
      <c r="Q238">
        <v>0</v>
      </c>
      <c r="R238">
        <v>0</v>
      </c>
      <c r="S238" s="28">
        <v>2227.5453879124607</v>
      </c>
      <c r="T238" s="29">
        <f>SUM(BaseHoras[[#This Row],[Jan/2019]:[Mar/2019]])</f>
        <v>33.231535040491238</v>
      </c>
      <c r="U238" s="29">
        <f>SUM(BaseHoras[[#This Row],[Abr/2019]:[Jun/2019]])</f>
        <v>2182.1864298291666</v>
      </c>
      <c r="V238" s="29">
        <f>SUM(BaseHoras[[#This Row],[Jul/2019]:[Set/2019]])</f>
        <v>12.127423042803056</v>
      </c>
      <c r="W238" s="29">
        <f>SUM(BaseHoras[[#This Row],[Out/2019]:[Dez/2019]])</f>
        <v>0</v>
      </c>
    </row>
    <row r="239" spans="1:23">
      <c r="A239" t="s">
        <v>151</v>
      </c>
      <c r="B239" t="s">
        <v>168</v>
      </c>
      <c r="C239" t="s">
        <v>276</v>
      </c>
      <c r="D239" t="s">
        <v>40</v>
      </c>
      <c r="E239" t="s">
        <v>183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s="28">
        <v>0</v>
      </c>
      <c r="N239" s="28">
        <v>0</v>
      </c>
      <c r="O239">
        <v>0</v>
      </c>
      <c r="P239">
        <v>0</v>
      </c>
      <c r="Q239">
        <v>443.84612836131924</v>
      </c>
      <c r="R239">
        <v>0</v>
      </c>
      <c r="S239" s="28">
        <v>443.84612836131924</v>
      </c>
      <c r="T239" s="29">
        <f>SUM(BaseHoras[[#This Row],[Jan/2019]:[Mar/2019]])</f>
        <v>0</v>
      </c>
      <c r="U239" s="29">
        <f>SUM(BaseHoras[[#This Row],[Abr/2019]:[Jun/2019]])</f>
        <v>0</v>
      </c>
      <c r="V239" s="29">
        <f>SUM(BaseHoras[[#This Row],[Jul/2019]:[Set/2019]])</f>
        <v>0</v>
      </c>
      <c r="W239" s="29">
        <f>SUM(BaseHoras[[#This Row],[Out/2019]:[Dez/2019]])</f>
        <v>443.84612836131924</v>
      </c>
    </row>
    <row r="240" spans="1:23">
      <c r="A240" t="s">
        <v>151</v>
      </c>
      <c r="B240" t="s">
        <v>168</v>
      </c>
      <c r="C240" t="s">
        <v>276</v>
      </c>
      <c r="D240" t="s">
        <v>277</v>
      </c>
      <c r="E240" t="s">
        <v>183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s="28">
        <v>0</v>
      </c>
      <c r="N240" s="28">
        <v>0</v>
      </c>
      <c r="O240">
        <v>0</v>
      </c>
      <c r="P240">
        <v>46.672697433622524</v>
      </c>
      <c r="Q240">
        <v>0</v>
      </c>
      <c r="R240">
        <v>0</v>
      </c>
      <c r="S240" s="28">
        <v>46.672697433622524</v>
      </c>
      <c r="T240" s="29">
        <f>SUM(BaseHoras[[#This Row],[Jan/2019]:[Mar/2019]])</f>
        <v>0</v>
      </c>
      <c r="U240" s="29">
        <f>SUM(BaseHoras[[#This Row],[Abr/2019]:[Jun/2019]])</f>
        <v>0</v>
      </c>
      <c r="V240" s="29">
        <f>SUM(BaseHoras[[#This Row],[Jul/2019]:[Set/2019]])</f>
        <v>0</v>
      </c>
      <c r="W240" s="29">
        <f>SUM(BaseHoras[[#This Row],[Out/2019]:[Dez/2019]])</f>
        <v>46.672697433622524</v>
      </c>
    </row>
    <row r="241" spans="1:23">
      <c r="A241" t="s">
        <v>151</v>
      </c>
      <c r="B241" t="s">
        <v>168</v>
      </c>
      <c r="C241" t="s">
        <v>276</v>
      </c>
      <c r="D241" t="s">
        <v>49</v>
      </c>
      <c r="E241" t="s">
        <v>183</v>
      </c>
      <c r="F241">
        <v>0</v>
      </c>
      <c r="G241">
        <v>0</v>
      </c>
      <c r="H241">
        <v>10.399276283684753</v>
      </c>
      <c r="I241">
        <v>0</v>
      </c>
      <c r="J241">
        <v>0</v>
      </c>
      <c r="K241">
        <v>0</v>
      </c>
      <c r="L241">
        <v>0</v>
      </c>
      <c r="M241" s="28">
        <v>0</v>
      </c>
      <c r="N241" s="28">
        <v>0</v>
      </c>
      <c r="O241">
        <v>0</v>
      </c>
      <c r="P241">
        <v>0</v>
      </c>
      <c r="Q241">
        <v>0</v>
      </c>
      <c r="R241">
        <v>0</v>
      </c>
      <c r="S241" s="28">
        <v>10.399276283684753</v>
      </c>
      <c r="T241" s="29">
        <f>SUM(BaseHoras[[#This Row],[Jan/2019]:[Mar/2019]])</f>
        <v>10.399276283684753</v>
      </c>
      <c r="U241" s="29">
        <f>SUM(BaseHoras[[#This Row],[Abr/2019]:[Jun/2019]])</f>
        <v>0</v>
      </c>
      <c r="V241" s="29">
        <f>SUM(BaseHoras[[#This Row],[Jul/2019]:[Set/2019]])</f>
        <v>0</v>
      </c>
      <c r="W241" s="29">
        <f>SUM(BaseHoras[[#This Row],[Out/2019]:[Dez/2019]])</f>
        <v>0</v>
      </c>
    </row>
    <row r="242" spans="1:23">
      <c r="A242" t="s">
        <v>151</v>
      </c>
      <c r="B242" t="s">
        <v>168</v>
      </c>
      <c r="C242" t="s">
        <v>276</v>
      </c>
      <c r="D242" t="s">
        <v>80</v>
      </c>
      <c r="E242" t="s">
        <v>183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53.236521319629766</v>
      </c>
      <c r="M242" s="28">
        <v>0</v>
      </c>
      <c r="N242" s="28">
        <v>0</v>
      </c>
      <c r="O242">
        <v>0</v>
      </c>
      <c r="P242">
        <v>0</v>
      </c>
      <c r="Q242">
        <v>0</v>
      </c>
      <c r="R242">
        <v>0</v>
      </c>
      <c r="S242" s="28">
        <v>53.236521319629766</v>
      </c>
      <c r="T242" s="29">
        <f>SUM(BaseHoras[[#This Row],[Jan/2019]:[Mar/2019]])</f>
        <v>0</v>
      </c>
      <c r="U242" s="29">
        <f>SUM(BaseHoras[[#This Row],[Abr/2019]:[Jun/2019]])</f>
        <v>0</v>
      </c>
      <c r="V242" s="29">
        <f>SUM(BaseHoras[[#This Row],[Jul/2019]:[Set/2019]])</f>
        <v>53.236521319629766</v>
      </c>
      <c r="W242" s="29">
        <f>SUM(BaseHoras[[#This Row],[Out/2019]:[Dez/2019]])</f>
        <v>0</v>
      </c>
    </row>
    <row r="243" spans="1:23">
      <c r="A243" t="s">
        <v>151</v>
      </c>
      <c r="B243" t="s">
        <v>168</v>
      </c>
      <c r="C243" t="s">
        <v>276</v>
      </c>
      <c r="D243" t="s">
        <v>87</v>
      </c>
      <c r="E243" t="s">
        <v>183</v>
      </c>
      <c r="F243">
        <v>0</v>
      </c>
      <c r="G243">
        <v>0</v>
      </c>
      <c r="H243">
        <v>58.325858474816329</v>
      </c>
      <c r="I243">
        <v>723.17586132183806</v>
      </c>
      <c r="J243">
        <v>351.25267514032367</v>
      </c>
      <c r="K243">
        <v>0</v>
      </c>
      <c r="L243">
        <v>0</v>
      </c>
      <c r="M243" s="28">
        <v>38.59925754984053</v>
      </c>
      <c r="N243" s="28">
        <v>32.252235086211407</v>
      </c>
      <c r="O243">
        <v>0</v>
      </c>
      <c r="P243">
        <v>0</v>
      </c>
      <c r="Q243">
        <v>0</v>
      </c>
      <c r="R243">
        <v>0</v>
      </c>
      <c r="S243" s="28">
        <v>1203.60588757303</v>
      </c>
      <c r="T243" s="29">
        <f>SUM(BaseHoras[[#This Row],[Jan/2019]:[Mar/2019]])</f>
        <v>58.325858474816329</v>
      </c>
      <c r="U243" s="29">
        <f>SUM(BaseHoras[[#This Row],[Abr/2019]:[Jun/2019]])</f>
        <v>1074.4285364621617</v>
      </c>
      <c r="V243" s="29">
        <f>SUM(BaseHoras[[#This Row],[Jul/2019]:[Set/2019]])</f>
        <v>70.851492636051944</v>
      </c>
      <c r="W243" s="29">
        <f>SUM(BaseHoras[[#This Row],[Out/2019]:[Dez/2019]])</f>
        <v>0</v>
      </c>
    </row>
    <row r="244" spans="1:23">
      <c r="A244" t="s">
        <v>151</v>
      </c>
      <c r="B244" t="s">
        <v>168</v>
      </c>
      <c r="C244" t="s">
        <v>276</v>
      </c>
      <c r="D244" t="s">
        <v>93</v>
      </c>
      <c r="E244" t="s">
        <v>183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s="28">
        <v>0</v>
      </c>
      <c r="N244" s="28">
        <v>0</v>
      </c>
      <c r="O244">
        <v>0</v>
      </c>
      <c r="P244">
        <v>61.377010094300964</v>
      </c>
      <c r="Q244">
        <v>0</v>
      </c>
      <c r="R244">
        <v>0</v>
      </c>
      <c r="S244" s="28">
        <v>61.377010094300964</v>
      </c>
      <c r="T244" s="29">
        <f>SUM(BaseHoras[[#This Row],[Jan/2019]:[Mar/2019]])</f>
        <v>0</v>
      </c>
      <c r="U244" s="29">
        <f>SUM(BaseHoras[[#This Row],[Abr/2019]:[Jun/2019]])</f>
        <v>0</v>
      </c>
      <c r="V244" s="29">
        <f>SUM(BaseHoras[[#This Row],[Jul/2019]:[Set/2019]])</f>
        <v>0</v>
      </c>
      <c r="W244" s="29">
        <f>SUM(BaseHoras[[#This Row],[Out/2019]:[Dez/2019]])</f>
        <v>61.377010094300964</v>
      </c>
    </row>
    <row r="245" spans="1:23">
      <c r="A245" t="s">
        <v>151</v>
      </c>
      <c r="B245" t="s">
        <v>168</v>
      </c>
      <c r="C245" t="s">
        <v>276</v>
      </c>
      <c r="D245" t="s">
        <v>102</v>
      </c>
      <c r="E245" t="s">
        <v>183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4.9189554066439767</v>
      </c>
      <c r="M245" s="28">
        <v>0</v>
      </c>
      <c r="N245" s="28">
        <v>0</v>
      </c>
      <c r="O245">
        <v>0</v>
      </c>
      <c r="P245">
        <v>0</v>
      </c>
      <c r="Q245">
        <v>0</v>
      </c>
      <c r="R245">
        <v>0</v>
      </c>
      <c r="S245" s="28">
        <v>4.9189554066439767</v>
      </c>
      <c r="T245" s="29">
        <f>SUM(BaseHoras[[#This Row],[Jan/2019]:[Mar/2019]])</f>
        <v>0</v>
      </c>
      <c r="U245" s="29">
        <f>SUM(BaseHoras[[#This Row],[Abr/2019]:[Jun/2019]])</f>
        <v>0</v>
      </c>
      <c r="V245" s="29">
        <f>SUM(BaseHoras[[#This Row],[Jul/2019]:[Set/2019]])</f>
        <v>4.9189554066439767</v>
      </c>
      <c r="W245" s="29">
        <f>SUM(BaseHoras[[#This Row],[Out/2019]:[Dez/2019]])</f>
        <v>0</v>
      </c>
    </row>
    <row r="246" spans="1:23">
      <c r="A246" t="s">
        <v>151</v>
      </c>
      <c r="B246" t="s">
        <v>168</v>
      </c>
      <c r="C246" t="s">
        <v>276</v>
      </c>
      <c r="D246" t="s">
        <v>125</v>
      </c>
      <c r="E246" t="s">
        <v>183</v>
      </c>
      <c r="F246">
        <v>48.536527278925874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s="28">
        <v>0</v>
      </c>
      <c r="N246" s="28">
        <v>0</v>
      </c>
      <c r="O246">
        <v>0</v>
      </c>
      <c r="P246">
        <v>0</v>
      </c>
      <c r="Q246">
        <v>0</v>
      </c>
      <c r="R246">
        <v>0</v>
      </c>
      <c r="S246" s="28">
        <v>48.536527278925874</v>
      </c>
      <c r="T246" s="29">
        <f>SUM(BaseHoras[[#This Row],[Jan/2019]:[Mar/2019]])</f>
        <v>48.536527278925874</v>
      </c>
      <c r="U246" s="29">
        <f>SUM(BaseHoras[[#This Row],[Abr/2019]:[Jun/2019]])</f>
        <v>0</v>
      </c>
      <c r="V246" s="29">
        <f>SUM(BaseHoras[[#This Row],[Jul/2019]:[Set/2019]])</f>
        <v>0</v>
      </c>
      <c r="W246" s="29">
        <f>SUM(BaseHoras[[#This Row],[Out/2019]:[Dez/2019]])</f>
        <v>0</v>
      </c>
    </row>
    <row r="247" spans="1:23">
      <c r="A247" t="s">
        <v>151</v>
      </c>
      <c r="B247" t="s">
        <v>168</v>
      </c>
      <c r="C247" t="s">
        <v>276</v>
      </c>
      <c r="D247" t="s">
        <v>128</v>
      </c>
      <c r="E247" t="s">
        <v>183</v>
      </c>
      <c r="F247">
        <v>0</v>
      </c>
      <c r="G247">
        <v>126.81467636653771</v>
      </c>
      <c r="H247">
        <v>0</v>
      </c>
      <c r="I247">
        <v>0</v>
      </c>
      <c r="J247">
        <v>27.436499940297232</v>
      </c>
      <c r="K247">
        <v>0</v>
      </c>
      <c r="L247">
        <v>0</v>
      </c>
      <c r="M247" s="28">
        <v>0</v>
      </c>
      <c r="N247" s="28">
        <v>0</v>
      </c>
      <c r="O247">
        <v>0</v>
      </c>
      <c r="P247">
        <v>0</v>
      </c>
      <c r="Q247">
        <v>0</v>
      </c>
      <c r="R247">
        <v>0</v>
      </c>
      <c r="S247" s="28">
        <v>154.25117630683494</v>
      </c>
      <c r="T247" s="29">
        <f>SUM(BaseHoras[[#This Row],[Jan/2019]:[Mar/2019]])</f>
        <v>126.81467636653771</v>
      </c>
      <c r="U247" s="29">
        <f>SUM(BaseHoras[[#This Row],[Abr/2019]:[Jun/2019]])</f>
        <v>27.436499940297232</v>
      </c>
      <c r="V247" s="29">
        <f>SUM(BaseHoras[[#This Row],[Jul/2019]:[Set/2019]])</f>
        <v>0</v>
      </c>
      <c r="W247" s="29">
        <f>SUM(BaseHoras[[#This Row],[Out/2019]:[Dez/2019]])</f>
        <v>0</v>
      </c>
    </row>
    <row r="248" spans="1:23">
      <c r="A248" t="s">
        <v>151</v>
      </c>
      <c r="B248" t="s">
        <v>168</v>
      </c>
      <c r="C248" t="s">
        <v>276</v>
      </c>
      <c r="D248" t="s">
        <v>138</v>
      </c>
      <c r="E248" t="s">
        <v>183</v>
      </c>
      <c r="F248">
        <v>0</v>
      </c>
      <c r="G248">
        <v>0</v>
      </c>
      <c r="H248">
        <v>0</v>
      </c>
      <c r="I248">
        <v>246.19453662103453</v>
      </c>
      <c r="J248">
        <v>27.082394769076107</v>
      </c>
      <c r="K248">
        <v>0</v>
      </c>
      <c r="L248">
        <v>0</v>
      </c>
      <c r="M248" s="28">
        <v>0</v>
      </c>
      <c r="N248" s="28">
        <v>0</v>
      </c>
      <c r="O248">
        <v>0</v>
      </c>
      <c r="P248">
        <v>0</v>
      </c>
      <c r="Q248">
        <v>0</v>
      </c>
      <c r="R248">
        <v>0</v>
      </c>
      <c r="S248" s="28">
        <v>273.27693139011063</v>
      </c>
      <c r="T248" s="29">
        <f>SUM(BaseHoras[[#This Row],[Jan/2019]:[Mar/2019]])</f>
        <v>0</v>
      </c>
      <c r="U248" s="29">
        <f>SUM(BaseHoras[[#This Row],[Abr/2019]:[Jun/2019]])</f>
        <v>273.27693139011063</v>
      </c>
      <c r="V248" s="29">
        <f>SUM(BaseHoras[[#This Row],[Jul/2019]:[Set/2019]])</f>
        <v>0</v>
      </c>
      <c r="W248" s="29">
        <f>SUM(BaseHoras[[#This Row],[Out/2019]:[Dez/2019]])</f>
        <v>0</v>
      </c>
    </row>
    <row r="249" spans="1:23">
      <c r="A249" t="s">
        <v>151</v>
      </c>
      <c r="B249" t="s">
        <v>168</v>
      </c>
      <c r="C249" t="s">
        <v>276</v>
      </c>
      <c r="D249" t="s">
        <v>146</v>
      </c>
      <c r="E249" t="s">
        <v>183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s="28">
        <v>0</v>
      </c>
      <c r="N249" s="28">
        <v>0</v>
      </c>
      <c r="O249">
        <v>0</v>
      </c>
      <c r="P249">
        <v>0</v>
      </c>
      <c r="Q249">
        <v>6.0634858799006883</v>
      </c>
      <c r="R249">
        <v>0</v>
      </c>
      <c r="S249" s="28">
        <v>6.0634858799006883</v>
      </c>
      <c r="T249" s="29">
        <f>SUM(BaseHoras[[#This Row],[Jan/2019]:[Mar/2019]])</f>
        <v>0</v>
      </c>
      <c r="U249" s="29">
        <f>SUM(BaseHoras[[#This Row],[Abr/2019]:[Jun/2019]])</f>
        <v>0</v>
      </c>
      <c r="V249" s="29">
        <f>SUM(BaseHoras[[#This Row],[Jul/2019]:[Set/2019]])</f>
        <v>0</v>
      </c>
      <c r="W249" s="29">
        <f>SUM(BaseHoras[[#This Row],[Out/2019]:[Dez/2019]])</f>
        <v>6.0634858799006883</v>
      </c>
    </row>
    <row r="250" spans="1:23">
      <c r="A250" t="s">
        <v>151</v>
      </c>
      <c r="B250" t="s">
        <v>168</v>
      </c>
      <c r="C250" t="s">
        <v>278</v>
      </c>
      <c r="D250" t="s">
        <v>25</v>
      </c>
      <c r="E250" t="s">
        <v>183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s="28">
        <v>0</v>
      </c>
      <c r="N250" s="28">
        <v>0</v>
      </c>
      <c r="O250">
        <v>2.8152583506281226</v>
      </c>
      <c r="P250">
        <v>31.474293207465092</v>
      </c>
      <c r="Q250">
        <v>4.309168224793531</v>
      </c>
      <c r="R250">
        <v>0</v>
      </c>
      <c r="S250" s="28">
        <v>38.598719782886747</v>
      </c>
      <c r="T250" s="29">
        <f>SUM(BaseHoras[[#This Row],[Jan/2019]:[Mar/2019]])</f>
        <v>0</v>
      </c>
      <c r="U250" s="29">
        <f>SUM(BaseHoras[[#This Row],[Abr/2019]:[Jun/2019]])</f>
        <v>0</v>
      </c>
      <c r="V250" s="29">
        <f>SUM(BaseHoras[[#This Row],[Jul/2019]:[Set/2019]])</f>
        <v>0</v>
      </c>
      <c r="W250" s="29">
        <f>SUM(BaseHoras[[#This Row],[Out/2019]:[Dez/2019]])</f>
        <v>38.598719782886747</v>
      </c>
    </row>
    <row r="251" spans="1:23">
      <c r="A251" t="s">
        <v>151</v>
      </c>
      <c r="B251" t="s">
        <v>168</v>
      </c>
      <c r="C251" t="s">
        <v>278</v>
      </c>
      <c r="D251" t="s">
        <v>33</v>
      </c>
      <c r="E251" t="s">
        <v>183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s="28">
        <v>52396.754936420388</v>
      </c>
      <c r="N251" s="28">
        <v>225.59144786843129</v>
      </c>
      <c r="O251">
        <v>597.91704102509937</v>
      </c>
      <c r="P251">
        <v>110.95849151717763</v>
      </c>
      <c r="Q251">
        <v>0</v>
      </c>
      <c r="R251">
        <v>0</v>
      </c>
      <c r="S251" s="28">
        <v>53331.221916831098</v>
      </c>
      <c r="T251" s="29">
        <f>SUM(BaseHoras[[#This Row],[Jan/2019]:[Mar/2019]])</f>
        <v>0</v>
      </c>
      <c r="U251" s="29">
        <f>SUM(BaseHoras[[#This Row],[Abr/2019]:[Jun/2019]])</f>
        <v>0</v>
      </c>
      <c r="V251" s="29">
        <f>SUM(BaseHoras[[#This Row],[Jul/2019]:[Set/2019]])</f>
        <v>52622.346384288816</v>
      </c>
      <c r="W251" s="29">
        <f>SUM(BaseHoras[[#This Row],[Out/2019]:[Dez/2019]])</f>
        <v>708.87553254227703</v>
      </c>
    </row>
    <row r="252" spans="1:23">
      <c r="A252" t="s">
        <v>151</v>
      </c>
      <c r="B252" t="s">
        <v>168</v>
      </c>
      <c r="C252" t="s">
        <v>278</v>
      </c>
      <c r="D252" t="s">
        <v>35</v>
      </c>
      <c r="E252" t="s">
        <v>183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s="28">
        <v>0</v>
      </c>
      <c r="N252" s="28">
        <v>30.40569702728407</v>
      </c>
      <c r="O252">
        <v>0</v>
      </c>
      <c r="P252">
        <v>10.558970474877771</v>
      </c>
      <c r="Q252">
        <v>0</v>
      </c>
      <c r="R252">
        <v>0</v>
      </c>
      <c r="S252" s="28">
        <v>40.964667502161845</v>
      </c>
      <c r="T252" s="29">
        <f>SUM(BaseHoras[[#This Row],[Jan/2019]:[Mar/2019]])</f>
        <v>0</v>
      </c>
      <c r="U252" s="29">
        <f>SUM(BaseHoras[[#This Row],[Abr/2019]:[Jun/2019]])</f>
        <v>0</v>
      </c>
      <c r="V252" s="29">
        <f>SUM(BaseHoras[[#This Row],[Jul/2019]:[Set/2019]])</f>
        <v>30.40569702728407</v>
      </c>
      <c r="W252" s="29">
        <f>SUM(BaseHoras[[#This Row],[Out/2019]:[Dez/2019]])</f>
        <v>10.558970474877771</v>
      </c>
    </row>
    <row r="253" spans="1:23">
      <c r="A253" t="s">
        <v>151</v>
      </c>
      <c r="B253" t="s">
        <v>168</v>
      </c>
      <c r="C253" t="s">
        <v>278</v>
      </c>
      <c r="D253" t="s">
        <v>36</v>
      </c>
      <c r="E253" t="s">
        <v>183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s="28">
        <v>0</v>
      </c>
      <c r="N253" s="28">
        <v>4.068111635853624</v>
      </c>
      <c r="O253">
        <v>64.026604124161594</v>
      </c>
      <c r="P253">
        <v>31.138893468085641</v>
      </c>
      <c r="Q253">
        <v>0</v>
      </c>
      <c r="R253">
        <v>0</v>
      </c>
      <c r="S253" s="28">
        <v>99.23360922810086</v>
      </c>
      <c r="T253" s="29">
        <f>SUM(BaseHoras[[#This Row],[Jan/2019]:[Mar/2019]])</f>
        <v>0</v>
      </c>
      <c r="U253" s="29">
        <f>SUM(BaseHoras[[#This Row],[Abr/2019]:[Jun/2019]])</f>
        <v>0</v>
      </c>
      <c r="V253" s="29">
        <f>SUM(BaseHoras[[#This Row],[Jul/2019]:[Set/2019]])</f>
        <v>4.068111635853624</v>
      </c>
      <c r="W253" s="29">
        <f>SUM(BaseHoras[[#This Row],[Out/2019]:[Dez/2019]])</f>
        <v>95.165497592247235</v>
      </c>
    </row>
    <row r="254" spans="1:23">
      <c r="A254" t="s">
        <v>151</v>
      </c>
      <c r="B254" t="s">
        <v>168</v>
      </c>
      <c r="C254" t="s">
        <v>278</v>
      </c>
      <c r="D254" t="s">
        <v>40</v>
      </c>
      <c r="E254" t="s">
        <v>183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s="28">
        <v>0</v>
      </c>
      <c r="N254" s="28">
        <v>0</v>
      </c>
      <c r="O254">
        <v>0</v>
      </c>
      <c r="P254">
        <v>41.085179490556648</v>
      </c>
      <c r="Q254">
        <v>0</v>
      </c>
      <c r="R254">
        <v>0</v>
      </c>
      <c r="S254" s="28">
        <v>41.085179490556648</v>
      </c>
      <c r="T254" s="29">
        <f>SUM(BaseHoras[[#This Row],[Jan/2019]:[Mar/2019]])</f>
        <v>0</v>
      </c>
      <c r="U254" s="29">
        <f>SUM(BaseHoras[[#This Row],[Abr/2019]:[Jun/2019]])</f>
        <v>0</v>
      </c>
      <c r="V254" s="29">
        <f>SUM(BaseHoras[[#This Row],[Jul/2019]:[Set/2019]])</f>
        <v>0</v>
      </c>
      <c r="W254" s="29">
        <f>SUM(BaseHoras[[#This Row],[Out/2019]:[Dez/2019]])</f>
        <v>41.085179490556648</v>
      </c>
    </row>
    <row r="255" spans="1:23">
      <c r="A255" t="s">
        <v>151</v>
      </c>
      <c r="B255" t="s">
        <v>168</v>
      </c>
      <c r="C255" t="s">
        <v>278</v>
      </c>
      <c r="D255" t="s">
        <v>277</v>
      </c>
      <c r="E255" t="s">
        <v>183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s="28">
        <v>0</v>
      </c>
      <c r="N255" s="28">
        <v>0</v>
      </c>
      <c r="O255">
        <v>0</v>
      </c>
      <c r="P255">
        <v>205.44829152747494</v>
      </c>
      <c r="Q255">
        <v>1842.8353792855355</v>
      </c>
      <c r="R255">
        <v>0</v>
      </c>
      <c r="S255" s="28">
        <v>2048.2836708130103</v>
      </c>
      <c r="T255" s="29">
        <f>SUM(BaseHoras[[#This Row],[Jan/2019]:[Mar/2019]])</f>
        <v>0</v>
      </c>
      <c r="U255" s="29">
        <f>SUM(BaseHoras[[#This Row],[Abr/2019]:[Jun/2019]])</f>
        <v>0</v>
      </c>
      <c r="V255" s="29">
        <f>SUM(BaseHoras[[#This Row],[Jul/2019]:[Set/2019]])</f>
        <v>0</v>
      </c>
      <c r="W255" s="29">
        <f>SUM(BaseHoras[[#This Row],[Out/2019]:[Dez/2019]])</f>
        <v>2048.2836708130103</v>
      </c>
    </row>
    <row r="256" spans="1:23">
      <c r="A256" t="s">
        <v>151</v>
      </c>
      <c r="B256" t="s">
        <v>168</v>
      </c>
      <c r="C256" t="s">
        <v>278</v>
      </c>
      <c r="D256" t="s">
        <v>42</v>
      </c>
      <c r="E256" t="s">
        <v>183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s="28">
        <v>168.67046091607745</v>
      </c>
      <c r="N256" s="28">
        <v>195.67755861603584</v>
      </c>
      <c r="O256">
        <v>1975.6015230301093</v>
      </c>
      <c r="P256">
        <v>104.55364718547152</v>
      </c>
      <c r="Q256">
        <v>163.49646721456824</v>
      </c>
      <c r="R256">
        <v>0</v>
      </c>
      <c r="S256" s="28">
        <v>2607.9996569622626</v>
      </c>
      <c r="T256" s="29">
        <f>SUM(BaseHoras[[#This Row],[Jan/2019]:[Mar/2019]])</f>
        <v>0</v>
      </c>
      <c r="U256" s="29">
        <f>SUM(BaseHoras[[#This Row],[Abr/2019]:[Jun/2019]])</f>
        <v>0</v>
      </c>
      <c r="V256" s="29">
        <f>SUM(BaseHoras[[#This Row],[Jul/2019]:[Set/2019]])</f>
        <v>364.34801953211331</v>
      </c>
      <c r="W256" s="29">
        <f>SUM(BaseHoras[[#This Row],[Out/2019]:[Dez/2019]])</f>
        <v>2243.6516374301491</v>
      </c>
    </row>
    <row r="257" spans="1:23">
      <c r="A257" t="s">
        <v>151</v>
      </c>
      <c r="B257" t="s">
        <v>168</v>
      </c>
      <c r="C257" t="s">
        <v>278</v>
      </c>
      <c r="D257" t="s">
        <v>49</v>
      </c>
      <c r="E257" t="s">
        <v>183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s="28">
        <v>423.07520400351802</v>
      </c>
      <c r="N257" s="28">
        <v>0</v>
      </c>
      <c r="O257">
        <v>14.659818040377759</v>
      </c>
      <c r="P257">
        <v>157.71241474851774</v>
      </c>
      <c r="Q257">
        <v>37.093808257873114</v>
      </c>
      <c r="R257">
        <v>0</v>
      </c>
      <c r="S257" s="28">
        <v>632.54124505028665</v>
      </c>
      <c r="T257" s="29">
        <f>SUM(BaseHoras[[#This Row],[Jan/2019]:[Mar/2019]])</f>
        <v>0</v>
      </c>
      <c r="U257" s="29">
        <f>SUM(BaseHoras[[#This Row],[Abr/2019]:[Jun/2019]])</f>
        <v>0</v>
      </c>
      <c r="V257" s="29">
        <f>SUM(BaseHoras[[#This Row],[Jul/2019]:[Set/2019]])</f>
        <v>423.07520400351802</v>
      </c>
      <c r="W257" s="29">
        <f>SUM(BaseHoras[[#This Row],[Out/2019]:[Dez/2019]])</f>
        <v>209.46604104676862</v>
      </c>
    </row>
    <row r="258" spans="1:23">
      <c r="A258" t="s">
        <v>151</v>
      </c>
      <c r="B258" t="s">
        <v>168</v>
      </c>
      <c r="C258" t="s">
        <v>278</v>
      </c>
      <c r="D258" t="s">
        <v>50</v>
      </c>
      <c r="E258" t="s">
        <v>183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s="28">
        <v>1643.847954062152</v>
      </c>
      <c r="N258" s="28">
        <v>3498.9619532142806</v>
      </c>
      <c r="O258">
        <v>38.000880179056679</v>
      </c>
      <c r="P258">
        <v>1633.3721328689703</v>
      </c>
      <c r="Q258">
        <v>4248.3030799050566</v>
      </c>
      <c r="R258">
        <v>0</v>
      </c>
      <c r="S258" s="28">
        <v>11062.486000229517</v>
      </c>
      <c r="T258" s="29">
        <f>SUM(BaseHoras[[#This Row],[Jan/2019]:[Mar/2019]])</f>
        <v>0</v>
      </c>
      <c r="U258" s="29">
        <f>SUM(BaseHoras[[#This Row],[Abr/2019]:[Jun/2019]])</f>
        <v>0</v>
      </c>
      <c r="V258" s="29">
        <f>SUM(BaseHoras[[#This Row],[Jul/2019]:[Set/2019]])</f>
        <v>5142.8099072764326</v>
      </c>
      <c r="W258" s="29">
        <f>SUM(BaseHoras[[#This Row],[Out/2019]:[Dez/2019]])</f>
        <v>5919.6760929530838</v>
      </c>
    </row>
    <row r="259" spans="1:23">
      <c r="A259" t="s">
        <v>151</v>
      </c>
      <c r="B259" t="s">
        <v>168</v>
      </c>
      <c r="C259" t="s">
        <v>278</v>
      </c>
      <c r="D259" t="s">
        <v>55</v>
      </c>
      <c r="E259" t="s">
        <v>183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s="28">
        <v>0</v>
      </c>
      <c r="N259" s="28">
        <v>0</v>
      </c>
      <c r="O259">
        <v>0</v>
      </c>
      <c r="P259">
        <v>9.4677625222990294</v>
      </c>
      <c r="Q259" t="s">
        <v>395</v>
      </c>
      <c r="R259">
        <v>0</v>
      </c>
      <c r="S259" s="28">
        <v>9.4677625222990294</v>
      </c>
      <c r="T259" s="29">
        <f>SUM(BaseHoras[[#This Row],[Jan/2019]:[Mar/2019]])</f>
        <v>0</v>
      </c>
      <c r="U259" s="29">
        <f>SUM(BaseHoras[[#This Row],[Abr/2019]:[Jun/2019]])</f>
        <v>0</v>
      </c>
      <c r="V259" s="29">
        <f>SUM(BaseHoras[[#This Row],[Jul/2019]:[Set/2019]])</f>
        <v>0</v>
      </c>
      <c r="W259" s="29">
        <f>SUM(BaseHoras[[#This Row],[Out/2019]:[Dez/2019]])</f>
        <v>9.4677625222990294</v>
      </c>
    </row>
    <row r="260" spans="1:23">
      <c r="A260" t="s">
        <v>151</v>
      </c>
      <c r="B260" t="s">
        <v>168</v>
      </c>
      <c r="C260" t="s">
        <v>278</v>
      </c>
      <c r="D260" t="s">
        <v>279</v>
      </c>
      <c r="E260" t="s">
        <v>183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s="28">
        <v>0</v>
      </c>
      <c r="N260" s="28">
        <v>0</v>
      </c>
      <c r="O260">
        <v>102.90353902859397</v>
      </c>
      <c r="P260">
        <v>0</v>
      </c>
      <c r="Q260">
        <v>0</v>
      </c>
      <c r="R260">
        <v>0</v>
      </c>
      <c r="S260" s="28">
        <v>102.90353902859397</v>
      </c>
      <c r="T260" s="29">
        <f>SUM(BaseHoras[[#This Row],[Jan/2019]:[Mar/2019]])</f>
        <v>0</v>
      </c>
      <c r="U260" s="29">
        <f>SUM(BaseHoras[[#This Row],[Abr/2019]:[Jun/2019]])</f>
        <v>0</v>
      </c>
      <c r="V260" s="29">
        <f>SUM(BaseHoras[[#This Row],[Jul/2019]:[Set/2019]])</f>
        <v>0</v>
      </c>
      <c r="W260" s="29">
        <f>SUM(BaseHoras[[#This Row],[Out/2019]:[Dez/2019]])</f>
        <v>102.90353902859397</v>
      </c>
    </row>
    <row r="261" spans="1:23">
      <c r="A261" t="s">
        <v>151</v>
      </c>
      <c r="B261" t="s">
        <v>168</v>
      </c>
      <c r="C261" t="s">
        <v>278</v>
      </c>
      <c r="D261" t="s">
        <v>81</v>
      </c>
      <c r="E261" t="s">
        <v>183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s="28">
        <v>0</v>
      </c>
      <c r="N261" s="28">
        <v>0</v>
      </c>
      <c r="O261">
        <v>3.6428304119446202</v>
      </c>
      <c r="P261">
        <v>23.076340030198267</v>
      </c>
      <c r="Q261">
        <v>0</v>
      </c>
      <c r="R261">
        <v>0</v>
      </c>
      <c r="S261" s="28">
        <v>26.719170442142886</v>
      </c>
      <c r="T261" s="29">
        <f>SUM(BaseHoras[[#This Row],[Jan/2019]:[Mar/2019]])</f>
        <v>0</v>
      </c>
      <c r="U261" s="29">
        <f>SUM(BaseHoras[[#This Row],[Abr/2019]:[Jun/2019]])</f>
        <v>0</v>
      </c>
      <c r="V261" s="29">
        <f>SUM(BaseHoras[[#This Row],[Jul/2019]:[Set/2019]])</f>
        <v>0</v>
      </c>
      <c r="W261" s="29">
        <f>SUM(BaseHoras[[#This Row],[Out/2019]:[Dez/2019]])</f>
        <v>26.719170442142886</v>
      </c>
    </row>
    <row r="262" spans="1:23">
      <c r="A262" t="s">
        <v>151</v>
      </c>
      <c r="B262" t="s">
        <v>168</v>
      </c>
      <c r="C262" t="s">
        <v>278</v>
      </c>
      <c r="D262" t="s">
        <v>87</v>
      </c>
      <c r="E262" t="s">
        <v>183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s="28">
        <v>159.81550848397498</v>
      </c>
      <c r="N262" s="28">
        <v>0</v>
      </c>
      <c r="O262">
        <v>0</v>
      </c>
      <c r="P262">
        <v>0</v>
      </c>
      <c r="Q262">
        <v>0</v>
      </c>
      <c r="R262">
        <v>0</v>
      </c>
      <c r="S262" s="28">
        <v>159.81550848397498</v>
      </c>
      <c r="T262" s="29">
        <f>SUM(BaseHoras[[#This Row],[Jan/2019]:[Mar/2019]])</f>
        <v>0</v>
      </c>
      <c r="U262" s="29">
        <f>SUM(BaseHoras[[#This Row],[Abr/2019]:[Jun/2019]])</f>
        <v>0</v>
      </c>
      <c r="V262" s="29">
        <f>SUM(BaseHoras[[#This Row],[Jul/2019]:[Set/2019]])</f>
        <v>159.81550848397498</v>
      </c>
      <c r="W262" s="29">
        <f>SUM(BaseHoras[[#This Row],[Out/2019]:[Dez/2019]])</f>
        <v>0</v>
      </c>
    </row>
    <row r="263" spans="1:23">
      <c r="A263" t="s">
        <v>151</v>
      </c>
      <c r="B263" t="s">
        <v>168</v>
      </c>
      <c r="C263" t="s">
        <v>278</v>
      </c>
      <c r="D263" t="s">
        <v>92</v>
      </c>
      <c r="E263" t="s">
        <v>183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s="28">
        <v>0</v>
      </c>
      <c r="N263" s="28">
        <v>0</v>
      </c>
      <c r="O263">
        <v>0</v>
      </c>
      <c r="P263">
        <v>3229.3221131220976</v>
      </c>
      <c r="Q263">
        <v>451.23140454323078</v>
      </c>
      <c r="R263">
        <v>0</v>
      </c>
      <c r="S263" s="28">
        <v>3680.5535176653284</v>
      </c>
      <c r="T263" s="29">
        <f>SUM(BaseHoras[[#This Row],[Jan/2019]:[Mar/2019]])</f>
        <v>0</v>
      </c>
      <c r="U263" s="29">
        <f>SUM(BaseHoras[[#This Row],[Abr/2019]:[Jun/2019]])</f>
        <v>0</v>
      </c>
      <c r="V263" s="29">
        <f>SUM(BaseHoras[[#This Row],[Jul/2019]:[Set/2019]])</f>
        <v>0</v>
      </c>
      <c r="W263" s="29">
        <f>SUM(BaseHoras[[#This Row],[Out/2019]:[Dez/2019]])</f>
        <v>3680.5535176653284</v>
      </c>
    </row>
    <row r="264" spans="1:23">
      <c r="A264" t="s">
        <v>151</v>
      </c>
      <c r="B264" t="s">
        <v>168</v>
      </c>
      <c r="C264" t="s">
        <v>278</v>
      </c>
      <c r="D264" t="s">
        <v>97</v>
      </c>
      <c r="E264" t="s">
        <v>183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s="28">
        <v>0</v>
      </c>
      <c r="N264" s="28">
        <v>0</v>
      </c>
      <c r="O264">
        <v>24.355559505977357</v>
      </c>
      <c r="P264">
        <v>0</v>
      </c>
      <c r="Q264">
        <v>0</v>
      </c>
      <c r="R264">
        <v>0</v>
      </c>
      <c r="S264" s="28">
        <v>24.355559505977357</v>
      </c>
      <c r="T264" s="29">
        <f>SUM(BaseHoras[[#This Row],[Jan/2019]:[Mar/2019]])</f>
        <v>0</v>
      </c>
      <c r="U264" s="29">
        <f>SUM(BaseHoras[[#This Row],[Abr/2019]:[Jun/2019]])</f>
        <v>0</v>
      </c>
      <c r="V264" s="29">
        <f>SUM(BaseHoras[[#This Row],[Jul/2019]:[Set/2019]])</f>
        <v>0</v>
      </c>
      <c r="W264" s="29">
        <f>SUM(BaseHoras[[#This Row],[Out/2019]:[Dez/2019]])</f>
        <v>24.355559505977357</v>
      </c>
    </row>
    <row r="265" spans="1:23">
      <c r="A265" t="s">
        <v>151</v>
      </c>
      <c r="B265" t="s">
        <v>168</v>
      </c>
      <c r="C265" t="s">
        <v>278</v>
      </c>
      <c r="D265" t="s">
        <v>100</v>
      </c>
      <c r="E265" t="s">
        <v>183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s="28">
        <v>9.2716428688392032</v>
      </c>
      <c r="N265" s="28">
        <v>23.161614589006113</v>
      </c>
      <c r="O265">
        <v>0</v>
      </c>
      <c r="P265">
        <v>1324.1573685401402</v>
      </c>
      <c r="Q265">
        <v>137.39757044360297</v>
      </c>
      <c r="R265">
        <v>0</v>
      </c>
      <c r="S265" s="28">
        <v>1493.9881964415883</v>
      </c>
      <c r="T265" s="29">
        <f>SUM(BaseHoras[[#This Row],[Jan/2019]:[Mar/2019]])</f>
        <v>0</v>
      </c>
      <c r="U265" s="29">
        <f>SUM(BaseHoras[[#This Row],[Abr/2019]:[Jun/2019]])</f>
        <v>0</v>
      </c>
      <c r="V265" s="29">
        <f>SUM(BaseHoras[[#This Row],[Jul/2019]:[Set/2019]])</f>
        <v>32.433257457845315</v>
      </c>
      <c r="W265" s="29">
        <f>SUM(BaseHoras[[#This Row],[Out/2019]:[Dez/2019]])</f>
        <v>1461.5549389837431</v>
      </c>
    </row>
    <row r="266" spans="1:23">
      <c r="A266" t="s">
        <v>151</v>
      </c>
      <c r="B266" t="s">
        <v>168</v>
      </c>
      <c r="C266" t="s">
        <v>278</v>
      </c>
      <c r="D266" t="s">
        <v>103</v>
      </c>
      <c r="E266" t="s">
        <v>183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s="28">
        <v>0</v>
      </c>
      <c r="N266" s="28">
        <v>0</v>
      </c>
      <c r="O266">
        <v>0</v>
      </c>
      <c r="P266">
        <v>0</v>
      </c>
      <c r="Q266">
        <v>124.03029637096871</v>
      </c>
      <c r="R266">
        <v>0</v>
      </c>
      <c r="S266" s="28">
        <v>124.03029637096871</v>
      </c>
      <c r="T266" s="29">
        <f>SUM(BaseHoras[[#This Row],[Jan/2019]:[Mar/2019]])</f>
        <v>0</v>
      </c>
      <c r="U266" s="29">
        <f>SUM(BaseHoras[[#This Row],[Abr/2019]:[Jun/2019]])</f>
        <v>0</v>
      </c>
      <c r="V266" s="29">
        <f>SUM(BaseHoras[[#This Row],[Jul/2019]:[Set/2019]])</f>
        <v>0</v>
      </c>
      <c r="W266" s="29">
        <f>SUM(BaseHoras[[#This Row],[Out/2019]:[Dez/2019]])</f>
        <v>124.03029637096871</v>
      </c>
    </row>
    <row r="267" spans="1:23">
      <c r="A267" t="s">
        <v>151</v>
      </c>
      <c r="B267" t="s">
        <v>168</v>
      </c>
      <c r="C267" t="s">
        <v>278</v>
      </c>
      <c r="D267" t="s">
        <v>105</v>
      </c>
      <c r="E267" t="s">
        <v>183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s="28">
        <v>6.0179569939660311</v>
      </c>
      <c r="N267" s="28">
        <v>0</v>
      </c>
      <c r="O267">
        <v>0</v>
      </c>
      <c r="P267">
        <v>0</v>
      </c>
      <c r="Q267">
        <v>0</v>
      </c>
      <c r="R267">
        <v>0</v>
      </c>
      <c r="S267" s="28">
        <v>6.0179569939660311</v>
      </c>
      <c r="T267" s="29">
        <f>SUM(BaseHoras[[#This Row],[Jan/2019]:[Mar/2019]])</f>
        <v>0</v>
      </c>
      <c r="U267" s="29">
        <f>SUM(BaseHoras[[#This Row],[Abr/2019]:[Jun/2019]])</f>
        <v>0</v>
      </c>
      <c r="V267" s="29">
        <f>SUM(BaseHoras[[#This Row],[Jul/2019]:[Set/2019]])</f>
        <v>6.0179569939660311</v>
      </c>
      <c r="W267" s="29">
        <f>SUM(BaseHoras[[#This Row],[Out/2019]:[Dez/2019]])</f>
        <v>0</v>
      </c>
    </row>
    <row r="268" spans="1:23">
      <c r="A268" t="s">
        <v>151</v>
      </c>
      <c r="B268" t="s">
        <v>168</v>
      </c>
      <c r="C268" t="s">
        <v>278</v>
      </c>
      <c r="D268" t="s">
        <v>107</v>
      </c>
      <c r="E268" t="s">
        <v>183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s="28">
        <v>0</v>
      </c>
      <c r="N268" s="28">
        <v>0</v>
      </c>
      <c r="O268">
        <v>26.3791715577836</v>
      </c>
      <c r="P268">
        <v>0</v>
      </c>
      <c r="Q268">
        <v>0</v>
      </c>
      <c r="R268">
        <v>0</v>
      </c>
      <c r="S268" s="28">
        <v>26.3791715577836</v>
      </c>
      <c r="T268" s="29">
        <f>SUM(BaseHoras[[#This Row],[Jan/2019]:[Mar/2019]])</f>
        <v>0</v>
      </c>
      <c r="U268" s="29">
        <f>SUM(BaseHoras[[#This Row],[Abr/2019]:[Jun/2019]])</f>
        <v>0</v>
      </c>
      <c r="V268" s="29">
        <f>SUM(BaseHoras[[#This Row],[Jul/2019]:[Set/2019]])</f>
        <v>0</v>
      </c>
      <c r="W268" s="29">
        <f>SUM(BaseHoras[[#This Row],[Out/2019]:[Dez/2019]])</f>
        <v>26.3791715577836</v>
      </c>
    </row>
    <row r="269" spans="1:23">
      <c r="A269" t="s">
        <v>151</v>
      </c>
      <c r="B269" t="s">
        <v>168</v>
      </c>
      <c r="C269" t="s">
        <v>278</v>
      </c>
      <c r="D269" t="s">
        <v>153</v>
      </c>
      <c r="E269" t="s">
        <v>183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s="28">
        <v>0</v>
      </c>
      <c r="N269" s="28">
        <v>0</v>
      </c>
      <c r="O269">
        <v>0</v>
      </c>
      <c r="P269">
        <v>1419.2818105281726</v>
      </c>
      <c r="Q269">
        <v>127.05895893001431</v>
      </c>
      <c r="R269">
        <v>0</v>
      </c>
      <c r="S269" s="28">
        <v>1546.340769458187</v>
      </c>
      <c r="T269" s="29">
        <f>SUM(BaseHoras[[#This Row],[Jan/2019]:[Mar/2019]])</f>
        <v>0</v>
      </c>
      <c r="U269" s="29">
        <f>SUM(BaseHoras[[#This Row],[Abr/2019]:[Jun/2019]])</f>
        <v>0</v>
      </c>
      <c r="V269" s="29">
        <f>SUM(BaseHoras[[#This Row],[Jul/2019]:[Set/2019]])</f>
        <v>0</v>
      </c>
      <c r="W269" s="29">
        <f>SUM(BaseHoras[[#This Row],[Out/2019]:[Dez/2019]])</f>
        <v>1546.340769458187</v>
      </c>
    </row>
    <row r="270" spans="1:23">
      <c r="A270" t="s">
        <v>151</v>
      </c>
      <c r="B270" t="s">
        <v>168</v>
      </c>
      <c r="C270" t="s">
        <v>278</v>
      </c>
      <c r="D270" t="s">
        <v>109</v>
      </c>
      <c r="E270" t="s">
        <v>183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s="28">
        <v>0</v>
      </c>
      <c r="N270" s="28">
        <v>0</v>
      </c>
      <c r="O270">
        <v>0</v>
      </c>
      <c r="P270">
        <v>81.723763803133536</v>
      </c>
      <c r="Q270">
        <v>0</v>
      </c>
      <c r="R270">
        <v>0</v>
      </c>
      <c r="S270" s="28">
        <v>81.723763803133536</v>
      </c>
      <c r="T270" s="29">
        <f>SUM(BaseHoras[[#This Row],[Jan/2019]:[Mar/2019]])</f>
        <v>0</v>
      </c>
      <c r="U270" s="29">
        <f>SUM(BaseHoras[[#This Row],[Abr/2019]:[Jun/2019]])</f>
        <v>0</v>
      </c>
      <c r="V270" s="29">
        <f>SUM(BaseHoras[[#This Row],[Jul/2019]:[Set/2019]])</f>
        <v>0</v>
      </c>
      <c r="W270" s="29">
        <f>SUM(BaseHoras[[#This Row],[Out/2019]:[Dez/2019]])</f>
        <v>81.723763803133536</v>
      </c>
    </row>
    <row r="271" spans="1:23">
      <c r="A271" t="s">
        <v>151</v>
      </c>
      <c r="B271" t="s">
        <v>168</v>
      </c>
      <c r="C271" t="s">
        <v>278</v>
      </c>
      <c r="D271" t="s">
        <v>115</v>
      </c>
      <c r="E271" t="s">
        <v>183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s="28">
        <v>0</v>
      </c>
      <c r="N271" s="28">
        <v>0</v>
      </c>
      <c r="O271">
        <v>0</v>
      </c>
      <c r="P271">
        <v>0</v>
      </c>
      <c r="Q271">
        <v>360.3236517700168</v>
      </c>
      <c r="R271">
        <v>0</v>
      </c>
      <c r="S271" s="28">
        <v>360.3236517700168</v>
      </c>
      <c r="T271" s="29">
        <f>SUM(BaseHoras[[#This Row],[Jan/2019]:[Mar/2019]])</f>
        <v>0</v>
      </c>
      <c r="U271" s="29">
        <f>SUM(BaseHoras[[#This Row],[Abr/2019]:[Jun/2019]])</f>
        <v>0</v>
      </c>
      <c r="V271" s="29">
        <f>SUM(BaseHoras[[#This Row],[Jul/2019]:[Set/2019]])</f>
        <v>0</v>
      </c>
      <c r="W271" s="29">
        <f>SUM(BaseHoras[[#This Row],[Out/2019]:[Dez/2019]])</f>
        <v>360.3236517700168</v>
      </c>
    </row>
    <row r="272" spans="1:23">
      <c r="A272" t="s">
        <v>151</v>
      </c>
      <c r="B272" t="s">
        <v>168</v>
      </c>
      <c r="C272" t="s">
        <v>278</v>
      </c>
      <c r="D272" t="s">
        <v>118</v>
      </c>
      <c r="E272" t="s">
        <v>183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s="28">
        <v>28.815086021627472</v>
      </c>
      <c r="N272" s="28">
        <v>0</v>
      </c>
      <c r="O272">
        <v>0</v>
      </c>
      <c r="P272">
        <v>0</v>
      </c>
      <c r="Q272">
        <v>0</v>
      </c>
      <c r="R272">
        <v>0</v>
      </c>
      <c r="S272" s="28">
        <v>28.815086021627472</v>
      </c>
      <c r="T272" s="29">
        <f>SUM(BaseHoras[[#This Row],[Jan/2019]:[Mar/2019]])</f>
        <v>0</v>
      </c>
      <c r="U272" s="29">
        <f>SUM(BaseHoras[[#This Row],[Abr/2019]:[Jun/2019]])</f>
        <v>0</v>
      </c>
      <c r="V272" s="29">
        <f>SUM(BaseHoras[[#This Row],[Jul/2019]:[Set/2019]])</f>
        <v>28.815086021627472</v>
      </c>
      <c r="W272" s="29">
        <f>SUM(BaseHoras[[#This Row],[Out/2019]:[Dez/2019]])</f>
        <v>0</v>
      </c>
    </row>
    <row r="273" spans="1:23">
      <c r="A273" t="s">
        <v>151</v>
      </c>
      <c r="B273" t="s">
        <v>168</v>
      </c>
      <c r="C273" t="s">
        <v>278</v>
      </c>
      <c r="D273" t="s">
        <v>132</v>
      </c>
      <c r="E273" t="s">
        <v>183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s="28">
        <v>0</v>
      </c>
      <c r="N273" s="28">
        <v>0</v>
      </c>
      <c r="O273">
        <v>76.007893898361232</v>
      </c>
      <c r="P273">
        <v>0</v>
      </c>
      <c r="Q273">
        <v>0</v>
      </c>
      <c r="R273">
        <v>0</v>
      </c>
      <c r="S273" s="28">
        <v>76.007893898361232</v>
      </c>
      <c r="T273" s="29">
        <f>SUM(BaseHoras[[#This Row],[Jan/2019]:[Mar/2019]])</f>
        <v>0</v>
      </c>
      <c r="U273" s="29">
        <f>SUM(BaseHoras[[#This Row],[Abr/2019]:[Jun/2019]])</f>
        <v>0</v>
      </c>
      <c r="V273" s="29">
        <f>SUM(BaseHoras[[#This Row],[Jul/2019]:[Set/2019]])</f>
        <v>0</v>
      </c>
      <c r="W273" s="29">
        <f>SUM(BaseHoras[[#This Row],[Out/2019]:[Dez/2019]])</f>
        <v>76.007893898361232</v>
      </c>
    </row>
    <row r="274" spans="1:23">
      <c r="A274" t="s">
        <v>151</v>
      </c>
      <c r="B274" t="s">
        <v>168</v>
      </c>
      <c r="C274" t="s">
        <v>278</v>
      </c>
      <c r="D274" t="s">
        <v>135</v>
      </c>
      <c r="E274" t="s">
        <v>183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s="28">
        <v>0</v>
      </c>
      <c r="N274" s="28">
        <v>0</v>
      </c>
      <c r="O274">
        <v>0</v>
      </c>
      <c r="P274">
        <v>0</v>
      </c>
      <c r="Q274">
        <v>25.801449319160053</v>
      </c>
      <c r="R274">
        <v>0</v>
      </c>
      <c r="S274" s="28">
        <v>25.801449319160053</v>
      </c>
      <c r="T274" s="29">
        <f>SUM(BaseHoras[[#This Row],[Jan/2019]:[Mar/2019]])</f>
        <v>0</v>
      </c>
      <c r="U274" s="29">
        <f>SUM(BaseHoras[[#This Row],[Abr/2019]:[Jun/2019]])</f>
        <v>0</v>
      </c>
      <c r="V274" s="29">
        <f>SUM(BaseHoras[[#This Row],[Jul/2019]:[Set/2019]])</f>
        <v>0</v>
      </c>
      <c r="W274" s="29">
        <f>SUM(BaseHoras[[#This Row],[Out/2019]:[Dez/2019]])</f>
        <v>25.801449319160053</v>
      </c>
    </row>
    <row r="275" spans="1:23">
      <c r="A275" t="s">
        <v>151</v>
      </c>
      <c r="B275" t="s">
        <v>168</v>
      </c>
      <c r="C275" t="s">
        <v>278</v>
      </c>
      <c r="D275" t="s">
        <v>136</v>
      </c>
      <c r="E275" t="s">
        <v>183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s="28">
        <v>0</v>
      </c>
      <c r="N275" s="28">
        <v>0</v>
      </c>
      <c r="O275">
        <v>3.799224709618116</v>
      </c>
      <c r="P275">
        <v>0</v>
      </c>
      <c r="Q275">
        <v>0</v>
      </c>
      <c r="R275">
        <v>0</v>
      </c>
      <c r="S275" s="28">
        <v>3.799224709618116</v>
      </c>
      <c r="T275" s="29">
        <f>SUM(BaseHoras[[#This Row],[Jan/2019]:[Mar/2019]])</f>
        <v>0</v>
      </c>
      <c r="U275" s="29">
        <f>SUM(BaseHoras[[#This Row],[Abr/2019]:[Jun/2019]])</f>
        <v>0</v>
      </c>
      <c r="V275" s="29">
        <f>SUM(BaseHoras[[#This Row],[Jul/2019]:[Set/2019]])</f>
        <v>0</v>
      </c>
      <c r="W275" s="29">
        <f>SUM(BaseHoras[[#This Row],[Out/2019]:[Dez/2019]])</f>
        <v>3.799224709618116</v>
      </c>
    </row>
    <row r="276" spans="1:23">
      <c r="A276" t="s">
        <v>151</v>
      </c>
      <c r="B276" t="s">
        <v>168</v>
      </c>
      <c r="C276" t="s">
        <v>278</v>
      </c>
      <c r="D276" t="s">
        <v>140</v>
      </c>
      <c r="E276" t="s">
        <v>183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s="28">
        <v>0</v>
      </c>
      <c r="N276" s="28">
        <v>0</v>
      </c>
      <c r="O276">
        <v>0</v>
      </c>
      <c r="P276">
        <v>91.065215717406119</v>
      </c>
      <c r="Q276">
        <v>2603.3666241301671</v>
      </c>
      <c r="R276">
        <v>0</v>
      </c>
      <c r="S276" s="28">
        <v>2694.4318398475734</v>
      </c>
      <c r="T276" s="29">
        <f>SUM(BaseHoras[[#This Row],[Jan/2019]:[Mar/2019]])</f>
        <v>0</v>
      </c>
      <c r="U276" s="29">
        <f>SUM(BaseHoras[[#This Row],[Abr/2019]:[Jun/2019]])</f>
        <v>0</v>
      </c>
      <c r="V276" s="29">
        <f>SUM(BaseHoras[[#This Row],[Jul/2019]:[Set/2019]])</f>
        <v>0</v>
      </c>
      <c r="W276" s="29">
        <f>SUM(BaseHoras[[#This Row],[Out/2019]:[Dez/2019]])</f>
        <v>2694.4318398475734</v>
      </c>
    </row>
    <row r="277" spans="1:23">
      <c r="A277" t="s">
        <v>151</v>
      </c>
      <c r="B277" t="s">
        <v>168</v>
      </c>
      <c r="C277" t="s">
        <v>278</v>
      </c>
      <c r="D277" t="s">
        <v>147</v>
      </c>
      <c r="E277" t="s">
        <v>183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s="28">
        <v>0</v>
      </c>
      <c r="N277" s="28">
        <v>0</v>
      </c>
      <c r="O277">
        <v>0</v>
      </c>
      <c r="P277">
        <v>283.7019313002952</v>
      </c>
      <c r="Q277">
        <v>1999.5853782514876</v>
      </c>
      <c r="R277">
        <v>0</v>
      </c>
      <c r="S277" s="28">
        <v>2283.2873095517825</v>
      </c>
      <c r="T277" s="29">
        <f>SUM(BaseHoras[[#This Row],[Jan/2019]:[Mar/2019]])</f>
        <v>0</v>
      </c>
      <c r="U277" s="29">
        <f>SUM(BaseHoras[[#This Row],[Abr/2019]:[Jun/2019]])</f>
        <v>0</v>
      </c>
      <c r="V277" s="29">
        <f>SUM(BaseHoras[[#This Row],[Jul/2019]:[Set/2019]])</f>
        <v>0</v>
      </c>
      <c r="W277" s="29">
        <f>SUM(BaseHoras[[#This Row],[Out/2019]:[Dez/2019]])</f>
        <v>2283.2873095517825</v>
      </c>
    </row>
    <row r="278" spans="1:23">
      <c r="A278" t="s">
        <v>151</v>
      </c>
      <c r="B278" t="s">
        <v>168</v>
      </c>
      <c r="C278" t="s">
        <v>278</v>
      </c>
      <c r="D278" t="s">
        <v>148</v>
      </c>
      <c r="E278" t="s">
        <v>183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s="28">
        <v>0</v>
      </c>
      <c r="N278" s="28">
        <v>0</v>
      </c>
      <c r="O278">
        <v>0</v>
      </c>
      <c r="P278">
        <v>0</v>
      </c>
      <c r="Q278">
        <v>925.8931696255363</v>
      </c>
      <c r="R278">
        <v>0</v>
      </c>
      <c r="S278" s="28">
        <v>925.8931696255363</v>
      </c>
      <c r="T278" s="29">
        <f>SUM(BaseHoras[[#This Row],[Jan/2019]:[Mar/2019]])</f>
        <v>0</v>
      </c>
      <c r="U278" s="29">
        <f>SUM(BaseHoras[[#This Row],[Abr/2019]:[Jun/2019]])</f>
        <v>0</v>
      </c>
      <c r="V278" s="29">
        <f>SUM(BaseHoras[[#This Row],[Jul/2019]:[Set/2019]])</f>
        <v>0</v>
      </c>
      <c r="W278" s="29">
        <f>SUM(BaseHoras[[#This Row],[Out/2019]:[Dez/2019]])</f>
        <v>925.8931696255363</v>
      </c>
    </row>
    <row r="279" spans="1:23">
      <c r="A279" t="s">
        <v>151</v>
      </c>
      <c r="B279" t="s">
        <v>168</v>
      </c>
      <c r="C279" t="s">
        <v>280</v>
      </c>
      <c r="D279" t="s">
        <v>35</v>
      </c>
      <c r="E279" t="s">
        <v>183</v>
      </c>
      <c r="F279">
        <v>0</v>
      </c>
      <c r="G279">
        <v>0</v>
      </c>
      <c r="H279">
        <v>0</v>
      </c>
      <c r="I279">
        <v>0</v>
      </c>
      <c r="J279">
        <v>173.90689914256745</v>
      </c>
      <c r="K279">
        <v>1151.9055786586284</v>
      </c>
      <c r="L279">
        <v>202.86722917339264</v>
      </c>
      <c r="M279" s="28">
        <v>8.8182596885876272</v>
      </c>
      <c r="N279" s="28">
        <v>0</v>
      </c>
      <c r="O279">
        <v>0</v>
      </c>
      <c r="P279">
        <v>0</v>
      </c>
      <c r="Q279">
        <v>0</v>
      </c>
      <c r="R279">
        <v>0</v>
      </c>
      <c r="S279" s="28">
        <v>1537.4979666631762</v>
      </c>
      <c r="T279" s="29">
        <f>SUM(BaseHoras[[#This Row],[Jan/2019]:[Mar/2019]])</f>
        <v>0</v>
      </c>
      <c r="U279" s="29">
        <f>SUM(BaseHoras[[#This Row],[Abr/2019]:[Jun/2019]])</f>
        <v>1325.8124778011959</v>
      </c>
      <c r="V279" s="29">
        <f>SUM(BaseHoras[[#This Row],[Jul/2019]:[Set/2019]])</f>
        <v>211.68548886198028</v>
      </c>
      <c r="W279" s="29">
        <f>SUM(BaseHoras[[#This Row],[Out/2019]:[Dez/2019]])</f>
        <v>0</v>
      </c>
    </row>
    <row r="280" spans="1:23">
      <c r="A280" t="s">
        <v>151</v>
      </c>
      <c r="B280" t="s">
        <v>168</v>
      </c>
      <c r="C280" t="s">
        <v>280</v>
      </c>
      <c r="D280" t="s">
        <v>49</v>
      </c>
      <c r="E280" t="s">
        <v>183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s="28">
        <v>48.260645761894665</v>
      </c>
      <c r="N280" s="28">
        <v>0</v>
      </c>
      <c r="O280">
        <v>0</v>
      </c>
      <c r="P280">
        <v>0</v>
      </c>
      <c r="Q280">
        <v>0</v>
      </c>
      <c r="R280">
        <v>0</v>
      </c>
      <c r="S280" s="28">
        <v>48.260645761894665</v>
      </c>
      <c r="T280" s="29">
        <f>SUM(BaseHoras[[#This Row],[Jan/2019]:[Mar/2019]])</f>
        <v>0</v>
      </c>
      <c r="U280" s="29">
        <f>SUM(BaseHoras[[#This Row],[Abr/2019]:[Jun/2019]])</f>
        <v>0</v>
      </c>
      <c r="V280" s="29">
        <f>SUM(BaseHoras[[#This Row],[Jul/2019]:[Set/2019]])</f>
        <v>48.260645761894665</v>
      </c>
      <c r="W280" s="29">
        <f>SUM(BaseHoras[[#This Row],[Out/2019]:[Dez/2019]])</f>
        <v>0</v>
      </c>
    </row>
    <row r="281" spans="1:23">
      <c r="A281" t="s">
        <v>151</v>
      </c>
      <c r="B281" t="s">
        <v>168</v>
      </c>
      <c r="C281" t="s">
        <v>280</v>
      </c>
      <c r="D281" t="s">
        <v>55</v>
      </c>
      <c r="E281" t="s">
        <v>183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395</v>
      </c>
      <c r="M281" s="28">
        <v>0</v>
      </c>
      <c r="N281" s="28">
        <v>0</v>
      </c>
      <c r="O281">
        <v>0</v>
      </c>
      <c r="P281">
        <v>0</v>
      </c>
      <c r="Q281">
        <v>0</v>
      </c>
      <c r="R281">
        <v>0</v>
      </c>
      <c r="S281" s="28">
        <v>0</v>
      </c>
      <c r="T281" s="29">
        <f>SUM(BaseHoras[[#This Row],[Jan/2019]:[Mar/2019]])</f>
        <v>0</v>
      </c>
      <c r="U281" s="29">
        <f>SUM(BaseHoras[[#This Row],[Abr/2019]:[Jun/2019]])</f>
        <v>0</v>
      </c>
      <c r="V281" s="29">
        <f>SUM(BaseHoras[[#This Row],[Jul/2019]:[Set/2019]])</f>
        <v>0</v>
      </c>
      <c r="W281" s="29">
        <f>SUM(BaseHoras[[#This Row],[Out/2019]:[Dez/2019]])</f>
        <v>0</v>
      </c>
    </row>
    <row r="282" spans="1:23">
      <c r="A282" t="s">
        <v>151</v>
      </c>
      <c r="B282" t="s">
        <v>168</v>
      </c>
      <c r="C282" t="s">
        <v>280</v>
      </c>
      <c r="D282" t="s">
        <v>87</v>
      </c>
      <c r="E282" t="s">
        <v>183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182.862580216032</v>
      </c>
      <c r="L282">
        <v>0</v>
      </c>
      <c r="M282" s="28">
        <v>65.569093300394229</v>
      </c>
      <c r="N282" s="28">
        <v>33.32461785452081</v>
      </c>
      <c r="O282">
        <v>0</v>
      </c>
      <c r="P282">
        <v>0</v>
      </c>
      <c r="Q282">
        <v>0</v>
      </c>
      <c r="R282">
        <v>0</v>
      </c>
      <c r="S282" s="28">
        <v>281.75629137094705</v>
      </c>
      <c r="T282" s="29">
        <f>SUM(BaseHoras[[#This Row],[Jan/2019]:[Mar/2019]])</f>
        <v>0</v>
      </c>
      <c r="U282" s="29">
        <f>SUM(BaseHoras[[#This Row],[Abr/2019]:[Jun/2019]])</f>
        <v>182.862580216032</v>
      </c>
      <c r="V282" s="29">
        <f>SUM(BaseHoras[[#This Row],[Jul/2019]:[Set/2019]])</f>
        <v>98.893711154915039</v>
      </c>
      <c r="W282" s="29">
        <f>SUM(BaseHoras[[#This Row],[Out/2019]:[Dez/2019]])</f>
        <v>0</v>
      </c>
    </row>
    <row r="283" spans="1:23">
      <c r="A283" t="s">
        <v>151</v>
      </c>
      <c r="B283" t="s">
        <v>168</v>
      </c>
      <c r="C283" t="s">
        <v>280</v>
      </c>
      <c r="D283" t="s">
        <v>93</v>
      </c>
      <c r="E283" t="s">
        <v>183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s="28">
        <v>0</v>
      </c>
      <c r="N283" s="28">
        <v>0</v>
      </c>
      <c r="O283">
        <v>0</v>
      </c>
      <c r="P283">
        <v>113.91489656363603</v>
      </c>
      <c r="Q283">
        <v>0</v>
      </c>
      <c r="R283">
        <v>0</v>
      </c>
      <c r="S283" s="28">
        <v>113.91489656363603</v>
      </c>
      <c r="T283" s="29">
        <f>SUM(BaseHoras[[#This Row],[Jan/2019]:[Mar/2019]])</f>
        <v>0</v>
      </c>
      <c r="U283" s="29">
        <f>SUM(BaseHoras[[#This Row],[Abr/2019]:[Jun/2019]])</f>
        <v>0</v>
      </c>
      <c r="V283" s="29">
        <f>SUM(BaseHoras[[#This Row],[Jul/2019]:[Set/2019]])</f>
        <v>0</v>
      </c>
      <c r="W283" s="29">
        <f>SUM(BaseHoras[[#This Row],[Out/2019]:[Dez/2019]])</f>
        <v>113.91489656363603</v>
      </c>
    </row>
    <row r="284" spans="1:23">
      <c r="A284" t="s">
        <v>151</v>
      </c>
      <c r="B284" t="s">
        <v>168</v>
      </c>
      <c r="C284" t="s">
        <v>280</v>
      </c>
      <c r="D284" t="s">
        <v>153</v>
      </c>
      <c r="E284" t="s">
        <v>183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s="28">
        <v>0</v>
      </c>
      <c r="N284" s="28">
        <v>0</v>
      </c>
      <c r="O284">
        <v>0</v>
      </c>
      <c r="P284">
        <v>0</v>
      </c>
      <c r="Q284">
        <v>1678.3939382518754</v>
      </c>
      <c r="R284">
        <v>0</v>
      </c>
      <c r="S284" s="28">
        <v>1678.3939382518754</v>
      </c>
      <c r="T284" s="29">
        <f>SUM(BaseHoras[[#This Row],[Jan/2019]:[Mar/2019]])</f>
        <v>0</v>
      </c>
      <c r="U284" s="29">
        <f>SUM(BaseHoras[[#This Row],[Abr/2019]:[Jun/2019]])</f>
        <v>0</v>
      </c>
      <c r="V284" s="29">
        <f>SUM(BaseHoras[[#This Row],[Jul/2019]:[Set/2019]])</f>
        <v>0</v>
      </c>
      <c r="W284" s="29">
        <f>SUM(BaseHoras[[#This Row],[Out/2019]:[Dez/2019]])</f>
        <v>1678.3939382518754</v>
      </c>
    </row>
    <row r="285" spans="1:23">
      <c r="A285" t="s">
        <v>151</v>
      </c>
      <c r="B285" t="s">
        <v>168</v>
      </c>
      <c r="C285" t="s">
        <v>280</v>
      </c>
      <c r="D285" t="s">
        <v>129</v>
      </c>
      <c r="E285" t="s">
        <v>183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s="28">
        <v>0</v>
      </c>
      <c r="N285" s="28">
        <v>0</v>
      </c>
      <c r="O285">
        <v>0</v>
      </c>
      <c r="P285">
        <v>0</v>
      </c>
      <c r="Q285">
        <v>399.50078538143356</v>
      </c>
      <c r="R285">
        <v>0</v>
      </c>
      <c r="S285" s="28">
        <v>399.50078538143356</v>
      </c>
      <c r="T285" s="29">
        <f>SUM(BaseHoras[[#This Row],[Jan/2019]:[Mar/2019]])</f>
        <v>0</v>
      </c>
      <c r="U285" s="29">
        <f>SUM(BaseHoras[[#This Row],[Abr/2019]:[Jun/2019]])</f>
        <v>0</v>
      </c>
      <c r="V285" s="29">
        <f>SUM(BaseHoras[[#This Row],[Jul/2019]:[Set/2019]])</f>
        <v>0</v>
      </c>
      <c r="W285" s="29">
        <f>SUM(BaseHoras[[#This Row],[Out/2019]:[Dez/2019]])</f>
        <v>399.50078538143356</v>
      </c>
    </row>
    <row r="286" spans="1:23">
      <c r="A286" t="s">
        <v>151</v>
      </c>
      <c r="B286" t="s">
        <v>168</v>
      </c>
      <c r="C286" t="s">
        <v>280</v>
      </c>
      <c r="D286" t="s">
        <v>138</v>
      </c>
      <c r="E286" t="s">
        <v>183</v>
      </c>
      <c r="F286">
        <v>0</v>
      </c>
      <c r="G286">
        <v>0</v>
      </c>
      <c r="H286">
        <v>0</v>
      </c>
      <c r="I286">
        <v>0</v>
      </c>
      <c r="J286">
        <v>118.15130945770839</v>
      </c>
      <c r="K286">
        <v>3085.548404695126</v>
      </c>
      <c r="L286">
        <v>1133.0683155810682</v>
      </c>
      <c r="M286" s="28">
        <v>263.16962148832476</v>
      </c>
      <c r="N286" s="28">
        <v>12670.188141273024</v>
      </c>
      <c r="O286">
        <v>0</v>
      </c>
      <c r="P286">
        <v>0</v>
      </c>
      <c r="Q286">
        <v>0</v>
      </c>
      <c r="R286">
        <v>0</v>
      </c>
      <c r="S286" s="28">
        <v>17270.125792495252</v>
      </c>
      <c r="T286" s="29">
        <f>SUM(BaseHoras[[#This Row],[Jan/2019]:[Mar/2019]])</f>
        <v>0</v>
      </c>
      <c r="U286" s="29">
        <f>SUM(BaseHoras[[#This Row],[Abr/2019]:[Jun/2019]])</f>
        <v>3203.6997141528345</v>
      </c>
      <c r="V286" s="29">
        <f>SUM(BaseHoras[[#This Row],[Jul/2019]:[Set/2019]])</f>
        <v>14066.426078342416</v>
      </c>
      <c r="W286" s="29">
        <f>SUM(BaseHoras[[#This Row],[Out/2019]:[Dez/2019]])</f>
        <v>0</v>
      </c>
    </row>
    <row r="287" spans="1:23">
      <c r="A287" t="s">
        <v>151</v>
      </c>
      <c r="B287" t="s">
        <v>168</v>
      </c>
      <c r="C287" t="s">
        <v>281</v>
      </c>
      <c r="D287" t="s">
        <v>19</v>
      </c>
      <c r="E287" t="s">
        <v>183</v>
      </c>
      <c r="F287">
        <v>3.1483296896391284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s="28">
        <v>0</v>
      </c>
      <c r="N287" s="28">
        <v>0</v>
      </c>
      <c r="O287">
        <v>0</v>
      </c>
      <c r="P287">
        <v>0</v>
      </c>
      <c r="Q287">
        <v>0</v>
      </c>
      <c r="R287">
        <v>0</v>
      </c>
      <c r="S287" s="28">
        <v>3.1483296896391284</v>
      </c>
      <c r="T287" s="29">
        <f>SUM(BaseHoras[[#This Row],[Jan/2019]:[Mar/2019]])</f>
        <v>3.1483296896391284</v>
      </c>
      <c r="U287" s="29">
        <f>SUM(BaseHoras[[#This Row],[Abr/2019]:[Jun/2019]])</f>
        <v>0</v>
      </c>
      <c r="V287" s="29">
        <f>SUM(BaseHoras[[#This Row],[Jul/2019]:[Set/2019]])</f>
        <v>0</v>
      </c>
      <c r="W287" s="29">
        <f>SUM(BaseHoras[[#This Row],[Out/2019]:[Dez/2019]])</f>
        <v>0</v>
      </c>
    </row>
    <row r="288" spans="1:23">
      <c r="A288" t="s">
        <v>151</v>
      </c>
      <c r="B288" t="s">
        <v>168</v>
      </c>
      <c r="C288" t="s">
        <v>281</v>
      </c>
      <c r="D288" t="s">
        <v>40</v>
      </c>
      <c r="E288" t="s">
        <v>183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7.099233320452595</v>
      </c>
      <c r="L288">
        <v>0</v>
      </c>
      <c r="M288" s="28">
        <v>0</v>
      </c>
      <c r="N288" s="28">
        <v>0</v>
      </c>
      <c r="O288">
        <v>0</v>
      </c>
      <c r="P288">
        <v>0</v>
      </c>
      <c r="Q288">
        <v>0</v>
      </c>
      <c r="R288">
        <v>0</v>
      </c>
      <c r="S288" s="28">
        <v>7.099233320452595</v>
      </c>
      <c r="T288" s="29">
        <f>SUM(BaseHoras[[#This Row],[Jan/2019]:[Mar/2019]])</f>
        <v>0</v>
      </c>
      <c r="U288" s="29">
        <f>SUM(BaseHoras[[#This Row],[Abr/2019]:[Jun/2019]])</f>
        <v>7.099233320452595</v>
      </c>
      <c r="V288" s="29">
        <f>SUM(BaseHoras[[#This Row],[Jul/2019]:[Set/2019]])</f>
        <v>0</v>
      </c>
      <c r="W288" s="29">
        <f>SUM(BaseHoras[[#This Row],[Out/2019]:[Dez/2019]])</f>
        <v>0</v>
      </c>
    </row>
    <row r="289" spans="1:23">
      <c r="A289" t="s">
        <v>151</v>
      </c>
      <c r="B289" t="s">
        <v>168</v>
      </c>
      <c r="C289" t="s">
        <v>281</v>
      </c>
      <c r="D289" t="s">
        <v>131</v>
      </c>
      <c r="E289" t="s">
        <v>183</v>
      </c>
      <c r="F289">
        <v>71.593356525552096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s="28">
        <v>0</v>
      </c>
      <c r="N289" s="28">
        <v>0</v>
      </c>
      <c r="O289">
        <v>0</v>
      </c>
      <c r="P289">
        <v>0</v>
      </c>
      <c r="Q289">
        <v>12.338562787866241</v>
      </c>
      <c r="R289">
        <v>0</v>
      </c>
      <c r="S289" s="28">
        <v>83.931919313418334</v>
      </c>
      <c r="T289" s="29">
        <f>SUM(BaseHoras[[#This Row],[Jan/2019]:[Mar/2019]])</f>
        <v>71.593356525552096</v>
      </c>
      <c r="U289" s="29">
        <f>SUM(BaseHoras[[#This Row],[Abr/2019]:[Jun/2019]])</f>
        <v>0</v>
      </c>
      <c r="V289" s="29">
        <f>SUM(BaseHoras[[#This Row],[Jul/2019]:[Set/2019]])</f>
        <v>0</v>
      </c>
      <c r="W289" s="29">
        <f>SUM(BaseHoras[[#This Row],[Out/2019]:[Dez/2019]])</f>
        <v>12.338562787866241</v>
      </c>
    </row>
    <row r="290" spans="1:23">
      <c r="A290" t="s">
        <v>151</v>
      </c>
      <c r="B290" t="s">
        <v>168</v>
      </c>
      <c r="C290" t="s">
        <v>282</v>
      </c>
      <c r="D290" t="s">
        <v>26</v>
      </c>
      <c r="E290" t="s">
        <v>192</v>
      </c>
      <c r="F290">
        <v>0</v>
      </c>
      <c r="G290">
        <v>0</v>
      </c>
      <c r="H290">
        <v>0</v>
      </c>
      <c r="I290">
        <v>3416.608620867486</v>
      </c>
      <c r="J290">
        <v>0</v>
      </c>
      <c r="K290">
        <v>0</v>
      </c>
      <c r="L290">
        <v>0</v>
      </c>
      <c r="M290" s="28">
        <v>0</v>
      </c>
      <c r="N290" s="28">
        <v>0</v>
      </c>
      <c r="O290">
        <v>0</v>
      </c>
      <c r="P290">
        <v>0</v>
      </c>
      <c r="Q290">
        <v>0</v>
      </c>
      <c r="R290">
        <v>0</v>
      </c>
      <c r="S290" s="28">
        <v>3416.608620867486</v>
      </c>
      <c r="T290" s="29">
        <f>SUM(BaseHoras[[#This Row],[Jan/2019]:[Mar/2019]])</f>
        <v>0</v>
      </c>
      <c r="U290" s="29">
        <f>SUM(BaseHoras[[#This Row],[Abr/2019]:[Jun/2019]])</f>
        <v>3416.608620867486</v>
      </c>
      <c r="V290" s="29">
        <f>SUM(BaseHoras[[#This Row],[Jul/2019]:[Set/2019]])</f>
        <v>0</v>
      </c>
      <c r="W290" s="29">
        <f>SUM(BaseHoras[[#This Row],[Out/2019]:[Dez/2019]])</f>
        <v>0</v>
      </c>
    </row>
    <row r="291" spans="1:23">
      <c r="A291" t="s">
        <v>151</v>
      </c>
      <c r="B291" t="s">
        <v>168</v>
      </c>
      <c r="C291" t="s">
        <v>282</v>
      </c>
      <c r="D291" t="s">
        <v>35</v>
      </c>
      <c r="E291" t="s">
        <v>192</v>
      </c>
      <c r="F291">
        <v>0</v>
      </c>
      <c r="G291">
        <v>170.55670618187301</v>
      </c>
      <c r="H291">
        <v>0</v>
      </c>
      <c r="I291">
        <v>0</v>
      </c>
      <c r="J291">
        <v>0</v>
      </c>
      <c r="K291">
        <v>0</v>
      </c>
      <c r="L291">
        <v>0</v>
      </c>
      <c r="M291" s="28">
        <v>0</v>
      </c>
      <c r="N291" s="28">
        <v>0</v>
      </c>
      <c r="O291">
        <v>0</v>
      </c>
      <c r="P291">
        <v>0</v>
      </c>
      <c r="Q291">
        <v>0</v>
      </c>
      <c r="R291">
        <v>0</v>
      </c>
      <c r="S291" s="28">
        <v>170.55670618187301</v>
      </c>
      <c r="T291" s="29">
        <f>SUM(BaseHoras[[#This Row],[Jan/2019]:[Mar/2019]])</f>
        <v>170.55670618187301</v>
      </c>
      <c r="U291" s="29">
        <f>SUM(BaseHoras[[#This Row],[Abr/2019]:[Jun/2019]])</f>
        <v>0</v>
      </c>
      <c r="V291" s="29">
        <f>SUM(BaseHoras[[#This Row],[Jul/2019]:[Set/2019]])</f>
        <v>0</v>
      </c>
      <c r="W291" s="29">
        <f>SUM(BaseHoras[[#This Row],[Out/2019]:[Dez/2019]])</f>
        <v>0</v>
      </c>
    </row>
    <row r="292" spans="1:23">
      <c r="A292" t="s">
        <v>151</v>
      </c>
      <c r="B292" t="s">
        <v>168</v>
      </c>
      <c r="C292" t="s">
        <v>282</v>
      </c>
      <c r="D292" t="s">
        <v>41</v>
      </c>
      <c r="E292" t="s">
        <v>192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52.88193180063778</v>
      </c>
      <c r="M292" s="28">
        <v>0</v>
      </c>
      <c r="N292" s="28">
        <v>0</v>
      </c>
      <c r="O292">
        <v>0</v>
      </c>
      <c r="P292">
        <v>0</v>
      </c>
      <c r="Q292">
        <v>0</v>
      </c>
      <c r="R292">
        <v>0</v>
      </c>
      <c r="S292" s="28">
        <v>52.88193180063778</v>
      </c>
      <c r="T292" s="29">
        <f>SUM(BaseHoras[[#This Row],[Jan/2019]:[Mar/2019]])</f>
        <v>0</v>
      </c>
      <c r="U292" s="29">
        <f>SUM(BaseHoras[[#This Row],[Abr/2019]:[Jun/2019]])</f>
        <v>0</v>
      </c>
      <c r="V292" s="29">
        <f>SUM(BaseHoras[[#This Row],[Jul/2019]:[Set/2019]])</f>
        <v>52.88193180063778</v>
      </c>
      <c r="W292" s="29">
        <f>SUM(BaseHoras[[#This Row],[Out/2019]:[Dez/2019]])</f>
        <v>0</v>
      </c>
    </row>
    <row r="293" spans="1:23">
      <c r="A293" t="s">
        <v>151</v>
      </c>
      <c r="B293" t="s">
        <v>168</v>
      </c>
      <c r="C293" t="s">
        <v>282</v>
      </c>
      <c r="D293" t="s">
        <v>64</v>
      </c>
      <c r="E293" t="s">
        <v>192</v>
      </c>
      <c r="F293">
        <v>78.383638909907702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s="28">
        <v>0</v>
      </c>
      <c r="N293" s="28">
        <v>0</v>
      </c>
      <c r="O293">
        <v>0</v>
      </c>
      <c r="P293">
        <v>0</v>
      </c>
      <c r="Q293">
        <v>0</v>
      </c>
      <c r="R293">
        <v>0</v>
      </c>
      <c r="S293" s="28">
        <v>78.383638909907702</v>
      </c>
      <c r="T293" s="29">
        <f>SUM(BaseHoras[[#This Row],[Jan/2019]:[Mar/2019]])</f>
        <v>78.383638909907702</v>
      </c>
      <c r="U293" s="29">
        <f>SUM(BaseHoras[[#This Row],[Abr/2019]:[Jun/2019]])</f>
        <v>0</v>
      </c>
      <c r="V293" s="29">
        <f>SUM(BaseHoras[[#This Row],[Jul/2019]:[Set/2019]])</f>
        <v>0</v>
      </c>
      <c r="W293" s="29">
        <f>SUM(BaseHoras[[#This Row],[Out/2019]:[Dez/2019]])</f>
        <v>0</v>
      </c>
    </row>
    <row r="294" spans="1:23">
      <c r="A294" t="s">
        <v>151</v>
      </c>
      <c r="B294" t="s">
        <v>168</v>
      </c>
      <c r="C294" t="s">
        <v>282</v>
      </c>
      <c r="D294" t="s">
        <v>82</v>
      </c>
      <c r="E294" t="s">
        <v>192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s="28">
        <v>0</v>
      </c>
      <c r="N294" s="28">
        <v>0</v>
      </c>
      <c r="O294">
        <v>1.9882344735278652</v>
      </c>
      <c r="P294">
        <v>0</v>
      </c>
      <c r="Q294">
        <v>0</v>
      </c>
      <c r="R294">
        <v>0</v>
      </c>
      <c r="S294" s="28">
        <v>1.9882344735278652</v>
      </c>
      <c r="T294" s="29">
        <f>SUM(BaseHoras[[#This Row],[Jan/2019]:[Mar/2019]])</f>
        <v>0</v>
      </c>
      <c r="U294" s="29">
        <f>SUM(BaseHoras[[#This Row],[Abr/2019]:[Jun/2019]])</f>
        <v>0</v>
      </c>
      <c r="V294" s="29">
        <f>SUM(BaseHoras[[#This Row],[Jul/2019]:[Set/2019]])</f>
        <v>0</v>
      </c>
      <c r="W294" s="29">
        <f>SUM(BaseHoras[[#This Row],[Out/2019]:[Dez/2019]])</f>
        <v>1.9882344735278652</v>
      </c>
    </row>
    <row r="295" spans="1:23">
      <c r="A295" t="s">
        <v>151</v>
      </c>
      <c r="B295" t="s">
        <v>168</v>
      </c>
      <c r="C295" t="s">
        <v>282</v>
      </c>
      <c r="D295" t="s">
        <v>87</v>
      </c>
      <c r="E295" t="s">
        <v>192</v>
      </c>
      <c r="F295">
        <v>63.101948266686684</v>
      </c>
      <c r="G295">
        <v>6.8224653956652244</v>
      </c>
      <c r="H295">
        <v>0</v>
      </c>
      <c r="I295">
        <v>10.231776278681831</v>
      </c>
      <c r="J295">
        <v>0</v>
      </c>
      <c r="K295">
        <v>6.250006424740822</v>
      </c>
      <c r="L295">
        <v>0</v>
      </c>
      <c r="M295" s="28">
        <v>0</v>
      </c>
      <c r="N295" s="28">
        <v>0</v>
      </c>
      <c r="O295">
        <v>8.5201292356329041</v>
      </c>
      <c r="P295">
        <v>545.85740611136237</v>
      </c>
      <c r="Q295">
        <v>0</v>
      </c>
      <c r="R295">
        <v>0</v>
      </c>
      <c r="S295" s="28">
        <v>640.78373171276985</v>
      </c>
      <c r="T295" s="29">
        <f>SUM(BaseHoras[[#This Row],[Jan/2019]:[Mar/2019]])</f>
        <v>69.92441366235191</v>
      </c>
      <c r="U295" s="29">
        <f>SUM(BaseHoras[[#This Row],[Abr/2019]:[Jun/2019]])</f>
        <v>16.481782703422653</v>
      </c>
      <c r="V295" s="29">
        <f>SUM(BaseHoras[[#This Row],[Jul/2019]:[Set/2019]])</f>
        <v>0</v>
      </c>
      <c r="W295" s="29">
        <f>SUM(BaseHoras[[#This Row],[Out/2019]:[Dez/2019]])</f>
        <v>554.37753534699527</v>
      </c>
    </row>
    <row r="296" spans="1:23">
      <c r="A296" t="s">
        <v>151</v>
      </c>
      <c r="B296" t="s">
        <v>168</v>
      </c>
      <c r="C296" t="s">
        <v>282</v>
      </c>
      <c r="D296" t="s">
        <v>283</v>
      </c>
      <c r="E296" t="s">
        <v>192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s="28">
        <v>0</v>
      </c>
      <c r="N296" s="28">
        <v>0</v>
      </c>
      <c r="O296">
        <v>0</v>
      </c>
      <c r="P296">
        <v>0</v>
      </c>
      <c r="Q296">
        <v>196.87740618618056</v>
      </c>
      <c r="R296">
        <v>0</v>
      </c>
      <c r="S296" s="28">
        <v>196.87740618618056</v>
      </c>
      <c r="T296" s="29">
        <f>SUM(BaseHoras[[#This Row],[Jan/2019]:[Mar/2019]])</f>
        <v>0</v>
      </c>
      <c r="U296" s="29">
        <f>SUM(BaseHoras[[#This Row],[Abr/2019]:[Jun/2019]])</f>
        <v>0</v>
      </c>
      <c r="V296" s="29">
        <f>SUM(BaseHoras[[#This Row],[Jul/2019]:[Set/2019]])</f>
        <v>0</v>
      </c>
      <c r="W296" s="29">
        <f>SUM(BaseHoras[[#This Row],[Out/2019]:[Dez/2019]])</f>
        <v>196.87740618618056</v>
      </c>
    </row>
    <row r="297" spans="1:23">
      <c r="A297" t="s">
        <v>151</v>
      </c>
      <c r="B297" t="s">
        <v>168</v>
      </c>
      <c r="C297" t="s">
        <v>282</v>
      </c>
      <c r="D297" t="s">
        <v>125</v>
      </c>
      <c r="E297" t="s">
        <v>192</v>
      </c>
      <c r="F297">
        <v>6.7088097179070383</v>
      </c>
      <c r="G297">
        <v>55.055921539985093</v>
      </c>
      <c r="H297">
        <v>0</v>
      </c>
      <c r="I297">
        <v>0</v>
      </c>
      <c r="J297">
        <v>0</v>
      </c>
      <c r="K297">
        <v>18.974381641911648</v>
      </c>
      <c r="L297">
        <v>15.338819353904272</v>
      </c>
      <c r="M297" s="28">
        <v>31.037712058461178</v>
      </c>
      <c r="N297" s="28">
        <v>0</v>
      </c>
      <c r="O297">
        <v>0</v>
      </c>
      <c r="P297">
        <v>372.47471661140946</v>
      </c>
      <c r="Q297">
        <v>5.5403276088206361</v>
      </c>
      <c r="R297">
        <v>0</v>
      </c>
      <c r="S297" s="28">
        <v>505.13068853239935</v>
      </c>
      <c r="T297" s="29">
        <f>SUM(BaseHoras[[#This Row],[Jan/2019]:[Mar/2019]])</f>
        <v>61.76473125789213</v>
      </c>
      <c r="U297" s="29">
        <f>SUM(BaseHoras[[#This Row],[Abr/2019]:[Jun/2019]])</f>
        <v>18.974381641911648</v>
      </c>
      <c r="V297" s="29">
        <f>SUM(BaseHoras[[#This Row],[Jul/2019]:[Set/2019]])</f>
        <v>46.376531412365452</v>
      </c>
      <c r="W297" s="29">
        <f>SUM(BaseHoras[[#This Row],[Out/2019]:[Dez/2019]])</f>
        <v>378.0150442202301</v>
      </c>
    </row>
    <row r="298" spans="1:23">
      <c r="A298" t="s">
        <v>151</v>
      </c>
      <c r="B298" t="s">
        <v>168</v>
      </c>
      <c r="C298" t="s">
        <v>282</v>
      </c>
      <c r="D298" t="s">
        <v>138</v>
      </c>
      <c r="E298" t="s">
        <v>192</v>
      </c>
      <c r="F298">
        <v>0</v>
      </c>
      <c r="G298">
        <v>832.1464932065112</v>
      </c>
      <c r="H298">
        <v>227.25369021576236</v>
      </c>
      <c r="I298">
        <v>472.759280772029</v>
      </c>
      <c r="J298">
        <v>16.483895372191817</v>
      </c>
      <c r="K298">
        <v>872.60572545860748</v>
      </c>
      <c r="L298">
        <v>0</v>
      </c>
      <c r="M298" s="28">
        <v>0</v>
      </c>
      <c r="N298" s="28">
        <v>0</v>
      </c>
      <c r="O298">
        <v>0</v>
      </c>
      <c r="P298">
        <v>1030.7147783815954</v>
      </c>
      <c r="Q298">
        <v>0</v>
      </c>
      <c r="R298">
        <v>0</v>
      </c>
      <c r="S298" s="28">
        <v>3451.9638634066973</v>
      </c>
      <c r="T298" s="29">
        <f>SUM(BaseHoras[[#This Row],[Jan/2019]:[Mar/2019]])</f>
        <v>1059.4001834222736</v>
      </c>
      <c r="U298" s="29">
        <f>SUM(BaseHoras[[#This Row],[Abr/2019]:[Jun/2019]])</f>
        <v>1361.8489016028284</v>
      </c>
      <c r="V298" s="29">
        <f>SUM(BaseHoras[[#This Row],[Jul/2019]:[Set/2019]])</f>
        <v>0</v>
      </c>
      <c r="W298" s="29">
        <f>SUM(BaseHoras[[#This Row],[Out/2019]:[Dez/2019]])</f>
        <v>1030.7147783815954</v>
      </c>
    </row>
    <row r="299" spans="1:23">
      <c r="A299" t="s">
        <v>151</v>
      </c>
      <c r="B299" t="s">
        <v>168</v>
      </c>
      <c r="C299" t="s">
        <v>282</v>
      </c>
      <c r="D299" t="s">
        <v>142</v>
      </c>
      <c r="E299" t="s">
        <v>192</v>
      </c>
      <c r="F299">
        <v>0</v>
      </c>
      <c r="G299">
        <v>0</v>
      </c>
      <c r="H299">
        <v>0</v>
      </c>
      <c r="I299">
        <v>0</v>
      </c>
      <c r="J299">
        <v>596.41067348526087</v>
      </c>
      <c r="K299">
        <v>1459.3859585505083</v>
      </c>
      <c r="L299">
        <v>578.31684008485377</v>
      </c>
      <c r="M299" s="28">
        <v>0</v>
      </c>
      <c r="N299" s="28">
        <v>0</v>
      </c>
      <c r="O299">
        <v>0</v>
      </c>
      <c r="P299">
        <v>0</v>
      </c>
      <c r="Q299">
        <v>0</v>
      </c>
      <c r="R299">
        <v>0</v>
      </c>
      <c r="S299" s="28">
        <v>2634.1134721206226</v>
      </c>
      <c r="T299" s="29">
        <f>SUM(BaseHoras[[#This Row],[Jan/2019]:[Mar/2019]])</f>
        <v>0</v>
      </c>
      <c r="U299" s="29">
        <f>SUM(BaseHoras[[#This Row],[Abr/2019]:[Jun/2019]])</f>
        <v>2055.7966320357691</v>
      </c>
      <c r="V299" s="29">
        <f>SUM(BaseHoras[[#This Row],[Jul/2019]:[Set/2019]])</f>
        <v>578.31684008485377</v>
      </c>
      <c r="W299" s="29">
        <f>SUM(BaseHoras[[#This Row],[Out/2019]:[Dez/2019]])</f>
        <v>0</v>
      </c>
    </row>
    <row r="300" spans="1:23">
      <c r="A300" t="s">
        <v>151</v>
      </c>
      <c r="B300" t="s">
        <v>168</v>
      </c>
      <c r="C300" t="s">
        <v>282</v>
      </c>
      <c r="D300" t="s">
        <v>145</v>
      </c>
      <c r="E300" t="s">
        <v>192</v>
      </c>
      <c r="F300">
        <v>0</v>
      </c>
      <c r="G300">
        <v>208.81735692028994</v>
      </c>
      <c r="H300">
        <v>0</v>
      </c>
      <c r="I300">
        <v>0</v>
      </c>
      <c r="J300">
        <v>0</v>
      </c>
      <c r="K300">
        <v>0</v>
      </c>
      <c r="L300">
        <v>0</v>
      </c>
      <c r="M300" s="28">
        <v>0</v>
      </c>
      <c r="N300" s="28">
        <v>0</v>
      </c>
      <c r="O300">
        <v>0</v>
      </c>
      <c r="P300">
        <v>0</v>
      </c>
      <c r="Q300">
        <v>0</v>
      </c>
      <c r="R300">
        <v>0</v>
      </c>
      <c r="S300" s="28">
        <v>208.81735692028994</v>
      </c>
      <c r="T300" s="29">
        <f>SUM(BaseHoras[[#This Row],[Jan/2019]:[Mar/2019]])</f>
        <v>208.81735692028994</v>
      </c>
      <c r="U300" s="29">
        <f>SUM(BaseHoras[[#This Row],[Abr/2019]:[Jun/2019]])</f>
        <v>0</v>
      </c>
      <c r="V300" s="29">
        <f>SUM(BaseHoras[[#This Row],[Jul/2019]:[Set/2019]])</f>
        <v>0</v>
      </c>
      <c r="W300" s="29">
        <f>SUM(BaseHoras[[#This Row],[Out/2019]:[Dez/2019]])</f>
        <v>0</v>
      </c>
    </row>
    <row r="301" spans="1:23">
      <c r="A301" t="s">
        <v>151</v>
      </c>
      <c r="B301" t="s">
        <v>168</v>
      </c>
      <c r="C301" t="s">
        <v>282</v>
      </c>
      <c r="D301" t="s">
        <v>146</v>
      </c>
      <c r="E301" t="s">
        <v>192</v>
      </c>
      <c r="F301">
        <v>0</v>
      </c>
      <c r="G301">
        <v>0</v>
      </c>
      <c r="H301">
        <v>0</v>
      </c>
      <c r="I301">
        <v>14.787832014893301</v>
      </c>
      <c r="J301">
        <v>235.49677487742423</v>
      </c>
      <c r="K301">
        <v>59.413732398170808</v>
      </c>
      <c r="L301">
        <v>0</v>
      </c>
      <c r="M301" s="28">
        <v>0</v>
      </c>
      <c r="N301" s="28">
        <v>0</v>
      </c>
      <c r="O301">
        <v>0</v>
      </c>
      <c r="P301">
        <v>0</v>
      </c>
      <c r="Q301">
        <v>0</v>
      </c>
      <c r="R301">
        <v>0</v>
      </c>
      <c r="S301" s="28">
        <v>309.69833929048832</v>
      </c>
      <c r="T301" s="29">
        <f>SUM(BaseHoras[[#This Row],[Jan/2019]:[Mar/2019]])</f>
        <v>0</v>
      </c>
      <c r="U301" s="29">
        <f>SUM(BaseHoras[[#This Row],[Abr/2019]:[Jun/2019]])</f>
        <v>309.69833929048832</v>
      </c>
      <c r="V301" s="29">
        <f>SUM(BaseHoras[[#This Row],[Jul/2019]:[Set/2019]])</f>
        <v>0</v>
      </c>
      <c r="W301" s="29">
        <f>SUM(BaseHoras[[#This Row],[Out/2019]:[Dez/2019]])</f>
        <v>0</v>
      </c>
    </row>
    <row r="302" spans="1:23">
      <c r="A302" t="s">
        <v>151</v>
      </c>
      <c r="B302" t="s">
        <v>168</v>
      </c>
      <c r="C302" t="s">
        <v>158</v>
      </c>
      <c r="D302" t="s">
        <v>35</v>
      </c>
      <c r="E302" t="s">
        <v>152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s="28">
        <v>0</v>
      </c>
      <c r="N302" s="28">
        <v>42.86472746247253</v>
      </c>
      <c r="O302">
        <v>0</v>
      </c>
      <c r="P302">
        <v>0</v>
      </c>
      <c r="Q302">
        <v>0</v>
      </c>
      <c r="R302">
        <v>0</v>
      </c>
      <c r="S302" s="28">
        <v>42.86472746247253</v>
      </c>
      <c r="T302" s="29">
        <f>SUM(BaseHoras[[#This Row],[Jan/2019]:[Mar/2019]])</f>
        <v>0</v>
      </c>
      <c r="U302" s="29">
        <f>SUM(BaseHoras[[#This Row],[Abr/2019]:[Jun/2019]])</f>
        <v>0</v>
      </c>
      <c r="V302" s="29">
        <f>SUM(BaseHoras[[#This Row],[Jul/2019]:[Set/2019]])</f>
        <v>42.86472746247253</v>
      </c>
      <c r="W302" s="29">
        <f>SUM(BaseHoras[[#This Row],[Out/2019]:[Dez/2019]])</f>
        <v>0</v>
      </c>
    </row>
    <row r="303" spans="1:23">
      <c r="A303" t="s">
        <v>151</v>
      </c>
      <c r="B303" t="s">
        <v>168</v>
      </c>
      <c r="C303" t="s">
        <v>158</v>
      </c>
      <c r="D303" t="s">
        <v>64</v>
      </c>
      <c r="E303" t="s">
        <v>152</v>
      </c>
      <c r="F303">
        <v>17.267741175697413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s="28">
        <v>0</v>
      </c>
      <c r="N303" s="28">
        <v>336.46053264335814</v>
      </c>
      <c r="O303">
        <v>116.68695270335611</v>
      </c>
      <c r="P303">
        <v>98.639592013546405</v>
      </c>
      <c r="Q303">
        <v>0</v>
      </c>
      <c r="R303">
        <v>0</v>
      </c>
      <c r="S303" s="28">
        <v>569.05481853595802</v>
      </c>
      <c r="T303" s="29">
        <f>SUM(BaseHoras[[#This Row],[Jan/2019]:[Mar/2019]])</f>
        <v>17.267741175697413</v>
      </c>
      <c r="U303" s="29">
        <f>SUM(BaseHoras[[#This Row],[Abr/2019]:[Jun/2019]])</f>
        <v>0</v>
      </c>
      <c r="V303" s="29">
        <f>SUM(BaseHoras[[#This Row],[Jul/2019]:[Set/2019]])</f>
        <v>336.46053264335814</v>
      </c>
      <c r="W303" s="29">
        <f>SUM(BaseHoras[[#This Row],[Out/2019]:[Dez/2019]])</f>
        <v>215.3265447169025</v>
      </c>
    </row>
    <row r="304" spans="1:23">
      <c r="A304" t="s">
        <v>151</v>
      </c>
      <c r="B304" t="s">
        <v>168</v>
      </c>
      <c r="C304" t="s">
        <v>158</v>
      </c>
      <c r="D304" t="s">
        <v>87</v>
      </c>
      <c r="E304" t="s">
        <v>152</v>
      </c>
      <c r="F304">
        <v>0</v>
      </c>
      <c r="G304">
        <v>0</v>
      </c>
      <c r="H304">
        <v>0</v>
      </c>
      <c r="I304">
        <v>302.56589179183078</v>
      </c>
      <c r="J304">
        <v>0</v>
      </c>
      <c r="K304">
        <v>0</v>
      </c>
      <c r="L304">
        <v>0</v>
      </c>
      <c r="M304" s="28">
        <v>177.49382394783325</v>
      </c>
      <c r="N304" s="28">
        <v>30.489389485048502</v>
      </c>
      <c r="O304">
        <v>0</v>
      </c>
      <c r="P304">
        <v>0</v>
      </c>
      <c r="Q304">
        <v>0</v>
      </c>
      <c r="R304">
        <v>0</v>
      </c>
      <c r="S304" s="28">
        <v>510.54910522471255</v>
      </c>
      <c r="T304" s="29">
        <f>SUM(BaseHoras[[#This Row],[Jan/2019]:[Mar/2019]])</f>
        <v>0</v>
      </c>
      <c r="U304" s="29">
        <f>SUM(BaseHoras[[#This Row],[Abr/2019]:[Jun/2019]])</f>
        <v>302.56589179183078</v>
      </c>
      <c r="V304" s="29">
        <f>SUM(BaseHoras[[#This Row],[Jul/2019]:[Set/2019]])</f>
        <v>207.98321343288174</v>
      </c>
      <c r="W304" s="29">
        <f>SUM(BaseHoras[[#This Row],[Out/2019]:[Dez/2019]])</f>
        <v>0</v>
      </c>
    </row>
    <row r="305" spans="1:23">
      <c r="A305" t="s">
        <v>151</v>
      </c>
      <c r="B305" t="s">
        <v>168</v>
      </c>
      <c r="C305" t="s">
        <v>158</v>
      </c>
      <c r="D305" t="s">
        <v>153</v>
      </c>
      <c r="E305" t="s">
        <v>152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s="28">
        <v>0</v>
      </c>
      <c r="N305" s="28">
        <v>0</v>
      </c>
      <c r="O305">
        <v>0</v>
      </c>
      <c r="P305">
        <v>12.908435983913376</v>
      </c>
      <c r="Q305">
        <v>0</v>
      </c>
      <c r="R305">
        <v>0</v>
      </c>
      <c r="S305" s="28">
        <v>12.908435983913376</v>
      </c>
      <c r="T305" s="29">
        <f>SUM(BaseHoras[[#This Row],[Jan/2019]:[Mar/2019]])</f>
        <v>0</v>
      </c>
      <c r="U305" s="29">
        <f>SUM(BaseHoras[[#This Row],[Abr/2019]:[Jun/2019]])</f>
        <v>0</v>
      </c>
      <c r="V305" s="29">
        <f>SUM(BaseHoras[[#This Row],[Jul/2019]:[Set/2019]])</f>
        <v>0</v>
      </c>
      <c r="W305" s="29">
        <f>SUM(BaseHoras[[#This Row],[Out/2019]:[Dez/2019]])</f>
        <v>12.908435983913376</v>
      </c>
    </row>
    <row r="306" spans="1:23">
      <c r="A306" t="s">
        <v>151</v>
      </c>
      <c r="B306" t="s">
        <v>168</v>
      </c>
      <c r="C306" t="s">
        <v>158</v>
      </c>
      <c r="D306" t="s">
        <v>122</v>
      </c>
      <c r="E306" t="s">
        <v>152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174.57665720468589</v>
      </c>
      <c r="M306" s="28">
        <v>0</v>
      </c>
      <c r="N306" s="28">
        <v>0</v>
      </c>
      <c r="O306">
        <v>0</v>
      </c>
      <c r="P306">
        <v>0</v>
      </c>
      <c r="Q306">
        <v>0</v>
      </c>
      <c r="R306">
        <v>0</v>
      </c>
      <c r="S306" s="28">
        <v>174.57665720468589</v>
      </c>
      <c r="T306" s="29">
        <f>SUM(BaseHoras[[#This Row],[Jan/2019]:[Mar/2019]])</f>
        <v>0</v>
      </c>
      <c r="U306" s="29">
        <f>SUM(BaseHoras[[#This Row],[Abr/2019]:[Jun/2019]])</f>
        <v>0</v>
      </c>
      <c r="V306" s="29">
        <f>SUM(BaseHoras[[#This Row],[Jul/2019]:[Set/2019]])</f>
        <v>174.57665720468589</v>
      </c>
      <c r="W306" s="29">
        <f>SUM(BaseHoras[[#This Row],[Out/2019]:[Dez/2019]])</f>
        <v>0</v>
      </c>
    </row>
    <row r="307" spans="1:23">
      <c r="A307" t="s">
        <v>151</v>
      </c>
      <c r="B307" t="s">
        <v>168</v>
      </c>
      <c r="C307" t="s">
        <v>158</v>
      </c>
      <c r="D307" t="s">
        <v>138</v>
      </c>
      <c r="E307" t="s">
        <v>152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s="28">
        <v>106.25750147565132</v>
      </c>
      <c r="N307" s="28">
        <v>0</v>
      </c>
      <c r="O307">
        <v>0</v>
      </c>
      <c r="P307">
        <v>0</v>
      </c>
      <c r="Q307">
        <v>0</v>
      </c>
      <c r="R307">
        <v>0</v>
      </c>
      <c r="S307" s="28">
        <v>106.25750147565132</v>
      </c>
      <c r="T307" s="29">
        <f>SUM(BaseHoras[[#This Row],[Jan/2019]:[Mar/2019]])</f>
        <v>0</v>
      </c>
      <c r="U307" s="29">
        <f>SUM(BaseHoras[[#This Row],[Abr/2019]:[Jun/2019]])</f>
        <v>0</v>
      </c>
      <c r="V307" s="29">
        <f>SUM(BaseHoras[[#This Row],[Jul/2019]:[Set/2019]])</f>
        <v>106.25750147565132</v>
      </c>
      <c r="W307" s="29">
        <f>SUM(BaseHoras[[#This Row],[Out/2019]:[Dez/2019]])</f>
        <v>0</v>
      </c>
    </row>
    <row r="308" spans="1:23">
      <c r="A308" t="s">
        <v>151</v>
      </c>
      <c r="B308" t="s">
        <v>168</v>
      </c>
      <c r="C308" t="s">
        <v>158</v>
      </c>
      <c r="D308" t="s">
        <v>141</v>
      </c>
      <c r="E308" t="s">
        <v>152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s="28">
        <v>191.58030050807025</v>
      </c>
      <c r="N308" s="28">
        <v>1001.11697400993</v>
      </c>
      <c r="O308">
        <v>0</v>
      </c>
      <c r="P308">
        <v>0</v>
      </c>
      <c r="Q308">
        <v>0</v>
      </c>
      <c r="R308">
        <v>0</v>
      </c>
      <c r="S308" s="28">
        <v>1192.6972745180003</v>
      </c>
      <c r="T308" s="29">
        <f>SUM(BaseHoras[[#This Row],[Jan/2019]:[Mar/2019]])</f>
        <v>0</v>
      </c>
      <c r="U308" s="29">
        <f>SUM(BaseHoras[[#This Row],[Abr/2019]:[Jun/2019]])</f>
        <v>0</v>
      </c>
      <c r="V308" s="29">
        <f>SUM(BaseHoras[[#This Row],[Jul/2019]:[Set/2019]])</f>
        <v>1192.6972745180003</v>
      </c>
      <c r="W308" s="29">
        <f>SUM(BaseHoras[[#This Row],[Out/2019]:[Dez/2019]])</f>
        <v>0</v>
      </c>
    </row>
    <row r="309" spans="1:23">
      <c r="A309" t="s">
        <v>151</v>
      </c>
      <c r="B309" t="s">
        <v>168</v>
      </c>
      <c r="C309" t="s">
        <v>159</v>
      </c>
      <c r="D309" t="s">
        <v>64</v>
      </c>
      <c r="E309" t="s">
        <v>152</v>
      </c>
      <c r="F309">
        <v>0</v>
      </c>
      <c r="G309">
        <v>0</v>
      </c>
      <c r="H309">
        <v>0</v>
      </c>
      <c r="I309">
        <v>0</v>
      </c>
      <c r="J309">
        <v>3.5333473630238115</v>
      </c>
      <c r="K309">
        <v>0</v>
      </c>
      <c r="L309">
        <v>0</v>
      </c>
      <c r="M309" s="28">
        <v>0</v>
      </c>
      <c r="N309" s="28">
        <v>0</v>
      </c>
      <c r="O309">
        <v>0</v>
      </c>
      <c r="P309">
        <v>0</v>
      </c>
      <c r="Q309">
        <v>0</v>
      </c>
      <c r="R309">
        <v>0</v>
      </c>
      <c r="S309" s="28">
        <v>3.5333473630238115</v>
      </c>
      <c r="T309" s="29">
        <f>SUM(BaseHoras[[#This Row],[Jan/2019]:[Mar/2019]])</f>
        <v>0</v>
      </c>
      <c r="U309" s="29">
        <f>SUM(BaseHoras[[#This Row],[Abr/2019]:[Jun/2019]])</f>
        <v>3.5333473630238115</v>
      </c>
      <c r="V309" s="29">
        <f>SUM(BaseHoras[[#This Row],[Jul/2019]:[Set/2019]])</f>
        <v>0</v>
      </c>
      <c r="W309" s="29">
        <f>SUM(BaseHoras[[#This Row],[Out/2019]:[Dez/2019]])</f>
        <v>0</v>
      </c>
    </row>
    <row r="310" spans="1:23">
      <c r="A310" t="s">
        <v>151</v>
      </c>
      <c r="B310" t="s">
        <v>168</v>
      </c>
      <c r="C310" t="s">
        <v>284</v>
      </c>
      <c r="D310" t="s">
        <v>71</v>
      </c>
      <c r="E310" t="s">
        <v>152</v>
      </c>
      <c r="F310">
        <v>0</v>
      </c>
      <c r="G310">
        <v>1818.7050939711355</v>
      </c>
      <c r="H310">
        <v>0</v>
      </c>
      <c r="I310">
        <v>0</v>
      </c>
      <c r="J310">
        <v>0</v>
      </c>
      <c r="K310">
        <v>0</v>
      </c>
      <c r="L310">
        <v>0</v>
      </c>
      <c r="M310" s="28">
        <v>0</v>
      </c>
      <c r="N310" s="28">
        <v>0</v>
      </c>
      <c r="O310">
        <v>0</v>
      </c>
      <c r="P310">
        <v>0</v>
      </c>
      <c r="Q310">
        <v>0</v>
      </c>
      <c r="R310">
        <v>0</v>
      </c>
      <c r="S310" s="28">
        <v>1818.7050939711355</v>
      </c>
      <c r="T310" s="29">
        <f>SUM(BaseHoras[[#This Row],[Jan/2019]:[Mar/2019]])</f>
        <v>1818.7050939711355</v>
      </c>
      <c r="U310" s="29">
        <f>SUM(BaseHoras[[#This Row],[Abr/2019]:[Jun/2019]])</f>
        <v>0</v>
      </c>
      <c r="V310" s="29">
        <f>SUM(BaseHoras[[#This Row],[Jul/2019]:[Set/2019]])</f>
        <v>0</v>
      </c>
      <c r="W310" s="29">
        <f>SUM(BaseHoras[[#This Row],[Out/2019]:[Dez/2019]])</f>
        <v>0</v>
      </c>
    </row>
    <row r="311" spans="1:23">
      <c r="A311" t="s">
        <v>151</v>
      </c>
      <c r="B311" t="s">
        <v>168</v>
      </c>
      <c r="C311" t="s">
        <v>285</v>
      </c>
      <c r="D311" t="s">
        <v>26</v>
      </c>
      <c r="E311" t="s">
        <v>192</v>
      </c>
      <c r="F311">
        <v>0</v>
      </c>
      <c r="G311">
        <v>239.54029719885412</v>
      </c>
      <c r="H311">
        <v>33.198870863425967</v>
      </c>
      <c r="I311">
        <v>0</v>
      </c>
      <c r="J311">
        <v>0</v>
      </c>
      <c r="K311">
        <v>0</v>
      </c>
      <c r="L311">
        <v>0</v>
      </c>
      <c r="M311" s="28">
        <v>0</v>
      </c>
      <c r="N311" s="28">
        <v>29.272487179647857</v>
      </c>
      <c r="O311">
        <v>0</v>
      </c>
      <c r="P311">
        <v>0</v>
      </c>
      <c r="Q311">
        <v>0</v>
      </c>
      <c r="R311">
        <v>0</v>
      </c>
      <c r="S311" s="28">
        <v>302.01165524192794</v>
      </c>
      <c r="T311" s="29">
        <f>SUM(BaseHoras[[#This Row],[Jan/2019]:[Mar/2019]])</f>
        <v>272.7391680622801</v>
      </c>
      <c r="U311" s="29">
        <f>SUM(BaseHoras[[#This Row],[Abr/2019]:[Jun/2019]])</f>
        <v>0</v>
      </c>
      <c r="V311" s="29">
        <f>SUM(BaseHoras[[#This Row],[Jul/2019]:[Set/2019]])</f>
        <v>29.272487179647857</v>
      </c>
      <c r="W311" s="29">
        <f>SUM(BaseHoras[[#This Row],[Out/2019]:[Dez/2019]])</f>
        <v>0</v>
      </c>
    </row>
    <row r="312" spans="1:23">
      <c r="A312" t="s">
        <v>151</v>
      </c>
      <c r="B312" t="s">
        <v>168</v>
      </c>
      <c r="C312" t="s">
        <v>285</v>
      </c>
      <c r="D312" t="s">
        <v>80</v>
      </c>
      <c r="E312" t="s">
        <v>192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740.86632149488287</v>
      </c>
      <c r="M312" s="28">
        <v>142.88172767792989</v>
      </c>
      <c r="N312" s="28">
        <v>44.318195374819112</v>
      </c>
      <c r="O312">
        <v>0</v>
      </c>
      <c r="P312">
        <v>0</v>
      </c>
      <c r="Q312">
        <v>0</v>
      </c>
      <c r="R312">
        <v>0</v>
      </c>
      <c r="S312" s="28">
        <v>928.06624454763187</v>
      </c>
      <c r="T312" s="29">
        <f>SUM(BaseHoras[[#This Row],[Jan/2019]:[Mar/2019]])</f>
        <v>0</v>
      </c>
      <c r="U312" s="29">
        <f>SUM(BaseHoras[[#This Row],[Abr/2019]:[Jun/2019]])</f>
        <v>0</v>
      </c>
      <c r="V312" s="29">
        <f>SUM(BaseHoras[[#This Row],[Jul/2019]:[Set/2019]])</f>
        <v>928.06624454763187</v>
      </c>
      <c r="W312" s="29">
        <f>SUM(BaseHoras[[#This Row],[Out/2019]:[Dez/2019]])</f>
        <v>0</v>
      </c>
    </row>
    <row r="313" spans="1:23">
      <c r="A313" t="s">
        <v>151</v>
      </c>
      <c r="B313" t="s">
        <v>168</v>
      </c>
      <c r="C313" t="s">
        <v>285</v>
      </c>
      <c r="D313" t="s">
        <v>153</v>
      </c>
      <c r="E313" t="s">
        <v>192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s="28">
        <v>0</v>
      </c>
      <c r="N313" s="28">
        <v>0</v>
      </c>
      <c r="O313">
        <v>0</v>
      </c>
      <c r="P313">
        <v>0</v>
      </c>
      <c r="Q313">
        <v>227.03501877145578</v>
      </c>
      <c r="R313">
        <v>0</v>
      </c>
      <c r="S313" s="28">
        <v>227.03501877145578</v>
      </c>
      <c r="T313" s="29">
        <f>SUM(BaseHoras[[#This Row],[Jan/2019]:[Mar/2019]])</f>
        <v>0</v>
      </c>
      <c r="U313" s="29">
        <f>SUM(BaseHoras[[#This Row],[Abr/2019]:[Jun/2019]])</f>
        <v>0</v>
      </c>
      <c r="V313" s="29">
        <f>SUM(BaseHoras[[#This Row],[Jul/2019]:[Set/2019]])</f>
        <v>0</v>
      </c>
      <c r="W313" s="29">
        <f>SUM(BaseHoras[[#This Row],[Out/2019]:[Dez/2019]])</f>
        <v>227.03501877145578</v>
      </c>
    </row>
    <row r="314" spans="1:23">
      <c r="A314" t="s">
        <v>151</v>
      </c>
      <c r="B314" t="s">
        <v>168</v>
      </c>
      <c r="C314" t="s">
        <v>285</v>
      </c>
      <c r="D314" t="s">
        <v>110</v>
      </c>
      <c r="E314" t="s">
        <v>192</v>
      </c>
      <c r="F314">
        <v>149.29153512354142</v>
      </c>
      <c r="G314">
        <v>73.090346141128762</v>
      </c>
      <c r="H314">
        <v>1.5596533589367676</v>
      </c>
      <c r="I314">
        <v>0</v>
      </c>
      <c r="J314">
        <v>0</v>
      </c>
      <c r="K314">
        <v>0</v>
      </c>
      <c r="L314">
        <v>0</v>
      </c>
      <c r="M314" s="28">
        <v>0</v>
      </c>
      <c r="N314" s="28">
        <v>0</v>
      </c>
      <c r="O314">
        <v>0</v>
      </c>
      <c r="P314">
        <v>0</v>
      </c>
      <c r="Q314">
        <v>0</v>
      </c>
      <c r="R314">
        <v>0</v>
      </c>
      <c r="S314" s="28">
        <v>223.94153462360697</v>
      </c>
      <c r="T314" s="29">
        <f>SUM(BaseHoras[[#This Row],[Jan/2019]:[Mar/2019]])</f>
        <v>223.94153462360697</v>
      </c>
      <c r="U314" s="29">
        <f>SUM(BaseHoras[[#This Row],[Abr/2019]:[Jun/2019]])</f>
        <v>0</v>
      </c>
      <c r="V314" s="29">
        <f>SUM(BaseHoras[[#This Row],[Jul/2019]:[Set/2019]])</f>
        <v>0</v>
      </c>
      <c r="W314" s="29">
        <f>SUM(BaseHoras[[#This Row],[Out/2019]:[Dez/2019]])</f>
        <v>0</v>
      </c>
    </row>
    <row r="315" spans="1:23">
      <c r="A315" t="s">
        <v>151</v>
      </c>
      <c r="B315" t="s">
        <v>168</v>
      </c>
      <c r="C315" t="s">
        <v>286</v>
      </c>
      <c r="D315" t="s">
        <v>19</v>
      </c>
      <c r="E315" t="s">
        <v>192</v>
      </c>
      <c r="F315">
        <v>0</v>
      </c>
      <c r="G315">
        <v>0</v>
      </c>
      <c r="H315">
        <v>161.5114357121069</v>
      </c>
      <c r="I315">
        <v>60.867481705553153</v>
      </c>
      <c r="J315">
        <v>0</v>
      </c>
      <c r="K315">
        <v>0</v>
      </c>
      <c r="L315">
        <v>0</v>
      </c>
      <c r="M315" s="28">
        <v>0</v>
      </c>
      <c r="N315" s="28">
        <v>0</v>
      </c>
      <c r="O315">
        <v>0</v>
      </c>
      <c r="P315">
        <v>0</v>
      </c>
      <c r="Q315">
        <v>0</v>
      </c>
      <c r="R315">
        <v>0</v>
      </c>
      <c r="S315" s="28">
        <v>222.37891741766006</v>
      </c>
      <c r="T315" s="29">
        <f>SUM(BaseHoras[[#This Row],[Jan/2019]:[Mar/2019]])</f>
        <v>161.5114357121069</v>
      </c>
      <c r="U315" s="29">
        <f>SUM(BaseHoras[[#This Row],[Abr/2019]:[Jun/2019]])</f>
        <v>60.867481705553153</v>
      </c>
      <c r="V315" s="29">
        <f>SUM(BaseHoras[[#This Row],[Jul/2019]:[Set/2019]])</f>
        <v>0</v>
      </c>
      <c r="W315" s="29">
        <f>SUM(BaseHoras[[#This Row],[Out/2019]:[Dez/2019]])</f>
        <v>0</v>
      </c>
    </row>
    <row r="316" spans="1:23">
      <c r="A316" t="s">
        <v>151</v>
      </c>
      <c r="B316" t="s">
        <v>168</v>
      </c>
      <c r="C316" t="s">
        <v>286</v>
      </c>
      <c r="D316" t="s">
        <v>25</v>
      </c>
      <c r="E316" t="s">
        <v>152</v>
      </c>
      <c r="F316">
        <v>0</v>
      </c>
      <c r="G316">
        <v>0</v>
      </c>
      <c r="H316">
        <v>0</v>
      </c>
      <c r="I316" t="s">
        <v>395</v>
      </c>
      <c r="J316">
        <v>0</v>
      </c>
      <c r="K316">
        <v>0</v>
      </c>
      <c r="L316">
        <v>0</v>
      </c>
      <c r="M316" s="28">
        <v>0</v>
      </c>
      <c r="N316" s="28">
        <v>0</v>
      </c>
      <c r="O316">
        <v>0</v>
      </c>
      <c r="P316">
        <v>0</v>
      </c>
      <c r="Q316">
        <v>0</v>
      </c>
      <c r="R316">
        <v>0</v>
      </c>
      <c r="S316" s="28">
        <v>0</v>
      </c>
      <c r="T316" s="29">
        <f>SUM(BaseHoras[[#This Row],[Jan/2019]:[Mar/2019]])</f>
        <v>0</v>
      </c>
      <c r="U316" s="29">
        <f>SUM(BaseHoras[[#This Row],[Abr/2019]:[Jun/2019]])</f>
        <v>0</v>
      </c>
      <c r="V316" s="29">
        <f>SUM(BaseHoras[[#This Row],[Jul/2019]:[Set/2019]])</f>
        <v>0</v>
      </c>
      <c r="W316" s="29">
        <f>SUM(BaseHoras[[#This Row],[Out/2019]:[Dez/2019]])</f>
        <v>0</v>
      </c>
    </row>
    <row r="317" spans="1:23">
      <c r="A317" t="s">
        <v>151</v>
      </c>
      <c r="B317" t="s">
        <v>168</v>
      </c>
      <c r="C317" t="s">
        <v>286</v>
      </c>
      <c r="D317" t="s">
        <v>26</v>
      </c>
      <c r="E317" t="s">
        <v>192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s="28">
        <v>0</v>
      </c>
      <c r="N317" s="28">
        <v>0</v>
      </c>
      <c r="O317">
        <v>0</v>
      </c>
      <c r="P317">
        <v>301.45199482168988</v>
      </c>
      <c r="Q317">
        <v>0</v>
      </c>
      <c r="R317">
        <v>0</v>
      </c>
      <c r="S317" s="28">
        <v>301.45199482168988</v>
      </c>
      <c r="T317" s="29">
        <f>SUM(BaseHoras[[#This Row],[Jan/2019]:[Mar/2019]])</f>
        <v>0</v>
      </c>
      <c r="U317" s="29">
        <f>SUM(BaseHoras[[#This Row],[Abr/2019]:[Jun/2019]])</f>
        <v>0</v>
      </c>
      <c r="V317" s="29">
        <f>SUM(BaseHoras[[#This Row],[Jul/2019]:[Set/2019]])</f>
        <v>0</v>
      </c>
      <c r="W317" s="29">
        <f>SUM(BaseHoras[[#This Row],[Out/2019]:[Dez/2019]])</f>
        <v>301.45199482168988</v>
      </c>
    </row>
    <row r="318" spans="1:23">
      <c r="A318" t="s">
        <v>151</v>
      </c>
      <c r="B318" t="s">
        <v>168</v>
      </c>
      <c r="C318" t="s">
        <v>286</v>
      </c>
      <c r="D318" t="s">
        <v>29</v>
      </c>
      <c r="E318" t="s">
        <v>192</v>
      </c>
      <c r="F318">
        <v>0</v>
      </c>
      <c r="G318">
        <v>74.734438725837393</v>
      </c>
      <c r="H318">
        <v>337.81487301725321</v>
      </c>
      <c r="I318">
        <v>82.599365516821194</v>
      </c>
      <c r="J318">
        <v>3.1373939210159607</v>
      </c>
      <c r="K318">
        <v>0</v>
      </c>
      <c r="L318">
        <v>0</v>
      </c>
      <c r="M318" s="28">
        <v>0</v>
      </c>
      <c r="N318" s="28">
        <v>0</v>
      </c>
      <c r="O318">
        <v>0</v>
      </c>
      <c r="P318">
        <v>0</v>
      </c>
      <c r="Q318">
        <v>0</v>
      </c>
      <c r="R318">
        <v>0</v>
      </c>
      <c r="S318" s="28">
        <v>498.28607118092776</v>
      </c>
      <c r="T318" s="29">
        <f>SUM(BaseHoras[[#This Row],[Jan/2019]:[Mar/2019]])</f>
        <v>412.54931174309058</v>
      </c>
      <c r="U318" s="29">
        <f>SUM(BaseHoras[[#This Row],[Abr/2019]:[Jun/2019]])</f>
        <v>85.736759437837151</v>
      </c>
      <c r="V318" s="29">
        <f>SUM(BaseHoras[[#This Row],[Jul/2019]:[Set/2019]])</f>
        <v>0</v>
      </c>
      <c r="W318" s="29">
        <f>SUM(BaseHoras[[#This Row],[Out/2019]:[Dez/2019]])</f>
        <v>0</v>
      </c>
    </row>
    <row r="319" spans="1:23">
      <c r="A319" t="s">
        <v>151</v>
      </c>
      <c r="B319" t="s">
        <v>168</v>
      </c>
      <c r="C319" t="s">
        <v>286</v>
      </c>
      <c r="D319" t="s">
        <v>30</v>
      </c>
      <c r="E319" t="s">
        <v>192</v>
      </c>
      <c r="F319">
        <v>386.34430338291912</v>
      </c>
      <c r="G319">
        <v>71.393336101734505</v>
      </c>
      <c r="H319">
        <v>54.662287591011989</v>
      </c>
      <c r="I319">
        <v>448.16066823452547</v>
      </c>
      <c r="J319">
        <v>0</v>
      </c>
      <c r="K319">
        <v>0</v>
      </c>
      <c r="L319">
        <v>0</v>
      </c>
      <c r="M319" s="28">
        <v>0</v>
      </c>
      <c r="N319" s="28">
        <v>0</v>
      </c>
      <c r="O319">
        <v>0</v>
      </c>
      <c r="P319">
        <v>0</v>
      </c>
      <c r="Q319">
        <v>0</v>
      </c>
      <c r="R319">
        <v>0</v>
      </c>
      <c r="S319" s="28">
        <v>960.56059531019105</v>
      </c>
      <c r="T319" s="29">
        <f>SUM(BaseHoras[[#This Row],[Jan/2019]:[Mar/2019]])</f>
        <v>512.39992707566557</v>
      </c>
      <c r="U319" s="29">
        <f>SUM(BaseHoras[[#This Row],[Abr/2019]:[Jun/2019]])</f>
        <v>448.16066823452547</v>
      </c>
      <c r="V319" s="29">
        <f>SUM(BaseHoras[[#This Row],[Jul/2019]:[Set/2019]])</f>
        <v>0</v>
      </c>
      <c r="W319" s="29">
        <f>SUM(BaseHoras[[#This Row],[Out/2019]:[Dez/2019]])</f>
        <v>0</v>
      </c>
    </row>
    <row r="320" spans="1:23">
      <c r="A320" t="s">
        <v>151</v>
      </c>
      <c r="B320" t="s">
        <v>168</v>
      </c>
      <c r="C320" t="s">
        <v>286</v>
      </c>
      <c r="D320" t="s">
        <v>30</v>
      </c>
      <c r="E320" t="s">
        <v>152</v>
      </c>
      <c r="F320">
        <v>20.67850190858659</v>
      </c>
      <c r="G320">
        <v>149.19001609297084</v>
      </c>
      <c r="H320">
        <v>92.881581287149416</v>
      </c>
      <c r="I320">
        <v>0</v>
      </c>
      <c r="J320">
        <v>0</v>
      </c>
      <c r="K320">
        <v>0</v>
      </c>
      <c r="L320">
        <v>0</v>
      </c>
      <c r="M320" s="28">
        <v>0</v>
      </c>
      <c r="N320" s="28">
        <v>0</v>
      </c>
      <c r="O320">
        <v>0</v>
      </c>
      <c r="P320">
        <v>0</v>
      </c>
      <c r="Q320">
        <v>0</v>
      </c>
      <c r="R320">
        <v>0</v>
      </c>
      <c r="S320" s="28">
        <v>262.75009928870685</v>
      </c>
      <c r="T320" s="29">
        <f>SUM(BaseHoras[[#This Row],[Jan/2019]:[Mar/2019]])</f>
        <v>262.75009928870685</v>
      </c>
      <c r="U320" s="29">
        <f>SUM(BaseHoras[[#This Row],[Abr/2019]:[Jun/2019]])</f>
        <v>0</v>
      </c>
      <c r="V320" s="29">
        <f>SUM(BaseHoras[[#This Row],[Jul/2019]:[Set/2019]])</f>
        <v>0</v>
      </c>
      <c r="W320" s="29">
        <f>SUM(BaseHoras[[#This Row],[Out/2019]:[Dez/2019]])</f>
        <v>0</v>
      </c>
    </row>
    <row r="321" spans="1:23">
      <c r="A321" t="s">
        <v>151</v>
      </c>
      <c r="B321" t="s">
        <v>168</v>
      </c>
      <c r="C321" t="s">
        <v>286</v>
      </c>
      <c r="D321" t="s">
        <v>35</v>
      </c>
      <c r="E321" t="s">
        <v>192</v>
      </c>
      <c r="F321">
        <v>70.150157165307917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s="28">
        <v>0</v>
      </c>
      <c r="N321" s="28">
        <v>0</v>
      </c>
      <c r="O321">
        <v>0</v>
      </c>
      <c r="P321">
        <v>0</v>
      </c>
      <c r="Q321">
        <v>0</v>
      </c>
      <c r="R321">
        <v>0</v>
      </c>
      <c r="S321" s="28">
        <v>70.150157165307917</v>
      </c>
      <c r="T321" s="29">
        <f>SUM(BaseHoras[[#This Row],[Jan/2019]:[Mar/2019]])</f>
        <v>70.150157165307917</v>
      </c>
      <c r="U321" s="29">
        <f>SUM(BaseHoras[[#This Row],[Abr/2019]:[Jun/2019]])</f>
        <v>0</v>
      </c>
      <c r="V321" s="29">
        <f>SUM(BaseHoras[[#This Row],[Jul/2019]:[Set/2019]])</f>
        <v>0</v>
      </c>
      <c r="W321" s="29">
        <f>SUM(BaseHoras[[#This Row],[Out/2019]:[Dez/2019]])</f>
        <v>0</v>
      </c>
    </row>
    <row r="322" spans="1:23">
      <c r="A322" t="s">
        <v>151</v>
      </c>
      <c r="B322" t="s">
        <v>168</v>
      </c>
      <c r="C322" t="s">
        <v>286</v>
      </c>
      <c r="D322" t="s">
        <v>35</v>
      </c>
      <c r="E322" t="s">
        <v>152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30.658568169400503</v>
      </c>
      <c r="L322">
        <v>0</v>
      </c>
      <c r="M322" s="28">
        <v>0</v>
      </c>
      <c r="N322" s="28">
        <v>0</v>
      </c>
      <c r="O322">
        <v>0</v>
      </c>
      <c r="P322">
        <v>0</v>
      </c>
      <c r="Q322">
        <v>0</v>
      </c>
      <c r="R322">
        <v>0</v>
      </c>
      <c r="S322" s="28">
        <v>30.658568169400503</v>
      </c>
      <c r="T322" s="29">
        <f>SUM(BaseHoras[[#This Row],[Jan/2019]:[Mar/2019]])</f>
        <v>0</v>
      </c>
      <c r="U322" s="29">
        <f>SUM(BaseHoras[[#This Row],[Abr/2019]:[Jun/2019]])</f>
        <v>30.658568169400503</v>
      </c>
      <c r="V322" s="29">
        <f>SUM(BaseHoras[[#This Row],[Jul/2019]:[Set/2019]])</f>
        <v>0</v>
      </c>
      <c r="W322" s="29">
        <f>SUM(BaseHoras[[#This Row],[Out/2019]:[Dez/2019]])</f>
        <v>0</v>
      </c>
    </row>
    <row r="323" spans="1:23">
      <c r="A323" t="s">
        <v>151</v>
      </c>
      <c r="B323" t="s">
        <v>168</v>
      </c>
      <c r="C323" t="s">
        <v>286</v>
      </c>
      <c r="D323" t="s">
        <v>36</v>
      </c>
      <c r="E323" t="s">
        <v>192</v>
      </c>
      <c r="F323">
        <v>24.707697274450982</v>
      </c>
      <c r="G323">
        <v>30.391209737963365</v>
      </c>
      <c r="H323">
        <v>0</v>
      </c>
      <c r="I323">
        <v>0</v>
      </c>
      <c r="J323">
        <v>0</v>
      </c>
      <c r="K323">
        <v>0</v>
      </c>
      <c r="L323">
        <v>0</v>
      </c>
      <c r="M323" s="28">
        <v>0</v>
      </c>
      <c r="N323" s="28">
        <v>0</v>
      </c>
      <c r="O323">
        <v>0</v>
      </c>
      <c r="P323">
        <v>0</v>
      </c>
      <c r="Q323">
        <v>0</v>
      </c>
      <c r="R323">
        <v>0</v>
      </c>
      <c r="S323" s="28">
        <v>55.098907012414344</v>
      </c>
      <c r="T323" s="29">
        <f>SUM(BaseHoras[[#This Row],[Jan/2019]:[Mar/2019]])</f>
        <v>55.098907012414344</v>
      </c>
      <c r="U323" s="29">
        <f>SUM(BaseHoras[[#This Row],[Abr/2019]:[Jun/2019]])</f>
        <v>0</v>
      </c>
      <c r="V323" s="29">
        <f>SUM(BaseHoras[[#This Row],[Jul/2019]:[Set/2019]])</f>
        <v>0</v>
      </c>
      <c r="W323" s="29">
        <f>SUM(BaseHoras[[#This Row],[Out/2019]:[Dez/2019]])</f>
        <v>0</v>
      </c>
    </row>
    <row r="324" spans="1:23">
      <c r="A324" t="s">
        <v>151</v>
      </c>
      <c r="B324" t="s">
        <v>168</v>
      </c>
      <c r="C324" t="s">
        <v>286</v>
      </c>
      <c r="D324" t="s">
        <v>38</v>
      </c>
      <c r="E324" t="s">
        <v>192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s="28">
        <v>0</v>
      </c>
      <c r="N324" s="28">
        <v>0</v>
      </c>
      <c r="O324">
        <v>40.901045009022944</v>
      </c>
      <c r="P324">
        <v>0</v>
      </c>
      <c r="Q324">
        <v>0</v>
      </c>
      <c r="R324">
        <v>0</v>
      </c>
      <c r="S324" s="28">
        <v>40.901045009022944</v>
      </c>
      <c r="T324" s="29">
        <f>SUM(BaseHoras[[#This Row],[Jan/2019]:[Mar/2019]])</f>
        <v>0</v>
      </c>
      <c r="U324" s="29">
        <f>SUM(BaseHoras[[#This Row],[Abr/2019]:[Jun/2019]])</f>
        <v>0</v>
      </c>
      <c r="V324" s="29">
        <f>SUM(BaseHoras[[#This Row],[Jul/2019]:[Set/2019]])</f>
        <v>0</v>
      </c>
      <c r="W324" s="29">
        <f>SUM(BaseHoras[[#This Row],[Out/2019]:[Dez/2019]])</f>
        <v>40.901045009022944</v>
      </c>
    </row>
    <row r="325" spans="1:23">
      <c r="A325" t="s">
        <v>151</v>
      </c>
      <c r="B325" t="s">
        <v>168</v>
      </c>
      <c r="C325" t="s">
        <v>286</v>
      </c>
      <c r="D325" t="s">
        <v>40</v>
      </c>
      <c r="E325" t="s">
        <v>192</v>
      </c>
      <c r="F325">
        <v>0</v>
      </c>
      <c r="G325">
        <v>257.60276288341481</v>
      </c>
      <c r="H325">
        <v>130.68906294303281</v>
      </c>
      <c r="I325">
        <v>626.74226146560613</v>
      </c>
      <c r="J325">
        <v>0</v>
      </c>
      <c r="K325">
        <v>0</v>
      </c>
      <c r="L325">
        <v>0</v>
      </c>
      <c r="M325" s="28">
        <v>0</v>
      </c>
      <c r="N325" s="28">
        <v>0</v>
      </c>
      <c r="O325">
        <v>0</v>
      </c>
      <c r="P325">
        <v>0</v>
      </c>
      <c r="Q325">
        <v>0</v>
      </c>
      <c r="R325">
        <v>0</v>
      </c>
      <c r="S325" s="28">
        <v>1015.0340872920538</v>
      </c>
      <c r="T325" s="29">
        <f>SUM(BaseHoras[[#This Row],[Jan/2019]:[Mar/2019]])</f>
        <v>388.29182582644762</v>
      </c>
      <c r="U325" s="29">
        <f>SUM(BaseHoras[[#This Row],[Abr/2019]:[Jun/2019]])</f>
        <v>626.74226146560613</v>
      </c>
      <c r="V325" s="29">
        <f>SUM(BaseHoras[[#This Row],[Jul/2019]:[Set/2019]])</f>
        <v>0</v>
      </c>
      <c r="W325" s="29">
        <f>SUM(BaseHoras[[#This Row],[Out/2019]:[Dez/2019]])</f>
        <v>0</v>
      </c>
    </row>
    <row r="326" spans="1:23">
      <c r="A326" t="s">
        <v>151</v>
      </c>
      <c r="B326" t="s">
        <v>168</v>
      </c>
      <c r="C326" t="s">
        <v>286</v>
      </c>
      <c r="D326" t="s">
        <v>45</v>
      </c>
      <c r="E326" t="s">
        <v>192</v>
      </c>
      <c r="F326">
        <v>0</v>
      </c>
      <c r="G326">
        <v>0</v>
      </c>
      <c r="H326">
        <v>0</v>
      </c>
      <c r="I326">
        <v>25147.294537462971</v>
      </c>
      <c r="J326">
        <v>0</v>
      </c>
      <c r="K326">
        <v>0</v>
      </c>
      <c r="L326">
        <v>0</v>
      </c>
      <c r="M326" s="28">
        <v>0</v>
      </c>
      <c r="N326" s="28">
        <v>0</v>
      </c>
      <c r="O326">
        <v>0</v>
      </c>
      <c r="P326">
        <v>0</v>
      </c>
      <c r="Q326">
        <v>0</v>
      </c>
      <c r="R326">
        <v>0</v>
      </c>
      <c r="S326" s="28">
        <v>25147.294537462971</v>
      </c>
      <c r="T326" s="29">
        <f>SUM(BaseHoras[[#This Row],[Jan/2019]:[Mar/2019]])</f>
        <v>0</v>
      </c>
      <c r="U326" s="29">
        <f>SUM(BaseHoras[[#This Row],[Abr/2019]:[Jun/2019]])</f>
        <v>25147.294537462971</v>
      </c>
      <c r="V326" s="29">
        <f>SUM(BaseHoras[[#This Row],[Jul/2019]:[Set/2019]])</f>
        <v>0</v>
      </c>
      <c r="W326" s="29">
        <f>SUM(BaseHoras[[#This Row],[Out/2019]:[Dez/2019]])</f>
        <v>0</v>
      </c>
    </row>
    <row r="327" spans="1:23">
      <c r="A327" t="s">
        <v>151</v>
      </c>
      <c r="B327" t="s">
        <v>168</v>
      </c>
      <c r="C327" t="s">
        <v>286</v>
      </c>
      <c r="D327" t="s">
        <v>49</v>
      </c>
      <c r="E327" t="s">
        <v>192</v>
      </c>
      <c r="F327">
        <v>17.503489892957468</v>
      </c>
      <c r="G327">
        <v>0</v>
      </c>
      <c r="H327">
        <v>5.2950067789597073</v>
      </c>
      <c r="I327">
        <v>0</v>
      </c>
      <c r="J327">
        <v>0</v>
      </c>
      <c r="K327">
        <v>0</v>
      </c>
      <c r="L327">
        <v>0</v>
      </c>
      <c r="M327" s="28">
        <v>0</v>
      </c>
      <c r="N327" s="28">
        <v>0</v>
      </c>
      <c r="O327">
        <v>0</v>
      </c>
      <c r="P327">
        <v>0</v>
      </c>
      <c r="Q327">
        <v>0</v>
      </c>
      <c r="R327">
        <v>0</v>
      </c>
      <c r="S327" s="28">
        <v>22.798496671917174</v>
      </c>
      <c r="T327" s="29">
        <f>SUM(BaseHoras[[#This Row],[Jan/2019]:[Mar/2019]])</f>
        <v>22.798496671917174</v>
      </c>
      <c r="U327" s="29">
        <f>SUM(BaseHoras[[#This Row],[Abr/2019]:[Jun/2019]])</f>
        <v>0</v>
      </c>
      <c r="V327" s="29">
        <f>SUM(BaseHoras[[#This Row],[Jul/2019]:[Set/2019]])</f>
        <v>0</v>
      </c>
      <c r="W327" s="29">
        <f>SUM(BaseHoras[[#This Row],[Out/2019]:[Dez/2019]])</f>
        <v>0</v>
      </c>
    </row>
    <row r="328" spans="1:23">
      <c r="A328" t="s">
        <v>151</v>
      </c>
      <c r="B328" t="s">
        <v>168</v>
      </c>
      <c r="C328" t="s">
        <v>286</v>
      </c>
      <c r="D328" t="s">
        <v>49</v>
      </c>
      <c r="E328" t="s">
        <v>152</v>
      </c>
      <c r="F328">
        <v>0</v>
      </c>
      <c r="G328">
        <v>0</v>
      </c>
      <c r="H328">
        <v>21.320500791093956</v>
      </c>
      <c r="I328">
        <v>14.840221316978786</v>
      </c>
      <c r="J328">
        <v>0</v>
      </c>
      <c r="K328">
        <v>0</v>
      </c>
      <c r="L328">
        <v>0</v>
      </c>
      <c r="M328" s="28">
        <v>0</v>
      </c>
      <c r="N328" s="28">
        <v>0</v>
      </c>
      <c r="O328">
        <v>0</v>
      </c>
      <c r="P328">
        <v>0</v>
      </c>
      <c r="Q328">
        <v>0</v>
      </c>
      <c r="R328">
        <v>0</v>
      </c>
      <c r="S328" s="28">
        <v>36.16072210807274</v>
      </c>
      <c r="T328" s="29">
        <f>SUM(BaseHoras[[#This Row],[Jan/2019]:[Mar/2019]])</f>
        <v>21.320500791093956</v>
      </c>
      <c r="U328" s="29">
        <f>SUM(BaseHoras[[#This Row],[Abr/2019]:[Jun/2019]])</f>
        <v>14.840221316978786</v>
      </c>
      <c r="V328" s="29">
        <f>SUM(BaseHoras[[#This Row],[Jul/2019]:[Set/2019]])</f>
        <v>0</v>
      </c>
      <c r="W328" s="29">
        <f>SUM(BaseHoras[[#This Row],[Out/2019]:[Dez/2019]])</f>
        <v>0</v>
      </c>
    </row>
    <row r="329" spans="1:23">
      <c r="A329" t="s">
        <v>151</v>
      </c>
      <c r="B329" t="s">
        <v>168</v>
      </c>
      <c r="C329" t="s">
        <v>286</v>
      </c>
      <c r="D329" t="s">
        <v>59</v>
      </c>
      <c r="E329" t="s">
        <v>192</v>
      </c>
      <c r="F329">
        <v>266.0995587816904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s="28">
        <v>0</v>
      </c>
      <c r="N329" s="28">
        <v>0</v>
      </c>
      <c r="O329">
        <v>0</v>
      </c>
      <c r="P329">
        <v>0</v>
      </c>
      <c r="Q329">
        <v>0</v>
      </c>
      <c r="R329">
        <v>0</v>
      </c>
      <c r="S329" s="28">
        <v>266.0995587816904</v>
      </c>
      <c r="T329" s="29">
        <f>SUM(BaseHoras[[#This Row],[Jan/2019]:[Mar/2019]])</f>
        <v>266.0995587816904</v>
      </c>
      <c r="U329" s="29">
        <f>SUM(BaseHoras[[#This Row],[Abr/2019]:[Jun/2019]])</f>
        <v>0</v>
      </c>
      <c r="V329" s="29">
        <f>SUM(BaseHoras[[#This Row],[Jul/2019]:[Set/2019]])</f>
        <v>0</v>
      </c>
      <c r="W329" s="29">
        <f>SUM(BaseHoras[[#This Row],[Out/2019]:[Dez/2019]])</f>
        <v>0</v>
      </c>
    </row>
    <row r="330" spans="1:23">
      <c r="A330" t="s">
        <v>151</v>
      </c>
      <c r="B330" t="s">
        <v>168</v>
      </c>
      <c r="C330" t="s">
        <v>286</v>
      </c>
      <c r="D330" t="s">
        <v>63</v>
      </c>
      <c r="E330" t="s">
        <v>192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s="28">
        <v>453.84141445673401</v>
      </c>
      <c r="N330" s="28">
        <v>2483.4038486874542</v>
      </c>
      <c r="O330">
        <v>83.479953364600803</v>
      </c>
      <c r="P330">
        <v>0</v>
      </c>
      <c r="Q330">
        <v>0</v>
      </c>
      <c r="R330">
        <v>0</v>
      </c>
      <c r="S330" s="28">
        <v>3020.7252165087893</v>
      </c>
      <c r="T330" s="29">
        <f>SUM(BaseHoras[[#This Row],[Jan/2019]:[Mar/2019]])</f>
        <v>0</v>
      </c>
      <c r="U330" s="29">
        <f>SUM(BaseHoras[[#This Row],[Abr/2019]:[Jun/2019]])</f>
        <v>0</v>
      </c>
      <c r="V330" s="29">
        <f>SUM(BaseHoras[[#This Row],[Jul/2019]:[Set/2019]])</f>
        <v>2937.2452631441884</v>
      </c>
      <c r="W330" s="29">
        <f>SUM(BaseHoras[[#This Row],[Out/2019]:[Dez/2019]])</f>
        <v>83.479953364600803</v>
      </c>
    </row>
    <row r="331" spans="1:23">
      <c r="A331" t="s">
        <v>151</v>
      </c>
      <c r="B331" t="s">
        <v>168</v>
      </c>
      <c r="C331" t="s">
        <v>286</v>
      </c>
      <c r="D331" t="s">
        <v>71</v>
      </c>
      <c r="E331" t="s">
        <v>192</v>
      </c>
      <c r="F331">
        <v>411.68396890427647</v>
      </c>
      <c r="G331">
        <v>1040.301658774637</v>
      </c>
      <c r="H331">
        <v>0</v>
      </c>
      <c r="I331">
        <v>0</v>
      </c>
      <c r="J331">
        <v>0</v>
      </c>
      <c r="K331">
        <v>0</v>
      </c>
      <c r="L331">
        <v>0</v>
      </c>
      <c r="M331" s="28">
        <v>0</v>
      </c>
      <c r="N331" s="28">
        <v>0</v>
      </c>
      <c r="O331">
        <v>0</v>
      </c>
      <c r="P331">
        <v>0</v>
      </c>
      <c r="Q331">
        <v>0</v>
      </c>
      <c r="R331">
        <v>0</v>
      </c>
      <c r="S331" s="28">
        <v>1451.9856276789135</v>
      </c>
      <c r="T331" s="29">
        <f>SUM(BaseHoras[[#This Row],[Jan/2019]:[Mar/2019]])</f>
        <v>1451.9856276789135</v>
      </c>
      <c r="U331" s="29">
        <f>SUM(BaseHoras[[#This Row],[Abr/2019]:[Jun/2019]])</f>
        <v>0</v>
      </c>
      <c r="V331" s="29">
        <f>SUM(BaseHoras[[#This Row],[Jul/2019]:[Set/2019]])</f>
        <v>0</v>
      </c>
      <c r="W331" s="29">
        <f>SUM(BaseHoras[[#This Row],[Out/2019]:[Dez/2019]])</f>
        <v>0</v>
      </c>
    </row>
    <row r="332" spans="1:23">
      <c r="A332" t="s">
        <v>151</v>
      </c>
      <c r="B332" t="s">
        <v>168</v>
      </c>
      <c r="C332" t="s">
        <v>286</v>
      </c>
      <c r="D332" t="s">
        <v>74</v>
      </c>
      <c r="E332" t="s">
        <v>192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s="28">
        <v>0</v>
      </c>
      <c r="N332" s="28">
        <v>25.223233387729454</v>
      </c>
      <c r="O332">
        <v>0</v>
      </c>
      <c r="P332">
        <v>0</v>
      </c>
      <c r="Q332">
        <v>150.86208749172485</v>
      </c>
      <c r="R332">
        <v>0</v>
      </c>
      <c r="S332" s="28">
        <v>176.08532087945431</v>
      </c>
      <c r="T332" s="29">
        <f>SUM(BaseHoras[[#This Row],[Jan/2019]:[Mar/2019]])</f>
        <v>0</v>
      </c>
      <c r="U332" s="29">
        <f>SUM(BaseHoras[[#This Row],[Abr/2019]:[Jun/2019]])</f>
        <v>0</v>
      </c>
      <c r="V332" s="29">
        <f>SUM(BaseHoras[[#This Row],[Jul/2019]:[Set/2019]])</f>
        <v>25.223233387729454</v>
      </c>
      <c r="W332" s="29">
        <f>SUM(BaseHoras[[#This Row],[Out/2019]:[Dez/2019]])</f>
        <v>150.86208749172485</v>
      </c>
    </row>
    <row r="333" spans="1:23">
      <c r="A333" t="s">
        <v>151</v>
      </c>
      <c r="B333" t="s">
        <v>168</v>
      </c>
      <c r="C333" t="s">
        <v>286</v>
      </c>
      <c r="D333" t="s">
        <v>81</v>
      </c>
      <c r="E333" t="s">
        <v>192</v>
      </c>
      <c r="F333">
        <v>0</v>
      </c>
      <c r="G333">
        <v>0</v>
      </c>
      <c r="H333">
        <v>0</v>
      </c>
      <c r="I333">
        <v>21.214808866161601</v>
      </c>
      <c r="J333">
        <v>0</v>
      </c>
      <c r="K333">
        <v>0</v>
      </c>
      <c r="L333">
        <v>0</v>
      </c>
      <c r="M333" s="28">
        <v>0</v>
      </c>
      <c r="N333" s="28">
        <v>0</v>
      </c>
      <c r="O333">
        <v>0</v>
      </c>
      <c r="P333">
        <v>0</v>
      </c>
      <c r="Q333">
        <v>0</v>
      </c>
      <c r="R333">
        <v>0</v>
      </c>
      <c r="S333" s="28">
        <v>21.214808866161601</v>
      </c>
      <c r="T333" s="29">
        <f>SUM(BaseHoras[[#This Row],[Jan/2019]:[Mar/2019]])</f>
        <v>0</v>
      </c>
      <c r="U333" s="29">
        <f>SUM(BaseHoras[[#This Row],[Abr/2019]:[Jun/2019]])</f>
        <v>21.214808866161601</v>
      </c>
      <c r="V333" s="29">
        <f>SUM(BaseHoras[[#This Row],[Jul/2019]:[Set/2019]])</f>
        <v>0</v>
      </c>
      <c r="W333" s="29">
        <f>SUM(BaseHoras[[#This Row],[Out/2019]:[Dez/2019]])</f>
        <v>0</v>
      </c>
    </row>
    <row r="334" spans="1:23">
      <c r="A334" t="s">
        <v>151</v>
      </c>
      <c r="B334" t="s">
        <v>168</v>
      </c>
      <c r="C334" t="s">
        <v>286</v>
      </c>
      <c r="D334" t="s">
        <v>81</v>
      </c>
      <c r="E334" t="s">
        <v>152</v>
      </c>
      <c r="F334">
        <v>0</v>
      </c>
      <c r="G334">
        <v>28.405883078434076</v>
      </c>
      <c r="H334">
        <v>296.71997566200133</v>
      </c>
      <c r="I334">
        <v>12.649220924444167</v>
      </c>
      <c r="J334">
        <v>0</v>
      </c>
      <c r="K334">
        <v>0</v>
      </c>
      <c r="L334">
        <v>0</v>
      </c>
      <c r="M334" s="28">
        <v>0</v>
      </c>
      <c r="N334" s="28">
        <v>0</v>
      </c>
      <c r="O334">
        <v>0</v>
      </c>
      <c r="P334">
        <v>0</v>
      </c>
      <c r="Q334">
        <v>0</v>
      </c>
      <c r="R334">
        <v>0</v>
      </c>
      <c r="S334" s="28">
        <v>337.77507966487963</v>
      </c>
      <c r="T334" s="29">
        <f>SUM(BaseHoras[[#This Row],[Jan/2019]:[Mar/2019]])</f>
        <v>325.12585874043543</v>
      </c>
      <c r="U334" s="29">
        <f>SUM(BaseHoras[[#This Row],[Abr/2019]:[Jun/2019]])</f>
        <v>12.649220924444167</v>
      </c>
      <c r="V334" s="29">
        <f>SUM(BaseHoras[[#This Row],[Jul/2019]:[Set/2019]])</f>
        <v>0</v>
      </c>
      <c r="W334" s="29">
        <f>SUM(BaseHoras[[#This Row],[Out/2019]:[Dez/2019]])</f>
        <v>0</v>
      </c>
    </row>
    <row r="335" spans="1:23">
      <c r="A335" t="s">
        <v>151</v>
      </c>
      <c r="B335" t="s">
        <v>168</v>
      </c>
      <c r="C335" t="s">
        <v>286</v>
      </c>
      <c r="D335" t="s">
        <v>82</v>
      </c>
      <c r="E335" t="s">
        <v>192</v>
      </c>
      <c r="F335">
        <v>0</v>
      </c>
      <c r="G335">
        <v>0</v>
      </c>
      <c r="H335">
        <v>0</v>
      </c>
      <c r="I335">
        <v>114.64610701683731</v>
      </c>
      <c r="J335">
        <v>0</v>
      </c>
      <c r="K335">
        <v>0</v>
      </c>
      <c r="L335">
        <v>0</v>
      </c>
      <c r="M335" s="28">
        <v>0</v>
      </c>
      <c r="N335" s="28">
        <v>0</v>
      </c>
      <c r="O335">
        <v>0</v>
      </c>
      <c r="P335">
        <v>0</v>
      </c>
      <c r="Q335">
        <v>0</v>
      </c>
      <c r="R335">
        <v>0</v>
      </c>
      <c r="S335" s="28">
        <v>114.64610701683731</v>
      </c>
      <c r="T335" s="29">
        <f>SUM(BaseHoras[[#This Row],[Jan/2019]:[Mar/2019]])</f>
        <v>0</v>
      </c>
      <c r="U335" s="29">
        <f>SUM(BaseHoras[[#This Row],[Abr/2019]:[Jun/2019]])</f>
        <v>114.64610701683731</v>
      </c>
      <c r="V335" s="29">
        <f>SUM(BaseHoras[[#This Row],[Jul/2019]:[Set/2019]])</f>
        <v>0</v>
      </c>
      <c r="W335" s="29">
        <f>SUM(BaseHoras[[#This Row],[Out/2019]:[Dez/2019]])</f>
        <v>0</v>
      </c>
    </row>
    <row r="336" spans="1:23">
      <c r="A336" t="s">
        <v>151</v>
      </c>
      <c r="B336" t="s">
        <v>168</v>
      </c>
      <c r="C336" t="s">
        <v>286</v>
      </c>
      <c r="D336" t="s">
        <v>87</v>
      </c>
      <c r="E336" t="s">
        <v>192</v>
      </c>
      <c r="F336">
        <v>0</v>
      </c>
      <c r="G336">
        <v>0</v>
      </c>
      <c r="H336">
        <v>0</v>
      </c>
      <c r="I336">
        <v>23.165986158203044</v>
      </c>
      <c r="J336">
        <v>0</v>
      </c>
      <c r="K336">
        <v>0</v>
      </c>
      <c r="L336">
        <v>0</v>
      </c>
      <c r="M336" s="28">
        <v>0</v>
      </c>
      <c r="N336" s="28">
        <v>0</v>
      </c>
      <c r="O336">
        <v>0</v>
      </c>
      <c r="P336">
        <v>0</v>
      </c>
      <c r="Q336">
        <v>0</v>
      </c>
      <c r="R336">
        <v>0</v>
      </c>
      <c r="S336" s="28">
        <v>23.165986158203044</v>
      </c>
      <c r="T336" s="29">
        <f>SUM(BaseHoras[[#This Row],[Jan/2019]:[Mar/2019]])</f>
        <v>0</v>
      </c>
      <c r="U336" s="29">
        <f>SUM(BaseHoras[[#This Row],[Abr/2019]:[Jun/2019]])</f>
        <v>23.165986158203044</v>
      </c>
      <c r="V336" s="29">
        <f>SUM(BaseHoras[[#This Row],[Jul/2019]:[Set/2019]])</f>
        <v>0</v>
      </c>
      <c r="W336" s="29">
        <f>SUM(BaseHoras[[#This Row],[Out/2019]:[Dez/2019]])</f>
        <v>0</v>
      </c>
    </row>
    <row r="337" spans="1:23">
      <c r="A337" t="s">
        <v>151</v>
      </c>
      <c r="B337" t="s">
        <v>168</v>
      </c>
      <c r="C337" t="s">
        <v>286</v>
      </c>
      <c r="D337" t="s">
        <v>87</v>
      </c>
      <c r="E337" t="s">
        <v>152</v>
      </c>
      <c r="F337">
        <v>132.35169078956449</v>
      </c>
      <c r="G337">
        <v>13.742297199286517</v>
      </c>
      <c r="H337">
        <v>0</v>
      </c>
      <c r="I337">
        <v>0</v>
      </c>
      <c r="J337">
        <v>0</v>
      </c>
      <c r="K337">
        <v>0</v>
      </c>
      <c r="L337">
        <v>0</v>
      </c>
      <c r="M337" s="28">
        <v>0</v>
      </c>
      <c r="N337" s="28">
        <v>0</v>
      </c>
      <c r="O337">
        <v>0</v>
      </c>
      <c r="P337">
        <v>0</v>
      </c>
      <c r="Q337">
        <v>0</v>
      </c>
      <c r="R337">
        <v>0</v>
      </c>
      <c r="S337" s="28">
        <v>146.09398798885101</v>
      </c>
      <c r="T337" s="29">
        <f>SUM(BaseHoras[[#This Row],[Jan/2019]:[Mar/2019]])</f>
        <v>146.09398798885101</v>
      </c>
      <c r="U337" s="29">
        <f>SUM(BaseHoras[[#This Row],[Abr/2019]:[Jun/2019]])</f>
        <v>0</v>
      </c>
      <c r="V337" s="29">
        <f>SUM(BaseHoras[[#This Row],[Jul/2019]:[Set/2019]])</f>
        <v>0</v>
      </c>
      <c r="W337" s="29">
        <f>SUM(BaseHoras[[#This Row],[Out/2019]:[Dez/2019]])</f>
        <v>0</v>
      </c>
    </row>
    <row r="338" spans="1:23">
      <c r="A338" t="s">
        <v>151</v>
      </c>
      <c r="B338" t="s">
        <v>168</v>
      </c>
      <c r="C338" t="s">
        <v>286</v>
      </c>
      <c r="D338" t="s">
        <v>97</v>
      </c>
      <c r="E338" t="s">
        <v>192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s="28">
        <v>0</v>
      </c>
      <c r="N338" s="28">
        <v>0</v>
      </c>
      <c r="O338">
        <v>27.168123644569757</v>
      </c>
      <c r="P338">
        <v>0</v>
      </c>
      <c r="Q338">
        <v>0</v>
      </c>
      <c r="R338">
        <v>0</v>
      </c>
      <c r="S338" s="28">
        <v>27.168123644569757</v>
      </c>
      <c r="T338" s="29">
        <f>SUM(BaseHoras[[#This Row],[Jan/2019]:[Mar/2019]])</f>
        <v>0</v>
      </c>
      <c r="U338" s="29">
        <f>SUM(BaseHoras[[#This Row],[Abr/2019]:[Jun/2019]])</f>
        <v>0</v>
      </c>
      <c r="V338" s="29">
        <f>SUM(BaseHoras[[#This Row],[Jul/2019]:[Set/2019]])</f>
        <v>0</v>
      </c>
      <c r="W338" s="29">
        <f>SUM(BaseHoras[[#This Row],[Out/2019]:[Dez/2019]])</f>
        <v>27.168123644569757</v>
      </c>
    </row>
    <row r="339" spans="1:23">
      <c r="A339" t="s">
        <v>151</v>
      </c>
      <c r="B339" t="s">
        <v>168</v>
      </c>
      <c r="C339" t="s">
        <v>286</v>
      </c>
      <c r="D339" t="s">
        <v>98</v>
      </c>
      <c r="E339" t="s">
        <v>192</v>
      </c>
      <c r="F339">
        <v>73.95125327968141</v>
      </c>
      <c r="G339">
        <v>0</v>
      </c>
      <c r="H339">
        <v>0</v>
      </c>
      <c r="I339">
        <v>19.470244857155439</v>
      </c>
      <c r="J339">
        <v>5.7797962180799107</v>
      </c>
      <c r="K339">
        <v>0</v>
      </c>
      <c r="L339">
        <v>0</v>
      </c>
      <c r="M339" s="28">
        <v>0</v>
      </c>
      <c r="N339" s="28">
        <v>0</v>
      </c>
      <c r="O339">
        <v>0</v>
      </c>
      <c r="P339">
        <v>0</v>
      </c>
      <c r="Q339">
        <v>0</v>
      </c>
      <c r="R339">
        <v>0</v>
      </c>
      <c r="S339" s="28">
        <v>99.201294354916755</v>
      </c>
      <c r="T339" s="29">
        <f>SUM(BaseHoras[[#This Row],[Jan/2019]:[Mar/2019]])</f>
        <v>73.95125327968141</v>
      </c>
      <c r="U339" s="29">
        <f>SUM(BaseHoras[[#This Row],[Abr/2019]:[Jun/2019]])</f>
        <v>25.250041075235352</v>
      </c>
      <c r="V339" s="29">
        <f>SUM(BaseHoras[[#This Row],[Jul/2019]:[Set/2019]])</f>
        <v>0</v>
      </c>
      <c r="W339" s="29">
        <f>SUM(BaseHoras[[#This Row],[Out/2019]:[Dez/2019]])</f>
        <v>0</v>
      </c>
    </row>
    <row r="340" spans="1:23">
      <c r="A340" t="s">
        <v>151</v>
      </c>
      <c r="B340" t="s">
        <v>168</v>
      </c>
      <c r="C340" t="s">
        <v>286</v>
      </c>
      <c r="D340" t="s">
        <v>98</v>
      </c>
      <c r="E340" t="s">
        <v>152</v>
      </c>
      <c r="F340">
        <v>0</v>
      </c>
      <c r="G340">
        <v>0</v>
      </c>
      <c r="H340">
        <v>0</v>
      </c>
      <c r="I340">
        <v>0</v>
      </c>
      <c r="J340">
        <v>7.7438703177646326</v>
      </c>
      <c r="K340">
        <v>0</v>
      </c>
      <c r="L340">
        <v>0</v>
      </c>
      <c r="M340" s="28">
        <v>0</v>
      </c>
      <c r="N340" s="28">
        <v>0</v>
      </c>
      <c r="O340">
        <v>0</v>
      </c>
      <c r="P340">
        <v>0</v>
      </c>
      <c r="Q340">
        <v>0</v>
      </c>
      <c r="R340">
        <v>0</v>
      </c>
      <c r="S340" s="28">
        <v>7.7438703177646326</v>
      </c>
      <c r="T340" s="29">
        <f>SUM(BaseHoras[[#This Row],[Jan/2019]:[Mar/2019]])</f>
        <v>0</v>
      </c>
      <c r="U340" s="29">
        <f>SUM(BaseHoras[[#This Row],[Abr/2019]:[Jun/2019]])</f>
        <v>7.7438703177646326</v>
      </c>
      <c r="V340" s="29">
        <f>SUM(BaseHoras[[#This Row],[Jul/2019]:[Set/2019]])</f>
        <v>0</v>
      </c>
      <c r="W340" s="29">
        <f>SUM(BaseHoras[[#This Row],[Out/2019]:[Dez/2019]])</f>
        <v>0</v>
      </c>
    </row>
    <row r="341" spans="1:23">
      <c r="A341" t="s">
        <v>151</v>
      </c>
      <c r="B341" t="s">
        <v>168</v>
      </c>
      <c r="C341" t="s">
        <v>286</v>
      </c>
      <c r="D341" t="s">
        <v>101</v>
      </c>
      <c r="E341" t="s">
        <v>192</v>
      </c>
      <c r="F341">
        <v>37.504776057370172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s="28">
        <v>0</v>
      </c>
      <c r="N341" s="28">
        <v>86.922327141113172</v>
      </c>
      <c r="O341">
        <v>34.619871630154563</v>
      </c>
      <c r="P341">
        <v>0</v>
      </c>
      <c r="Q341">
        <v>0</v>
      </c>
      <c r="R341">
        <v>0</v>
      </c>
      <c r="S341" s="28">
        <v>159.0469748286379</v>
      </c>
      <c r="T341" s="29">
        <f>SUM(BaseHoras[[#This Row],[Jan/2019]:[Mar/2019]])</f>
        <v>37.504776057370172</v>
      </c>
      <c r="U341" s="29">
        <f>SUM(BaseHoras[[#This Row],[Abr/2019]:[Jun/2019]])</f>
        <v>0</v>
      </c>
      <c r="V341" s="29">
        <f>SUM(BaseHoras[[#This Row],[Jul/2019]:[Set/2019]])</f>
        <v>86.922327141113172</v>
      </c>
      <c r="W341" s="29">
        <f>SUM(BaseHoras[[#This Row],[Out/2019]:[Dez/2019]])</f>
        <v>34.619871630154563</v>
      </c>
    </row>
    <row r="342" spans="1:23">
      <c r="A342" t="s">
        <v>151</v>
      </c>
      <c r="B342" t="s">
        <v>168</v>
      </c>
      <c r="C342" t="s">
        <v>286</v>
      </c>
      <c r="D342" t="s">
        <v>101</v>
      </c>
      <c r="E342" t="s">
        <v>152</v>
      </c>
      <c r="F342">
        <v>28.922566618706895</v>
      </c>
      <c r="G342">
        <v>0</v>
      </c>
      <c r="H342">
        <v>20.488922833862102</v>
      </c>
      <c r="I342">
        <v>24.807838590465934</v>
      </c>
      <c r="J342">
        <v>0</v>
      </c>
      <c r="K342">
        <v>0</v>
      </c>
      <c r="L342">
        <v>0</v>
      </c>
      <c r="M342" s="28">
        <v>0</v>
      </c>
      <c r="N342" s="28">
        <v>0</v>
      </c>
      <c r="O342">
        <v>126.93181294610041</v>
      </c>
      <c r="P342">
        <v>0</v>
      </c>
      <c r="Q342">
        <v>0</v>
      </c>
      <c r="R342">
        <v>0</v>
      </c>
      <c r="S342" s="28">
        <v>201.15114098913534</v>
      </c>
      <c r="T342" s="29">
        <f>SUM(BaseHoras[[#This Row],[Jan/2019]:[Mar/2019]])</f>
        <v>49.411489452569</v>
      </c>
      <c r="U342" s="29">
        <f>SUM(BaseHoras[[#This Row],[Abr/2019]:[Jun/2019]])</f>
        <v>24.807838590465934</v>
      </c>
      <c r="V342" s="29">
        <f>SUM(BaseHoras[[#This Row],[Jul/2019]:[Set/2019]])</f>
        <v>0</v>
      </c>
      <c r="W342" s="29">
        <f>SUM(BaseHoras[[#This Row],[Out/2019]:[Dez/2019]])</f>
        <v>126.93181294610041</v>
      </c>
    </row>
    <row r="343" spans="1:23">
      <c r="A343" t="s">
        <v>151</v>
      </c>
      <c r="B343" t="s">
        <v>168</v>
      </c>
      <c r="C343" t="s">
        <v>286</v>
      </c>
      <c r="D343" t="s">
        <v>102</v>
      </c>
      <c r="E343" t="s">
        <v>152</v>
      </c>
      <c r="F343">
        <v>125.20880361124088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s="28">
        <v>0</v>
      </c>
      <c r="N343" s="28">
        <v>0</v>
      </c>
      <c r="O343">
        <v>0</v>
      </c>
      <c r="P343">
        <v>0</v>
      </c>
      <c r="Q343">
        <v>0</v>
      </c>
      <c r="R343">
        <v>0</v>
      </c>
      <c r="S343" s="28">
        <v>125.20880361124088</v>
      </c>
      <c r="T343" s="29">
        <f>SUM(BaseHoras[[#This Row],[Jan/2019]:[Mar/2019]])</f>
        <v>125.20880361124088</v>
      </c>
      <c r="U343" s="29">
        <f>SUM(BaseHoras[[#This Row],[Abr/2019]:[Jun/2019]])</f>
        <v>0</v>
      </c>
      <c r="V343" s="29">
        <f>SUM(BaseHoras[[#This Row],[Jul/2019]:[Set/2019]])</f>
        <v>0</v>
      </c>
      <c r="W343" s="29">
        <f>SUM(BaseHoras[[#This Row],[Out/2019]:[Dez/2019]])</f>
        <v>0</v>
      </c>
    </row>
    <row r="344" spans="1:23">
      <c r="A344" t="s">
        <v>151</v>
      </c>
      <c r="B344" t="s">
        <v>168</v>
      </c>
      <c r="C344" t="s">
        <v>286</v>
      </c>
      <c r="D344" t="s">
        <v>105</v>
      </c>
      <c r="E344" t="s">
        <v>192</v>
      </c>
      <c r="F344">
        <v>0</v>
      </c>
      <c r="G344">
        <v>515.9634971922826</v>
      </c>
      <c r="H344">
        <v>1041.1009671214701</v>
      </c>
      <c r="I344">
        <v>0</v>
      </c>
      <c r="J344">
        <v>0</v>
      </c>
      <c r="K344">
        <v>0</v>
      </c>
      <c r="L344">
        <v>0</v>
      </c>
      <c r="M344" s="28">
        <v>0</v>
      </c>
      <c r="N344" s="28">
        <v>0</v>
      </c>
      <c r="O344">
        <v>0</v>
      </c>
      <c r="P344">
        <v>0</v>
      </c>
      <c r="Q344">
        <v>0</v>
      </c>
      <c r="R344">
        <v>0</v>
      </c>
      <c r="S344" s="28">
        <v>1557.0644643137528</v>
      </c>
      <c r="T344" s="29">
        <f>SUM(BaseHoras[[#This Row],[Jan/2019]:[Mar/2019]])</f>
        <v>1557.0644643137528</v>
      </c>
      <c r="U344" s="29">
        <f>SUM(BaseHoras[[#This Row],[Abr/2019]:[Jun/2019]])</f>
        <v>0</v>
      </c>
      <c r="V344" s="29">
        <f>SUM(BaseHoras[[#This Row],[Jul/2019]:[Set/2019]])</f>
        <v>0</v>
      </c>
      <c r="W344" s="29">
        <f>SUM(BaseHoras[[#This Row],[Out/2019]:[Dez/2019]])</f>
        <v>0</v>
      </c>
    </row>
    <row r="345" spans="1:23">
      <c r="A345" t="s">
        <v>151</v>
      </c>
      <c r="B345" t="s">
        <v>168</v>
      </c>
      <c r="C345" t="s">
        <v>286</v>
      </c>
      <c r="D345" t="s">
        <v>106</v>
      </c>
      <c r="E345" t="s">
        <v>192</v>
      </c>
      <c r="F345">
        <v>1002.6690868532417</v>
      </c>
      <c r="G345">
        <v>781.85175815716036</v>
      </c>
      <c r="H345">
        <v>1496.8404659470893</v>
      </c>
      <c r="I345">
        <v>183.32246394036764</v>
      </c>
      <c r="J345">
        <v>210.86800197293681</v>
      </c>
      <c r="K345">
        <v>0</v>
      </c>
      <c r="L345">
        <v>0</v>
      </c>
      <c r="M345" s="28">
        <v>0</v>
      </c>
      <c r="N345" s="28">
        <v>0</v>
      </c>
      <c r="O345">
        <v>0</v>
      </c>
      <c r="P345">
        <v>0</v>
      </c>
      <c r="Q345">
        <v>0</v>
      </c>
      <c r="R345">
        <v>0</v>
      </c>
      <c r="S345" s="28">
        <v>3675.5517768707955</v>
      </c>
      <c r="T345" s="29">
        <f>SUM(BaseHoras[[#This Row],[Jan/2019]:[Mar/2019]])</f>
        <v>3281.3613109574912</v>
      </c>
      <c r="U345" s="29">
        <f>SUM(BaseHoras[[#This Row],[Abr/2019]:[Jun/2019]])</f>
        <v>394.19046591330448</v>
      </c>
      <c r="V345" s="29">
        <f>SUM(BaseHoras[[#This Row],[Jul/2019]:[Set/2019]])</f>
        <v>0</v>
      </c>
      <c r="W345" s="29">
        <f>SUM(BaseHoras[[#This Row],[Out/2019]:[Dez/2019]])</f>
        <v>0</v>
      </c>
    </row>
    <row r="346" spans="1:23">
      <c r="A346" t="s">
        <v>151</v>
      </c>
      <c r="B346" t="s">
        <v>168</v>
      </c>
      <c r="C346" t="s">
        <v>286</v>
      </c>
      <c r="D346" t="s">
        <v>107</v>
      </c>
      <c r="E346" t="s">
        <v>192</v>
      </c>
      <c r="F346">
        <v>84.947735704754521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s="28">
        <v>0</v>
      </c>
      <c r="N346" s="28">
        <v>0</v>
      </c>
      <c r="O346">
        <v>0</v>
      </c>
      <c r="P346">
        <v>0</v>
      </c>
      <c r="Q346">
        <v>32.92482769668765</v>
      </c>
      <c r="R346">
        <v>0</v>
      </c>
      <c r="S346" s="28">
        <v>117.87256340144216</v>
      </c>
      <c r="T346" s="29">
        <f>SUM(BaseHoras[[#This Row],[Jan/2019]:[Mar/2019]])</f>
        <v>84.947735704754521</v>
      </c>
      <c r="U346" s="29">
        <f>SUM(BaseHoras[[#This Row],[Abr/2019]:[Jun/2019]])</f>
        <v>0</v>
      </c>
      <c r="V346" s="29">
        <f>SUM(BaseHoras[[#This Row],[Jul/2019]:[Set/2019]])</f>
        <v>0</v>
      </c>
      <c r="W346" s="29">
        <f>SUM(BaseHoras[[#This Row],[Out/2019]:[Dez/2019]])</f>
        <v>32.92482769668765</v>
      </c>
    </row>
    <row r="347" spans="1:23">
      <c r="A347" t="s">
        <v>151</v>
      </c>
      <c r="B347" t="s">
        <v>168</v>
      </c>
      <c r="C347" t="s">
        <v>286</v>
      </c>
      <c r="D347" t="s">
        <v>107</v>
      </c>
      <c r="E347" t="s">
        <v>152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s="28">
        <v>0</v>
      </c>
      <c r="N347" s="28">
        <v>0</v>
      </c>
      <c r="O347">
        <v>0</v>
      </c>
      <c r="P347">
        <v>0</v>
      </c>
      <c r="Q347">
        <v>149.13234968434855</v>
      </c>
      <c r="R347">
        <v>0</v>
      </c>
      <c r="S347" s="28">
        <v>149.13234968434855</v>
      </c>
      <c r="T347" s="29">
        <f>SUM(BaseHoras[[#This Row],[Jan/2019]:[Mar/2019]])</f>
        <v>0</v>
      </c>
      <c r="U347" s="29">
        <f>SUM(BaseHoras[[#This Row],[Abr/2019]:[Jun/2019]])</f>
        <v>0</v>
      </c>
      <c r="V347" s="29">
        <f>SUM(BaseHoras[[#This Row],[Jul/2019]:[Set/2019]])</f>
        <v>0</v>
      </c>
      <c r="W347" s="29">
        <f>SUM(BaseHoras[[#This Row],[Out/2019]:[Dez/2019]])</f>
        <v>149.13234968434855</v>
      </c>
    </row>
    <row r="348" spans="1:23">
      <c r="A348" t="s">
        <v>151</v>
      </c>
      <c r="B348" t="s">
        <v>168</v>
      </c>
      <c r="C348" t="s">
        <v>286</v>
      </c>
      <c r="D348" t="s">
        <v>153</v>
      </c>
      <c r="E348" t="s">
        <v>192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s="28">
        <v>0</v>
      </c>
      <c r="N348" s="28">
        <v>0</v>
      </c>
      <c r="O348">
        <v>0</v>
      </c>
      <c r="P348">
        <v>4.7241803457287039</v>
      </c>
      <c r="Q348">
        <v>0</v>
      </c>
      <c r="R348">
        <v>0</v>
      </c>
      <c r="S348" s="28">
        <v>4.7241803457287039</v>
      </c>
      <c r="T348" s="29">
        <f>SUM(BaseHoras[[#This Row],[Jan/2019]:[Mar/2019]])</f>
        <v>0</v>
      </c>
      <c r="U348" s="29">
        <f>SUM(BaseHoras[[#This Row],[Abr/2019]:[Jun/2019]])</f>
        <v>0</v>
      </c>
      <c r="V348" s="29">
        <f>SUM(BaseHoras[[#This Row],[Jul/2019]:[Set/2019]])</f>
        <v>0</v>
      </c>
      <c r="W348" s="29">
        <f>SUM(BaseHoras[[#This Row],[Out/2019]:[Dez/2019]])</f>
        <v>4.7241803457287039</v>
      </c>
    </row>
    <row r="349" spans="1:23">
      <c r="A349" t="s">
        <v>151</v>
      </c>
      <c r="B349" t="s">
        <v>168</v>
      </c>
      <c r="C349" t="s">
        <v>286</v>
      </c>
      <c r="D349" t="s">
        <v>108</v>
      </c>
      <c r="E349" t="s">
        <v>192</v>
      </c>
      <c r="F349">
        <v>148.12884923108251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s="28">
        <v>0</v>
      </c>
      <c r="N349" s="28">
        <v>0</v>
      </c>
      <c r="O349">
        <v>0</v>
      </c>
      <c r="P349">
        <v>0</v>
      </c>
      <c r="Q349">
        <v>0</v>
      </c>
      <c r="R349">
        <v>0</v>
      </c>
      <c r="S349" s="28">
        <v>148.12884923108251</v>
      </c>
      <c r="T349" s="29">
        <f>SUM(BaseHoras[[#This Row],[Jan/2019]:[Mar/2019]])</f>
        <v>148.12884923108251</v>
      </c>
      <c r="U349" s="29">
        <f>SUM(BaseHoras[[#This Row],[Abr/2019]:[Jun/2019]])</f>
        <v>0</v>
      </c>
      <c r="V349" s="29">
        <f>SUM(BaseHoras[[#This Row],[Jul/2019]:[Set/2019]])</f>
        <v>0</v>
      </c>
      <c r="W349" s="29">
        <f>SUM(BaseHoras[[#This Row],[Out/2019]:[Dez/2019]])</f>
        <v>0</v>
      </c>
    </row>
    <row r="350" spans="1:23">
      <c r="A350" t="s">
        <v>151</v>
      </c>
      <c r="B350" t="s">
        <v>168</v>
      </c>
      <c r="C350" t="s">
        <v>286</v>
      </c>
      <c r="D350" t="s">
        <v>109</v>
      </c>
      <c r="E350" t="s">
        <v>192</v>
      </c>
      <c r="F350">
        <v>0</v>
      </c>
      <c r="G350">
        <v>0</v>
      </c>
      <c r="H350">
        <v>197.86701626274944</v>
      </c>
      <c r="I350">
        <v>76.057530769985846</v>
      </c>
      <c r="J350">
        <v>0</v>
      </c>
      <c r="K350">
        <v>0</v>
      </c>
      <c r="L350">
        <v>0</v>
      </c>
      <c r="M350" s="28">
        <v>0</v>
      </c>
      <c r="N350" s="28">
        <v>0</v>
      </c>
      <c r="O350">
        <v>0</v>
      </c>
      <c r="P350">
        <v>0</v>
      </c>
      <c r="Q350">
        <v>0</v>
      </c>
      <c r="R350">
        <v>0</v>
      </c>
      <c r="S350" s="28">
        <v>273.92454703273529</v>
      </c>
      <c r="T350" s="29">
        <f>SUM(BaseHoras[[#This Row],[Jan/2019]:[Mar/2019]])</f>
        <v>197.86701626274944</v>
      </c>
      <c r="U350" s="29">
        <f>SUM(BaseHoras[[#This Row],[Abr/2019]:[Jun/2019]])</f>
        <v>76.057530769985846</v>
      </c>
      <c r="V350" s="29">
        <f>SUM(BaseHoras[[#This Row],[Jul/2019]:[Set/2019]])</f>
        <v>0</v>
      </c>
      <c r="W350" s="29">
        <f>SUM(BaseHoras[[#This Row],[Out/2019]:[Dez/2019]])</f>
        <v>0</v>
      </c>
    </row>
    <row r="351" spans="1:23">
      <c r="A351" t="s">
        <v>151</v>
      </c>
      <c r="B351" t="s">
        <v>168</v>
      </c>
      <c r="C351" t="s">
        <v>286</v>
      </c>
      <c r="D351" t="s">
        <v>125</v>
      </c>
      <c r="E351" t="s">
        <v>192</v>
      </c>
      <c r="F351">
        <v>0</v>
      </c>
      <c r="G351">
        <v>0</v>
      </c>
      <c r="H351">
        <v>0</v>
      </c>
      <c r="I351">
        <v>10.372217644095684</v>
      </c>
      <c r="J351">
        <v>0</v>
      </c>
      <c r="K351">
        <v>0</v>
      </c>
      <c r="L351">
        <v>0</v>
      </c>
      <c r="M351" s="28">
        <v>0</v>
      </c>
      <c r="N351" s="28">
        <v>0</v>
      </c>
      <c r="O351">
        <v>0</v>
      </c>
      <c r="P351">
        <v>0</v>
      </c>
      <c r="Q351">
        <v>0</v>
      </c>
      <c r="R351">
        <v>0</v>
      </c>
      <c r="S351" s="28">
        <v>10.372217644095684</v>
      </c>
      <c r="T351" s="29">
        <f>SUM(BaseHoras[[#This Row],[Jan/2019]:[Mar/2019]])</f>
        <v>0</v>
      </c>
      <c r="U351" s="29">
        <f>SUM(BaseHoras[[#This Row],[Abr/2019]:[Jun/2019]])</f>
        <v>10.372217644095684</v>
      </c>
      <c r="V351" s="29">
        <f>SUM(BaseHoras[[#This Row],[Jul/2019]:[Set/2019]])</f>
        <v>0</v>
      </c>
      <c r="W351" s="29">
        <f>SUM(BaseHoras[[#This Row],[Out/2019]:[Dez/2019]])</f>
        <v>0</v>
      </c>
    </row>
    <row r="352" spans="1:23">
      <c r="A352" t="s">
        <v>151</v>
      </c>
      <c r="B352" t="s">
        <v>168</v>
      </c>
      <c r="C352" t="s">
        <v>286</v>
      </c>
      <c r="D352" t="s">
        <v>127</v>
      </c>
      <c r="E352" t="s">
        <v>192</v>
      </c>
      <c r="F352">
        <v>122.53696502825663</v>
      </c>
      <c r="G352">
        <v>1.198975249850337</v>
      </c>
      <c r="H352">
        <v>0</v>
      </c>
      <c r="I352">
        <v>0</v>
      </c>
      <c r="J352">
        <v>0</v>
      </c>
      <c r="K352">
        <v>0</v>
      </c>
      <c r="L352">
        <v>0</v>
      </c>
      <c r="M352" s="28">
        <v>0</v>
      </c>
      <c r="N352" s="28">
        <v>0</v>
      </c>
      <c r="O352">
        <v>0</v>
      </c>
      <c r="P352">
        <v>0</v>
      </c>
      <c r="Q352">
        <v>0</v>
      </c>
      <c r="R352">
        <v>0</v>
      </c>
      <c r="S352" s="28">
        <v>123.73594027810697</v>
      </c>
      <c r="T352" s="29">
        <f>SUM(BaseHoras[[#This Row],[Jan/2019]:[Mar/2019]])</f>
        <v>123.73594027810697</v>
      </c>
      <c r="U352" s="29">
        <f>SUM(BaseHoras[[#This Row],[Abr/2019]:[Jun/2019]])</f>
        <v>0</v>
      </c>
      <c r="V352" s="29">
        <f>SUM(BaseHoras[[#This Row],[Jul/2019]:[Set/2019]])</f>
        <v>0</v>
      </c>
      <c r="W352" s="29">
        <f>SUM(BaseHoras[[#This Row],[Out/2019]:[Dez/2019]])</f>
        <v>0</v>
      </c>
    </row>
    <row r="353" spans="1:23">
      <c r="A353" t="s">
        <v>151</v>
      </c>
      <c r="B353" t="s">
        <v>168</v>
      </c>
      <c r="C353" t="s">
        <v>286</v>
      </c>
      <c r="D353" t="s">
        <v>130</v>
      </c>
      <c r="E353" t="s">
        <v>192</v>
      </c>
      <c r="F353">
        <v>6158.2896985026455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s="28">
        <v>0</v>
      </c>
      <c r="N353" s="28">
        <v>0</v>
      </c>
      <c r="O353">
        <v>0</v>
      </c>
      <c r="P353">
        <v>0</v>
      </c>
      <c r="Q353">
        <v>0</v>
      </c>
      <c r="R353">
        <v>0</v>
      </c>
      <c r="S353" s="28">
        <v>6158.2896985026455</v>
      </c>
      <c r="T353" s="29">
        <f>SUM(BaseHoras[[#This Row],[Jan/2019]:[Mar/2019]])</f>
        <v>6158.2896985026455</v>
      </c>
      <c r="U353" s="29">
        <f>SUM(BaseHoras[[#This Row],[Abr/2019]:[Jun/2019]])</f>
        <v>0</v>
      </c>
      <c r="V353" s="29">
        <f>SUM(BaseHoras[[#This Row],[Jul/2019]:[Set/2019]])</f>
        <v>0</v>
      </c>
      <c r="W353" s="29">
        <f>SUM(BaseHoras[[#This Row],[Out/2019]:[Dez/2019]])</f>
        <v>0</v>
      </c>
    </row>
    <row r="354" spans="1:23">
      <c r="A354" t="s">
        <v>151</v>
      </c>
      <c r="B354" t="s">
        <v>168</v>
      </c>
      <c r="C354" t="s">
        <v>286</v>
      </c>
      <c r="D354" t="s">
        <v>132</v>
      </c>
      <c r="E354" t="s">
        <v>192</v>
      </c>
      <c r="F354">
        <v>0</v>
      </c>
      <c r="G354">
        <v>0</v>
      </c>
      <c r="H354">
        <v>0</v>
      </c>
      <c r="I354">
        <v>39.718542590282617</v>
      </c>
      <c r="J354">
        <v>0</v>
      </c>
      <c r="K354">
        <v>0</v>
      </c>
      <c r="L354">
        <v>0</v>
      </c>
      <c r="M354" s="28">
        <v>0</v>
      </c>
      <c r="N354" s="28">
        <v>0</v>
      </c>
      <c r="O354">
        <v>0</v>
      </c>
      <c r="P354">
        <v>0</v>
      </c>
      <c r="Q354">
        <v>0</v>
      </c>
      <c r="R354">
        <v>0</v>
      </c>
      <c r="S354" s="28">
        <v>39.718542590282617</v>
      </c>
      <c r="T354" s="29">
        <f>SUM(BaseHoras[[#This Row],[Jan/2019]:[Mar/2019]])</f>
        <v>0</v>
      </c>
      <c r="U354" s="29">
        <f>SUM(BaseHoras[[#This Row],[Abr/2019]:[Jun/2019]])</f>
        <v>39.718542590282617</v>
      </c>
      <c r="V354" s="29">
        <f>SUM(BaseHoras[[#This Row],[Jul/2019]:[Set/2019]])</f>
        <v>0</v>
      </c>
      <c r="W354" s="29">
        <f>SUM(BaseHoras[[#This Row],[Out/2019]:[Dez/2019]])</f>
        <v>0</v>
      </c>
    </row>
    <row r="355" spans="1:23">
      <c r="A355" t="s">
        <v>151</v>
      </c>
      <c r="B355" t="s">
        <v>168</v>
      </c>
      <c r="C355" t="s">
        <v>286</v>
      </c>
      <c r="D355" t="s">
        <v>134</v>
      </c>
      <c r="E355" t="s">
        <v>152</v>
      </c>
      <c r="F355">
        <v>0</v>
      </c>
      <c r="G355">
        <v>0</v>
      </c>
      <c r="H355">
        <v>103.44598987173848</v>
      </c>
      <c r="I355">
        <v>0</v>
      </c>
      <c r="J355">
        <v>0</v>
      </c>
      <c r="K355">
        <v>0</v>
      </c>
      <c r="L355">
        <v>0</v>
      </c>
      <c r="M355" s="28">
        <v>0</v>
      </c>
      <c r="N355" s="28">
        <v>0</v>
      </c>
      <c r="O355">
        <v>0</v>
      </c>
      <c r="P355">
        <v>0</v>
      </c>
      <c r="Q355">
        <v>0</v>
      </c>
      <c r="R355">
        <v>0</v>
      </c>
      <c r="S355" s="28">
        <v>103.44598987173848</v>
      </c>
      <c r="T355" s="29">
        <f>SUM(BaseHoras[[#This Row],[Jan/2019]:[Mar/2019]])</f>
        <v>103.44598987173848</v>
      </c>
      <c r="U355" s="29">
        <f>SUM(BaseHoras[[#This Row],[Abr/2019]:[Jun/2019]])</f>
        <v>0</v>
      </c>
      <c r="V355" s="29">
        <f>SUM(BaseHoras[[#This Row],[Jul/2019]:[Set/2019]])</f>
        <v>0</v>
      </c>
      <c r="W355" s="29">
        <f>SUM(BaseHoras[[#This Row],[Out/2019]:[Dez/2019]])</f>
        <v>0</v>
      </c>
    </row>
    <row r="356" spans="1:23">
      <c r="A356" t="s">
        <v>151</v>
      </c>
      <c r="B356" t="s">
        <v>168</v>
      </c>
      <c r="C356" t="s">
        <v>286</v>
      </c>
      <c r="D356" t="s">
        <v>138</v>
      </c>
      <c r="E356" t="s">
        <v>192</v>
      </c>
      <c r="F356">
        <v>32.394855300087208</v>
      </c>
      <c r="G356">
        <v>0</v>
      </c>
      <c r="H356">
        <v>0</v>
      </c>
      <c r="I356">
        <v>1835.6504650342783</v>
      </c>
      <c r="J356">
        <v>65.376599490830458</v>
      </c>
      <c r="K356">
        <v>27.710124379771813</v>
      </c>
      <c r="L356">
        <v>0</v>
      </c>
      <c r="M356" s="28">
        <v>0</v>
      </c>
      <c r="N356" s="28">
        <v>0</v>
      </c>
      <c r="O356">
        <v>0</v>
      </c>
      <c r="P356">
        <v>0</v>
      </c>
      <c r="Q356">
        <v>0</v>
      </c>
      <c r="R356">
        <v>0</v>
      </c>
      <c r="S356" s="28">
        <v>1961.1320442049675</v>
      </c>
      <c r="T356" s="29">
        <f>SUM(BaseHoras[[#This Row],[Jan/2019]:[Mar/2019]])</f>
        <v>32.394855300087208</v>
      </c>
      <c r="U356" s="29">
        <f>SUM(BaseHoras[[#This Row],[Abr/2019]:[Jun/2019]])</f>
        <v>1928.7371889048804</v>
      </c>
      <c r="V356" s="29">
        <f>SUM(BaseHoras[[#This Row],[Jul/2019]:[Set/2019]])</f>
        <v>0</v>
      </c>
      <c r="W356" s="29">
        <f>SUM(BaseHoras[[#This Row],[Out/2019]:[Dez/2019]])</f>
        <v>0</v>
      </c>
    </row>
    <row r="357" spans="1:23">
      <c r="A357" t="s">
        <v>151</v>
      </c>
      <c r="B357" t="s">
        <v>168</v>
      </c>
      <c r="C357" t="s">
        <v>286</v>
      </c>
      <c r="D357" t="s">
        <v>145</v>
      </c>
      <c r="E357" t="s">
        <v>192</v>
      </c>
      <c r="F357">
        <v>0</v>
      </c>
      <c r="G357">
        <v>0</v>
      </c>
      <c r="H357">
        <v>989.22535701589231</v>
      </c>
      <c r="I357">
        <v>752.33257420246741</v>
      </c>
      <c r="J357">
        <v>52.946476618201309</v>
      </c>
      <c r="K357">
        <v>0</v>
      </c>
      <c r="L357">
        <v>0</v>
      </c>
      <c r="M357" s="28">
        <v>0</v>
      </c>
      <c r="N357" s="28">
        <v>0</v>
      </c>
      <c r="O357">
        <v>0</v>
      </c>
      <c r="P357">
        <v>0</v>
      </c>
      <c r="Q357">
        <v>0</v>
      </c>
      <c r="R357">
        <v>0</v>
      </c>
      <c r="S357" s="28">
        <v>1794.5044078365611</v>
      </c>
      <c r="T357" s="29">
        <f>SUM(BaseHoras[[#This Row],[Jan/2019]:[Mar/2019]])</f>
        <v>989.22535701589231</v>
      </c>
      <c r="U357" s="29">
        <f>SUM(BaseHoras[[#This Row],[Abr/2019]:[Jun/2019]])</f>
        <v>805.27905082066877</v>
      </c>
      <c r="V357" s="29">
        <f>SUM(BaseHoras[[#This Row],[Jul/2019]:[Set/2019]])</f>
        <v>0</v>
      </c>
      <c r="W357" s="29">
        <f>SUM(BaseHoras[[#This Row],[Out/2019]:[Dez/2019]])</f>
        <v>0</v>
      </c>
    </row>
    <row r="358" spans="1:23">
      <c r="A358" t="s">
        <v>151</v>
      </c>
      <c r="B358" t="s">
        <v>168</v>
      </c>
      <c r="C358" t="s">
        <v>286</v>
      </c>
      <c r="D358" t="s">
        <v>149</v>
      </c>
      <c r="E358" t="s">
        <v>152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s="28">
        <v>0</v>
      </c>
      <c r="N358" s="28">
        <v>485.30684286078275</v>
      </c>
      <c r="O358">
        <v>0</v>
      </c>
      <c r="P358">
        <v>0</v>
      </c>
      <c r="Q358">
        <v>0</v>
      </c>
      <c r="R358">
        <v>0</v>
      </c>
      <c r="S358" s="28">
        <v>485.30684286078275</v>
      </c>
      <c r="T358" s="29">
        <f>SUM(BaseHoras[[#This Row],[Jan/2019]:[Mar/2019]])</f>
        <v>0</v>
      </c>
      <c r="U358" s="29">
        <f>SUM(BaseHoras[[#This Row],[Abr/2019]:[Jun/2019]])</f>
        <v>0</v>
      </c>
      <c r="V358" s="29">
        <f>SUM(BaseHoras[[#This Row],[Jul/2019]:[Set/2019]])</f>
        <v>485.30684286078275</v>
      </c>
      <c r="W358" s="29">
        <f>SUM(BaseHoras[[#This Row],[Out/2019]:[Dez/2019]])</f>
        <v>0</v>
      </c>
    </row>
    <row r="359" spans="1:23">
      <c r="A359" t="s">
        <v>151</v>
      </c>
      <c r="B359" t="s">
        <v>168</v>
      </c>
      <c r="C359" t="s">
        <v>287</v>
      </c>
      <c r="D359" t="s">
        <v>35</v>
      </c>
      <c r="E359" t="s">
        <v>192</v>
      </c>
      <c r="F359">
        <v>158.91400917788758</v>
      </c>
      <c r="G359">
        <v>55.756038513570907</v>
      </c>
      <c r="H359">
        <v>0</v>
      </c>
      <c r="I359">
        <v>0</v>
      </c>
      <c r="J359">
        <v>0</v>
      </c>
      <c r="K359">
        <v>0</v>
      </c>
      <c r="L359">
        <v>0</v>
      </c>
      <c r="M359" s="28">
        <v>0</v>
      </c>
      <c r="N359" s="28">
        <v>0</v>
      </c>
      <c r="O359">
        <v>0</v>
      </c>
      <c r="P359">
        <v>0</v>
      </c>
      <c r="Q359">
        <v>0</v>
      </c>
      <c r="R359">
        <v>0</v>
      </c>
      <c r="S359" s="28">
        <v>214.67004769145848</v>
      </c>
      <c r="T359" s="29">
        <f>SUM(BaseHoras[[#This Row],[Jan/2019]:[Mar/2019]])</f>
        <v>214.67004769145848</v>
      </c>
      <c r="U359" s="29">
        <f>SUM(BaseHoras[[#This Row],[Abr/2019]:[Jun/2019]])</f>
        <v>0</v>
      </c>
      <c r="V359" s="29">
        <f>SUM(BaseHoras[[#This Row],[Jul/2019]:[Set/2019]])</f>
        <v>0</v>
      </c>
      <c r="W359" s="29">
        <f>SUM(BaseHoras[[#This Row],[Out/2019]:[Dez/2019]])</f>
        <v>0</v>
      </c>
    </row>
    <row r="360" spans="1:23">
      <c r="A360" t="s">
        <v>151</v>
      </c>
      <c r="B360" t="s">
        <v>168</v>
      </c>
      <c r="C360" t="s">
        <v>287</v>
      </c>
      <c r="D360" t="s">
        <v>41</v>
      </c>
      <c r="E360" t="s">
        <v>192</v>
      </c>
      <c r="F360">
        <v>368.97681095747396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s="28">
        <v>0</v>
      </c>
      <c r="N360" s="28">
        <v>0</v>
      </c>
      <c r="O360">
        <v>0</v>
      </c>
      <c r="P360">
        <v>0</v>
      </c>
      <c r="Q360">
        <v>0</v>
      </c>
      <c r="R360">
        <v>0</v>
      </c>
      <c r="S360" s="28">
        <v>368.97681095747396</v>
      </c>
      <c r="T360" s="29">
        <f>SUM(BaseHoras[[#This Row],[Jan/2019]:[Mar/2019]])</f>
        <v>368.97681095747396</v>
      </c>
      <c r="U360" s="29">
        <f>SUM(BaseHoras[[#This Row],[Abr/2019]:[Jun/2019]])</f>
        <v>0</v>
      </c>
      <c r="V360" s="29">
        <f>SUM(BaseHoras[[#This Row],[Jul/2019]:[Set/2019]])</f>
        <v>0</v>
      </c>
      <c r="W360" s="29">
        <f>SUM(BaseHoras[[#This Row],[Out/2019]:[Dez/2019]])</f>
        <v>0</v>
      </c>
    </row>
    <row r="361" spans="1:23">
      <c r="A361" t="s">
        <v>151</v>
      </c>
      <c r="B361" t="s">
        <v>168</v>
      </c>
      <c r="C361" t="s">
        <v>287</v>
      </c>
      <c r="D361" t="s">
        <v>49</v>
      </c>
      <c r="E361" t="s">
        <v>192</v>
      </c>
      <c r="F361">
        <v>10380.696640886881</v>
      </c>
      <c r="G361">
        <v>107.07714531120082</v>
      </c>
      <c r="H361">
        <v>0</v>
      </c>
      <c r="I361">
        <v>0</v>
      </c>
      <c r="J361">
        <v>0</v>
      </c>
      <c r="K361">
        <v>0</v>
      </c>
      <c r="L361">
        <v>0</v>
      </c>
      <c r="M361" s="28">
        <v>0</v>
      </c>
      <c r="N361" s="28">
        <v>0</v>
      </c>
      <c r="O361">
        <v>0</v>
      </c>
      <c r="P361">
        <v>0</v>
      </c>
      <c r="Q361">
        <v>0</v>
      </c>
      <c r="R361">
        <v>0</v>
      </c>
      <c r="S361" s="28">
        <v>10487.773786198082</v>
      </c>
      <c r="T361" s="29">
        <f>SUM(BaseHoras[[#This Row],[Jan/2019]:[Mar/2019]])</f>
        <v>10487.773786198082</v>
      </c>
      <c r="U361" s="29">
        <f>SUM(BaseHoras[[#This Row],[Abr/2019]:[Jun/2019]])</f>
        <v>0</v>
      </c>
      <c r="V361" s="29">
        <f>SUM(BaseHoras[[#This Row],[Jul/2019]:[Set/2019]])</f>
        <v>0</v>
      </c>
      <c r="W361" s="29">
        <f>SUM(BaseHoras[[#This Row],[Out/2019]:[Dez/2019]])</f>
        <v>0</v>
      </c>
    </row>
    <row r="362" spans="1:23">
      <c r="A362" t="s">
        <v>151</v>
      </c>
      <c r="B362" t="s">
        <v>168</v>
      </c>
      <c r="C362" t="s">
        <v>287</v>
      </c>
      <c r="D362" t="s">
        <v>71</v>
      </c>
      <c r="E362" t="s">
        <v>192</v>
      </c>
      <c r="F362">
        <v>0</v>
      </c>
      <c r="G362">
        <v>50.843890727821297</v>
      </c>
      <c r="H362">
        <v>0</v>
      </c>
      <c r="I362">
        <v>0</v>
      </c>
      <c r="J362">
        <v>0</v>
      </c>
      <c r="K362">
        <v>0</v>
      </c>
      <c r="L362">
        <v>0</v>
      </c>
      <c r="M362" s="28">
        <v>0</v>
      </c>
      <c r="N362" s="28">
        <v>0</v>
      </c>
      <c r="O362">
        <v>0</v>
      </c>
      <c r="P362">
        <v>0</v>
      </c>
      <c r="Q362">
        <v>0</v>
      </c>
      <c r="R362">
        <v>0</v>
      </c>
      <c r="S362" s="28">
        <v>50.843890727821297</v>
      </c>
      <c r="T362" s="29">
        <f>SUM(BaseHoras[[#This Row],[Jan/2019]:[Mar/2019]])</f>
        <v>50.843890727821297</v>
      </c>
      <c r="U362" s="29">
        <f>SUM(BaseHoras[[#This Row],[Abr/2019]:[Jun/2019]])</f>
        <v>0</v>
      </c>
      <c r="V362" s="29">
        <f>SUM(BaseHoras[[#This Row],[Jul/2019]:[Set/2019]])</f>
        <v>0</v>
      </c>
      <c r="W362" s="29">
        <f>SUM(BaseHoras[[#This Row],[Out/2019]:[Dez/2019]])</f>
        <v>0</v>
      </c>
    </row>
    <row r="363" spans="1:23">
      <c r="A363" t="s">
        <v>151</v>
      </c>
      <c r="B363" t="s">
        <v>168</v>
      </c>
      <c r="C363" t="s">
        <v>287</v>
      </c>
      <c r="D363" t="s">
        <v>87</v>
      </c>
      <c r="E363" t="s">
        <v>192</v>
      </c>
      <c r="F363">
        <v>38.368797074615863</v>
      </c>
      <c r="G363">
        <v>39.159907894093173</v>
      </c>
      <c r="H363">
        <v>0</v>
      </c>
      <c r="I363">
        <v>0</v>
      </c>
      <c r="J363">
        <v>0</v>
      </c>
      <c r="K363">
        <v>0</v>
      </c>
      <c r="L363">
        <v>0</v>
      </c>
      <c r="M363" s="28">
        <v>0</v>
      </c>
      <c r="N363" s="28">
        <v>0</v>
      </c>
      <c r="O363">
        <v>0</v>
      </c>
      <c r="P363">
        <v>0</v>
      </c>
      <c r="Q363">
        <v>0</v>
      </c>
      <c r="R363">
        <v>0</v>
      </c>
      <c r="S363" s="28">
        <v>77.528704968709036</v>
      </c>
      <c r="T363" s="29">
        <f>SUM(BaseHoras[[#This Row],[Jan/2019]:[Mar/2019]])</f>
        <v>77.528704968709036</v>
      </c>
      <c r="U363" s="29">
        <f>SUM(BaseHoras[[#This Row],[Abr/2019]:[Jun/2019]])</f>
        <v>0</v>
      </c>
      <c r="V363" s="29">
        <f>SUM(BaseHoras[[#This Row],[Jul/2019]:[Set/2019]])</f>
        <v>0</v>
      </c>
      <c r="W363" s="29">
        <f>SUM(BaseHoras[[#This Row],[Out/2019]:[Dez/2019]])</f>
        <v>0</v>
      </c>
    </row>
    <row r="364" spans="1:23">
      <c r="A364" t="s">
        <v>151</v>
      </c>
      <c r="B364" t="s">
        <v>168</v>
      </c>
      <c r="C364" t="s">
        <v>287</v>
      </c>
      <c r="D364" t="s">
        <v>156</v>
      </c>
      <c r="E364" t="s">
        <v>192</v>
      </c>
      <c r="F364">
        <v>0</v>
      </c>
      <c r="G364">
        <v>463.36756157821225</v>
      </c>
      <c r="H364">
        <v>0</v>
      </c>
      <c r="I364">
        <v>0</v>
      </c>
      <c r="J364">
        <v>0</v>
      </c>
      <c r="K364">
        <v>0</v>
      </c>
      <c r="L364">
        <v>0</v>
      </c>
      <c r="M364" s="28">
        <v>0</v>
      </c>
      <c r="N364" s="28">
        <v>0</v>
      </c>
      <c r="O364">
        <v>0</v>
      </c>
      <c r="P364">
        <v>0</v>
      </c>
      <c r="Q364">
        <v>0</v>
      </c>
      <c r="R364">
        <v>0</v>
      </c>
      <c r="S364" s="28">
        <v>463.36756157821225</v>
      </c>
      <c r="T364" s="29">
        <f>SUM(BaseHoras[[#This Row],[Jan/2019]:[Mar/2019]])</f>
        <v>463.36756157821225</v>
      </c>
      <c r="U364" s="29">
        <f>SUM(BaseHoras[[#This Row],[Abr/2019]:[Jun/2019]])</f>
        <v>0</v>
      </c>
      <c r="V364" s="29">
        <f>SUM(BaseHoras[[#This Row],[Jul/2019]:[Set/2019]])</f>
        <v>0</v>
      </c>
      <c r="W364" s="29">
        <f>SUM(BaseHoras[[#This Row],[Out/2019]:[Dez/2019]])</f>
        <v>0</v>
      </c>
    </row>
    <row r="365" spans="1:23">
      <c r="A365" t="s">
        <v>151</v>
      </c>
      <c r="B365" t="s">
        <v>168</v>
      </c>
      <c r="C365" t="s">
        <v>287</v>
      </c>
      <c r="D365" t="s">
        <v>98</v>
      </c>
      <c r="E365" t="s">
        <v>192</v>
      </c>
      <c r="F365">
        <v>47.512772101725595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s="28">
        <v>0</v>
      </c>
      <c r="N365" s="28">
        <v>0</v>
      </c>
      <c r="O365">
        <v>0</v>
      </c>
      <c r="P365">
        <v>0</v>
      </c>
      <c r="Q365">
        <v>0</v>
      </c>
      <c r="R365">
        <v>0</v>
      </c>
      <c r="S365" s="28">
        <v>47.512772101725595</v>
      </c>
      <c r="T365" s="29">
        <f>SUM(BaseHoras[[#This Row],[Jan/2019]:[Mar/2019]])</f>
        <v>47.512772101725595</v>
      </c>
      <c r="U365" s="29">
        <f>SUM(BaseHoras[[#This Row],[Abr/2019]:[Jun/2019]])</f>
        <v>0</v>
      </c>
      <c r="V365" s="29">
        <f>SUM(BaseHoras[[#This Row],[Jul/2019]:[Set/2019]])</f>
        <v>0</v>
      </c>
      <c r="W365" s="29">
        <f>SUM(BaseHoras[[#This Row],[Out/2019]:[Dez/2019]])</f>
        <v>0</v>
      </c>
    </row>
    <row r="366" spans="1:23">
      <c r="A366" t="s">
        <v>151</v>
      </c>
      <c r="B366" t="s">
        <v>168</v>
      </c>
      <c r="C366" t="s">
        <v>287</v>
      </c>
      <c r="D366" t="s">
        <v>101</v>
      </c>
      <c r="E366" t="s">
        <v>192</v>
      </c>
      <c r="F366">
        <v>246.36943289286125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s="28">
        <v>0</v>
      </c>
      <c r="N366" s="28">
        <v>0</v>
      </c>
      <c r="O366">
        <v>0</v>
      </c>
      <c r="P366">
        <v>0</v>
      </c>
      <c r="Q366">
        <v>0</v>
      </c>
      <c r="R366">
        <v>0</v>
      </c>
      <c r="S366" s="28">
        <v>246.36943289286125</v>
      </c>
      <c r="T366" s="29">
        <f>SUM(BaseHoras[[#This Row],[Jan/2019]:[Mar/2019]])</f>
        <v>246.36943289286125</v>
      </c>
      <c r="U366" s="29">
        <f>SUM(BaseHoras[[#This Row],[Abr/2019]:[Jun/2019]])</f>
        <v>0</v>
      </c>
      <c r="V366" s="29">
        <f>SUM(BaseHoras[[#This Row],[Jul/2019]:[Set/2019]])</f>
        <v>0</v>
      </c>
      <c r="W366" s="29">
        <f>SUM(BaseHoras[[#This Row],[Out/2019]:[Dez/2019]])</f>
        <v>0</v>
      </c>
    </row>
    <row r="367" spans="1:23">
      <c r="A367" t="s">
        <v>151</v>
      </c>
      <c r="B367" t="s">
        <v>168</v>
      </c>
      <c r="C367" t="s">
        <v>287</v>
      </c>
      <c r="D367" t="s">
        <v>138</v>
      </c>
      <c r="E367" t="s">
        <v>192</v>
      </c>
      <c r="F367">
        <v>65.15184061516446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s="28">
        <v>0</v>
      </c>
      <c r="N367" s="28">
        <v>0</v>
      </c>
      <c r="O367">
        <v>0</v>
      </c>
      <c r="P367">
        <v>0</v>
      </c>
      <c r="Q367">
        <v>0</v>
      </c>
      <c r="R367">
        <v>0</v>
      </c>
      <c r="S367" s="28">
        <v>65.15184061516446</v>
      </c>
      <c r="T367" s="29">
        <f>SUM(BaseHoras[[#This Row],[Jan/2019]:[Mar/2019]])</f>
        <v>65.15184061516446</v>
      </c>
      <c r="U367" s="29">
        <f>SUM(BaseHoras[[#This Row],[Abr/2019]:[Jun/2019]])</f>
        <v>0</v>
      </c>
      <c r="V367" s="29">
        <f>SUM(BaseHoras[[#This Row],[Jul/2019]:[Set/2019]])</f>
        <v>0</v>
      </c>
      <c r="W367" s="29">
        <f>SUM(BaseHoras[[#This Row],[Out/2019]:[Dez/2019]])</f>
        <v>0</v>
      </c>
    </row>
    <row r="368" spans="1:23">
      <c r="A368" t="s">
        <v>151</v>
      </c>
      <c r="B368" t="s">
        <v>168</v>
      </c>
      <c r="C368" t="s">
        <v>288</v>
      </c>
      <c r="D368" t="s">
        <v>19</v>
      </c>
      <c r="E368" t="s">
        <v>192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20.148154549974748</v>
      </c>
      <c r="L368">
        <v>0</v>
      </c>
      <c r="M368" s="28">
        <v>0</v>
      </c>
      <c r="N368" s="28">
        <v>0</v>
      </c>
      <c r="O368">
        <v>0</v>
      </c>
      <c r="P368">
        <v>0</v>
      </c>
      <c r="Q368">
        <v>0</v>
      </c>
      <c r="R368">
        <v>0</v>
      </c>
      <c r="S368" s="28">
        <v>20.148154549974748</v>
      </c>
      <c r="T368" s="29">
        <f>SUM(BaseHoras[[#This Row],[Jan/2019]:[Mar/2019]])</f>
        <v>0</v>
      </c>
      <c r="U368" s="29">
        <f>SUM(BaseHoras[[#This Row],[Abr/2019]:[Jun/2019]])</f>
        <v>20.148154549974748</v>
      </c>
      <c r="V368" s="29">
        <f>SUM(BaseHoras[[#This Row],[Jul/2019]:[Set/2019]])</f>
        <v>0</v>
      </c>
      <c r="W368" s="29">
        <f>SUM(BaseHoras[[#This Row],[Out/2019]:[Dez/2019]])</f>
        <v>0</v>
      </c>
    </row>
    <row r="369" spans="1:23">
      <c r="A369" t="s">
        <v>151</v>
      </c>
      <c r="B369" t="s">
        <v>168</v>
      </c>
      <c r="C369" t="s">
        <v>288</v>
      </c>
      <c r="D369" t="s">
        <v>30</v>
      </c>
      <c r="E369" t="s">
        <v>192</v>
      </c>
      <c r="F369">
        <v>0</v>
      </c>
      <c r="G369">
        <v>0</v>
      </c>
      <c r="H369">
        <v>29.314282143088924</v>
      </c>
      <c r="I369">
        <v>0</v>
      </c>
      <c r="J369">
        <v>0</v>
      </c>
      <c r="K369">
        <v>0</v>
      </c>
      <c r="L369">
        <v>0</v>
      </c>
      <c r="M369" s="28">
        <v>0</v>
      </c>
      <c r="N369" s="28">
        <v>0</v>
      </c>
      <c r="O369">
        <v>0</v>
      </c>
      <c r="P369">
        <v>0</v>
      </c>
      <c r="Q369">
        <v>0</v>
      </c>
      <c r="R369">
        <v>0</v>
      </c>
      <c r="S369" s="28">
        <v>29.314282143088924</v>
      </c>
      <c r="T369" s="29">
        <f>SUM(BaseHoras[[#This Row],[Jan/2019]:[Mar/2019]])</f>
        <v>29.314282143088924</v>
      </c>
      <c r="U369" s="29">
        <f>SUM(BaseHoras[[#This Row],[Abr/2019]:[Jun/2019]])</f>
        <v>0</v>
      </c>
      <c r="V369" s="29">
        <f>SUM(BaseHoras[[#This Row],[Jul/2019]:[Set/2019]])</f>
        <v>0</v>
      </c>
      <c r="W369" s="29">
        <f>SUM(BaseHoras[[#This Row],[Out/2019]:[Dez/2019]])</f>
        <v>0</v>
      </c>
    </row>
    <row r="370" spans="1:23">
      <c r="A370" t="s">
        <v>151</v>
      </c>
      <c r="B370" t="s">
        <v>168</v>
      </c>
      <c r="C370" t="s">
        <v>288</v>
      </c>
      <c r="D370" t="s">
        <v>101</v>
      </c>
      <c r="E370" t="s">
        <v>192</v>
      </c>
      <c r="F370">
        <v>0</v>
      </c>
      <c r="G370">
        <v>12.280701427863296</v>
      </c>
      <c r="H370">
        <v>0</v>
      </c>
      <c r="I370">
        <v>0</v>
      </c>
      <c r="J370">
        <v>0</v>
      </c>
      <c r="K370">
        <v>0</v>
      </c>
      <c r="L370">
        <v>0</v>
      </c>
      <c r="M370" s="28">
        <v>0</v>
      </c>
      <c r="N370" s="28">
        <v>0</v>
      </c>
      <c r="O370">
        <v>0</v>
      </c>
      <c r="P370">
        <v>166.36140983614351</v>
      </c>
      <c r="Q370">
        <v>0</v>
      </c>
      <c r="R370">
        <v>0</v>
      </c>
      <c r="S370" s="28">
        <v>178.64211126400681</v>
      </c>
      <c r="T370" s="29">
        <f>SUM(BaseHoras[[#This Row],[Jan/2019]:[Mar/2019]])</f>
        <v>12.280701427863296</v>
      </c>
      <c r="U370" s="29">
        <f>SUM(BaseHoras[[#This Row],[Abr/2019]:[Jun/2019]])</f>
        <v>0</v>
      </c>
      <c r="V370" s="29">
        <f>SUM(BaseHoras[[#This Row],[Jul/2019]:[Set/2019]])</f>
        <v>0</v>
      </c>
      <c r="W370" s="29">
        <f>SUM(BaseHoras[[#This Row],[Out/2019]:[Dez/2019]])</f>
        <v>166.36140983614351</v>
      </c>
    </row>
    <row r="371" spans="1:23">
      <c r="A371" t="s">
        <v>151</v>
      </c>
      <c r="B371" t="s">
        <v>168</v>
      </c>
      <c r="C371" t="s">
        <v>288</v>
      </c>
      <c r="D371" t="s">
        <v>110</v>
      </c>
      <c r="E371" t="s">
        <v>192</v>
      </c>
      <c r="F371">
        <v>0</v>
      </c>
      <c r="G371">
        <v>91.783226485065924</v>
      </c>
      <c r="H371">
        <v>27.837036407646785</v>
      </c>
      <c r="I371">
        <v>0</v>
      </c>
      <c r="J371">
        <v>0</v>
      </c>
      <c r="K371">
        <v>0</v>
      </c>
      <c r="L371">
        <v>0</v>
      </c>
      <c r="M371" s="28">
        <v>0</v>
      </c>
      <c r="N371" s="28">
        <v>0</v>
      </c>
      <c r="O371">
        <v>0</v>
      </c>
      <c r="P371">
        <v>0</v>
      </c>
      <c r="Q371">
        <v>0</v>
      </c>
      <c r="R371">
        <v>0</v>
      </c>
      <c r="S371" s="28">
        <v>119.6202628927127</v>
      </c>
      <c r="T371" s="29">
        <f>SUM(BaseHoras[[#This Row],[Jan/2019]:[Mar/2019]])</f>
        <v>119.6202628927127</v>
      </c>
      <c r="U371" s="29">
        <f>SUM(BaseHoras[[#This Row],[Abr/2019]:[Jun/2019]])</f>
        <v>0</v>
      </c>
      <c r="V371" s="29">
        <f>SUM(BaseHoras[[#This Row],[Jul/2019]:[Set/2019]])</f>
        <v>0</v>
      </c>
      <c r="W371" s="29">
        <f>SUM(BaseHoras[[#This Row],[Out/2019]:[Dez/2019]])</f>
        <v>0</v>
      </c>
    </row>
    <row r="372" spans="1:23">
      <c r="A372" t="s">
        <v>151</v>
      </c>
      <c r="B372" t="s">
        <v>168</v>
      </c>
      <c r="C372" t="s">
        <v>288</v>
      </c>
      <c r="D372" t="s">
        <v>114</v>
      </c>
      <c r="E372" t="s">
        <v>192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s="28">
        <v>0</v>
      </c>
      <c r="N372" s="28">
        <v>0</v>
      </c>
      <c r="O372">
        <v>0</v>
      </c>
      <c r="P372">
        <v>76.015812339210726</v>
      </c>
      <c r="Q372">
        <v>0</v>
      </c>
      <c r="R372">
        <v>0</v>
      </c>
      <c r="S372" s="28">
        <v>76.015812339210726</v>
      </c>
      <c r="T372" s="29">
        <f>SUM(BaseHoras[[#This Row],[Jan/2019]:[Mar/2019]])</f>
        <v>0</v>
      </c>
      <c r="U372" s="29">
        <f>SUM(BaseHoras[[#This Row],[Abr/2019]:[Jun/2019]])</f>
        <v>0</v>
      </c>
      <c r="V372" s="29">
        <f>SUM(BaseHoras[[#This Row],[Jul/2019]:[Set/2019]])</f>
        <v>0</v>
      </c>
      <c r="W372" s="29">
        <f>SUM(BaseHoras[[#This Row],[Out/2019]:[Dez/2019]])</f>
        <v>76.015812339210726</v>
      </c>
    </row>
    <row r="373" spans="1:23">
      <c r="A373" t="s">
        <v>151</v>
      </c>
      <c r="B373" t="s">
        <v>168</v>
      </c>
      <c r="C373" t="s">
        <v>289</v>
      </c>
      <c r="D373" t="s">
        <v>19</v>
      </c>
      <c r="E373" t="s">
        <v>192</v>
      </c>
      <c r="F373">
        <v>0</v>
      </c>
      <c r="G373">
        <v>0</v>
      </c>
      <c r="H373">
        <v>0</v>
      </c>
      <c r="I373">
        <v>21.375523673094857</v>
      </c>
      <c r="J373">
        <v>27.342857190984795</v>
      </c>
      <c r="K373">
        <v>741.60587733724992</v>
      </c>
      <c r="L373">
        <v>0</v>
      </c>
      <c r="M373" s="28">
        <v>0</v>
      </c>
      <c r="N373" s="28">
        <v>0</v>
      </c>
      <c r="O373">
        <v>0</v>
      </c>
      <c r="P373">
        <v>0</v>
      </c>
      <c r="Q373">
        <v>0</v>
      </c>
      <c r="R373">
        <v>0</v>
      </c>
      <c r="S373" s="28">
        <v>790.3242582013296</v>
      </c>
      <c r="T373" s="29">
        <f>SUM(BaseHoras[[#This Row],[Jan/2019]:[Mar/2019]])</f>
        <v>0</v>
      </c>
      <c r="U373" s="29">
        <f>SUM(BaseHoras[[#This Row],[Abr/2019]:[Jun/2019]])</f>
        <v>790.3242582013296</v>
      </c>
      <c r="V373" s="29">
        <f>SUM(BaseHoras[[#This Row],[Jul/2019]:[Set/2019]])</f>
        <v>0</v>
      </c>
      <c r="W373" s="29">
        <f>SUM(BaseHoras[[#This Row],[Out/2019]:[Dez/2019]])</f>
        <v>0</v>
      </c>
    </row>
    <row r="374" spans="1:23">
      <c r="A374" t="s">
        <v>151</v>
      </c>
      <c r="B374" t="s">
        <v>168</v>
      </c>
      <c r="C374" t="s">
        <v>289</v>
      </c>
      <c r="D374" t="s">
        <v>21</v>
      </c>
      <c r="E374" t="s">
        <v>192</v>
      </c>
      <c r="F374">
        <v>45.539021470487548</v>
      </c>
      <c r="G374">
        <v>8.3530081610016751</v>
      </c>
      <c r="H374">
        <v>0</v>
      </c>
      <c r="I374">
        <v>0</v>
      </c>
      <c r="J374">
        <v>0</v>
      </c>
      <c r="K374">
        <v>0</v>
      </c>
      <c r="L374">
        <v>0</v>
      </c>
      <c r="M374" s="28">
        <v>0</v>
      </c>
      <c r="N374" s="28">
        <v>0</v>
      </c>
      <c r="O374">
        <v>0</v>
      </c>
      <c r="P374">
        <v>0</v>
      </c>
      <c r="Q374">
        <v>0</v>
      </c>
      <c r="R374">
        <v>0</v>
      </c>
      <c r="S374" s="28">
        <v>53.892029631489223</v>
      </c>
      <c r="T374" s="29">
        <f>SUM(BaseHoras[[#This Row],[Jan/2019]:[Mar/2019]])</f>
        <v>53.892029631489223</v>
      </c>
      <c r="U374" s="29">
        <f>SUM(BaseHoras[[#This Row],[Abr/2019]:[Jun/2019]])</f>
        <v>0</v>
      </c>
      <c r="V374" s="29">
        <f>SUM(BaseHoras[[#This Row],[Jul/2019]:[Set/2019]])</f>
        <v>0</v>
      </c>
      <c r="W374" s="29">
        <f>SUM(BaseHoras[[#This Row],[Out/2019]:[Dez/2019]])</f>
        <v>0</v>
      </c>
    </row>
    <row r="375" spans="1:23">
      <c r="A375" t="s">
        <v>151</v>
      </c>
      <c r="B375" t="s">
        <v>168</v>
      </c>
      <c r="C375" t="s">
        <v>289</v>
      </c>
      <c r="D375" t="s">
        <v>25</v>
      </c>
      <c r="E375" t="s">
        <v>192</v>
      </c>
      <c r="F375">
        <v>0</v>
      </c>
      <c r="G375">
        <v>0</v>
      </c>
      <c r="H375">
        <v>0</v>
      </c>
      <c r="I375">
        <v>5683.9308004287059</v>
      </c>
      <c r="J375" t="s">
        <v>395</v>
      </c>
      <c r="K375">
        <v>0</v>
      </c>
      <c r="L375">
        <v>0</v>
      </c>
      <c r="M375" s="28">
        <v>0</v>
      </c>
      <c r="N375" s="28">
        <v>0</v>
      </c>
      <c r="O375">
        <v>0</v>
      </c>
      <c r="P375">
        <v>0</v>
      </c>
      <c r="Q375">
        <v>0</v>
      </c>
      <c r="R375">
        <v>0</v>
      </c>
      <c r="S375" s="28">
        <v>5683.9308004287059</v>
      </c>
      <c r="T375" s="29">
        <f>SUM(BaseHoras[[#This Row],[Jan/2019]:[Mar/2019]])</f>
        <v>0</v>
      </c>
      <c r="U375" s="29">
        <f>SUM(BaseHoras[[#This Row],[Abr/2019]:[Jun/2019]])</f>
        <v>5683.9308004287059</v>
      </c>
      <c r="V375" s="29">
        <f>SUM(BaseHoras[[#This Row],[Jul/2019]:[Set/2019]])</f>
        <v>0</v>
      </c>
      <c r="W375" s="29">
        <f>SUM(BaseHoras[[#This Row],[Out/2019]:[Dez/2019]])</f>
        <v>0</v>
      </c>
    </row>
    <row r="376" spans="1:23">
      <c r="A376" t="s">
        <v>151</v>
      </c>
      <c r="B376" t="s">
        <v>168</v>
      </c>
      <c r="C376" t="s">
        <v>289</v>
      </c>
      <c r="D376" t="s">
        <v>29</v>
      </c>
      <c r="E376" t="s">
        <v>192</v>
      </c>
      <c r="F376">
        <v>0</v>
      </c>
      <c r="G376">
        <v>26.857667528625353</v>
      </c>
      <c r="H376">
        <v>27.59337815270111</v>
      </c>
      <c r="I376">
        <v>0</v>
      </c>
      <c r="J376">
        <v>31.853992304009072</v>
      </c>
      <c r="K376">
        <v>0</v>
      </c>
      <c r="L376">
        <v>0</v>
      </c>
      <c r="M376" s="28">
        <v>0</v>
      </c>
      <c r="N376" s="28">
        <v>0</v>
      </c>
      <c r="O376">
        <v>0</v>
      </c>
      <c r="P376">
        <v>0</v>
      </c>
      <c r="Q376">
        <v>0</v>
      </c>
      <c r="R376">
        <v>0</v>
      </c>
      <c r="S376" s="28">
        <v>86.305037985335531</v>
      </c>
      <c r="T376" s="29">
        <f>SUM(BaseHoras[[#This Row],[Jan/2019]:[Mar/2019]])</f>
        <v>54.451045681326462</v>
      </c>
      <c r="U376" s="29">
        <f>SUM(BaseHoras[[#This Row],[Abr/2019]:[Jun/2019]])</f>
        <v>31.853992304009072</v>
      </c>
      <c r="V376" s="29">
        <f>SUM(BaseHoras[[#This Row],[Jul/2019]:[Set/2019]])</f>
        <v>0</v>
      </c>
      <c r="W376" s="29">
        <f>SUM(BaseHoras[[#This Row],[Out/2019]:[Dez/2019]])</f>
        <v>0</v>
      </c>
    </row>
    <row r="377" spans="1:23">
      <c r="A377" t="s">
        <v>151</v>
      </c>
      <c r="B377" t="s">
        <v>168</v>
      </c>
      <c r="C377" t="s">
        <v>289</v>
      </c>
      <c r="D377" t="s">
        <v>30</v>
      </c>
      <c r="E377" t="s">
        <v>192</v>
      </c>
      <c r="F377">
        <v>58.853177600453208</v>
      </c>
      <c r="G377">
        <v>1265.1556391706881</v>
      </c>
      <c r="H377">
        <v>69.931826158971973</v>
      </c>
      <c r="I377">
        <v>934.3601203340238</v>
      </c>
      <c r="J377">
        <v>52.294257612821063</v>
      </c>
      <c r="K377">
        <v>0</v>
      </c>
      <c r="L377">
        <v>0</v>
      </c>
      <c r="M377" s="28">
        <v>0</v>
      </c>
      <c r="N377" s="28">
        <v>0</v>
      </c>
      <c r="O377">
        <v>0</v>
      </c>
      <c r="P377">
        <v>0</v>
      </c>
      <c r="Q377">
        <v>0</v>
      </c>
      <c r="R377">
        <v>0</v>
      </c>
      <c r="S377" s="28">
        <v>2380.5950208769582</v>
      </c>
      <c r="T377" s="29">
        <f>SUM(BaseHoras[[#This Row],[Jan/2019]:[Mar/2019]])</f>
        <v>1393.9406429301132</v>
      </c>
      <c r="U377" s="29">
        <f>SUM(BaseHoras[[#This Row],[Abr/2019]:[Jun/2019]])</f>
        <v>986.65437794684487</v>
      </c>
      <c r="V377" s="29">
        <f>SUM(BaseHoras[[#This Row],[Jul/2019]:[Set/2019]])</f>
        <v>0</v>
      </c>
      <c r="W377" s="29">
        <f>SUM(BaseHoras[[#This Row],[Out/2019]:[Dez/2019]])</f>
        <v>0</v>
      </c>
    </row>
    <row r="378" spans="1:23">
      <c r="A378" t="s">
        <v>151</v>
      </c>
      <c r="B378" t="s">
        <v>168</v>
      </c>
      <c r="C378" t="s">
        <v>289</v>
      </c>
      <c r="D378" t="s">
        <v>32</v>
      </c>
      <c r="E378" t="s">
        <v>192</v>
      </c>
      <c r="F378">
        <v>0</v>
      </c>
      <c r="G378">
        <v>0</v>
      </c>
      <c r="H378">
        <v>15.034985827539892</v>
      </c>
      <c r="I378">
        <v>0</v>
      </c>
      <c r="J378">
        <v>0</v>
      </c>
      <c r="K378">
        <v>0</v>
      </c>
      <c r="L378">
        <v>0</v>
      </c>
      <c r="M378" s="28">
        <v>0</v>
      </c>
      <c r="N378" s="28">
        <v>0</v>
      </c>
      <c r="O378">
        <v>0</v>
      </c>
      <c r="P378">
        <v>0</v>
      </c>
      <c r="Q378">
        <v>0</v>
      </c>
      <c r="R378">
        <v>0</v>
      </c>
      <c r="S378" s="28">
        <v>15.034985827539892</v>
      </c>
      <c r="T378" s="29">
        <f>SUM(BaseHoras[[#This Row],[Jan/2019]:[Mar/2019]])</f>
        <v>15.034985827539892</v>
      </c>
      <c r="U378" s="29">
        <f>SUM(BaseHoras[[#This Row],[Abr/2019]:[Jun/2019]])</f>
        <v>0</v>
      </c>
      <c r="V378" s="29">
        <f>SUM(BaseHoras[[#This Row],[Jul/2019]:[Set/2019]])</f>
        <v>0</v>
      </c>
      <c r="W378" s="29">
        <f>SUM(BaseHoras[[#This Row],[Out/2019]:[Dez/2019]])</f>
        <v>0</v>
      </c>
    </row>
    <row r="379" spans="1:23">
      <c r="A379" t="s">
        <v>151</v>
      </c>
      <c r="B379" t="s">
        <v>168</v>
      </c>
      <c r="C379" t="s">
        <v>289</v>
      </c>
      <c r="D379" t="s">
        <v>35</v>
      </c>
      <c r="E379" t="s">
        <v>192</v>
      </c>
      <c r="F379">
        <v>48.398906692060713</v>
      </c>
      <c r="G379">
        <v>70.200841384499597</v>
      </c>
      <c r="H379">
        <v>0</v>
      </c>
      <c r="I379">
        <v>0</v>
      </c>
      <c r="J379">
        <v>14.18134429237093</v>
      </c>
      <c r="K379">
        <v>0</v>
      </c>
      <c r="L379">
        <v>36.248025623369898</v>
      </c>
      <c r="M379" s="28">
        <v>0</v>
      </c>
      <c r="N379" s="28">
        <v>0</v>
      </c>
      <c r="O379">
        <v>0</v>
      </c>
      <c r="P379">
        <v>0</v>
      </c>
      <c r="Q379">
        <v>0</v>
      </c>
      <c r="R379">
        <v>0</v>
      </c>
      <c r="S379" s="28">
        <v>169.02911799230114</v>
      </c>
      <c r="T379" s="29">
        <f>SUM(BaseHoras[[#This Row],[Jan/2019]:[Mar/2019]])</f>
        <v>118.5997480765603</v>
      </c>
      <c r="U379" s="29">
        <f>SUM(BaseHoras[[#This Row],[Abr/2019]:[Jun/2019]])</f>
        <v>14.18134429237093</v>
      </c>
      <c r="V379" s="29">
        <f>SUM(BaseHoras[[#This Row],[Jul/2019]:[Set/2019]])</f>
        <v>36.248025623369898</v>
      </c>
      <c r="W379" s="29">
        <f>SUM(BaseHoras[[#This Row],[Out/2019]:[Dez/2019]])</f>
        <v>0</v>
      </c>
    </row>
    <row r="380" spans="1:23">
      <c r="A380" t="s">
        <v>151</v>
      </c>
      <c r="B380" t="s">
        <v>168</v>
      </c>
      <c r="C380" t="s">
        <v>289</v>
      </c>
      <c r="D380" t="s">
        <v>40</v>
      </c>
      <c r="E380" t="s">
        <v>192</v>
      </c>
      <c r="F380">
        <v>0</v>
      </c>
      <c r="G380">
        <v>0</v>
      </c>
      <c r="H380">
        <v>0</v>
      </c>
      <c r="I380">
        <v>0</v>
      </c>
      <c r="J380">
        <v>45.926357365490446</v>
      </c>
      <c r="K380">
        <v>0</v>
      </c>
      <c r="L380">
        <v>0</v>
      </c>
      <c r="M380" s="28">
        <v>0</v>
      </c>
      <c r="N380" s="28">
        <v>0</v>
      </c>
      <c r="O380">
        <v>0</v>
      </c>
      <c r="P380">
        <v>0</v>
      </c>
      <c r="Q380">
        <v>0</v>
      </c>
      <c r="R380">
        <v>0</v>
      </c>
      <c r="S380" s="28">
        <v>45.926357365490446</v>
      </c>
      <c r="T380" s="29">
        <f>SUM(BaseHoras[[#This Row],[Jan/2019]:[Mar/2019]])</f>
        <v>0</v>
      </c>
      <c r="U380" s="29">
        <f>SUM(BaseHoras[[#This Row],[Abr/2019]:[Jun/2019]])</f>
        <v>45.926357365490446</v>
      </c>
      <c r="V380" s="29">
        <f>SUM(BaseHoras[[#This Row],[Jul/2019]:[Set/2019]])</f>
        <v>0</v>
      </c>
      <c r="W380" s="29">
        <f>SUM(BaseHoras[[#This Row],[Out/2019]:[Dez/2019]])</f>
        <v>0</v>
      </c>
    </row>
    <row r="381" spans="1:23">
      <c r="A381" t="s">
        <v>151</v>
      </c>
      <c r="B381" t="s">
        <v>168</v>
      </c>
      <c r="C381" t="s">
        <v>289</v>
      </c>
      <c r="D381" t="s">
        <v>45</v>
      </c>
      <c r="E381" t="s">
        <v>192</v>
      </c>
      <c r="F381">
        <v>0</v>
      </c>
      <c r="G381">
        <v>0</v>
      </c>
      <c r="H381">
        <v>0</v>
      </c>
      <c r="I381">
        <v>0</v>
      </c>
      <c r="J381">
        <v>24.430124285416856</v>
      </c>
      <c r="K381">
        <v>0</v>
      </c>
      <c r="L381">
        <v>0</v>
      </c>
      <c r="M381" s="28">
        <v>0</v>
      </c>
      <c r="N381" s="28">
        <v>0</v>
      </c>
      <c r="O381">
        <v>0</v>
      </c>
      <c r="P381">
        <v>0</v>
      </c>
      <c r="Q381">
        <v>0</v>
      </c>
      <c r="R381">
        <v>0</v>
      </c>
      <c r="S381" s="28">
        <v>24.430124285416856</v>
      </c>
      <c r="T381" s="29">
        <f>SUM(BaseHoras[[#This Row],[Jan/2019]:[Mar/2019]])</f>
        <v>0</v>
      </c>
      <c r="U381" s="29">
        <f>SUM(BaseHoras[[#This Row],[Abr/2019]:[Jun/2019]])</f>
        <v>24.430124285416856</v>
      </c>
      <c r="V381" s="29">
        <f>SUM(BaseHoras[[#This Row],[Jul/2019]:[Set/2019]])</f>
        <v>0</v>
      </c>
      <c r="W381" s="29">
        <f>SUM(BaseHoras[[#This Row],[Out/2019]:[Dez/2019]])</f>
        <v>0</v>
      </c>
    </row>
    <row r="382" spans="1:23">
      <c r="A382" t="s">
        <v>151</v>
      </c>
      <c r="B382" t="s">
        <v>168</v>
      </c>
      <c r="C382" t="s">
        <v>289</v>
      </c>
      <c r="D382" t="s">
        <v>49</v>
      </c>
      <c r="E382" t="s">
        <v>192</v>
      </c>
      <c r="F382">
        <v>17.881778193296835</v>
      </c>
      <c r="G382">
        <v>47.212398597963279</v>
      </c>
      <c r="H382">
        <v>0</v>
      </c>
      <c r="I382">
        <v>19.382725079464162</v>
      </c>
      <c r="J382">
        <v>0</v>
      </c>
      <c r="K382">
        <v>0</v>
      </c>
      <c r="L382">
        <v>0</v>
      </c>
      <c r="M382" s="28">
        <v>0</v>
      </c>
      <c r="N382" s="28">
        <v>0</v>
      </c>
      <c r="O382">
        <v>0</v>
      </c>
      <c r="P382">
        <v>0</v>
      </c>
      <c r="Q382">
        <v>0</v>
      </c>
      <c r="R382">
        <v>0</v>
      </c>
      <c r="S382" s="28">
        <v>84.476901870724276</v>
      </c>
      <c r="T382" s="29">
        <f>SUM(BaseHoras[[#This Row],[Jan/2019]:[Mar/2019]])</f>
        <v>65.094176791260111</v>
      </c>
      <c r="U382" s="29">
        <f>SUM(BaseHoras[[#This Row],[Abr/2019]:[Jun/2019]])</f>
        <v>19.382725079464162</v>
      </c>
      <c r="V382" s="29">
        <f>SUM(BaseHoras[[#This Row],[Jul/2019]:[Set/2019]])</f>
        <v>0</v>
      </c>
      <c r="W382" s="29">
        <f>SUM(BaseHoras[[#This Row],[Out/2019]:[Dez/2019]])</f>
        <v>0</v>
      </c>
    </row>
    <row r="383" spans="1:23">
      <c r="A383" t="s">
        <v>151</v>
      </c>
      <c r="B383" t="s">
        <v>168</v>
      </c>
      <c r="C383" t="s">
        <v>289</v>
      </c>
      <c r="D383" t="s">
        <v>74</v>
      </c>
      <c r="E383" t="s">
        <v>192</v>
      </c>
      <c r="F383">
        <v>1848.3421661685595</v>
      </c>
      <c r="G383">
        <v>64.601578492218124</v>
      </c>
      <c r="H383">
        <v>105.89923668081975</v>
      </c>
      <c r="I383">
        <v>0</v>
      </c>
      <c r="J383">
        <v>0</v>
      </c>
      <c r="K383">
        <v>0</v>
      </c>
      <c r="L383">
        <v>0</v>
      </c>
      <c r="M383" s="28">
        <v>0</v>
      </c>
      <c r="N383" s="28">
        <v>0</v>
      </c>
      <c r="O383">
        <v>0</v>
      </c>
      <c r="P383">
        <v>0</v>
      </c>
      <c r="Q383">
        <v>0</v>
      </c>
      <c r="R383">
        <v>0</v>
      </c>
      <c r="S383" s="28">
        <v>2018.8429813415974</v>
      </c>
      <c r="T383" s="29">
        <f>SUM(BaseHoras[[#This Row],[Jan/2019]:[Mar/2019]])</f>
        <v>2018.8429813415974</v>
      </c>
      <c r="U383" s="29">
        <f>SUM(BaseHoras[[#This Row],[Abr/2019]:[Jun/2019]])</f>
        <v>0</v>
      </c>
      <c r="V383" s="29">
        <f>SUM(BaseHoras[[#This Row],[Jul/2019]:[Set/2019]])</f>
        <v>0</v>
      </c>
      <c r="W383" s="29">
        <f>SUM(BaseHoras[[#This Row],[Out/2019]:[Dez/2019]])</f>
        <v>0</v>
      </c>
    </row>
    <row r="384" spans="1:23">
      <c r="A384" t="s">
        <v>151</v>
      </c>
      <c r="B384" t="s">
        <v>168</v>
      </c>
      <c r="C384" t="s">
        <v>289</v>
      </c>
      <c r="D384" t="s">
        <v>81</v>
      </c>
      <c r="E384" t="s">
        <v>192</v>
      </c>
      <c r="F384">
        <v>0</v>
      </c>
      <c r="G384">
        <v>57.085070144462705</v>
      </c>
      <c r="H384">
        <v>239.36610214935726</v>
      </c>
      <c r="I384">
        <v>0</v>
      </c>
      <c r="J384">
        <v>0</v>
      </c>
      <c r="K384">
        <v>0</v>
      </c>
      <c r="L384">
        <v>0</v>
      </c>
      <c r="M384" s="28">
        <v>0</v>
      </c>
      <c r="N384" s="28">
        <v>0</v>
      </c>
      <c r="O384">
        <v>0</v>
      </c>
      <c r="P384">
        <v>0</v>
      </c>
      <c r="Q384">
        <v>0</v>
      </c>
      <c r="R384">
        <v>0</v>
      </c>
      <c r="S384" s="28">
        <v>296.45117229381998</v>
      </c>
      <c r="T384" s="29">
        <f>SUM(BaseHoras[[#This Row],[Jan/2019]:[Mar/2019]])</f>
        <v>296.45117229381998</v>
      </c>
      <c r="U384" s="29">
        <f>SUM(BaseHoras[[#This Row],[Abr/2019]:[Jun/2019]])</f>
        <v>0</v>
      </c>
      <c r="V384" s="29">
        <f>SUM(BaseHoras[[#This Row],[Jul/2019]:[Set/2019]])</f>
        <v>0</v>
      </c>
      <c r="W384" s="29">
        <f>SUM(BaseHoras[[#This Row],[Out/2019]:[Dez/2019]])</f>
        <v>0</v>
      </c>
    </row>
    <row r="385" spans="1:23">
      <c r="A385" t="s">
        <v>151</v>
      </c>
      <c r="B385" t="s">
        <v>168</v>
      </c>
      <c r="C385" t="s">
        <v>289</v>
      </c>
      <c r="D385" t="s">
        <v>82</v>
      </c>
      <c r="E385" t="s">
        <v>192</v>
      </c>
      <c r="F385">
        <v>0</v>
      </c>
      <c r="G385">
        <v>0</v>
      </c>
      <c r="H385">
        <v>0</v>
      </c>
      <c r="I385">
        <v>0</v>
      </c>
      <c r="J385">
        <v>139.81598477061706</v>
      </c>
      <c r="K385">
        <v>0</v>
      </c>
      <c r="L385">
        <v>0</v>
      </c>
      <c r="M385" s="28">
        <v>0</v>
      </c>
      <c r="N385" s="28">
        <v>0</v>
      </c>
      <c r="O385">
        <v>0</v>
      </c>
      <c r="P385">
        <v>0</v>
      </c>
      <c r="Q385">
        <v>0</v>
      </c>
      <c r="R385">
        <v>0</v>
      </c>
      <c r="S385" s="28">
        <v>139.81598477061706</v>
      </c>
      <c r="T385" s="29">
        <f>SUM(BaseHoras[[#This Row],[Jan/2019]:[Mar/2019]])</f>
        <v>0</v>
      </c>
      <c r="U385" s="29">
        <f>SUM(BaseHoras[[#This Row],[Abr/2019]:[Jun/2019]])</f>
        <v>139.81598477061706</v>
      </c>
      <c r="V385" s="29">
        <f>SUM(BaseHoras[[#This Row],[Jul/2019]:[Set/2019]])</f>
        <v>0</v>
      </c>
      <c r="W385" s="29">
        <f>SUM(BaseHoras[[#This Row],[Out/2019]:[Dez/2019]])</f>
        <v>0</v>
      </c>
    </row>
    <row r="386" spans="1:23">
      <c r="A386" t="s">
        <v>151</v>
      </c>
      <c r="B386" t="s">
        <v>168</v>
      </c>
      <c r="C386" t="s">
        <v>289</v>
      </c>
      <c r="D386" t="s">
        <v>87</v>
      </c>
      <c r="E386" t="s">
        <v>192</v>
      </c>
      <c r="F386">
        <v>0</v>
      </c>
      <c r="G386">
        <v>0</v>
      </c>
      <c r="H386">
        <v>0</v>
      </c>
      <c r="I386">
        <v>0</v>
      </c>
      <c r="J386">
        <v>6.1300534850488653</v>
      </c>
      <c r="K386">
        <v>0</v>
      </c>
      <c r="L386">
        <v>0</v>
      </c>
      <c r="M386" s="28">
        <v>0</v>
      </c>
      <c r="N386" s="28">
        <v>0</v>
      </c>
      <c r="O386">
        <v>0</v>
      </c>
      <c r="P386">
        <v>0</v>
      </c>
      <c r="Q386">
        <v>0</v>
      </c>
      <c r="R386">
        <v>0</v>
      </c>
      <c r="S386" s="28">
        <v>6.1300534850488653</v>
      </c>
      <c r="T386" s="29">
        <f>SUM(BaseHoras[[#This Row],[Jan/2019]:[Mar/2019]])</f>
        <v>0</v>
      </c>
      <c r="U386" s="29">
        <f>SUM(BaseHoras[[#This Row],[Abr/2019]:[Jun/2019]])</f>
        <v>6.1300534850488653</v>
      </c>
      <c r="V386" s="29">
        <f>SUM(BaseHoras[[#This Row],[Jul/2019]:[Set/2019]])</f>
        <v>0</v>
      </c>
      <c r="W386" s="29">
        <f>SUM(BaseHoras[[#This Row],[Out/2019]:[Dez/2019]])</f>
        <v>0</v>
      </c>
    </row>
    <row r="387" spans="1:23">
      <c r="A387" t="s">
        <v>151</v>
      </c>
      <c r="B387" t="s">
        <v>168</v>
      </c>
      <c r="C387" t="s">
        <v>289</v>
      </c>
      <c r="D387" t="s">
        <v>98</v>
      </c>
      <c r="E387" t="s">
        <v>192</v>
      </c>
      <c r="F387">
        <v>29.615901815126819</v>
      </c>
      <c r="G387">
        <v>1221.6194035699195</v>
      </c>
      <c r="H387">
        <v>0</v>
      </c>
      <c r="I387">
        <v>0</v>
      </c>
      <c r="J387">
        <v>275.92175237504529</v>
      </c>
      <c r="K387">
        <v>6.7191233695296289</v>
      </c>
      <c r="L387">
        <v>0</v>
      </c>
      <c r="M387" s="28">
        <v>0</v>
      </c>
      <c r="N387" s="28">
        <v>0</v>
      </c>
      <c r="O387">
        <v>0</v>
      </c>
      <c r="P387">
        <v>0</v>
      </c>
      <c r="Q387">
        <v>0</v>
      </c>
      <c r="R387">
        <v>0</v>
      </c>
      <c r="S387" s="28">
        <v>1533.8761811296213</v>
      </c>
      <c r="T387" s="29">
        <f>SUM(BaseHoras[[#This Row],[Jan/2019]:[Mar/2019]])</f>
        <v>1251.2353053850463</v>
      </c>
      <c r="U387" s="29">
        <f>SUM(BaseHoras[[#This Row],[Abr/2019]:[Jun/2019]])</f>
        <v>282.64087574457494</v>
      </c>
      <c r="V387" s="29">
        <f>SUM(BaseHoras[[#This Row],[Jul/2019]:[Set/2019]])</f>
        <v>0</v>
      </c>
      <c r="W387" s="29">
        <f>SUM(BaseHoras[[#This Row],[Out/2019]:[Dez/2019]])</f>
        <v>0</v>
      </c>
    </row>
    <row r="388" spans="1:23">
      <c r="A388" t="s">
        <v>151</v>
      </c>
      <c r="B388" t="s">
        <v>168</v>
      </c>
      <c r="C388" t="s">
        <v>289</v>
      </c>
      <c r="D388" t="s">
        <v>101</v>
      </c>
      <c r="E388" t="s">
        <v>192</v>
      </c>
      <c r="F388">
        <v>31.795041516764623</v>
      </c>
      <c r="G388">
        <v>0</v>
      </c>
      <c r="H388">
        <v>0</v>
      </c>
      <c r="I388">
        <v>98.730941491246512</v>
      </c>
      <c r="J388">
        <v>0</v>
      </c>
      <c r="K388">
        <v>0</v>
      </c>
      <c r="L388">
        <v>0</v>
      </c>
      <c r="M388" s="28">
        <v>0</v>
      </c>
      <c r="N388" s="28">
        <v>0</v>
      </c>
      <c r="O388">
        <v>0</v>
      </c>
      <c r="P388">
        <v>0</v>
      </c>
      <c r="Q388">
        <v>0</v>
      </c>
      <c r="R388">
        <v>0</v>
      </c>
      <c r="S388" s="28">
        <v>130.52598300801114</v>
      </c>
      <c r="T388" s="29">
        <f>SUM(BaseHoras[[#This Row],[Jan/2019]:[Mar/2019]])</f>
        <v>31.795041516764623</v>
      </c>
      <c r="U388" s="29">
        <f>SUM(BaseHoras[[#This Row],[Abr/2019]:[Jun/2019]])</f>
        <v>98.730941491246512</v>
      </c>
      <c r="V388" s="29">
        <f>SUM(BaseHoras[[#This Row],[Jul/2019]:[Set/2019]])</f>
        <v>0</v>
      </c>
      <c r="W388" s="29">
        <f>SUM(BaseHoras[[#This Row],[Out/2019]:[Dez/2019]])</f>
        <v>0</v>
      </c>
    </row>
    <row r="389" spans="1:23">
      <c r="A389" t="s">
        <v>151</v>
      </c>
      <c r="B389" t="s">
        <v>168</v>
      </c>
      <c r="C389" t="s">
        <v>289</v>
      </c>
      <c r="D389" t="s">
        <v>102</v>
      </c>
      <c r="E389" t="s">
        <v>192</v>
      </c>
      <c r="F389">
        <v>0</v>
      </c>
      <c r="G389">
        <v>0</v>
      </c>
      <c r="H389">
        <v>0</v>
      </c>
      <c r="I389">
        <v>3.5853580432612082</v>
      </c>
      <c r="J389">
        <v>0</v>
      </c>
      <c r="K389">
        <v>0</v>
      </c>
      <c r="L389">
        <v>0</v>
      </c>
      <c r="M389" s="28">
        <v>0</v>
      </c>
      <c r="N389" s="28">
        <v>0</v>
      </c>
      <c r="O389">
        <v>0</v>
      </c>
      <c r="P389">
        <v>0</v>
      </c>
      <c r="Q389">
        <v>0</v>
      </c>
      <c r="R389">
        <v>0</v>
      </c>
      <c r="S389" s="28">
        <v>3.5853580432612082</v>
      </c>
      <c r="T389" s="29">
        <f>SUM(BaseHoras[[#This Row],[Jan/2019]:[Mar/2019]])</f>
        <v>0</v>
      </c>
      <c r="U389" s="29">
        <f>SUM(BaseHoras[[#This Row],[Abr/2019]:[Jun/2019]])</f>
        <v>3.5853580432612082</v>
      </c>
      <c r="V389" s="29">
        <f>SUM(BaseHoras[[#This Row],[Jul/2019]:[Set/2019]])</f>
        <v>0</v>
      </c>
      <c r="W389" s="29">
        <f>SUM(BaseHoras[[#This Row],[Out/2019]:[Dez/2019]])</f>
        <v>0</v>
      </c>
    </row>
    <row r="390" spans="1:23">
      <c r="A390" t="s">
        <v>151</v>
      </c>
      <c r="B390" t="s">
        <v>168</v>
      </c>
      <c r="C390" t="s">
        <v>289</v>
      </c>
      <c r="D390" t="s">
        <v>105</v>
      </c>
      <c r="E390" t="s">
        <v>192</v>
      </c>
      <c r="F390">
        <v>0</v>
      </c>
      <c r="G390">
        <v>0</v>
      </c>
      <c r="H390">
        <v>145.11083802615758</v>
      </c>
      <c r="I390">
        <v>0</v>
      </c>
      <c r="J390">
        <v>0</v>
      </c>
      <c r="K390">
        <v>0</v>
      </c>
      <c r="L390">
        <v>0</v>
      </c>
      <c r="M390" s="28">
        <v>0</v>
      </c>
      <c r="N390" s="28">
        <v>0</v>
      </c>
      <c r="O390">
        <v>0</v>
      </c>
      <c r="P390">
        <v>0</v>
      </c>
      <c r="Q390">
        <v>0</v>
      </c>
      <c r="R390">
        <v>0</v>
      </c>
      <c r="S390" s="28">
        <v>145.11083802615758</v>
      </c>
      <c r="T390" s="29">
        <f>SUM(BaseHoras[[#This Row],[Jan/2019]:[Mar/2019]])</f>
        <v>145.11083802615758</v>
      </c>
      <c r="U390" s="29">
        <f>SUM(BaseHoras[[#This Row],[Abr/2019]:[Jun/2019]])</f>
        <v>0</v>
      </c>
      <c r="V390" s="29">
        <f>SUM(BaseHoras[[#This Row],[Jul/2019]:[Set/2019]])</f>
        <v>0</v>
      </c>
      <c r="W390" s="29">
        <f>SUM(BaseHoras[[#This Row],[Out/2019]:[Dez/2019]])</f>
        <v>0</v>
      </c>
    </row>
    <row r="391" spans="1:23">
      <c r="A391" t="s">
        <v>151</v>
      </c>
      <c r="B391" t="s">
        <v>168</v>
      </c>
      <c r="C391" t="s">
        <v>289</v>
      </c>
      <c r="D391" t="s">
        <v>106</v>
      </c>
      <c r="E391" t="s">
        <v>192</v>
      </c>
      <c r="F391">
        <v>0</v>
      </c>
      <c r="G391">
        <v>0</v>
      </c>
      <c r="H391">
        <v>124.79363690167241</v>
      </c>
      <c r="I391">
        <v>254.8406316150128</v>
      </c>
      <c r="J391">
        <v>0</v>
      </c>
      <c r="K391">
        <v>0</v>
      </c>
      <c r="L391">
        <v>0</v>
      </c>
      <c r="M391" s="28">
        <v>0</v>
      </c>
      <c r="N391" s="28">
        <v>0</v>
      </c>
      <c r="O391">
        <v>0</v>
      </c>
      <c r="P391">
        <v>0</v>
      </c>
      <c r="Q391">
        <v>0</v>
      </c>
      <c r="R391">
        <v>0</v>
      </c>
      <c r="S391" s="28">
        <v>379.63426851668521</v>
      </c>
      <c r="T391" s="29">
        <f>SUM(BaseHoras[[#This Row],[Jan/2019]:[Mar/2019]])</f>
        <v>124.79363690167241</v>
      </c>
      <c r="U391" s="29">
        <f>SUM(BaseHoras[[#This Row],[Abr/2019]:[Jun/2019]])</f>
        <v>254.8406316150128</v>
      </c>
      <c r="V391" s="29">
        <f>SUM(BaseHoras[[#This Row],[Jul/2019]:[Set/2019]])</f>
        <v>0</v>
      </c>
      <c r="W391" s="29">
        <f>SUM(BaseHoras[[#This Row],[Out/2019]:[Dez/2019]])</f>
        <v>0</v>
      </c>
    </row>
    <row r="392" spans="1:23">
      <c r="A392" t="s">
        <v>151</v>
      </c>
      <c r="B392" t="s">
        <v>168</v>
      </c>
      <c r="C392" t="s">
        <v>289</v>
      </c>
      <c r="D392" t="s">
        <v>107</v>
      </c>
      <c r="E392" t="s">
        <v>192</v>
      </c>
      <c r="F392">
        <v>346.34750881017658</v>
      </c>
      <c r="G392">
        <v>259.06429830802801</v>
      </c>
      <c r="H392">
        <v>0</v>
      </c>
      <c r="I392">
        <v>0</v>
      </c>
      <c r="J392">
        <v>0</v>
      </c>
      <c r="K392">
        <v>0</v>
      </c>
      <c r="L392">
        <v>0</v>
      </c>
      <c r="M392" s="28">
        <v>0</v>
      </c>
      <c r="N392" s="28">
        <v>0</v>
      </c>
      <c r="O392">
        <v>0</v>
      </c>
      <c r="P392">
        <v>0</v>
      </c>
      <c r="Q392">
        <v>0</v>
      </c>
      <c r="R392">
        <v>0</v>
      </c>
      <c r="S392" s="28">
        <v>605.41180711820459</v>
      </c>
      <c r="T392" s="29">
        <f>SUM(BaseHoras[[#This Row],[Jan/2019]:[Mar/2019]])</f>
        <v>605.41180711820459</v>
      </c>
      <c r="U392" s="29">
        <f>SUM(BaseHoras[[#This Row],[Abr/2019]:[Jun/2019]])</f>
        <v>0</v>
      </c>
      <c r="V392" s="29">
        <f>SUM(BaseHoras[[#This Row],[Jul/2019]:[Set/2019]])</f>
        <v>0</v>
      </c>
      <c r="W392" s="29">
        <f>SUM(BaseHoras[[#This Row],[Out/2019]:[Dez/2019]])</f>
        <v>0</v>
      </c>
    </row>
    <row r="393" spans="1:23">
      <c r="A393" t="s">
        <v>151</v>
      </c>
      <c r="B393" t="s">
        <v>168</v>
      </c>
      <c r="C393" t="s">
        <v>289</v>
      </c>
      <c r="D393" t="s">
        <v>109</v>
      </c>
      <c r="E393" t="s">
        <v>192</v>
      </c>
      <c r="F393">
        <v>0</v>
      </c>
      <c r="G393">
        <v>34.196280260330354</v>
      </c>
      <c r="H393">
        <v>500.29492033186403</v>
      </c>
      <c r="I393">
        <v>1433.2914101746658</v>
      </c>
      <c r="J393">
        <v>27.23822186311363</v>
      </c>
      <c r="K393">
        <v>0</v>
      </c>
      <c r="L393">
        <v>0</v>
      </c>
      <c r="M393" s="28">
        <v>0</v>
      </c>
      <c r="N393" s="28">
        <v>0</v>
      </c>
      <c r="O393">
        <v>0</v>
      </c>
      <c r="P393">
        <v>0</v>
      </c>
      <c r="Q393">
        <v>0</v>
      </c>
      <c r="R393">
        <v>0</v>
      </c>
      <c r="S393" s="28">
        <v>1995.0208326299739</v>
      </c>
      <c r="T393" s="29">
        <f>SUM(BaseHoras[[#This Row],[Jan/2019]:[Mar/2019]])</f>
        <v>534.49120059219445</v>
      </c>
      <c r="U393" s="29">
        <f>SUM(BaseHoras[[#This Row],[Abr/2019]:[Jun/2019]])</f>
        <v>1460.5296320377795</v>
      </c>
      <c r="V393" s="29">
        <f>SUM(BaseHoras[[#This Row],[Jul/2019]:[Set/2019]])</f>
        <v>0</v>
      </c>
      <c r="W393" s="29">
        <f>SUM(BaseHoras[[#This Row],[Out/2019]:[Dez/2019]])</f>
        <v>0</v>
      </c>
    </row>
    <row r="394" spans="1:23">
      <c r="A394" t="s">
        <v>151</v>
      </c>
      <c r="B394" t="s">
        <v>168</v>
      </c>
      <c r="C394" t="s">
        <v>289</v>
      </c>
      <c r="D394" t="s">
        <v>110</v>
      </c>
      <c r="E394" t="s">
        <v>192</v>
      </c>
      <c r="F394">
        <v>0</v>
      </c>
      <c r="G394">
        <v>0</v>
      </c>
      <c r="H394">
        <v>67.807281579427169</v>
      </c>
      <c r="I394">
        <v>9.2995631973101567</v>
      </c>
      <c r="J394">
        <v>0</v>
      </c>
      <c r="K394">
        <v>0</v>
      </c>
      <c r="L394">
        <v>0</v>
      </c>
      <c r="M394" s="28">
        <v>0</v>
      </c>
      <c r="N394" s="28">
        <v>0</v>
      </c>
      <c r="O394">
        <v>0</v>
      </c>
      <c r="P394">
        <v>0</v>
      </c>
      <c r="Q394">
        <v>0</v>
      </c>
      <c r="R394">
        <v>0</v>
      </c>
      <c r="S394" s="28">
        <v>77.106844776737319</v>
      </c>
      <c r="T394" s="29">
        <f>SUM(BaseHoras[[#This Row],[Jan/2019]:[Mar/2019]])</f>
        <v>67.807281579427169</v>
      </c>
      <c r="U394" s="29">
        <f>SUM(BaseHoras[[#This Row],[Abr/2019]:[Jun/2019]])</f>
        <v>9.2995631973101567</v>
      </c>
      <c r="V394" s="29">
        <f>SUM(BaseHoras[[#This Row],[Jul/2019]:[Set/2019]])</f>
        <v>0</v>
      </c>
      <c r="W394" s="29">
        <f>SUM(BaseHoras[[#This Row],[Out/2019]:[Dez/2019]])</f>
        <v>0</v>
      </c>
    </row>
    <row r="395" spans="1:23">
      <c r="A395" t="s">
        <v>151</v>
      </c>
      <c r="B395" t="s">
        <v>168</v>
      </c>
      <c r="C395" t="s">
        <v>289</v>
      </c>
      <c r="D395" t="s">
        <v>154</v>
      </c>
      <c r="E395" t="s">
        <v>192</v>
      </c>
      <c r="F395">
        <v>0</v>
      </c>
      <c r="G395">
        <v>0</v>
      </c>
      <c r="H395">
        <v>240.13132603403835</v>
      </c>
      <c r="I395">
        <v>0</v>
      </c>
      <c r="J395">
        <v>0</v>
      </c>
      <c r="K395">
        <v>0</v>
      </c>
      <c r="L395">
        <v>0</v>
      </c>
      <c r="M395" s="28">
        <v>0</v>
      </c>
      <c r="N395" s="28">
        <v>0</v>
      </c>
      <c r="O395">
        <v>0</v>
      </c>
      <c r="P395">
        <v>0</v>
      </c>
      <c r="Q395">
        <v>0</v>
      </c>
      <c r="R395">
        <v>0</v>
      </c>
      <c r="S395" s="28">
        <v>240.13132603403835</v>
      </c>
      <c r="T395" s="29">
        <f>SUM(BaseHoras[[#This Row],[Jan/2019]:[Mar/2019]])</f>
        <v>240.13132603403835</v>
      </c>
      <c r="U395" s="29">
        <f>SUM(BaseHoras[[#This Row],[Abr/2019]:[Jun/2019]])</f>
        <v>0</v>
      </c>
      <c r="V395" s="29">
        <f>SUM(BaseHoras[[#This Row],[Jul/2019]:[Set/2019]])</f>
        <v>0</v>
      </c>
      <c r="W395" s="29">
        <f>SUM(BaseHoras[[#This Row],[Out/2019]:[Dez/2019]])</f>
        <v>0</v>
      </c>
    </row>
    <row r="396" spans="1:23">
      <c r="A396" t="s">
        <v>151</v>
      </c>
      <c r="B396" t="s">
        <v>168</v>
      </c>
      <c r="C396" t="s">
        <v>289</v>
      </c>
      <c r="D396" t="s">
        <v>125</v>
      </c>
      <c r="E396" t="s">
        <v>192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4.8653238361699351</v>
      </c>
      <c r="L396">
        <v>0</v>
      </c>
      <c r="M396" s="28">
        <v>0</v>
      </c>
      <c r="N396" s="28">
        <v>0</v>
      </c>
      <c r="O396">
        <v>0</v>
      </c>
      <c r="P396">
        <v>0</v>
      </c>
      <c r="Q396">
        <v>0</v>
      </c>
      <c r="R396">
        <v>0</v>
      </c>
      <c r="S396" s="28">
        <v>4.8653238361699351</v>
      </c>
      <c r="T396" s="29">
        <f>SUM(BaseHoras[[#This Row],[Jan/2019]:[Mar/2019]])</f>
        <v>0</v>
      </c>
      <c r="U396" s="29">
        <f>SUM(BaseHoras[[#This Row],[Abr/2019]:[Jun/2019]])</f>
        <v>4.8653238361699351</v>
      </c>
      <c r="V396" s="29">
        <f>SUM(BaseHoras[[#This Row],[Jul/2019]:[Set/2019]])</f>
        <v>0</v>
      </c>
      <c r="W396" s="29">
        <f>SUM(BaseHoras[[#This Row],[Out/2019]:[Dez/2019]])</f>
        <v>0</v>
      </c>
    </row>
    <row r="397" spans="1:23">
      <c r="A397" t="s">
        <v>151</v>
      </c>
      <c r="B397" t="s">
        <v>168</v>
      </c>
      <c r="C397" t="s">
        <v>289</v>
      </c>
      <c r="D397" t="s">
        <v>128</v>
      </c>
      <c r="E397" t="s">
        <v>192</v>
      </c>
      <c r="F397">
        <v>0</v>
      </c>
      <c r="G397">
        <v>458.24098778338032</v>
      </c>
      <c r="H397">
        <v>0</v>
      </c>
      <c r="I397">
        <v>0</v>
      </c>
      <c r="J397">
        <v>0</v>
      </c>
      <c r="K397">
        <v>0</v>
      </c>
      <c r="L397">
        <v>0</v>
      </c>
      <c r="M397" s="28">
        <v>0</v>
      </c>
      <c r="N397" s="28">
        <v>0</v>
      </c>
      <c r="O397">
        <v>0</v>
      </c>
      <c r="P397">
        <v>0</v>
      </c>
      <c r="Q397">
        <v>0</v>
      </c>
      <c r="R397">
        <v>0</v>
      </c>
      <c r="S397" s="28">
        <v>458.24098778338032</v>
      </c>
      <c r="T397" s="29">
        <f>SUM(BaseHoras[[#This Row],[Jan/2019]:[Mar/2019]])</f>
        <v>458.24098778338032</v>
      </c>
      <c r="U397" s="29">
        <f>SUM(BaseHoras[[#This Row],[Abr/2019]:[Jun/2019]])</f>
        <v>0</v>
      </c>
      <c r="V397" s="29">
        <f>SUM(BaseHoras[[#This Row],[Jul/2019]:[Set/2019]])</f>
        <v>0</v>
      </c>
      <c r="W397" s="29">
        <f>SUM(BaseHoras[[#This Row],[Out/2019]:[Dez/2019]])</f>
        <v>0</v>
      </c>
    </row>
    <row r="398" spans="1:23">
      <c r="A398" t="s">
        <v>151</v>
      </c>
      <c r="B398" t="s">
        <v>168</v>
      </c>
      <c r="C398" t="s">
        <v>289</v>
      </c>
      <c r="D398" t="s">
        <v>132</v>
      </c>
      <c r="E398" t="s">
        <v>192</v>
      </c>
      <c r="F398">
        <v>4.7872773023350064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s="28">
        <v>0</v>
      </c>
      <c r="N398" s="28">
        <v>0</v>
      </c>
      <c r="O398">
        <v>0</v>
      </c>
      <c r="P398">
        <v>0</v>
      </c>
      <c r="Q398">
        <v>0</v>
      </c>
      <c r="R398">
        <v>0</v>
      </c>
      <c r="S398" s="28">
        <v>4.7872773023350064</v>
      </c>
      <c r="T398" s="29">
        <f>SUM(BaseHoras[[#This Row],[Jan/2019]:[Mar/2019]])</f>
        <v>4.7872773023350064</v>
      </c>
      <c r="U398" s="29">
        <f>SUM(BaseHoras[[#This Row],[Abr/2019]:[Jun/2019]])</f>
        <v>0</v>
      </c>
      <c r="V398" s="29">
        <f>SUM(BaseHoras[[#This Row],[Jul/2019]:[Set/2019]])</f>
        <v>0</v>
      </c>
      <c r="W398" s="29">
        <f>SUM(BaseHoras[[#This Row],[Out/2019]:[Dez/2019]])</f>
        <v>0</v>
      </c>
    </row>
    <row r="399" spans="1:23">
      <c r="A399" t="s">
        <v>151</v>
      </c>
      <c r="B399" t="s">
        <v>168</v>
      </c>
      <c r="C399" t="s">
        <v>289</v>
      </c>
      <c r="D399" t="s">
        <v>138</v>
      </c>
      <c r="E399" t="s">
        <v>192</v>
      </c>
      <c r="F399">
        <v>0</v>
      </c>
      <c r="G399">
        <v>0</v>
      </c>
      <c r="H399">
        <v>0</v>
      </c>
      <c r="I399">
        <v>0</v>
      </c>
      <c r="J399">
        <v>5.111971319931639</v>
      </c>
      <c r="K399">
        <v>0</v>
      </c>
      <c r="L399">
        <v>55.48955033693003</v>
      </c>
      <c r="M399" s="28">
        <v>0</v>
      </c>
      <c r="N399" s="28">
        <v>17.213695787059194</v>
      </c>
      <c r="O399">
        <v>0</v>
      </c>
      <c r="P399">
        <v>0</v>
      </c>
      <c r="Q399">
        <v>0</v>
      </c>
      <c r="R399">
        <v>0</v>
      </c>
      <c r="S399" s="28">
        <v>77.815217443920858</v>
      </c>
      <c r="T399" s="29">
        <f>SUM(BaseHoras[[#This Row],[Jan/2019]:[Mar/2019]])</f>
        <v>0</v>
      </c>
      <c r="U399" s="29">
        <f>SUM(BaseHoras[[#This Row],[Abr/2019]:[Jun/2019]])</f>
        <v>5.111971319931639</v>
      </c>
      <c r="V399" s="29">
        <f>SUM(BaseHoras[[#This Row],[Jul/2019]:[Set/2019]])</f>
        <v>72.703246123989231</v>
      </c>
      <c r="W399" s="29">
        <f>SUM(BaseHoras[[#This Row],[Out/2019]:[Dez/2019]])</f>
        <v>0</v>
      </c>
    </row>
    <row r="400" spans="1:23">
      <c r="A400" t="s">
        <v>151</v>
      </c>
      <c r="B400" t="s">
        <v>168</v>
      </c>
      <c r="C400" t="s">
        <v>289</v>
      </c>
      <c r="D400" t="s">
        <v>144</v>
      </c>
      <c r="E400" t="s">
        <v>192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1.4359916922679092</v>
      </c>
      <c r="L400">
        <v>0</v>
      </c>
      <c r="M400" s="28">
        <v>0</v>
      </c>
      <c r="N400" s="28">
        <v>0</v>
      </c>
      <c r="O400">
        <v>0</v>
      </c>
      <c r="P400">
        <v>0</v>
      </c>
      <c r="Q400">
        <v>0</v>
      </c>
      <c r="R400">
        <v>0</v>
      </c>
      <c r="S400" s="28">
        <v>1.4359916922679092</v>
      </c>
      <c r="T400" s="29">
        <f>SUM(BaseHoras[[#This Row],[Jan/2019]:[Mar/2019]])</f>
        <v>0</v>
      </c>
      <c r="U400" s="29">
        <f>SUM(BaseHoras[[#This Row],[Abr/2019]:[Jun/2019]])</f>
        <v>1.4359916922679092</v>
      </c>
      <c r="V400" s="29">
        <f>SUM(BaseHoras[[#This Row],[Jul/2019]:[Set/2019]])</f>
        <v>0</v>
      </c>
      <c r="W400" s="29">
        <f>SUM(BaseHoras[[#This Row],[Out/2019]:[Dez/2019]])</f>
        <v>0</v>
      </c>
    </row>
    <row r="401" spans="1:23">
      <c r="A401" t="s">
        <v>151</v>
      </c>
      <c r="B401" t="s">
        <v>168</v>
      </c>
      <c r="C401" t="s">
        <v>290</v>
      </c>
      <c r="D401" t="s">
        <v>26</v>
      </c>
      <c r="E401" t="s">
        <v>152</v>
      </c>
      <c r="F401">
        <v>241.8180717973448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s="28">
        <v>0</v>
      </c>
      <c r="N401" s="28">
        <v>0</v>
      </c>
      <c r="O401">
        <v>0</v>
      </c>
      <c r="P401">
        <v>0</v>
      </c>
      <c r="Q401">
        <v>0</v>
      </c>
      <c r="R401">
        <v>0</v>
      </c>
      <c r="S401" s="28">
        <v>241.8180717973448</v>
      </c>
      <c r="T401" s="29">
        <f>SUM(BaseHoras[[#This Row],[Jan/2019]:[Mar/2019]])</f>
        <v>241.8180717973448</v>
      </c>
      <c r="U401" s="29">
        <f>SUM(BaseHoras[[#This Row],[Abr/2019]:[Jun/2019]])</f>
        <v>0</v>
      </c>
      <c r="V401" s="29">
        <f>SUM(BaseHoras[[#This Row],[Jul/2019]:[Set/2019]])</f>
        <v>0</v>
      </c>
      <c r="W401" s="29">
        <f>SUM(BaseHoras[[#This Row],[Out/2019]:[Dez/2019]])</f>
        <v>0</v>
      </c>
    </row>
    <row r="402" spans="1:23">
      <c r="A402" t="s">
        <v>151</v>
      </c>
      <c r="B402" t="s">
        <v>168</v>
      </c>
      <c r="C402" t="s">
        <v>290</v>
      </c>
      <c r="D402" t="s">
        <v>41</v>
      </c>
      <c r="E402" t="s">
        <v>152</v>
      </c>
      <c r="F402">
        <v>0</v>
      </c>
      <c r="G402">
        <v>44.673582773479446</v>
      </c>
      <c r="H402">
        <v>0</v>
      </c>
      <c r="I402">
        <v>0</v>
      </c>
      <c r="J402">
        <v>0</v>
      </c>
      <c r="K402">
        <v>0</v>
      </c>
      <c r="L402">
        <v>0</v>
      </c>
      <c r="M402" s="28">
        <v>0</v>
      </c>
      <c r="N402" s="28">
        <v>0</v>
      </c>
      <c r="O402">
        <v>0</v>
      </c>
      <c r="P402">
        <v>0</v>
      </c>
      <c r="Q402">
        <v>0</v>
      </c>
      <c r="R402">
        <v>0</v>
      </c>
      <c r="S402" s="28">
        <v>44.673582773479446</v>
      </c>
      <c r="T402" s="29">
        <f>SUM(BaseHoras[[#This Row],[Jan/2019]:[Mar/2019]])</f>
        <v>44.673582773479446</v>
      </c>
      <c r="U402" s="29">
        <f>SUM(BaseHoras[[#This Row],[Abr/2019]:[Jun/2019]])</f>
        <v>0</v>
      </c>
      <c r="V402" s="29">
        <f>SUM(BaseHoras[[#This Row],[Jul/2019]:[Set/2019]])</f>
        <v>0</v>
      </c>
      <c r="W402" s="29">
        <f>SUM(BaseHoras[[#This Row],[Out/2019]:[Dez/2019]])</f>
        <v>0</v>
      </c>
    </row>
    <row r="403" spans="1:23">
      <c r="A403" t="s">
        <v>151</v>
      </c>
      <c r="B403" t="s">
        <v>168</v>
      </c>
      <c r="C403" t="s">
        <v>291</v>
      </c>
      <c r="D403" t="s">
        <v>19</v>
      </c>
      <c r="E403" t="s">
        <v>192</v>
      </c>
      <c r="F403">
        <v>0</v>
      </c>
      <c r="G403">
        <v>0</v>
      </c>
      <c r="H403">
        <v>0</v>
      </c>
      <c r="I403">
        <v>0</v>
      </c>
      <c r="J403">
        <v>86.785527893125789</v>
      </c>
      <c r="K403">
        <v>24.638393838625333</v>
      </c>
      <c r="L403">
        <v>0</v>
      </c>
      <c r="M403" s="28">
        <v>0</v>
      </c>
      <c r="N403" s="28">
        <v>0</v>
      </c>
      <c r="O403">
        <v>0</v>
      </c>
      <c r="P403">
        <v>0</v>
      </c>
      <c r="Q403">
        <v>0</v>
      </c>
      <c r="R403">
        <v>0</v>
      </c>
      <c r="S403" s="28">
        <v>111.42392173175112</v>
      </c>
      <c r="T403" s="29">
        <f>SUM(BaseHoras[[#This Row],[Jan/2019]:[Mar/2019]])</f>
        <v>0</v>
      </c>
      <c r="U403" s="29">
        <f>SUM(BaseHoras[[#This Row],[Abr/2019]:[Jun/2019]])</f>
        <v>111.42392173175112</v>
      </c>
      <c r="V403" s="29">
        <f>SUM(BaseHoras[[#This Row],[Jul/2019]:[Set/2019]])</f>
        <v>0</v>
      </c>
      <c r="W403" s="29">
        <f>SUM(BaseHoras[[#This Row],[Out/2019]:[Dez/2019]])</f>
        <v>0</v>
      </c>
    </row>
    <row r="404" spans="1:23">
      <c r="A404" t="s">
        <v>151</v>
      </c>
      <c r="B404" t="s">
        <v>168</v>
      </c>
      <c r="C404" t="s">
        <v>291</v>
      </c>
      <c r="D404" t="s">
        <v>25</v>
      </c>
      <c r="E404" t="s">
        <v>192</v>
      </c>
      <c r="F404">
        <v>0</v>
      </c>
      <c r="G404">
        <v>0</v>
      </c>
      <c r="H404">
        <v>0</v>
      </c>
      <c r="I404">
        <v>4.033975920906304</v>
      </c>
      <c r="J404">
        <v>1.0952098998226765</v>
      </c>
      <c r="K404">
        <v>0</v>
      </c>
      <c r="L404">
        <v>0</v>
      </c>
      <c r="M404" s="28">
        <v>0</v>
      </c>
      <c r="N404" s="28">
        <v>0</v>
      </c>
      <c r="O404">
        <v>0</v>
      </c>
      <c r="P404">
        <v>0</v>
      </c>
      <c r="Q404">
        <v>0</v>
      </c>
      <c r="R404">
        <v>0</v>
      </c>
      <c r="S404" s="28">
        <v>5.1291858207289804</v>
      </c>
      <c r="T404" s="29">
        <f>SUM(BaseHoras[[#This Row],[Jan/2019]:[Mar/2019]])</f>
        <v>0</v>
      </c>
      <c r="U404" s="29">
        <f>SUM(BaseHoras[[#This Row],[Abr/2019]:[Jun/2019]])</f>
        <v>5.1291858207289804</v>
      </c>
      <c r="V404" s="29">
        <f>SUM(BaseHoras[[#This Row],[Jul/2019]:[Set/2019]])</f>
        <v>0</v>
      </c>
      <c r="W404" s="29">
        <f>SUM(BaseHoras[[#This Row],[Out/2019]:[Dez/2019]])</f>
        <v>0</v>
      </c>
    </row>
    <row r="405" spans="1:23">
      <c r="A405" t="s">
        <v>151</v>
      </c>
      <c r="B405" t="s">
        <v>168</v>
      </c>
      <c r="C405" t="s">
        <v>291</v>
      </c>
      <c r="D405" t="s">
        <v>30</v>
      </c>
      <c r="E405" t="s">
        <v>192</v>
      </c>
      <c r="F405">
        <v>0</v>
      </c>
      <c r="G405">
        <v>75.164154027750541</v>
      </c>
      <c r="H405">
        <v>733.24475018716885</v>
      </c>
      <c r="I405">
        <v>8.2463018584515915</v>
      </c>
      <c r="J405">
        <v>0</v>
      </c>
      <c r="K405">
        <v>0</v>
      </c>
      <c r="L405">
        <v>0</v>
      </c>
      <c r="M405" s="28">
        <v>0</v>
      </c>
      <c r="N405" s="28">
        <v>0</v>
      </c>
      <c r="O405">
        <v>0</v>
      </c>
      <c r="P405">
        <v>0</v>
      </c>
      <c r="Q405">
        <v>0</v>
      </c>
      <c r="R405">
        <v>0</v>
      </c>
      <c r="S405" s="28">
        <v>816.65520607337101</v>
      </c>
      <c r="T405" s="29">
        <f>SUM(BaseHoras[[#This Row],[Jan/2019]:[Mar/2019]])</f>
        <v>808.4089042149194</v>
      </c>
      <c r="U405" s="29">
        <f>SUM(BaseHoras[[#This Row],[Abr/2019]:[Jun/2019]])</f>
        <v>8.2463018584515915</v>
      </c>
      <c r="V405" s="29">
        <f>SUM(BaseHoras[[#This Row],[Jul/2019]:[Set/2019]])</f>
        <v>0</v>
      </c>
      <c r="W405" s="29">
        <f>SUM(BaseHoras[[#This Row],[Out/2019]:[Dez/2019]])</f>
        <v>0</v>
      </c>
    </row>
    <row r="406" spans="1:23">
      <c r="A406" t="s">
        <v>151</v>
      </c>
      <c r="B406" t="s">
        <v>168</v>
      </c>
      <c r="C406" t="s">
        <v>291</v>
      </c>
      <c r="D406" t="s">
        <v>35</v>
      </c>
      <c r="E406" t="s">
        <v>192</v>
      </c>
      <c r="F406">
        <v>10.695378566142557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s="28">
        <v>0</v>
      </c>
      <c r="N406" s="28">
        <v>0</v>
      </c>
      <c r="O406">
        <v>0</v>
      </c>
      <c r="P406">
        <v>0</v>
      </c>
      <c r="Q406">
        <v>0</v>
      </c>
      <c r="R406">
        <v>0</v>
      </c>
      <c r="S406" s="28">
        <v>10.695378566142557</v>
      </c>
      <c r="T406" s="29">
        <f>SUM(BaseHoras[[#This Row],[Jan/2019]:[Mar/2019]])</f>
        <v>10.695378566142557</v>
      </c>
      <c r="U406" s="29">
        <f>SUM(BaseHoras[[#This Row],[Abr/2019]:[Jun/2019]])</f>
        <v>0</v>
      </c>
      <c r="V406" s="29">
        <f>SUM(BaseHoras[[#This Row],[Jul/2019]:[Set/2019]])</f>
        <v>0</v>
      </c>
      <c r="W406" s="29">
        <f>SUM(BaseHoras[[#This Row],[Out/2019]:[Dez/2019]])</f>
        <v>0</v>
      </c>
    </row>
    <row r="407" spans="1:23">
      <c r="A407" t="s">
        <v>151</v>
      </c>
      <c r="B407" t="s">
        <v>168</v>
      </c>
      <c r="C407" t="s">
        <v>291</v>
      </c>
      <c r="D407" t="s">
        <v>36</v>
      </c>
      <c r="E407" t="s">
        <v>192</v>
      </c>
      <c r="F407">
        <v>0</v>
      </c>
      <c r="G407">
        <v>0</v>
      </c>
      <c r="H407">
        <v>0</v>
      </c>
      <c r="I407">
        <v>0</v>
      </c>
      <c r="J407">
        <v>433.29013660133552</v>
      </c>
      <c r="K407">
        <v>64.686229759039364</v>
      </c>
      <c r="L407">
        <v>1791.9680009728716</v>
      </c>
      <c r="M407" s="28">
        <v>54.896797162925893</v>
      </c>
      <c r="N407" s="28">
        <v>0</v>
      </c>
      <c r="O407">
        <v>0</v>
      </c>
      <c r="P407">
        <v>0</v>
      </c>
      <c r="Q407">
        <v>0</v>
      </c>
      <c r="R407">
        <v>0</v>
      </c>
      <c r="S407" s="28">
        <v>2344.841164496172</v>
      </c>
      <c r="T407" s="29">
        <f>SUM(BaseHoras[[#This Row],[Jan/2019]:[Mar/2019]])</f>
        <v>0</v>
      </c>
      <c r="U407" s="29">
        <f>SUM(BaseHoras[[#This Row],[Abr/2019]:[Jun/2019]])</f>
        <v>497.97636636037487</v>
      </c>
      <c r="V407" s="29">
        <f>SUM(BaseHoras[[#This Row],[Jul/2019]:[Set/2019]])</f>
        <v>1846.8647981357974</v>
      </c>
      <c r="W407" s="29">
        <f>SUM(BaseHoras[[#This Row],[Out/2019]:[Dez/2019]])</f>
        <v>0</v>
      </c>
    </row>
    <row r="408" spans="1:23">
      <c r="A408" t="s">
        <v>151</v>
      </c>
      <c r="B408" t="s">
        <v>168</v>
      </c>
      <c r="C408" t="s">
        <v>291</v>
      </c>
      <c r="D408" t="s">
        <v>40</v>
      </c>
      <c r="E408" t="s">
        <v>192</v>
      </c>
      <c r="F408">
        <v>0</v>
      </c>
      <c r="G408">
        <v>0</v>
      </c>
      <c r="H408">
        <v>0</v>
      </c>
      <c r="I408">
        <v>0</v>
      </c>
      <c r="J408">
        <v>7.0385954051699153</v>
      </c>
      <c r="K408">
        <v>0</v>
      </c>
      <c r="L408">
        <v>0</v>
      </c>
      <c r="M408" s="28">
        <v>0</v>
      </c>
      <c r="N408" s="28">
        <v>0</v>
      </c>
      <c r="O408">
        <v>0</v>
      </c>
      <c r="P408">
        <v>0</v>
      </c>
      <c r="Q408">
        <v>0</v>
      </c>
      <c r="R408">
        <v>0</v>
      </c>
      <c r="S408" s="28">
        <v>7.0385954051699153</v>
      </c>
      <c r="T408" s="29">
        <f>SUM(BaseHoras[[#This Row],[Jan/2019]:[Mar/2019]])</f>
        <v>0</v>
      </c>
      <c r="U408" s="29">
        <f>SUM(BaseHoras[[#This Row],[Abr/2019]:[Jun/2019]])</f>
        <v>7.0385954051699153</v>
      </c>
      <c r="V408" s="29">
        <f>SUM(BaseHoras[[#This Row],[Jul/2019]:[Set/2019]])</f>
        <v>0</v>
      </c>
      <c r="W408" s="29">
        <f>SUM(BaseHoras[[#This Row],[Out/2019]:[Dez/2019]])</f>
        <v>0</v>
      </c>
    </row>
    <row r="409" spans="1:23">
      <c r="A409" t="s">
        <v>151</v>
      </c>
      <c r="B409" t="s">
        <v>168</v>
      </c>
      <c r="C409" t="s">
        <v>291</v>
      </c>
      <c r="D409" t="s">
        <v>41</v>
      </c>
      <c r="E409" t="s">
        <v>192</v>
      </c>
      <c r="F409">
        <v>0</v>
      </c>
      <c r="G409">
        <v>0</v>
      </c>
      <c r="H409">
        <v>1085.9081747016915</v>
      </c>
      <c r="I409">
        <v>4470.2192686948147</v>
      </c>
      <c r="J409">
        <v>489.25038196529476</v>
      </c>
      <c r="K409">
        <v>0</v>
      </c>
      <c r="L409">
        <v>0</v>
      </c>
      <c r="M409" s="28">
        <v>0</v>
      </c>
      <c r="N409" s="28">
        <v>0</v>
      </c>
      <c r="O409">
        <v>0</v>
      </c>
      <c r="P409">
        <v>0</v>
      </c>
      <c r="Q409">
        <v>0</v>
      </c>
      <c r="R409">
        <v>0</v>
      </c>
      <c r="S409" s="28">
        <v>6045.3778253618011</v>
      </c>
      <c r="T409" s="29">
        <f>SUM(BaseHoras[[#This Row],[Jan/2019]:[Mar/2019]])</f>
        <v>1085.9081747016915</v>
      </c>
      <c r="U409" s="29">
        <f>SUM(BaseHoras[[#This Row],[Abr/2019]:[Jun/2019]])</f>
        <v>4959.4696506601094</v>
      </c>
      <c r="V409" s="29">
        <f>SUM(BaseHoras[[#This Row],[Jul/2019]:[Set/2019]])</f>
        <v>0</v>
      </c>
      <c r="W409" s="29">
        <f>SUM(BaseHoras[[#This Row],[Out/2019]:[Dez/2019]])</f>
        <v>0</v>
      </c>
    </row>
    <row r="410" spans="1:23">
      <c r="A410" t="s">
        <v>151</v>
      </c>
      <c r="B410" t="s">
        <v>168</v>
      </c>
      <c r="C410" t="s">
        <v>291</v>
      </c>
      <c r="D410" t="s">
        <v>49</v>
      </c>
      <c r="E410" t="s">
        <v>192</v>
      </c>
      <c r="F410">
        <v>18.808446519260848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s="28">
        <v>0</v>
      </c>
      <c r="N410" s="28">
        <v>0</v>
      </c>
      <c r="O410">
        <v>0</v>
      </c>
      <c r="P410">
        <v>0</v>
      </c>
      <c r="Q410">
        <v>0</v>
      </c>
      <c r="R410">
        <v>0</v>
      </c>
      <c r="S410" s="28">
        <v>18.808446519260848</v>
      </c>
      <c r="T410" s="29">
        <f>SUM(BaseHoras[[#This Row],[Jan/2019]:[Mar/2019]])</f>
        <v>18.808446519260848</v>
      </c>
      <c r="U410" s="29">
        <f>SUM(BaseHoras[[#This Row],[Abr/2019]:[Jun/2019]])</f>
        <v>0</v>
      </c>
      <c r="V410" s="29">
        <f>SUM(BaseHoras[[#This Row],[Jul/2019]:[Set/2019]])</f>
        <v>0</v>
      </c>
      <c r="W410" s="29">
        <f>SUM(BaseHoras[[#This Row],[Out/2019]:[Dez/2019]])</f>
        <v>0</v>
      </c>
    </row>
    <row r="411" spans="1:23">
      <c r="A411" t="s">
        <v>151</v>
      </c>
      <c r="B411" t="s">
        <v>168</v>
      </c>
      <c r="C411" t="s">
        <v>291</v>
      </c>
      <c r="D411" t="s">
        <v>57</v>
      </c>
      <c r="E411" t="s">
        <v>192</v>
      </c>
      <c r="F411">
        <v>1216.0947367027331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s="28">
        <v>0</v>
      </c>
      <c r="N411" s="28">
        <v>0</v>
      </c>
      <c r="O411">
        <v>0</v>
      </c>
      <c r="P411">
        <v>0</v>
      </c>
      <c r="Q411">
        <v>0</v>
      </c>
      <c r="R411">
        <v>0</v>
      </c>
      <c r="S411" s="28">
        <v>1216.0947367027331</v>
      </c>
      <c r="T411" s="29">
        <f>SUM(BaseHoras[[#This Row],[Jan/2019]:[Mar/2019]])</f>
        <v>1216.0947367027331</v>
      </c>
      <c r="U411" s="29">
        <f>SUM(BaseHoras[[#This Row],[Abr/2019]:[Jun/2019]])</f>
        <v>0</v>
      </c>
      <c r="V411" s="29">
        <f>SUM(BaseHoras[[#This Row],[Jul/2019]:[Set/2019]])</f>
        <v>0</v>
      </c>
      <c r="W411" s="29">
        <f>SUM(BaseHoras[[#This Row],[Out/2019]:[Dez/2019]])</f>
        <v>0</v>
      </c>
    </row>
    <row r="412" spans="1:23">
      <c r="A412" t="s">
        <v>151</v>
      </c>
      <c r="B412" t="s">
        <v>168</v>
      </c>
      <c r="C412" t="s">
        <v>291</v>
      </c>
      <c r="D412" t="s">
        <v>87</v>
      </c>
      <c r="E412" t="s">
        <v>192</v>
      </c>
      <c r="F412">
        <v>31.423450392445773</v>
      </c>
      <c r="G412">
        <v>0</v>
      </c>
      <c r="H412">
        <v>7.3698806213034311</v>
      </c>
      <c r="I412">
        <v>0</v>
      </c>
      <c r="J412">
        <v>0</v>
      </c>
      <c r="K412">
        <v>0</v>
      </c>
      <c r="L412">
        <v>0</v>
      </c>
      <c r="M412" s="28">
        <v>0</v>
      </c>
      <c r="N412" s="28">
        <v>0</v>
      </c>
      <c r="O412">
        <v>0</v>
      </c>
      <c r="P412">
        <v>0</v>
      </c>
      <c r="Q412">
        <v>0</v>
      </c>
      <c r="R412">
        <v>0</v>
      </c>
      <c r="S412" s="28">
        <v>38.793331013749203</v>
      </c>
      <c r="T412" s="29">
        <f>SUM(BaseHoras[[#This Row],[Jan/2019]:[Mar/2019]])</f>
        <v>38.793331013749203</v>
      </c>
      <c r="U412" s="29">
        <f>SUM(BaseHoras[[#This Row],[Abr/2019]:[Jun/2019]])</f>
        <v>0</v>
      </c>
      <c r="V412" s="29">
        <f>SUM(BaseHoras[[#This Row],[Jul/2019]:[Set/2019]])</f>
        <v>0</v>
      </c>
      <c r="W412" s="29">
        <f>SUM(BaseHoras[[#This Row],[Out/2019]:[Dez/2019]])</f>
        <v>0</v>
      </c>
    </row>
    <row r="413" spans="1:23">
      <c r="A413" t="s">
        <v>151</v>
      </c>
      <c r="B413" t="s">
        <v>168</v>
      </c>
      <c r="C413" t="s">
        <v>291</v>
      </c>
      <c r="D413" t="s">
        <v>101</v>
      </c>
      <c r="E413" t="s">
        <v>192</v>
      </c>
      <c r="F413">
        <v>183.08410999638758</v>
      </c>
      <c r="G413">
        <v>63.191983446605867</v>
      </c>
      <c r="H413">
        <v>166.59679760908651</v>
      </c>
      <c r="I413">
        <v>0</v>
      </c>
      <c r="J413">
        <v>0</v>
      </c>
      <c r="K413">
        <v>0</v>
      </c>
      <c r="L413">
        <v>0</v>
      </c>
      <c r="M413" s="28">
        <v>0</v>
      </c>
      <c r="N413" s="28">
        <v>0</v>
      </c>
      <c r="O413">
        <v>0</v>
      </c>
      <c r="P413">
        <v>0</v>
      </c>
      <c r="Q413">
        <v>0</v>
      </c>
      <c r="R413">
        <v>0</v>
      </c>
      <c r="S413" s="28">
        <v>412.87289105207992</v>
      </c>
      <c r="T413" s="29">
        <f>SUM(BaseHoras[[#This Row],[Jan/2019]:[Mar/2019]])</f>
        <v>412.87289105207992</v>
      </c>
      <c r="U413" s="29">
        <f>SUM(BaseHoras[[#This Row],[Abr/2019]:[Jun/2019]])</f>
        <v>0</v>
      </c>
      <c r="V413" s="29">
        <f>SUM(BaseHoras[[#This Row],[Jul/2019]:[Set/2019]])</f>
        <v>0</v>
      </c>
      <c r="W413" s="29">
        <f>SUM(BaseHoras[[#This Row],[Out/2019]:[Dez/2019]])</f>
        <v>0</v>
      </c>
    </row>
    <row r="414" spans="1:23">
      <c r="A414" t="s">
        <v>151</v>
      </c>
      <c r="B414" t="s">
        <v>168</v>
      </c>
      <c r="C414" t="s">
        <v>291</v>
      </c>
      <c r="D414" t="s">
        <v>102</v>
      </c>
      <c r="E414" t="s">
        <v>192</v>
      </c>
      <c r="F414">
        <v>0</v>
      </c>
      <c r="G414">
        <v>0</v>
      </c>
      <c r="H414">
        <v>0</v>
      </c>
      <c r="I414">
        <v>0</v>
      </c>
      <c r="J414">
        <v>11.806053831874509</v>
      </c>
      <c r="K414">
        <v>0</v>
      </c>
      <c r="L414">
        <v>0</v>
      </c>
      <c r="M414" s="28">
        <v>0</v>
      </c>
      <c r="N414" s="28">
        <v>0</v>
      </c>
      <c r="O414">
        <v>0</v>
      </c>
      <c r="P414">
        <v>0</v>
      </c>
      <c r="Q414">
        <v>0</v>
      </c>
      <c r="R414">
        <v>0</v>
      </c>
      <c r="S414" s="28">
        <v>11.806053831874509</v>
      </c>
      <c r="T414" s="29">
        <f>SUM(BaseHoras[[#This Row],[Jan/2019]:[Mar/2019]])</f>
        <v>0</v>
      </c>
      <c r="U414" s="29">
        <f>SUM(BaseHoras[[#This Row],[Abr/2019]:[Jun/2019]])</f>
        <v>11.806053831874509</v>
      </c>
      <c r="V414" s="29">
        <f>SUM(BaseHoras[[#This Row],[Jul/2019]:[Set/2019]])</f>
        <v>0</v>
      </c>
      <c r="W414" s="29">
        <f>SUM(BaseHoras[[#This Row],[Out/2019]:[Dez/2019]])</f>
        <v>0</v>
      </c>
    </row>
    <row r="415" spans="1:23">
      <c r="A415" t="s">
        <v>151</v>
      </c>
      <c r="B415" t="s">
        <v>168</v>
      </c>
      <c r="C415" t="s">
        <v>291</v>
      </c>
      <c r="D415" t="s">
        <v>106</v>
      </c>
      <c r="E415" t="s">
        <v>192</v>
      </c>
      <c r="F415">
        <v>0</v>
      </c>
      <c r="G415">
        <v>0</v>
      </c>
      <c r="H415">
        <v>0</v>
      </c>
      <c r="I415">
        <v>63.642242983216363</v>
      </c>
      <c r="J415">
        <v>61.820267325147711</v>
      </c>
      <c r="K415">
        <v>0</v>
      </c>
      <c r="L415">
        <v>0</v>
      </c>
      <c r="M415" s="28">
        <v>0</v>
      </c>
      <c r="N415" s="28">
        <v>0</v>
      </c>
      <c r="O415">
        <v>0</v>
      </c>
      <c r="P415">
        <v>0</v>
      </c>
      <c r="Q415">
        <v>0</v>
      </c>
      <c r="R415">
        <v>0</v>
      </c>
      <c r="S415" s="28">
        <v>125.46251030836407</v>
      </c>
      <c r="T415" s="29">
        <f>SUM(BaseHoras[[#This Row],[Jan/2019]:[Mar/2019]])</f>
        <v>0</v>
      </c>
      <c r="U415" s="29">
        <f>SUM(BaseHoras[[#This Row],[Abr/2019]:[Jun/2019]])</f>
        <v>125.46251030836407</v>
      </c>
      <c r="V415" s="29">
        <f>SUM(BaseHoras[[#This Row],[Jul/2019]:[Set/2019]])</f>
        <v>0</v>
      </c>
      <c r="W415" s="29">
        <f>SUM(BaseHoras[[#This Row],[Out/2019]:[Dez/2019]])</f>
        <v>0</v>
      </c>
    </row>
    <row r="416" spans="1:23">
      <c r="A416" t="s">
        <v>151</v>
      </c>
      <c r="B416" t="s">
        <v>168</v>
      </c>
      <c r="C416" t="s">
        <v>291</v>
      </c>
      <c r="D416" t="s">
        <v>107</v>
      </c>
      <c r="E416" t="s">
        <v>192</v>
      </c>
      <c r="F416">
        <v>0</v>
      </c>
      <c r="G416">
        <v>0</v>
      </c>
      <c r="H416">
        <v>0</v>
      </c>
      <c r="I416">
        <v>45.380678201238119</v>
      </c>
      <c r="J416">
        <v>699.318434760645</v>
      </c>
      <c r="K416">
        <v>0</v>
      </c>
      <c r="L416">
        <v>0</v>
      </c>
      <c r="M416" s="28">
        <v>0</v>
      </c>
      <c r="N416" s="28">
        <v>0</v>
      </c>
      <c r="O416">
        <v>0</v>
      </c>
      <c r="P416">
        <v>0</v>
      </c>
      <c r="Q416">
        <v>0</v>
      </c>
      <c r="R416">
        <v>0</v>
      </c>
      <c r="S416" s="28">
        <v>744.69911296188309</v>
      </c>
      <c r="T416" s="29">
        <f>SUM(BaseHoras[[#This Row],[Jan/2019]:[Mar/2019]])</f>
        <v>0</v>
      </c>
      <c r="U416" s="29">
        <f>SUM(BaseHoras[[#This Row],[Abr/2019]:[Jun/2019]])</f>
        <v>744.69911296188309</v>
      </c>
      <c r="V416" s="29">
        <f>SUM(BaseHoras[[#This Row],[Jul/2019]:[Set/2019]])</f>
        <v>0</v>
      </c>
      <c r="W416" s="29">
        <f>SUM(BaseHoras[[#This Row],[Out/2019]:[Dez/2019]])</f>
        <v>0</v>
      </c>
    </row>
    <row r="417" spans="1:23">
      <c r="A417" t="s">
        <v>151</v>
      </c>
      <c r="B417" t="s">
        <v>168</v>
      </c>
      <c r="C417" t="s">
        <v>291</v>
      </c>
      <c r="D417" t="s">
        <v>108</v>
      </c>
      <c r="E417" t="s">
        <v>192</v>
      </c>
      <c r="F417">
        <v>0</v>
      </c>
      <c r="G417">
        <v>0</v>
      </c>
      <c r="H417">
        <v>0</v>
      </c>
      <c r="I417">
        <v>118.19331472917938</v>
      </c>
      <c r="J417">
        <v>0</v>
      </c>
      <c r="K417">
        <v>0</v>
      </c>
      <c r="L417">
        <v>0</v>
      </c>
      <c r="M417" s="28">
        <v>0</v>
      </c>
      <c r="N417" s="28">
        <v>0</v>
      </c>
      <c r="O417">
        <v>0</v>
      </c>
      <c r="P417">
        <v>0</v>
      </c>
      <c r="Q417">
        <v>0</v>
      </c>
      <c r="R417">
        <v>0</v>
      </c>
      <c r="S417" s="28">
        <v>118.19331472917938</v>
      </c>
      <c r="T417" s="29">
        <f>SUM(BaseHoras[[#This Row],[Jan/2019]:[Mar/2019]])</f>
        <v>0</v>
      </c>
      <c r="U417" s="29">
        <f>SUM(BaseHoras[[#This Row],[Abr/2019]:[Jun/2019]])</f>
        <v>118.19331472917938</v>
      </c>
      <c r="V417" s="29">
        <f>SUM(BaseHoras[[#This Row],[Jul/2019]:[Set/2019]])</f>
        <v>0</v>
      </c>
      <c r="W417" s="29">
        <f>SUM(BaseHoras[[#This Row],[Out/2019]:[Dez/2019]])</f>
        <v>0</v>
      </c>
    </row>
    <row r="418" spans="1:23">
      <c r="A418" t="s">
        <v>151</v>
      </c>
      <c r="B418" t="s">
        <v>168</v>
      </c>
      <c r="C418" t="s">
        <v>291</v>
      </c>
      <c r="D418" t="s">
        <v>109</v>
      </c>
      <c r="E418" t="s">
        <v>192</v>
      </c>
      <c r="F418">
        <v>0</v>
      </c>
      <c r="G418">
        <v>0</v>
      </c>
      <c r="H418">
        <v>0</v>
      </c>
      <c r="I418">
        <v>0</v>
      </c>
      <c r="J418">
        <v>94.028439917558416</v>
      </c>
      <c r="K418">
        <v>398.99969615592153</v>
      </c>
      <c r="L418">
        <v>0</v>
      </c>
      <c r="M418" s="28">
        <v>0</v>
      </c>
      <c r="N418" s="28">
        <v>0</v>
      </c>
      <c r="O418">
        <v>0</v>
      </c>
      <c r="P418">
        <v>0</v>
      </c>
      <c r="Q418">
        <v>0</v>
      </c>
      <c r="R418">
        <v>0</v>
      </c>
      <c r="S418" s="28">
        <v>493.02813607347991</v>
      </c>
      <c r="T418" s="29">
        <f>SUM(BaseHoras[[#This Row],[Jan/2019]:[Mar/2019]])</f>
        <v>0</v>
      </c>
      <c r="U418" s="29">
        <f>SUM(BaseHoras[[#This Row],[Abr/2019]:[Jun/2019]])</f>
        <v>493.02813607347991</v>
      </c>
      <c r="V418" s="29">
        <f>SUM(BaseHoras[[#This Row],[Jul/2019]:[Set/2019]])</f>
        <v>0</v>
      </c>
      <c r="W418" s="29">
        <f>SUM(BaseHoras[[#This Row],[Out/2019]:[Dez/2019]])</f>
        <v>0</v>
      </c>
    </row>
    <row r="419" spans="1:23">
      <c r="A419" t="s">
        <v>151</v>
      </c>
      <c r="B419" t="s">
        <v>168</v>
      </c>
      <c r="C419" t="s">
        <v>291</v>
      </c>
      <c r="D419" t="s">
        <v>117</v>
      </c>
      <c r="E419" t="s">
        <v>192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75.584955721699615</v>
      </c>
      <c r="M419" s="28">
        <v>0</v>
      </c>
      <c r="N419" s="28">
        <v>0</v>
      </c>
      <c r="O419">
        <v>0</v>
      </c>
      <c r="P419">
        <v>0</v>
      </c>
      <c r="Q419">
        <v>0</v>
      </c>
      <c r="R419">
        <v>0</v>
      </c>
      <c r="S419" s="28">
        <v>75.584955721699615</v>
      </c>
      <c r="T419" s="29">
        <f>SUM(BaseHoras[[#This Row],[Jan/2019]:[Mar/2019]])</f>
        <v>0</v>
      </c>
      <c r="U419" s="29">
        <f>SUM(BaseHoras[[#This Row],[Abr/2019]:[Jun/2019]])</f>
        <v>0</v>
      </c>
      <c r="V419" s="29">
        <f>SUM(BaseHoras[[#This Row],[Jul/2019]:[Set/2019]])</f>
        <v>75.584955721699615</v>
      </c>
      <c r="W419" s="29">
        <f>SUM(BaseHoras[[#This Row],[Out/2019]:[Dez/2019]])</f>
        <v>0</v>
      </c>
    </row>
    <row r="420" spans="1:23">
      <c r="A420" t="s">
        <v>151</v>
      </c>
      <c r="B420" t="s">
        <v>168</v>
      </c>
      <c r="C420" t="s">
        <v>291</v>
      </c>
      <c r="D420" t="s">
        <v>125</v>
      </c>
      <c r="E420" t="s">
        <v>192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47.44200529169327</v>
      </c>
      <c r="M420" s="28">
        <v>7.9407823726076945</v>
      </c>
      <c r="N420" s="28">
        <v>0</v>
      </c>
      <c r="O420">
        <v>0</v>
      </c>
      <c r="P420">
        <v>0</v>
      </c>
      <c r="Q420">
        <v>0</v>
      </c>
      <c r="R420">
        <v>0</v>
      </c>
      <c r="S420" s="28">
        <v>55.382787664300963</v>
      </c>
      <c r="T420" s="29">
        <f>SUM(BaseHoras[[#This Row],[Jan/2019]:[Mar/2019]])</f>
        <v>0</v>
      </c>
      <c r="U420" s="29">
        <f>SUM(BaseHoras[[#This Row],[Abr/2019]:[Jun/2019]])</f>
        <v>0</v>
      </c>
      <c r="V420" s="29">
        <f>SUM(BaseHoras[[#This Row],[Jul/2019]:[Set/2019]])</f>
        <v>55.382787664300963</v>
      </c>
      <c r="W420" s="29">
        <f>SUM(BaseHoras[[#This Row],[Out/2019]:[Dez/2019]])</f>
        <v>0</v>
      </c>
    </row>
    <row r="421" spans="1:23">
      <c r="A421" t="s">
        <v>151</v>
      </c>
      <c r="B421" t="s">
        <v>168</v>
      </c>
      <c r="C421" t="s">
        <v>291</v>
      </c>
      <c r="D421" t="s">
        <v>132</v>
      </c>
      <c r="E421" t="s">
        <v>192</v>
      </c>
      <c r="F421">
        <v>0</v>
      </c>
      <c r="G421">
        <v>0</v>
      </c>
      <c r="H421">
        <v>0</v>
      </c>
      <c r="I421">
        <v>40.642043842917623</v>
      </c>
      <c r="J421">
        <v>43.618304955774846</v>
      </c>
      <c r="K421">
        <v>0</v>
      </c>
      <c r="L421">
        <v>0</v>
      </c>
      <c r="M421" s="28">
        <v>0</v>
      </c>
      <c r="N421" s="28">
        <v>0</v>
      </c>
      <c r="O421">
        <v>0</v>
      </c>
      <c r="P421">
        <v>0</v>
      </c>
      <c r="Q421">
        <v>0</v>
      </c>
      <c r="R421">
        <v>0</v>
      </c>
      <c r="S421" s="28">
        <v>84.260348798692462</v>
      </c>
      <c r="T421" s="29">
        <f>SUM(BaseHoras[[#This Row],[Jan/2019]:[Mar/2019]])</f>
        <v>0</v>
      </c>
      <c r="U421" s="29">
        <f>SUM(BaseHoras[[#This Row],[Abr/2019]:[Jun/2019]])</f>
        <v>84.260348798692462</v>
      </c>
      <c r="V421" s="29">
        <f>SUM(BaseHoras[[#This Row],[Jul/2019]:[Set/2019]])</f>
        <v>0</v>
      </c>
      <c r="W421" s="29">
        <f>SUM(BaseHoras[[#This Row],[Out/2019]:[Dez/2019]])</f>
        <v>0</v>
      </c>
    </row>
    <row r="422" spans="1:23">
      <c r="A422" t="s">
        <v>151</v>
      </c>
      <c r="B422" t="s">
        <v>168</v>
      </c>
      <c r="C422" t="s">
        <v>291</v>
      </c>
      <c r="D422" t="s">
        <v>138</v>
      </c>
      <c r="E422" t="s">
        <v>192</v>
      </c>
      <c r="F422">
        <v>7.548390788899944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s="28">
        <v>0</v>
      </c>
      <c r="N422" s="28">
        <v>0</v>
      </c>
      <c r="O422">
        <v>16491.786891793239</v>
      </c>
      <c r="P422">
        <v>0</v>
      </c>
      <c r="Q422">
        <v>0</v>
      </c>
      <c r="R422">
        <v>0</v>
      </c>
      <c r="S422" s="28">
        <v>16499.335282582138</v>
      </c>
      <c r="T422" s="29">
        <f>SUM(BaseHoras[[#This Row],[Jan/2019]:[Mar/2019]])</f>
        <v>7.548390788899944</v>
      </c>
      <c r="U422" s="29">
        <f>SUM(BaseHoras[[#This Row],[Abr/2019]:[Jun/2019]])</f>
        <v>0</v>
      </c>
      <c r="V422" s="29">
        <f>SUM(BaseHoras[[#This Row],[Jul/2019]:[Set/2019]])</f>
        <v>0</v>
      </c>
      <c r="W422" s="29">
        <f>SUM(BaseHoras[[#This Row],[Out/2019]:[Dez/2019]])</f>
        <v>16491.786891793239</v>
      </c>
    </row>
    <row r="423" spans="1:23">
      <c r="A423" t="s">
        <v>151</v>
      </c>
      <c r="B423" t="s">
        <v>168</v>
      </c>
      <c r="C423" t="s">
        <v>291</v>
      </c>
      <c r="D423" t="s">
        <v>140</v>
      </c>
      <c r="E423" t="s">
        <v>192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44.414663996703375</v>
      </c>
      <c r="L423">
        <v>160.86016025218277</v>
      </c>
      <c r="M423" s="28">
        <v>0</v>
      </c>
      <c r="N423" s="28">
        <v>0</v>
      </c>
      <c r="O423">
        <v>0</v>
      </c>
      <c r="P423">
        <v>0</v>
      </c>
      <c r="Q423">
        <v>0</v>
      </c>
      <c r="R423">
        <v>0</v>
      </c>
      <c r="S423" s="28">
        <v>205.27482424888615</v>
      </c>
      <c r="T423" s="29">
        <f>SUM(BaseHoras[[#This Row],[Jan/2019]:[Mar/2019]])</f>
        <v>0</v>
      </c>
      <c r="U423" s="29">
        <f>SUM(BaseHoras[[#This Row],[Abr/2019]:[Jun/2019]])</f>
        <v>44.414663996703375</v>
      </c>
      <c r="V423" s="29">
        <f>SUM(BaseHoras[[#This Row],[Jul/2019]:[Set/2019]])</f>
        <v>160.86016025218277</v>
      </c>
      <c r="W423" s="29">
        <f>SUM(BaseHoras[[#This Row],[Out/2019]:[Dez/2019]])</f>
        <v>0</v>
      </c>
    </row>
    <row r="424" spans="1:23">
      <c r="A424" t="s">
        <v>151</v>
      </c>
      <c r="B424" t="s">
        <v>168</v>
      </c>
      <c r="C424" t="s">
        <v>291</v>
      </c>
      <c r="D424" t="s">
        <v>147</v>
      </c>
      <c r="E424" t="s">
        <v>192</v>
      </c>
      <c r="F424">
        <v>0</v>
      </c>
      <c r="G424">
        <v>0</v>
      </c>
      <c r="H424">
        <v>0</v>
      </c>
      <c r="I424">
        <v>0</v>
      </c>
      <c r="J424">
        <v>966.84355715621507</v>
      </c>
      <c r="K424">
        <v>0</v>
      </c>
      <c r="L424">
        <v>0</v>
      </c>
      <c r="M424" s="28">
        <v>0</v>
      </c>
      <c r="N424" s="28">
        <v>0</v>
      </c>
      <c r="O424">
        <v>0</v>
      </c>
      <c r="P424">
        <v>0</v>
      </c>
      <c r="Q424">
        <v>0</v>
      </c>
      <c r="R424">
        <v>0</v>
      </c>
      <c r="S424" s="28">
        <v>966.84355715621507</v>
      </c>
      <c r="T424" s="29">
        <f>SUM(BaseHoras[[#This Row],[Jan/2019]:[Mar/2019]])</f>
        <v>0</v>
      </c>
      <c r="U424" s="29">
        <f>SUM(BaseHoras[[#This Row],[Abr/2019]:[Jun/2019]])</f>
        <v>966.84355715621507</v>
      </c>
      <c r="V424" s="29">
        <f>SUM(BaseHoras[[#This Row],[Jul/2019]:[Set/2019]])</f>
        <v>0</v>
      </c>
      <c r="W424" s="29">
        <f>SUM(BaseHoras[[#This Row],[Out/2019]:[Dez/2019]])</f>
        <v>0</v>
      </c>
    </row>
    <row r="425" spans="1:23">
      <c r="A425" t="s">
        <v>151</v>
      </c>
      <c r="B425" t="s">
        <v>168</v>
      </c>
      <c r="C425" t="s">
        <v>292</v>
      </c>
      <c r="D425" t="s">
        <v>30</v>
      </c>
      <c r="E425" t="s">
        <v>192</v>
      </c>
      <c r="F425">
        <v>0</v>
      </c>
      <c r="G425">
        <v>0</v>
      </c>
      <c r="H425">
        <v>0</v>
      </c>
      <c r="I425">
        <v>0</v>
      </c>
      <c r="J425">
        <v>38.622153366052544</v>
      </c>
      <c r="K425">
        <v>0</v>
      </c>
      <c r="L425">
        <v>0</v>
      </c>
      <c r="M425" s="28">
        <v>0</v>
      </c>
      <c r="N425" s="28">
        <v>0</v>
      </c>
      <c r="O425">
        <v>0</v>
      </c>
      <c r="P425">
        <v>0</v>
      </c>
      <c r="Q425">
        <v>0</v>
      </c>
      <c r="R425">
        <v>0</v>
      </c>
      <c r="S425" s="28">
        <v>38.622153366052544</v>
      </c>
      <c r="T425" s="29">
        <f>SUM(BaseHoras[[#This Row],[Jan/2019]:[Mar/2019]])</f>
        <v>0</v>
      </c>
      <c r="U425" s="29">
        <f>SUM(BaseHoras[[#This Row],[Abr/2019]:[Jun/2019]])</f>
        <v>38.622153366052544</v>
      </c>
      <c r="V425" s="29">
        <f>SUM(BaseHoras[[#This Row],[Jul/2019]:[Set/2019]])</f>
        <v>0</v>
      </c>
      <c r="W425" s="29">
        <f>SUM(BaseHoras[[#This Row],[Out/2019]:[Dez/2019]])</f>
        <v>0</v>
      </c>
    </row>
    <row r="426" spans="1:23">
      <c r="A426" t="s">
        <v>151</v>
      </c>
      <c r="B426" t="s">
        <v>168</v>
      </c>
      <c r="C426" t="s">
        <v>292</v>
      </c>
      <c r="D426" t="s">
        <v>41</v>
      </c>
      <c r="E426" t="s">
        <v>192</v>
      </c>
      <c r="F426">
        <v>72.843010548872982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s="28">
        <v>0</v>
      </c>
      <c r="N426" s="28">
        <v>0</v>
      </c>
      <c r="O426">
        <v>0</v>
      </c>
      <c r="P426">
        <v>0</v>
      </c>
      <c r="Q426">
        <v>0</v>
      </c>
      <c r="R426">
        <v>0</v>
      </c>
      <c r="S426" s="28">
        <v>72.843010548872982</v>
      </c>
      <c r="T426" s="29">
        <f>SUM(BaseHoras[[#This Row],[Jan/2019]:[Mar/2019]])</f>
        <v>72.843010548872982</v>
      </c>
      <c r="U426" s="29">
        <f>SUM(BaseHoras[[#This Row],[Abr/2019]:[Jun/2019]])</f>
        <v>0</v>
      </c>
      <c r="V426" s="29">
        <f>SUM(BaseHoras[[#This Row],[Jul/2019]:[Set/2019]])</f>
        <v>0</v>
      </c>
      <c r="W426" s="29">
        <f>SUM(BaseHoras[[#This Row],[Out/2019]:[Dez/2019]])</f>
        <v>0</v>
      </c>
    </row>
    <row r="427" spans="1:23">
      <c r="A427" t="s">
        <v>151</v>
      </c>
      <c r="B427" t="s">
        <v>168</v>
      </c>
      <c r="C427" t="s">
        <v>292</v>
      </c>
      <c r="D427" t="s">
        <v>49</v>
      </c>
      <c r="E427" t="s">
        <v>192</v>
      </c>
      <c r="F427">
        <v>0</v>
      </c>
      <c r="G427">
        <v>0</v>
      </c>
      <c r="H427">
        <v>28.195083533555326</v>
      </c>
      <c r="I427">
        <v>0</v>
      </c>
      <c r="J427">
        <v>0</v>
      </c>
      <c r="K427">
        <v>0</v>
      </c>
      <c r="L427">
        <v>0</v>
      </c>
      <c r="M427" s="28">
        <v>0</v>
      </c>
      <c r="N427" s="28">
        <v>0</v>
      </c>
      <c r="O427">
        <v>0</v>
      </c>
      <c r="P427">
        <v>0</v>
      </c>
      <c r="Q427">
        <v>0</v>
      </c>
      <c r="R427">
        <v>0</v>
      </c>
      <c r="S427" s="28">
        <v>28.195083533555326</v>
      </c>
      <c r="T427" s="29">
        <f>SUM(BaseHoras[[#This Row],[Jan/2019]:[Mar/2019]])</f>
        <v>28.195083533555326</v>
      </c>
      <c r="U427" s="29">
        <f>SUM(BaseHoras[[#This Row],[Abr/2019]:[Jun/2019]])</f>
        <v>0</v>
      </c>
      <c r="V427" s="29">
        <f>SUM(BaseHoras[[#This Row],[Jul/2019]:[Set/2019]])</f>
        <v>0</v>
      </c>
      <c r="W427" s="29">
        <f>SUM(BaseHoras[[#This Row],[Out/2019]:[Dez/2019]])</f>
        <v>0</v>
      </c>
    </row>
    <row r="428" spans="1:23">
      <c r="A428" t="s">
        <v>151</v>
      </c>
      <c r="B428" t="s">
        <v>168</v>
      </c>
      <c r="C428" t="s">
        <v>292</v>
      </c>
      <c r="D428" t="s">
        <v>55</v>
      </c>
      <c r="E428" t="s">
        <v>192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186.55974703988974</v>
      </c>
      <c r="L428">
        <v>0</v>
      </c>
      <c r="M428" s="28">
        <v>0</v>
      </c>
      <c r="N428" s="28">
        <v>0</v>
      </c>
      <c r="O428">
        <v>0</v>
      </c>
      <c r="P428">
        <v>0</v>
      </c>
      <c r="Q428">
        <v>0</v>
      </c>
      <c r="R428">
        <v>0</v>
      </c>
      <c r="S428" s="28">
        <v>186.55974703988974</v>
      </c>
      <c r="T428" s="29">
        <f>SUM(BaseHoras[[#This Row],[Jan/2019]:[Mar/2019]])</f>
        <v>0</v>
      </c>
      <c r="U428" s="29">
        <f>SUM(BaseHoras[[#This Row],[Abr/2019]:[Jun/2019]])</f>
        <v>186.55974703988974</v>
      </c>
      <c r="V428" s="29">
        <f>SUM(BaseHoras[[#This Row],[Jul/2019]:[Set/2019]])</f>
        <v>0</v>
      </c>
      <c r="W428" s="29">
        <f>SUM(BaseHoras[[#This Row],[Out/2019]:[Dez/2019]])</f>
        <v>0</v>
      </c>
    </row>
    <row r="429" spans="1:23">
      <c r="A429" t="s">
        <v>151</v>
      </c>
      <c r="B429" t="s">
        <v>168</v>
      </c>
      <c r="C429" t="s">
        <v>292</v>
      </c>
      <c r="D429" t="s">
        <v>66</v>
      </c>
      <c r="E429" t="s">
        <v>192</v>
      </c>
      <c r="F429">
        <v>0</v>
      </c>
      <c r="G429">
        <v>0</v>
      </c>
      <c r="H429">
        <v>0</v>
      </c>
      <c r="I429">
        <v>23.818868904444816</v>
      </c>
      <c r="J429">
        <v>0</v>
      </c>
      <c r="K429">
        <v>0</v>
      </c>
      <c r="L429">
        <v>0</v>
      </c>
      <c r="M429" s="28">
        <v>0</v>
      </c>
      <c r="N429" s="28">
        <v>0</v>
      </c>
      <c r="O429">
        <v>0</v>
      </c>
      <c r="P429">
        <v>0</v>
      </c>
      <c r="Q429">
        <v>0</v>
      </c>
      <c r="R429">
        <v>0</v>
      </c>
      <c r="S429" s="28">
        <v>23.818868904444816</v>
      </c>
      <c r="T429" s="29">
        <f>SUM(BaseHoras[[#This Row],[Jan/2019]:[Mar/2019]])</f>
        <v>0</v>
      </c>
      <c r="U429" s="29">
        <f>SUM(BaseHoras[[#This Row],[Abr/2019]:[Jun/2019]])</f>
        <v>23.818868904444816</v>
      </c>
      <c r="V429" s="29">
        <f>SUM(BaseHoras[[#This Row],[Jul/2019]:[Set/2019]])</f>
        <v>0</v>
      </c>
      <c r="W429" s="29">
        <f>SUM(BaseHoras[[#This Row],[Out/2019]:[Dez/2019]])</f>
        <v>0</v>
      </c>
    </row>
    <row r="430" spans="1:23">
      <c r="A430" t="s">
        <v>151</v>
      </c>
      <c r="B430" t="s">
        <v>168</v>
      </c>
      <c r="C430" t="s">
        <v>292</v>
      </c>
      <c r="D430" t="s">
        <v>89</v>
      </c>
      <c r="E430" t="s">
        <v>192</v>
      </c>
      <c r="F430">
        <v>11.504359628839868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s="28">
        <v>0</v>
      </c>
      <c r="N430" s="28">
        <v>0</v>
      </c>
      <c r="O430">
        <v>0</v>
      </c>
      <c r="P430">
        <v>0</v>
      </c>
      <c r="Q430">
        <v>0</v>
      </c>
      <c r="R430">
        <v>0</v>
      </c>
      <c r="S430" s="28">
        <v>11.504359628839868</v>
      </c>
      <c r="T430" s="29">
        <f>SUM(BaseHoras[[#This Row],[Jan/2019]:[Mar/2019]])</f>
        <v>11.504359628839868</v>
      </c>
      <c r="U430" s="29">
        <f>SUM(BaseHoras[[#This Row],[Abr/2019]:[Jun/2019]])</f>
        <v>0</v>
      </c>
      <c r="V430" s="29">
        <f>SUM(BaseHoras[[#This Row],[Jul/2019]:[Set/2019]])</f>
        <v>0</v>
      </c>
      <c r="W430" s="29">
        <f>SUM(BaseHoras[[#This Row],[Out/2019]:[Dez/2019]])</f>
        <v>0</v>
      </c>
    </row>
    <row r="431" spans="1:23">
      <c r="A431" t="s">
        <v>151</v>
      </c>
      <c r="B431" t="s">
        <v>168</v>
      </c>
      <c r="C431" t="s">
        <v>292</v>
      </c>
      <c r="D431" t="s">
        <v>101</v>
      </c>
      <c r="E431" t="s">
        <v>192</v>
      </c>
      <c r="F431">
        <v>0</v>
      </c>
      <c r="G431">
        <v>0</v>
      </c>
      <c r="H431">
        <v>50.030049647880162</v>
      </c>
      <c r="I431">
        <v>0</v>
      </c>
      <c r="J431">
        <v>0</v>
      </c>
      <c r="K431">
        <v>0</v>
      </c>
      <c r="L431">
        <v>0</v>
      </c>
      <c r="M431" s="28">
        <v>0</v>
      </c>
      <c r="N431" s="28">
        <v>0</v>
      </c>
      <c r="O431">
        <v>0</v>
      </c>
      <c r="P431">
        <v>0</v>
      </c>
      <c r="Q431">
        <v>0</v>
      </c>
      <c r="R431">
        <v>0</v>
      </c>
      <c r="S431" s="28">
        <v>50.030049647880162</v>
      </c>
      <c r="T431" s="29">
        <f>SUM(BaseHoras[[#This Row],[Jan/2019]:[Mar/2019]])</f>
        <v>50.030049647880162</v>
      </c>
      <c r="U431" s="29">
        <f>SUM(BaseHoras[[#This Row],[Abr/2019]:[Jun/2019]])</f>
        <v>0</v>
      </c>
      <c r="V431" s="29">
        <f>SUM(BaseHoras[[#This Row],[Jul/2019]:[Set/2019]])</f>
        <v>0</v>
      </c>
      <c r="W431" s="29">
        <f>SUM(BaseHoras[[#This Row],[Out/2019]:[Dez/2019]])</f>
        <v>0</v>
      </c>
    </row>
    <row r="432" spans="1:23">
      <c r="A432" t="s">
        <v>151</v>
      </c>
      <c r="B432" t="s">
        <v>168</v>
      </c>
      <c r="C432" t="s">
        <v>292</v>
      </c>
      <c r="D432" t="s">
        <v>112</v>
      </c>
      <c r="E432" t="s">
        <v>192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21.175319609425092</v>
      </c>
      <c r="L432">
        <v>0</v>
      </c>
      <c r="M432" s="28">
        <v>0</v>
      </c>
      <c r="N432" s="28">
        <v>0</v>
      </c>
      <c r="O432">
        <v>0</v>
      </c>
      <c r="P432">
        <v>0</v>
      </c>
      <c r="Q432">
        <v>0</v>
      </c>
      <c r="R432">
        <v>0</v>
      </c>
      <c r="S432" s="28">
        <v>21.175319609425092</v>
      </c>
      <c r="T432" s="29">
        <f>SUM(BaseHoras[[#This Row],[Jan/2019]:[Mar/2019]])</f>
        <v>0</v>
      </c>
      <c r="U432" s="29">
        <f>SUM(BaseHoras[[#This Row],[Abr/2019]:[Jun/2019]])</f>
        <v>21.175319609425092</v>
      </c>
      <c r="V432" s="29">
        <f>SUM(BaseHoras[[#This Row],[Jul/2019]:[Set/2019]])</f>
        <v>0</v>
      </c>
      <c r="W432" s="29">
        <f>SUM(BaseHoras[[#This Row],[Out/2019]:[Dez/2019]])</f>
        <v>0</v>
      </c>
    </row>
    <row r="433" spans="1:23">
      <c r="A433" t="s">
        <v>151</v>
      </c>
      <c r="B433" t="s">
        <v>168</v>
      </c>
      <c r="C433" t="s">
        <v>292</v>
      </c>
      <c r="D433" t="s">
        <v>113</v>
      </c>
      <c r="E433" t="s">
        <v>192</v>
      </c>
      <c r="F433">
        <v>588.19805487712256</v>
      </c>
      <c r="G433">
        <v>11.402241204803275</v>
      </c>
      <c r="H433">
        <v>0</v>
      </c>
      <c r="I433">
        <v>0</v>
      </c>
      <c r="J433">
        <v>0</v>
      </c>
      <c r="K433">
        <v>0</v>
      </c>
      <c r="L433">
        <v>0</v>
      </c>
      <c r="M433" s="28">
        <v>0</v>
      </c>
      <c r="N433" s="28">
        <v>0</v>
      </c>
      <c r="O433">
        <v>0</v>
      </c>
      <c r="P433">
        <v>0</v>
      </c>
      <c r="Q433">
        <v>0</v>
      </c>
      <c r="R433">
        <v>0</v>
      </c>
      <c r="S433" s="28">
        <v>599.60029608192588</v>
      </c>
      <c r="T433" s="29">
        <f>SUM(BaseHoras[[#This Row],[Jan/2019]:[Mar/2019]])</f>
        <v>599.60029608192588</v>
      </c>
      <c r="U433" s="29">
        <f>SUM(BaseHoras[[#This Row],[Abr/2019]:[Jun/2019]])</f>
        <v>0</v>
      </c>
      <c r="V433" s="29">
        <f>SUM(BaseHoras[[#This Row],[Jul/2019]:[Set/2019]])</f>
        <v>0</v>
      </c>
      <c r="W433" s="29">
        <f>SUM(BaseHoras[[#This Row],[Out/2019]:[Dez/2019]])</f>
        <v>0</v>
      </c>
    </row>
    <row r="434" spans="1:23">
      <c r="A434" t="s">
        <v>151</v>
      </c>
      <c r="B434" t="s">
        <v>168</v>
      </c>
      <c r="C434" t="s">
        <v>292</v>
      </c>
      <c r="D434" t="s">
        <v>116</v>
      </c>
      <c r="E434" t="s">
        <v>192</v>
      </c>
      <c r="F434">
        <v>0</v>
      </c>
      <c r="G434">
        <v>0</v>
      </c>
      <c r="H434">
        <v>48.070084183498544</v>
      </c>
      <c r="I434">
        <v>165.95341142310181</v>
      </c>
      <c r="J434">
        <v>0</v>
      </c>
      <c r="K434">
        <v>0</v>
      </c>
      <c r="L434">
        <v>0</v>
      </c>
      <c r="M434" s="28">
        <v>0</v>
      </c>
      <c r="N434" s="28">
        <v>0</v>
      </c>
      <c r="O434">
        <v>0</v>
      </c>
      <c r="P434">
        <v>0</v>
      </c>
      <c r="Q434">
        <v>0</v>
      </c>
      <c r="R434">
        <v>0</v>
      </c>
      <c r="S434" s="28">
        <v>214.02349560660036</v>
      </c>
      <c r="T434" s="29">
        <f>SUM(BaseHoras[[#This Row],[Jan/2019]:[Mar/2019]])</f>
        <v>48.070084183498544</v>
      </c>
      <c r="U434" s="29">
        <f>SUM(BaseHoras[[#This Row],[Abr/2019]:[Jun/2019]])</f>
        <v>165.95341142310181</v>
      </c>
      <c r="V434" s="29">
        <f>SUM(BaseHoras[[#This Row],[Jul/2019]:[Set/2019]])</f>
        <v>0</v>
      </c>
      <c r="W434" s="29">
        <f>SUM(BaseHoras[[#This Row],[Out/2019]:[Dez/2019]])</f>
        <v>0</v>
      </c>
    </row>
    <row r="435" spans="1:23">
      <c r="A435" t="s">
        <v>151</v>
      </c>
      <c r="B435" t="s">
        <v>168</v>
      </c>
      <c r="C435" t="s">
        <v>293</v>
      </c>
      <c r="D435" t="s">
        <v>35</v>
      </c>
      <c r="E435" t="s">
        <v>192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s="28">
        <v>0</v>
      </c>
      <c r="N435" s="28">
        <v>1106.9960316063691</v>
      </c>
      <c r="O435">
        <v>4912.429325516604</v>
      </c>
      <c r="P435">
        <v>2058.7051290696836</v>
      </c>
      <c r="Q435">
        <v>4.8750961629939464</v>
      </c>
      <c r="R435">
        <v>0</v>
      </c>
      <c r="S435" s="28">
        <v>8083.0055823556504</v>
      </c>
      <c r="T435" s="29">
        <f>SUM(BaseHoras[[#This Row],[Jan/2019]:[Mar/2019]])</f>
        <v>0</v>
      </c>
      <c r="U435" s="29">
        <f>SUM(BaseHoras[[#This Row],[Abr/2019]:[Jun/2019]])</f>
        <v>0</v>
      </c>
      <c r="V435" s="29">
        <f>SUM(BaseHoras[[#This Row],[Jul/2019]:[Set/2019]])</f>
        <v>1106.9960316063691</v>
      </c>
      <c r="W435" s="29">
        <f>SUM(BaseHoras[[#This Row],[Out/2019]:[Dez/2019]])</f>
        <v>6976.0095507492815</v>
      </c>
    </row>
    <row r="436" spans="1:23">
      <c r="A436" t="s">
        <v>151</v>
      </c>
      <c r="B436" t="s">
        <v>168</v>
      </c>
      <c r="C436" t="s">
        <v>293</v>
      </c>
      <c r="D436" t="s">
        <v>87</v>
      </c>
      <c r="E436" t="s">
        <v>192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s="28">
        <v>0</v>
      </c>
      <c r="N436" s="28">
        <v>0</v>
      </c>
      <c r="O436">
        <v>39.901777220529169</v>
      </c>
      <c r="P436">
        <v>2390.0480670899506</v>
      </c>
      <c r="Q436">
        <v>94.539450088971023</v>
      </c>
      <c r="R436">
        <v>0</v>
      </c>
      <c r="S436" s="28">
        <v>2524.489294399451</v>
      </c>
      <c r="T436" s="29">
        <f>SUM(BaseHoras[[#This Row],[Jan/2019]:[Mar/2019]])</f>
        <v>0</v>
      </c>
      <c r="U436" s="29">
        <f>SUM(BaseHoras[[#This Row],[Abr/2019]:[Jun/2019]])</f>
        <v>0</v>
      </c>
      <c r="V436" s="29">
        <f>SUM(BaseHoras[[#This Row],[Jul/2019]:[Set/2019]])</f>
        <v>0</v>
      </c>
      <c r="W436" s="29">
        <f>SUM(BaseHoras[[#This Row],[Out/2019]:[Dez/2019]])</f>
        <v>2524.489294399451</v>
      </c>
    </row>
    <row r="437" spans="1:23">
      <c r="A437" t="s">
        <v>151</v>
      </c>
      <c r="B437" t="s">
        <v>168</v>
      </c>
      <c r="C437" t="s">
        <v>293</v>
      </c>
      <c r="D437" t="s">
        <v>138</v>
      </c>
      <c r="E437" t="s">
        <v>192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s="28">
        <v>0</v>
      </c>
      <c r="N437" s="28">
        <v>0</v>
      </c>
      <c r="O437">
        <v>24.993060323100181</v>
      </c>
      <c r="P437">
        <v>0</v>
      </c>
      <c r="Q437">
        <v>244.60870312593184</v>
      </c>
      <c r="R437">
        <v>0</v>
      </c>
      <c r="S437" s="28">
        <v>269.60176344903203</v>
      </c>
      <c r="T437" s="29">
        <f>SUM(BaseHoras[[#This Row],[Jan/2019]:[Mar/2019]])</f>
        <v>0</v>
      </c>
      <c r="U437" s="29">
        <f>SUM(BaseHoras[[#This Row],[Abr/2019]:[Jun/2019]])</f>
        <v>0</v>
      </c>
      <c r="V437" s="29">
        <f>SUM(BaseHoras[[#This Row],[Jul/2019]:[Set/2019]])</f>
        <v>0</v>
      </c>
      <c r="W437" s="29">
        <f>SUM(BaseHoras[[#This Row],[Out/2019]:[Dez/2019]])</f>
        <v>269.60176344903203</v>
      </c>
    </row>
    <row r="438" spans="1:23">
      <c r="A438" t="s">
        <v>151</v>
      </c>
      <c r="B438" t="s">
        <v>168</v>
      </c>
      <c r="C438" t="s">
        <v>294</v>
      </c>
      <c r="D438" t="s">
        <v>25</v>
      </c>
      <c r="E438" t="s">
        <v>260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s="28">
        <v>10.265196248093471</v>
      </c>
      <c r="N438" s="28">
        <v>22.321513988016328</v>
      </c>
      <c r="O438">
        <v>0</v>
      </c>
      <c r="P438">
        <v>0</v>
      </c>
      <c r="Q438">
        <v>0</v>
      </c>
      <c r="R438">
        <v>0</v>
      </c>
      <c r="S438" s="28">
        <v>32.586710236109795</v>
      </c>
      <c r="T438" s="29">
        <f>SUM(BaseHoras[[#This Row],[Jan/2019]:[Mar/2019]])</f>
        <v>0</v>
      </c>
      <c r="U438" s="29">
        <f>SUM(BaseHoras[[#This Row],[Abr/2019]:[Jun/2019]])</f>
        <v>0</v>
      </c>
      <c r="V438" s="29">
        <f>SUM(BaseHoras[[#This Row],[Jul/2019]:[Set/2019]])</f>
        <v>32.586710236109795</v>
      </c>
      <c r="W438" s="29">
        <f>SUM(BaseHoras[[#This Row],[Out/2019]:[Dez/2019]])</f>
        <v>0</v>
      </c>
    </row>
    <row r="439" spans="1:23">
      <c r="A439" t="s">
        <v>151</v>
      </c>
      <c r="B439" t="s">
        <v>168</v>
      </c>
      <c r="C439" t="s">
        <v>294</v>
      </c>
      <c r="D439" t="s">
        <v>36</v>
      </c>
      <c r="E439" t="s">
        <v>260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15.147432835869232</v>
      </c>
      <c r="M439" s="28">
        <v>995.16549458985446</v>
      </c>
      <c r="N439" s="28">
        <v>28143.504310932563</v>
      </c>
      <c r="O439">
        <v>0</v>
      </c>
      <c r="P439">
        <v>0</v>
      </c>
      <c r="Q439">
        <v>0</v>
      </c>
      <c r="R439">
        <v>0</v>
      </c>
      <c r="S439" s="28">
        <v>29153.817238358286</v>
      </c>
      <c r="T439" s="29">
        <f>SUM(BaseHoras[[#This Row],[Jan/2019]:[Mar/2019]])</f>
        <v>0</v>
      </c>
      <c r="U439" s="29">
        <f>SUM(BaseHoras[[#This Row],[Abr/2019]:[Jun/2019]])</f>
        <v>0</v>
      </c>
      <c r="V439" s="29">
        <f>SUM(BaseHoras[[#This Row],[Jul/2019]:[Set/2019]])</f>
        <v>29153.817238358286</v>
      </c>
      <c r="W439" s="29">
        <f>SUM(BaseHoras[[#This Row],[Out/2019]:[Dez/2019]])</f>
        <v>0</v>
      </c>
    </row>
    <row r="440" spans="1:23">
      <c r="A440" t="s">
        <v>151</v>
      </c>
      <c r="B440" t="s">
        <v>168</v>
      </c>
      <c r="C440" t="s">
        <v>294</v>
      </c>
      <c r="D440" t="s">
        <v>66</v>
      </c>
      <c r="E440" t="s">
        <v>260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242.66776599911091</v>
      </c>
      <c r="M440" s="28">
        <v>0</v>
      </c>
      <c r="N440" s="28">
        <v>0</v>
      </c>
      <c r="O440">
        <v>0</v>
      </c>
      <c r="P440">
        <v>0</v>
      </c>
      <c r="Q440">
        <v>0</v>
      </c>
      <c r="R440">
        <v>0</v>
      </c>
      <c r="S440" s="28">
        <v>242.66776599911091</v>
      </c>
      <c r="T440" s="29">
        <f>SUM(BaseHoras[[#This Row],[Jan/2019]:[Mar/2019]])</f>
        <v>0</v>
      </c>
      <c r="U440" s="29">
        <f>SUM(BaseHoras[[#This Row],[Abr/2019]:[Jun/2019]])</f>
        <v>0</v>
      </c>
      <c r="V440" s="29">
        <f>SUM(BaseHoras[[#This Row],[Jul/2019]:[Set/2019]])</f>
        <v>242.66776599911091</v>
      </c>
      <c r="W440" s="29">
        <f>SUM(BaseHoras[[#This Row],[Out/2019]:[Dez/2019]])</f>
        <v>0</v>
      </c>
    </row>
    <row r="441" spans="1:23">
      <c r="A441" t="s">
        <v>151</v>
      </c>
      <c r="B441" t="s">
        <v>168</v>
      </c>
      <c r="C441" t="s">
        <v>294</v>
      </c>
      <c r="D441" t="s">
        <v>132</v>
      </c>
      <c r="E441" t="s">
        <v>260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s="28">
        <v>1.597515922726203</v>
      </c>
      <c r="N441" s="28">
        <v>0</v>
      </c>
      <c r="O441">
        <v>0</v>
      </c>
      <c r="P441">
        <v>0</v>
      </c>
      <c r="Q441">
        <v>0</v>
      </c>
      <c r="R441">
        <v>0</v>
      </c>
      <c r="S441" s="28">
        <v>1.597515922726203</v>
      </c>
      <c r="T441" s="29">
        <f>SUM(BaseHoras[[#This Row],[Jan/2019]:[Mar/2019]])</f>
        <v>0</v>
      </c>
      <c r="U441" s="29">
        <f>SUM(BaseHoras[[#This Row],[Abr/2019]:[Jun/2019]])</f>
        <v>0</v>
      </c>
      <c r="V441" s="29">
        <f>SUM(BaseHoras[[#This Row],[Jul/2019]:[Set/2019]])</f>
        <v>1.597515922726203</v>
      </c>
      <c r="W441" s="29">
        <f>SUM(BaseHoras[[#This Row],[Out/2019]:[Dez/2019]])</f>
        <v>0</v>
      </c>
    </row>
    <row r="442" spans="1:23">
      <c r="A442" t="s">
        <v>151</v>
      </c>
      <c r="B442" t="s">
        <v>168</v>
      </c>
      <c r="C442" t="s">
        <v>295</v>
      </c>
      <c r="D442" t="s">
        <v>35</v>
      </c>
      <c r="E442" t="s">
        <v>152</v>
      </c>
      <c r="F442">
        <v>0</v>
      </c>
      <c r="G442">
        <v>0</v>
      </c>
      <c r="H442">
        <v>0</v>
      </c>
      <c r="I442">
        <v>0</v>
      </c>
      <c r="J442">
        <v>113.31991776321794</v>
      </c>
      <c r="K442">
        <v>292.6391860922285</v>
      </c>
      <c r="L442">
        <v>0</v>
      </c>
      <c r="M442" s="28">
        <v>0</v>
      </c>
      <c r="N442" s="28">
        <v>0</v>
      </c>
      <c r="O442">
        <v>0</v>
      </c>
      <c r="P442">
        <v>0</v>
      </c>
      <c r="Q442">
        <v>0</v>
      </c>
      <c r="R442">
        <v>0</v>
      </c>
      <c r="S442" s="28">
        <v>405.95910385544641</v>
      </c>
      <c r="T442" s="29">
        <f>SUM(BaseHoras[[#This Row],[Jan/2019]:[Mar/2019]])</f>
        <v>0</v>
      </c>
      <c r="U442" s="29">
        <f>SUM(BaseHoras[[#This Row],[Abr/2019]:[Jun/2019]])</f>
        <v>405.95910385544641</v>
      </c>
      <c r="V442" s="29">
        <f>SUM(BaseHoras[[#This Row],[Jul/2019]:[Set/2019]])</f>
        <v>0</v>
      </c>
      <c r="W442" s="29">
        <f>SUM(BaseHoras[[#This Row],[Out/2019]:[Dez/2019]])</f>
        <v>0</v>
      </c>
    </row>
    <row r="443" spans="1:23">
      <c r="A443" t="s">
        <v>151</v>
      </c>
      <c r="B443" t="s">
        <v>168</v>
      </c>
      <c r="C443" t="s">
        <v>295</v>
      </c>
      <c r="D443" t="s">
        <v>64</v>
      </c>
      <c r="E443" t="s">
        <v>152</v>
      </c>
      <c r="F443">
        <v>0</v>
      </c>
      <c r="G443">
        <v>0</v>
      </c>
      <c r="H443">
        <v>0</v>
      </c>
      <c r="I443">
        <v>0</v>
      </c>
      <c r="J443">
        <v>60.802760672733505</v>
      </c>
      <c r="K443">
        <v>563.886878469713</v>
      </c>
      <c r="L443">
        <v>0</v>
      </c>
      <c r="M443" s="28">
        <v>600.8934932739628</v>
      </c>
      <c r="N443" s="28">
        <v>0</v>
      </c>
      <c r="O443">
        <v>0</v>
      </c>
      <c r="P443">
        <v>0</v>
      </c>
      <c r="Q443">
        <v>0</v>
      </c>
      <c r="R443">
        <v>0</v>
      </c>
      <c r="S443" s="28">
        <v>1225.5831324164092</v>
      </c>
      <c r="T443" s="29">
        <f>SUM(BaseHoras[[#This Row],[Jan/2019]:[Mar/2019]])</f>
        <v>0</v>
      </c>
      <c r="U443" s="29">
        <f>SUM(BaseHoras[[#This Row],[Abr/2019]:[Jun/2019]])</f>
        <v>624.68963914244648</v>
      </c>
      <c r="V443" s="29">
        <f>SUM(BaseHoras[[#This Row],[Jul/2019]:[Set/2019]])</f>
        <v>600.8934932739628</v>
      </c>
      <c r="W443" s="29">
        <f>SUM(BaseHoras[[#This Row],[Out/2019]:[Dez/2019]])</f>
        <v>0</v>
      </c>
    </row>
    <row r="444" spans="1:23">
      <c r="A444" t="s">
        <v>151</v>
      </c>
      <c r="B444" t="s">
        <v>168</v>
      </c>
      <c r="C444" t="s">
        <v>296</v>
      </c>
      <c r="D444" t="s">
        <v>23</v>
      </c>
      <c r="E444" t="s">
        <v>297</v>
      </c>
      <c r="F444">
        <v>0</v>
      </c>
      <c r="G444">
        <v>0</v>
      </c>
      <c r="H444">
        <v>0</v>
      </c>
      <c r="I444">
        <v>0</v>
      </c>
      <c r="J444">
        <v>50.435068971080504</v>
      </c>
      <c r="K444">
        <v>247.97397883724668</v>
      </c>
      <c r="L444">
        <v>0</v>
      </c>
      <c r="M444" s="28">
        <v>1118.1534641544033</v>
      </c>
      <c r="N444" s="28">
        <v>0</v>
      </c>
      <c r="O444">
        <v>0</v>
      </c>
      <c r="P444">
        <v>0</v>
      </c>
      <c r="Q444">
        <v>0</v>
      </c>
      <c r="R444">
        <v>0</v>
      </c>
      <c r="S444" s="28">
        <v>1416.5625119627305</v>
      </c>
      <c r="T444" s="29">
        <f>SUM(BaseHoras[[#This Row],[Jan/2019]:[Mar/2019]])</f>
        <v>0</v>
      </c>
      <c r="U444" s="29">
        <f>SUM(BaseHoras[[#This Row],[Abr/2019]:[Jun/2019]])</f>
        <v>298.40904780832716</v>
      </c>
      <c r="V444" s="29">
        <f>SUM(BaseHoras[[#This Row],[Jul/2019]:[Set/2019]])</f>
        <v>1118.1534641544033</v>
      </c>
      <c r="W444" s="29">
        <f>SUM(BaseHoras[[#This Row],[Out/2019]:[Dez/2019]])</f>
        <v>0</v>
      </c>
    </row>
    <row r="445" spans="1:23">
      <c r="A445" t="s">
        <v>151</v>
      </c>
      <c r="B445" t="s">
        <v>168</v>
      </c>
      <c r="C445" t="s">
        <v>296</v>
      </c>
      <c r="D445" t="s">
        <v>29</v>
      </c>
      <c r="E445" t="s">
        <v>297</v>
      </c>
      <c r="F445">
        <v>0</v>
      </c>
      <c r="G445">
        <v>0</v>
      </c>
      <c r="H445">
        <v>0</v>
      </c>
      <c r="I445">
        <v>1162.2441182138164</v>
      </c>
      <c r="J445">
        <v>60.166868395056383</v>
      </c>
      <c r="K445">
        <v>123.6061861900577</v>
      </c>
      <c r="L445">
        <v>0</v>
      </c>
      <c r="M445" s="28">
        <v>0</v>
      </c>
      <c r="N445" s="28">
        <v>0</v>
      </c>
      <c r="O445">
        <v>0</v>
      </c>
      <c r="P445">
        <v>0</v>
      </c>
      <c r="Q445">
        <v>0</v>
      </c>
      <c r="R445">
        <v>0</v>
      </c>
      <c r="S445" s="28">
        <v>1346.0171727989305</v>
      </c>
      <c r="T445" s="29">
        <f>SUM(BaseHoras[[#This Row],[Jan/2019]:[Mar/2019]])</f>
        <v>0</v>
      </c>
      <c r="U445" s="29">
        <f>SUM(BaseHoras[[#This Row],[Abr/2019]:[Jun/2019]])</f>
        <v>1346.0171727989305</v>
      </c>
      <c r="V445" s="29">
        <f>SUM(BaseHoras[[#This Row],[Jul/2019]:[Set/2019]])</f>
        <v>0</v>
      </c>
      <c r="W445" s="29">
        <f>SUM(BaseHoras[[#This Row],[Out/2019]:[Dez/2019]])</f>
        <v>0</v>
      </c>
    </row>
    <row r="446" spans="1:23">
      <c r="A446" t="s">
        <v>151</v>
      </c>
      <c r="B446" t="s">
        <v>168</v>
      </c>
      <c r="C446" t="s">
        <v>296</v>
      </c>
      <c r="D446" t="s">
        <v>30</v>
      </c>
      <c r="E446" t="s">
        <v>297</v>
      </c>
      <c r="F446">
        <v>0</v>
      </c>
      <c r="G446">
        <v>0</v>
      </c>
      <c r="H446">
        <v>0</v>
      </c>
      <c r="I446">
        <v>13.329370464901462</v>
      </c>
      <c r="J446">
        <v>2672.3457301176086</v>
      </c>
      <c r="K446">
        <v>49.510729979358366</v>
      </c>
      <c r="L446">
        <v>0</v>
      </c>
      <c r="M446" s="28">
        <v>0</v>
      </c>
      <c r="N446" s="28">
        <v>0</v>
      </c>
      <c r="O446">
        <v>0</v>
      </c>
      <c r="P446">
        <v>0</v>
      </c>
      <c r="Q446">
        <v>0</v>
      </c>
      <c r="R446">
        <v>0</v>
      </c>
      <c r="S446" s="28">
        <v>2735.1858305618684</v>
      </c>
      <c r="T446" s="29">
        <f>SUM(BaseHoras[[#This Row],[Jan/2019]:[Mar/2019]])</f>
        <v>0</v>
      </c>
      <c r="U446" s="29">
        <f>SUM(BaseHoras[[#This Row],[Abr/2019]:[Jun/2019]])</f>
        <v>2735.1858305618684</v>
      </c>
      <c r="V446" s="29">
        <f>SUM(BaseHoras[[#This Row],[Jul/2019]:[Set/2019]])</f>
        <v>0</v>
      </c>
      <c r="W446" s="29">
        <f>SUM(BaseHoras[[#This Row],[Out/2019]:[Dez/2019]])</f>
        <v>0</v>
      </c>
    </row>
    <row r="447" spans="1:23">
      <c r="A447" t="s">
        <v>151</v>
      </c>
      <c r="B447" t="s">
        <v>168</v>
      </c>
      <c r="C447" t="s">
        <v>296</v>
      </c>
      <c r="D447" t="s">
        <v>31</v>
      </c>
      <c r="E447" t="s">
        <v>297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s="28">
        <v>0</v>
      </c>
      <c r="N447" s="28">
        <v>0</v>
      </c>
      <c r="O447">
        <v>232.85800063460584</v>
      </c>
      <c r="P447">
        <v>204.58737157233162</v>
      </c>
      <c r="Q447">
        <v>44.878768054473383</v>
      </c>
      <c r="R447">
        <v>0</v>
      </c>
      <c r="S447" s="28">
        <v>482.32414026141083</v>
      </c>
      <c r="T447" s="29">
        <f>SUM(BaseHoras[[#This Row],[Jan/2019]:[Mar/2019]])</f>
        <v>0</v>
      </c>
      <c r="U447" s="29">
        <f>SUM(BaseHoras[[#This Row],[Abr/2019]:[Jun/2019]])</f>
        <v>0</v>
      </c>
      <c r="V447" s="29">
        <f>SUM(BaseHoras[[#This Row],[Jul/2019]:[Set/2019]])</f>
        <v>0</v>
      </c>
      <c r="W447" s="29">
        <f>SUM(BaseHoras[[#This Row],[Out/2019]:[Dez/2019]])</f>
        <v>482.32414026141083</v>
      </c>
    </row>
    <row r="448" spans="1:23">
      <c r="A448" t="s">
        <v>151</v>
      </c>
      <c r="B448" t="s">
        <v>168</v>
      </c>
      <c r="C448" t="s">
        <v>296</v>
      </c>
      <c r="D448" t="s">
        <v>49</v>
      </c>
      <c r="E448" t="s">
        <v>297</v>
      </c>
      <c r="F448">
        <v>0</v>
      </c>
      <c r="G448">
        <v>0</v>
      </c>
      <c r="H448">
        <v>0</v>
      </c>
      <c r="I448">
        <v>252.65827724863928</v>
      </c>
      <c r="J448">
        <v>22.670449743287744</v>
      </c>
      <c r="K448">
        <v>0</v>
      </c>
      <c r="L448">
        <v>0</v>
      </c>
      <c r="M448" s="28">
        <v>0</v>
      </c>
      <c r="N448" s="28">
        <v>0</v>
      </c>
      <c r="O448">
        <v>0</v>
      </c>
      <c r="P448">
        <v>0</v>
      </c>
      <c r="Q448">
        <v>0</v>
      </c>
      <c r="R448">
        <v>0</v>
      </c>
      <c r="S448" s="28">
        <v>275.328726991927</v>
      </c>
      <c r="T448" s="29">
        <f>SUM(BaseHoras[[#This Row],[Jan/2019]:[Mar/2019]])</f>
        <v>0</v>
      </c>
      <c r="U448" s="29">
        <f>SUM(BaseHoras[[#This Row],[Abr/2019]:[Jun/2019]])</f>
        <v>275.328726991927</v>
      </c>
      <c r="V448" s="29">
        <f>SUM(BaseHoras[[#This Row],[Jul/2019]:[Set/2019]])</f>
        <v>0</v>
      </c>
      <c r="W448" s="29">
        <f>SUM(BaseHoras[[#This Row],[Out/2019]:[Dez/2019]])</f>
        <v>0</v>
      </c>
    </row>
    <row r="449" spans="1:23">
      <c r="A449" t="s">
        <v>151</v>
      </c>
      <c r="B449" t="s">
        <v>168</v>
      </c>
      <c r="C449" t="s">
        <v>296</v>
      </c>
      <c r="D449" t="s">
        <v>60</v>
      </c>
      <c r="E449" t="s">
        <v>297</v>
      </c>
      <c r="F449">
        <v>0</v>
      </c>
      <c r="G449">
        <v>0</v>
      </c>
      <c r="H449">
        <v>0</v>
      </c>
      <c r="I449">
        <v>0</v>
      </c>
      <c r="J449">
        <v>1540.4735284666963</v>
      </c>
      <c r="K449">
        <v>0</v>
      </c>
      <c r="L449">
        <v>0</v>
      </c>
      <c r="M449" s="28">
        <v>0</v>
      </c>
      <c r="N449" s="28">
        <v>0</v>
      </c>
      <c r="O449">
        <v>0</v>
      </c>
      <c r="P449">
        <v>0</v>
      </c>
      <c r="Q449">
        <v>0</v>
      </c>
      <c r="R449">
        <v>0</v>
      </c>
      <c r="S449" s="28">
        <v>1540.4735284666963</v>
      </c>
      <c r="T449" s="29">
        <f>SUM(BaseHoras[[#This Row],[Jan/2019]:[Mar/2019]])</f>
        <v>0</v>
      </c>
      <c r="U449" s="29">
        <f>SUM(BaseHoras[[#This Row],[Abr/2019]:[Jun/2019]])</f>
        <v>1540.4735284666963</v>
      </c>
      <c r="V449" s="29">
        <f>SUM(BaseHoras[[#This Row],[Jul/2019]:[Set/2019]])</f>
        <v>0</v>
      </c>
      <c r="W449" s="29">
        <f>SUM(BaseHoras[[#This Row],[Out/2019]:[Dez/2019]])</f>
        <v>0</v>
      </c>
    </row>
    <row r="450" spans="1:23">
      <c r="A450" t="s">
        <v>151</v>
      </c>
      <c r="B450" t="s">
        <v>168</v>
      </c>
      <c r="C450" t="s">
        <v>296</v>
      </c>
      <c r="D450" t="s">
        <v>64</v>
      </c>
      <c r="E450" t="s">
        <v>297</v>
      </c>
      <c r="F450">
        <v>0</v>
      </c>
      <c r="G450">
        <v>0</v>
      </c>
      <c r="H450">
        <v>0</v>
      </c>
      <c r="I450">
        <v>772.76520279623628</v>
      </c>
      <c r="J450">
        <v>0</v>
      </c>
      <c r="K450">
        <v>0</v>
      </c>
      <c r="L450">
        <v>0</v>
      </c>
      <c r="M450" s="28">
        <v>0</v>
      </c>
      <c r="N450" s="28">
        <v>0</v>
      </c>
      <c r="O450">
        <v>5418.5938198190806</v>
      </c>
      <c r="P450">
        <v>0</v>
      </c>
      <c r="Q450">
        <v>0</v>
      </c>
      <c r="R450">
        <v>0</v>
      </c>
      <c r="S450" s="28">
        <v>6191.3590226153174</v>
      </c>
      <c r="T450" s="29">
        <f>SUM(BaseHoras[[#This Row],[Jan/2019]:[Mar/2019]])</f>
        <v>0</v>
      </c>
      <c r="U450" s="29">
        <f>SUM(BaseHoras[[#This Row],[Abr/2019]:[Jun/2019]])</f>
        <v>772.76520279623628</v>
      </c>
      <c r="V450" s="29">
        <f>SUM(BaseHoras[[#This Row],[Jul/2019]:[Set/2019]])</f>
        <v>0</v>
      </c>
      <c r="W450" s="29">
        <f>SUM(BaseHoras[[#This Row],[Out/2019]:[Dez/2019]])</f>
        <v>5418.5938198190806</v>
      </c>
    </row>
    <row r="451" spans="1:23">
      <c r="A451" t="s">
        <v>151</v>
      </c>
      <c r="B451" t="s">
        <v>168</v>
      </c>
      <c r="C451" t="s">
        <v>296</v>
      </c>
      <c r="D451" t="s">
        <v>68</v>
      </c>
      <c r="E451" t="s">
        <v>297</v>
      </c>
      <c r="F451">
        <v>0</v>
      </c>
      <c r="G451">
        <v>0</v>
      </c>
      <c r="H451">
        <v>0</v>
      </c>
      <c r="I451">
        <v>112.76712347196548</v>
      </c>
      <c r="J451">
        <v>0</v>
      </c>
      <c r="K451">
        <v>0</v>
      </c>
      <c r="L451">
        <v>0</v>
      </c>
      <c r="M451" s="28">
        <v>0</v>
      </c>
      <c r="N451" s="28">
        <v>0</v>
      </c>
      <c r="O451">
        <v>0</v>
      </c>
      <c r="P451">
        <v>0</v>
      </c>
      <c r="Q451">
        <v>0</v>
      </c>
      <c r="R451">
        <v>0</v>
      </c>
      <c r="S451" s="28">
        <v>112.76712347196548</v>
      </c>
      <c r="T451" s="29">
        <f>SUM(BaseHoras[[#This Row],[Jan/2019]:[Mar/2019]])</f>
        <v>0</v>
      </c>
      <c r="U451" s="29">
        <f>SUM(BaseHoras[[#This Row],[Abr/2019]:[Jun/2019]])</f>
        <v>112.76712347196548</v>
      </c>
      <c r="V451" s="29">
        <f>SUM(BaseHoras[[#This Row],[Jul/2019]:[Set/2019]])</f>
        <v>0</v>
      </c>
      <c r="W451" s="29">
        <f>SUM(BaseHoras[[#This Row],[Out/2019]:[Dez/2019]])</f>
        <v>0</v>
      </c>
    </row>
    <row r="452" spans="1:23">
      <c r="A452" t="s">
        <v>151</v>
      </c>
      <c r="B452" t="s">
        <v>168</v>
      </c>
      <c r="C452" t="s">
        <v>296</v>
      </c>
      <c r="D452" t="s">
        <v>72</v>
      </c>
      <c r="E452" t="s">
        <v>297</v>
      </c>
      <c r="F452">
        <v>0</v>
      </c>
      <c r="G452">
        <v>0</v>
      </c>
      <c r="H452">
        <v>0</v>
      </c>
      <c r="I452">
        <v>0</v>
      </c>
      <c r="J452">
        <v>17.579004941332617</v>
      </c>
      <c r="K452">
        <v>0</v>
      </c>
      <c r="L452">
        <v>0</v>
      </c>
      <c r="M452" s="28">
        <v>0</v>
      </c>
      <c r="N452" s="28">
        <v>0</v>
      </c>
      <c r="O452">
        <v>0</v>
      </c>
      <c r="P452">
        <v>0</v>
      </c>
      <c r="Q452">
        <v>0</v>
      </c>
      <c r="R452">
        <v>0</v>
      </c>
      <c r="S452" s="28">
        <v>17.579004941332617</v>
      </c>
      <c r="T452" s="29">
        <f>SUM(BaseHoras[[#This Row],[Jan/2019]:[Mar/2019]])</f>
        <v>0</v>
      </c>
      <c r="U452" s="29">
        <f>SUM(BaseHoras[[#This Row],[Abr/2019]:[Jun/2019]])</f>
        <v>17.579004941332617</v>
      </c>
      <c r="V452" s="29">
        <f>SUM(BaseHoras[[#This Row],[Jul/2019]:[Set/2019]])</f>
        <v>0</v>
      </c>
      <c r="W452" s="29">
        <f>SUM(BaseHoras[[#This Row],[Out/2019]:[Dez/2019]])</f>
        <v>0</v>
      </c>
    </row>
    <row r="453" spans="1:23">
      <c r="A453" t="s">
        <v>151</v>
      </c>
      <c r="B453" t="s">
        <v>168</v>
      </c>
      <c r="C453" t="s">
        <v>296</v>
      </c>
      <c r="D453" t="s">
        <v>87</v>
      </c>
      <c r="E453" t="s">
        <v>297</v>
      </c>
      <c r="F453">
        <v>0</v>
      </c>
      <c r="G453">
        <v>0</v>
      </c>
      <c r="H453">
        <v>0</v>
      </c>
      <c r="I453">
        <v>238.68472210026408</v>
      </c>
      <c r="J453">
        <v>800.64884449343481</v>
      </c>
      <c r="K453">
        <v>0</v>
      </c>
      <c r="L453">
        <v>0</v>
      </c>
      <c r="M453" s="28">
        <v>0</v>
      </c>
      <c r="N453" s="28">
        <v>15.770856889966218</v>
      </c>
      <c r="O453">
        <v>0</v>
      </c>
      <c r="P453">
        <v>0</v>
      </c>
      <c r="Q453">
        <v>0</v>
      </c>
      <c r="R453">
        <v>0</v>
      </c>
      <c r="S453" s="28">
        <v>1055.104423483665</v>
      </c>
      <c r="T453" s="29">
        <f>SUM(BaseHoras[[#This Row],[Jan/2019]:[Mar/2019]])</f>
        <v>0</v>
      </c>
      <c r="U453" s="29">
        <f>SUM(BaseHoras[[#This Row],[Abr/2019]:[Jun/2019]])</f>
        <v>1039.3335665936988</v>
      </c>
      <c r="V453" s="29">
        <f>SUM(BaseHoras[[#This Row],[Jul/2019]:[Set/2019]])</f>
        <v>15.770856889966218</v>
      </c>
      <c r="W453" s="29">
        <f>SUM(BaseHoras[[#This Row],[Out/2019]:[Dez/2019]])</f>
        <v>0</v>
      </c>
    </row>
    <row r="454" spans="1:23">
      <c r="A454" t="s">
        <v>151</v>
      </c>
      <c r="B454" t="s">
        <v>168</v>
      </c>
      <c r="C454" t="s">
        <v>296</v>
      </c>
      <c r="D454" t="s">
        <v>95</v>
      </c>
      <c r="E454" t="s">
        <v>297</v>
      </c>
      <c r="F454">
        <v>0</v>
      </c>
      <c r="G454">
        <v>0</v>
      </c>
      <c r="H454">
        <v>0</v>
      </c>
      <c r="I454">
        <v>0</v>
      </c>
      <c r="J454">
        <v>163.79442967305408</v>
      </c>
      <c r="K454">
        <v>27.701177000784849</v>
      </c>
      <c r="L454">
        <v>0</v>
      </c>
      <c r="M454" s="28">
        <v>0</v>
      </c>
      <c r="N454" s="28">
        <v>0</v>
      </c>
      <c r="O454">
        <v>0</v>
      </c>
      <c r="P454">
        <v>0</v>
      </c>
      <c r="Q454">
        <v>0</v>
      </c>
      <c r="R454">
        <v>0</v>
      </c>
      <c r="S454" s="28">
        <v>191.49560667383892</v>
      </c>
      <c r="T454" s="29">
        <f>SUM(BaseHoras[[#This Row],[Jan/2019]:[Mar/2019]])</f>
        <v>0</v>
      </c>
      <c r="U454" s="29">
        <f>SUM(BaseHoras[[#This Row],[Abr/2019]:[Jun/2019]])</f>
        <v>191.49560667383892</v>
      </c>
      <c r="V454" s="29">
        <f>SUM(BaseHoras[[#This Row],[Jul/2019]:[Set/2019]])</f>
        <v>0</v>
      </c>
      <c r="W454" s="29">
        <f>SUM(BaseHoras[[#This Row],[Out/2019]:[Dez/2019]])</f>
        <v>0</v>
      </c>
    </row>
    <row r="455" spans="1:23">
      <c r="A455" t="s">
        <v>151</v>
      </c>
      <c r="B455" t="s">
        <v>168</v>
      </c>
      <c r="C455" t="s">
        <v>296</v>
      </c>
      <c r="D455" t="s">
        <v>98</v>
      </c>
      <c r="E455" t="s">
        <v>297</v>
      </c>
      <c r="F455">
        <v>0</v>
      </c>
      <c r="G455">
        <v>0</v>
      </c>
      <c r="H455">
        <v>0</v>
      </c>
      <c r="I455">
        <v>224.30709926993765</v>
      </c>
      <c r="J455">
        <v>25.565073048744477</v>
      </c>
      <c r="K455">
        <v>57.656937921123003</v>
      </c>
      <c r="L455">
        <v>0</v>
      </c>
      <c r="M455" s="28">
        <v>0</v>
      </c>
      <c r="N455" s="28">
        <v>0</v>
      </c>
      <c r="O455">
        <v>0</v>
      </c>
      <c r="P455">
        <v>0</v>
      </c>
      <c r="Q455">
        <v>0</v>
      </c>
      <c r="R455">
        <v>0</v>
      </c>
      <c r="S455" s="28">
        <v>307.52911023980511</v>
      </c>
      <c r="T455" s="29">
        <f>SUM(BaseHoras[[#This Row],[Jan/2019]:[Mar/2019]])</f>
        <v>0</v>
      </c>
      <c r="U455" s="29">
        <f>SUM(BaseHoras[[#This Row],[Abr/2019]:[Jun/2019]])</f>
        <v>307.52911023980511</v>
      </c>
      <c r="V455" s="29">
        <f>SUM(BaseHoras[[#This Row],[Jul/2019]:[Set/2019]])</f>
        <v>0</v>
      </c>
      <c r="W455" s="29">
        <f>SUM(BaseHoras[[#This Row],[Out/2019]:[Dez/2019]])</f>
        <v>0</v>
      </c>
    </row>
    <row r="456" spans="1:23">
      <c r="A456" t="s">
        <v>151</v>
      </c>
      <c r="B456" t="s">
        <v>168</v>
      </c>
      <c r="C456" t="s">
        <v>296</v>
      </c>
      <c r="D456" t="s">
        <v>105</v>
      </c>
      <c r="E456" t="s">
        <v>297</v>
      </c>
      <c r="F456">
        <v>0</v>
      </c>
      <c r="G456">
        <v>0</v>
      </c>
      <c r="H456">
        <v>0</v>
      </c>
      <c r="I456">
        <v>586.31833017539941</v>
      </c>
      <c r="J456">
        <v>186.1889470263709</v>
      </c>
      <c r="K456">
        <v>86.540641639909751</v>
      </c>
      <c r="L456">
        <v>0</v>
      </c>
      <c r="M456" s="28">
        <v>0</v>
      </c>
      <c r="N456" s="28">
        <v>0</v>
      </c>
      <c r="O456">
        <v>0</v>
      </c>
      <c r="P456">
        <v>0</v>
      </c>
      <c r="Q456">
        <v>0</v>
      </c>
      <c r="R456">
        <v>0</v>
      </c>
      <c r="S456" s="28">
        <v>859.04791884168003</v>
      </c>
      <c r="T456" s="29">
        <f>SUM(BaseHoras[[#This Row],[Jan/2019]:[Mar/2019]])</f>
        <v>0</v>
      </c>
      <c r="U456" s="29">
        <f>SUM(BaseHoras[[#This Row],[Abr/2019]:[Jun/2019]])</f>
        <v>859.04791884168003</v>
      </c>
      <c r="V456" s="29">
        <f>SUM(BaseHoras[[#This Row],[Jul/2019]:[Set/2019]])</f>
        <v>0</v>
      </c>
      <c r="W456" s="29">
        <f>SUM(BaseHoras[[#This Row],[Out/2019]:[Dez/2019]])</f>
        <v>0</v>
      </c>
    </row>
    <row r="457" spans="1:23">
      <c r="A457" t="s">
        <v>151</v>
      </c>
      <c r="B457" t="s">
        <v>168</v>
      </c>
      <c r="C457" t="s">
        <v>296</v>
      </c>
      <c r="D457" t="s">
        <v>106</v>
      </c>
      <c r="E457" t="s">
        <v>297</v>
      </c>
      <c r="F457">
        <v>661.21144930247249</v>
      </c>
      <c r="G457">
        <v>110.44109451396814</v>
      </c>
      <c r="H457">
        <v>47.80759858817725</v>
      </c>
      <c r="I457">
        <v>0</v>
      </c>
      <c r="J457">
        <v>0</v>
      </c>
      <c r="K457">
        <v>0</v>
      </c>
      <c r="L457">
        <v>0</v>
      </c>
      <c r="M457" s="28">
        <v>0</v>
      </c>
      <c r="N457" s="28">
        <v>0</v>
      </c>
      <c r="O457">
        <v>0</v>
      </c>
      <c r="P457">
        <v>0</v>
      </c>
      <c r="Q457">
        <v>0</v>
      </c>
      <c r="R457">
        <v>0</v>
      </c>
      <c r="S457" s="28">
        <v>819.46014240461784</v>
      </c>
      <c r="T457" s="29">
        <f>SUM(BaseHoras[[#This Row],[Jan/2019]:[Mar/2019]])</f>
        <v>819.46014240461784</v>
      </c>
      <c r="U457" s="29">
        <f>SUM(BaseHoras[[#This Row],[Abr/2019]:[Jun/2019]])</f>
        <v>0</v>
      </c>
      <c r="V457" s="29">
        <f>SUM(BaseHoras[[#This Row],[Jul/2019]:[Set/2019]])</f>
        <v>0</v>
      </c>
      <c r="W457" s="29">
        <f>SUM(BaseHoras[[#This Row],[Out/2019]:[Dez/2019]])</f>
        <v>0</v>
      </c>
    </row>
    <row r="458" spans="1:23">
      <c r="A458" t="s">
        <v>151</v>
      </c>
      <c r="B458" t="s">
        <v>168</v>
      </c>
      <c r="C458" t="s">
        <v>296</v>
      </c>
      <c r="D458" t="s">
        <v>122</v>
      </c>
      <c r="E458" t="s">
        <v>297</v>
      </c>
      <c r="F458">
        <v>0</v>
      </c>
      <c r="G458">
        <v>0</v>
      </c>
      <c r="H458">
        <v>0</v>
      </c>
      <c r="I458">
        <v>86.250333164482186</v>
      </c>
      <c r="J458">
        <v>1050.1133018598707</v>
      </c>
      <c r="K458">
        <v>0</v>
      </c>
      <c r="L458">
        <v>0</v>
      </c>
      <c r="M458" s="28">
        <v>0</v>
      </c>
      <c r="N458" s="28">
        <v>0</v>
      </c>
      <c r="O458">
        <v>4274.3066434445291</v>
      </c>
      <c r="P458">
        <v>0</v>
      </c>
      <c r="Q458">
        <v>0</v>
      </c>
      <c r="R458">
        <v>0</v>
      </c>
      <c r="S458" s="28">
        <v>5410.6702784688823</v>
      </c>
      <c r="T458" s="29">
        <f>SUM(BaseHoras[[#This Row],[Jan/2019]:[Mar/2019]])</f>
        <v>0</v>
      </c>
      <c r="U458" s="29">
        <f>SUM(BaseHoras[[#This Row],[Abr/2019]:[Jun/2019]])</f>
        <v>1136.3636350243528</v>
      </c>
      <c r="V458" s="29">
        <f>SUM(BaseHoras[[#This Row],[Jul/2019]:[Set/2019]])</f>
        <v>0</v>
      </c>
      <c r="W458" s="29">
        <f>SUM(BaseHoras[[#This Row],[Out/2019]:[Dez/2019]])</f>
        <v>4274.3066434445291</v>
      </c>
    </row>
    <row r="459" spans="1:23">
      <c r="A459" t="s">
        <v>151</v>
      </c>
      <c r="B459" t="s">
        <v>168</v>
      </c>
      <c r="C459" t="s">
        <v>298</v>
      </c>
      <c r="D459" t="s">
        <v>42</v>
      </c>
      <c r="E459" t="s">
        <v>297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s="28">
        <v>0</v>
      </c>
      <c r="N459" s="28">
        <v>0</v>
      </c>
      <c r="O459">
        <v>0</v>
      </c>
      <c r="P459">
        <v>757.41854930004877</v>
      </c>
      <c r="Q459">
        <v>220.69688506832938</v>
      </c>
      <c r="R459">
        <v>0</v>
      </c>
      <c r="S459" s="28">
        <v>978.11543436837815</v>
      </c>
      <c r="T459" s="29">
        <f>SUM(BaseHoras[[#This Row],[Jan/2019]:[Mar/2019]])</f>
        <v>0</v>
      </c>
      <c r="U459" s="29">
        <f>SUM(BaseHoras[[#This Row],[Abr/2019]:[Jun/2019]])</f>
        <v>0</v>
      </c>
      <c r="V459" s="29">
        <f>SUM(BaseHoras[[#This Row],[Jul/2019]:[Set/2019]])</f>
        <v>0</v>
      </c>
      <c r="W459" s="29">
        <f>SUM(BaseHoras[[#This Row],[Out/2019]:[Dez/2019]])</f>
        <v>978.11543436837815</v>
      </c>
    </row>
    <row r="460" spans="1:23">
      <c r="A460" t="s">
        <v>151</v>
      </c>
      <c r="B460" t="s">
        <v>168</v>
      </c>
      <c r="C460" t="s">
        <v>298</v>
      </c>
      <c r="D460" t="s">
        <v>299</v>
      </c>
      <c r="E460" t="s">
        <v>297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s="28">
        <v>0</v>
      </c>
      <c r="N460" s="28">
        <v>0</v>
      </c>
      <c r="O460">
        <v>0</v>
      </c>
      <c r="P460">
        <v>339.57631755554263</v>
      </c>
      <c r="Q460">
        <v>109.39539253869786</v>
      </c>
      <c r="R460">
        <v>0</v>
      </c>
      <c r="S460" s="28">
        <v>448.97171009424051</v>
      </c>
      <c r="T460" s="29">
        <f>SUM(BaseHoras[[#This Row],[Jan/2019]:[Mar/2019]])</f>
        <v>0</v>
      </c>
      <c r="U460" s="29">
        <f>SUM(BaseHoras[[#This Row],[Abr/2019]:[Jun/2019]])</f>
        <v>0</v>
      </c>
      <c r="V460" s="29">
        <f>SUM(BaseHoras[[#This Row],[Jul/2019]:[Set/2019]])</f>
        <v>0</v>
      </c>
      <c r="W460" s="29">
        <f>SUM(BaseHoras[[#This Row],[Out/2019]:[Dez/2019]])</f>
        <v>448.97171009424051</v>
      </c>
    </row>
    <row r="461" spans="1:23">
      <c r="A461" t="s">
        <v>151</v>
      </c>
      <c r="B461" t="s">
        <v>168</v>
      </c>
      <c r="C461" t="s">
        <v>298</v>
      </c>
      <c r="D461" t="s">
        <v>46</v>
      </c>
      <c r="E461" t="s">
        <v>297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s="28">
        <v>0</v>
      </c>
      <c r="N461" s="28">
        <v>0</v>
      </c>
      <c r="O461">
        <v>0</v>
      </c>
      <c r="P461">
        <v>44.295526403667189</v>
      </c>
      <c r="Q461">
        <v>0</v>
      </c>
      <c r="R461">
        <v>0</v>
      </c>
      <c r="S461" s="28">
        <v>44.295526403667189</v>
      </c>
      <c r="T461" s="29">
        <f>SUM(BaseHoras[[#This Row],[Jan/2019]:[Mar/2019]])</f>
        <v>0</v>
      </c>
      <c r="U461" s="29">
        <f>SUM(BaseHoras[[#This Row],[Abr/2019]:[Jun/2019]])</f>
        <v>0</v>
      </c>
      <c r="V461" s="29">
        <f>SUM(BaseHoras[[#This Row],[Jul/2019]:[Set/2019]])</f>
        <v>0</v>
      </c>
      <c r="W461" s="29">
        <f>SUM(BaseHoras[[#This Row],[Out/2019]:[Dez/2019]])</f>
        <v>44.295526403667189</v>
      </c>
    </row>
    <row r="462" spans="1:23">
      <c r="A462" t="s">
        <v>151</v>
      </c>
      <c r="B462" t="s">
        <v>168</v>
      </c>
      <c r="C462" t="s">
        <v>298</v>
      </c>
      <c r="D462" t="s">
        <v>64</v>
      </c>
      <c r="E462" t="s">
        <v>297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s="28">
        <v>0</v>
      </c>
      <c r="N462" s="28">
        <v>0</v>
      </c>
      <c r="O462">
        <v>0</v>
      </c>
      <c r="P462">
        <v>300.14294411956342</v>
      </c>
      <c r="Q462">
        <v>0</v>
      </c>
      <c r="R462">
        <v>0</v>
      </c>
      <c r="S462" s="28">
        <v>300.14294411956342</v>
      </c>
      <c r="T462" s="29">
        <f>SUM(BaseHoras[[#This Row],[Jan/2019]:[Mar/2019]])</f>
        <v>0</v>
      </c>
      <c r="U462" s="29">
        <f>SUM(BaseHoras[[#This Row],[Abr/2019]:[Jun/2019]])</f>
        <v>0</v>
      </c>
      <c r="V462" s="29">
        <f>SUM(BaseHoras[[#This Row],[Jul/2019]:[Set/2019]])</f>
        <v>0</v>
      </c>
      <c r="W462" s="29">
        <f>SUM(BaseHoras[[#This Row],[Out/2019]:[Dez/2019]])</f>
        <v>300.14294411956342</v>
      </c>
    </row>
    <row r="463" spans="1:23">
      <c r="A463" t="s">
        <v>151</v>
      </c>
      <c r="B463" t="s">
        <v>168</v>
      </c>
      <c r="C463" t="s">
        <v>298</v>
      </c>
      <c r="D463" t="s">
        <v>67</v>
      </c>
      <c r="E463" t="s">
        <v>297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s="28">
        <v>0</v>
      </c>
      <c r="N463" s="28">
        <v>0</v>
      </c>
      <c r="O463">
        <v>0</v>
      </c>
      <c r="P463">
        <v>1457.7066238182952</v>
      </c>
      <c r="Q463">
        <v>0</v>
      </c>
      <c r="R463">
        <v>0</v>
      </c>
      <c r="S463" s="28">
        <v>1457.7066238182952</v>
      </c>
      <c r="T463" s="29">
        <f>SUM(BaseHoras[[#This Row],[Jan/2019]:[Mar/2019]])</f>
        <v>0</v>
      </c>
      <c r="U463" s="29">
        <f>SUM(BaseHoras[[#This Row],[Abr/2019]:[Jun/2019]])</f>
        <v>0</v>
      </c>
      <c r="V463" s="29">
        <f>SUM(BaseHoras[[#This Row],[Jul/2019]:[Set/2019]])</f>
        <v>0</v>
      </c>
      <c r="W463" s="29">
        <f>SUM(BaseHoras[[#This Row],[Out/2019]:[Dez/2019]])</f>
        <v>1457.7066238182952</v>
      </c>
    </row>
    <row r="464" spans="1:23">
      <c r="A464" t="s">
        <v>151</v>
      </c>
      <c r="B464" t="s">
        <v>168</v>
      </c>
      <c r="C464" t="s">
        <v>298</v>
      </c>
      <c r="D464" t="s">
        <v>87</v>
      </c>
      <c r="E464" t="s">
        <v>297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s="28">
        <v>0</v>
      </c>
      <c r="N464" s="28">
        <v>0</v>
      </c>
      <c r="O464">
        <v>0</v>
      </c>
      <c r="P464">
        <v>78.789251909043074</v>
      </c>
      <c r="Q464">
        <v>0</v>
      </c>
      <c r="R464">
        <v>0</v>
      </c>
      <c r="S464" s="28">
        <v>78.789251909043074</v>
      </c>
      <c r="T464" s="29">
        <f>SUM(BaseHoras[[#This Row],[Jan/2019]:[Mar/2019]])</f>
        <v>0</v>
      </c>
      <c r="U464" s="29">
        <f>SUM(BaseHoras[[#This Row],[Abr/2019]:[Jun/2019]])</f>
        <v>0</v>
      </c>
      <c r="V464" s="29">
        <f>SUM(BaseHoras[[#This Row],[Jul/2019]:[Set/2019]])</f>
        <v>0</v>
      </c>
      <c r="W464" s="29">
        <f>SUM(BaseHoras[[#This Row],[Out/2019]:[Dez/2019]])</f>
        <v>78.789251909043074</v>
      </c>
    </row>
    <row r="465" spans="1:23">
      <c r="A465" t="s">
        <v>151</v>
      </c>
      <c r="B465" t="s">
        <v>168</v>
      </c>
      <c r="C465" t="s">
        <v>298</v>
      </c>
      <c r="D465" t="s">
        <v>101</v>
      </c>
      <c r="E465" t="s">
        <v>297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s="28">
        <v>0</v>
      </c>
      <c r="N465" s="28">
        <v>0</v>
      </c>
      <c r="O465">
        <v>0</v>
      </c>
      <c r="P465">
        <v>23.154899567433702</v>
      </c>
      <c r="Q465">
        <v>0</v>
      </c>
      <c r="R465">
        <v>0</v>
      </c>
      <c r="S465" s="28">
        <v>23.154899567433702</v>
      </c>
      <c r="T465" s="29">
        <f>SUM(BaseHoras[[#This Row],[Jan/2019]:[Mar/2019]])</f>
        <v>0</v>
      </c>
      <c r="U465" s="29">
        <f>SUM(BaseHoras[[#This Row],[Abr/2019]:[Jun/2019]])</f>
        <v>0</v>
      </c>
      <c r="V465" s="29">
        <f>SUM(BaseHoras[[#This Row],[Jul/2019]:[Set/2019]])</f>
        <v>0</v>
      </c>
      <c r="W465" s="29">
        <f>SUM(BaseHoras[[#This Row],[Out/2019]:[Dez/2019]])</f>
        <v>23.154899567433702</v>
      </c>
    </row>
    <row r="466" spans="1:23">
      <c r="A466" t="s">
        <v>151</v>
      </c>
      <c r="B466" t="s">
        <v>168</v>
      </c>
      <c r="C466" t="s">
        <v>298</v>
      </c>
      <c r="D466" t="s">
        <v>153</v>
      </c>
      <c r="E466" t="s">
        <v>297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s="28">
        <v>0</v>
      </c>
      <c r="N466" s="28">
        <v>0</v>
      </c>
      <c r="O466">
        <v>0</v>
      </c>
      <c r="P466">
        <v>746.84245098604822</v>
      </c>
      <c r="Q466">
        <v>5.6733007425603912</v>
      </c>
      <c r="R466">
        <v>0</v>
      </c>
      <c r="S466" s="28">
        <v>752.51575172860862</v>
      </c>
      <c r="T466" s="29">
        <f>SUM(BaseHoras[[#This Row],[Jan/2019]:[Mar/2019]])</f>
        <v>0</v>
      </c>
      <c r="U466" s="29">
        <f>SUM(BaseHoras[[#This Row],[Abr/2019]:[Jun/2019]])</f>
        <v>0</v>
      </c>
      <c r="V466" s="29">
        <f>SUM(BaseHoras[[#This Row],[Jul/2019]:[Set/2019]])</f>
        <v>0</v>
      </c>
      <c r="W466" s="29">
        <f>SUM(BaseHoras[[#This Row],[Out/2019]:[Dez/2019]])</f>
        <v>752.51575172860862</v>
      </c>
    </row>
    <row r="467" spans="1:23">
      <c r="A467" t="s">
        <v>151</v>
      </c>
      <c r="B467" t="s">
        <v>168</v>
      </c>
      <c r="C467" t="s">
        <v>298</v>
      </c>
      <c r="D467" t="s">
        <v>109</v>
      </c>
      <c r="E467" t="s">
        <v>297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s="28">
        <v>0</v>
      </c>
      <c r="N467" s="28">
        <v>0</v>
      </c>
      <c r="O467">
        <v>0</v>
      </c>
      <c r="P467">
        <v>0</v>
      </c>
      <c r="Q467">
        <v>15.555913236835032</v>
      </c>
      <c r="R467">
        <v>0</v>
      </c>
      <c r="S467" s="28">
        <v>15.555913236835032</v>
      </c>
      <c r="T467" s="29">
        <f>SUM(BaseHoras[[#This Row],[Jan/2019]:[Mar/2019]])</f>
        <v>0</v>
      </c>
      <c r="U467" s="29">
        <f>SUM(BaseHoras[[#This Row],[Abr/2019]:[Jun/2019]])</f>
        <v>0</v>
      </c>
      <c r="V467" s="29">
        <f>SUM(BaseHoras[[#This Row],[Jul/2019]:[Set/2019]])</f>
        <v>0</v>
      </c>
      <c r="W467" s="29">
        <f>SUM(BaseHoras[[#This Row],[Out/2019]:[Dez/2019]])</f>
        <v>15.555913236835032</v>
      </c>
    </row>
    <row r="468" spans="1:23">
      <c r="A468" t="s">
        <v>151</v>
      </c>
      <c r="B468" t="s">
        <v>168</v>
      </c>
      <c r="C468" t="s">
        <v>298</v>
      </c>
      <c r="D468" t="s">
        <v>122</v>
      </c>
      <c r="E468" t="s">
        <v>297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s="28">
        <v>0</v>
      </c>
      <c r="N468" s="28">
        <v>0</v>
      </c>
      <c r="O468">
        <v>0</v>
      </c>
      <c r="P468">
        <v>296.80959072419978</v>
      </c>
      <c r="Q468">
        <v>123.48666348352788</v>
      </c>
      <c r="R468">
        <v>0</v>
      </c>
      <c r="S468" s="28">
        <v>420.29625420772766</v>
      </c>
      <c r="T468" s="29">
        <f>SUM(BaseHoras[[#This Row],[Jan/2019]:[Mar/2019]])</f>
        <v>0</v>
      </c>
      <c r="U468" s="29">
        <f>SUM(BaseHoras[[#This Row],[Abr/2019]:[Jun/2019]])</f>
        <v>0</v>
      </c>
      <c r="V468" s="29">
        <f>SUM(BaseHoras[[#This Row],[Jul/2019]:[Set/2019]])</f>
        <v>0</v>
      </c>
      <c r="W468" s="29">
        <f>SUM(BaseHoras[[#This Row],[Out/2019]:[Dez/2019]])</f>
        <v>420.29625420772766</v>
      </c>
    </row>
    <row r="469" spans="1:23">
      <c r="A469" t="s">
        <v>151</v>
      </c>
      <c r="B469" t="s">
        <v>168</v>
      </c>
      <c r="C469" t="s">
        <v>300</v>
      </c>
      <c r="D469" t="s">
        <v>82</v>
      </c>
      <c r="E469" t="s">
        <v>301</v>
      </c>
      <c r="F469">
        <v>0</v>
      </c>
      <c r="G469">
        <v>0</v>
      </c>
      <c r="H469">
        <v>0</v>
      </c>
      <c r="I469">
        <v>0</v>
      </c>
      <c r="J469">
        <v>16.551560580082896</v>
      </c>
      <c r="K469">
        <v>0</v>
      </c>
      <c r="L469">
        <v>0</v>
      </c>
      <c r="M469" s="28">
        <v>0</v>
      </c>
      <c r="N469" s="28">
        <v>0</v>
      </c>
      <c r="O469">
        <v>0</v>
      </c>
      <c r="P469">
        <v>0</v>
      </c>
      <c r="Q469">
        <v>0</v>
      </c>
      <c r="R469">
        <v>0</v>
      </c>
      <c r="S469" s="28">
        <v>16.551560580082896</v>
      </c>
      <c r="T469" s="29">
        <f>SUM(BaseHoras[[#This Row],[Jan/2019]:[Mar/2019]])</f>
        <v>0</v>
      </c>
      <c r="U469" s="29">
        <f>SUM(BaseHoras[[#This Row],[Abr/2019]:[Jun/2019]])</f>
        <v>16.551560580082896</v>
      </c>
      <c r="V469" s="29">
        <f>SUM(BaseHoras[[#This Row],[Jul/2019]:[Set/2019]])</f>
        <v>0</v>
      </c>
      <c r="W469" s="29">
        <f>SUM(BaseHoras[[#This Row],[Out/2019]:[Dez/2019]])</f>
        <v>0</v>
      </c>
    </row>
    <row r="470" spans="1:23">
      <c r="A470" t="s">
        <v>151</v>
      </c>
      <c r="B470" t="s">
        <v>168</v>
      </c>
      <c r="C470" t="s">
        <v>300</v>
      </c>
      <c r="D470" t="s">
        <v>85</v>
      </c>
      <c r="E470" t="s">
        <v>301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35.293744984987043</v>
      </c>
      <c r="L470">
        <v>0</v>
      </c>
      <c r="M470" s="28">
        <v>0</v>
      </c>
      <c r="N470" s="28">
        <v>0</v>
      </c>
      <c r="O470">
        <v>0</v>
      </c>
      <c r="P470">
        <v>0</v>
      </c>
      <c r="Q470">
        <v>0</v>
      </c>
      <c r="R470">
        <v>0</v>
      </c>
      <c r="S470" s="28">
        <v>35.293744984987043</v>
      </c>
      <c r="T470" s="29">
        <f>SUM(BaseHoras[[#This Row],[Jan/2019]:[Mar/2019]])</f>
        <v>0</v>
      </c>
      <c r="U470" s="29">
        <f>SUM(BaseHoras[[#This Row],[Abr/2019]:[Jun/2019]])</f>
        <v>35.293744984987043</v>
      </c>
      <c r="V470" s="29">
        <f>SUM(BaseHoras[[#This Row],[Jul/2019]:[Set/2019]])</f>
        <v>0</v>
      </c>
      <c r="W470" s="29">
        <f>SUM(BaseHoras[[#This Row],[Out/2019]:[Dez/2019]])</f>
        <v>0</v>
      </c>
    </row>
    <row r="471" spans="1:23">
      <c r="A471" t="s">
        <v>151</v>
      </c>
      <c r="B471" t="s">
        <v>168</v>
      </c>
      <c r="C471" t="s">
        <v>300</v>
      </c>
      <c r="D471" t="s">
        <v>102</v>
      </c>
      <c r="E471" t="s">
        <v>301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1749.5172630992881</v>
      </c>
      <c r="M471" s="28">
        <v>0</v>
      </c>
      <c r="N471" s="28">
        <v>0</v>
      </c>
      <c r="O471">
        <v>0</v>
      </c>
      <c r="P471">
        <v>0</v>
      </c>
      <c r="Q471">
        <v>0</v>
      </c>
      <c r="R471">
        <v>0</v>
      </c>
      <c r="S471" s="28">
        <v>1749.5172630992881</v>
      </c>
      <c r="T471" s="29">
        <f>SUM(BaseHoras[[#This Row],[Jan/2019]:[Mar/2019]])</f>
        <v>0</v>
      </c>
      <c r="U471" s="29">
        <f>SUM(BaseHoras[[#This Row],[Abr/2019]:[Jun/2019]])</f>
        <v>0</v>
      </c>
      <c r="V471" s="29">
        <f>SUM(BaseHoras[[#This Row],[Jul/2019]:[Set/2019]])</f>
        <v>1749.5172630992881</v>
      </c>
      <c r="W471" s="29">
        <f>SUM(BaseHoras[[#This Row],[Out/2019]:[Dez/2019]])</f>
        <v>0</v>
      </c>
    </row>
    <row r="472" spans="1:23">
      <c r="A472" t="s">
        <v>151</v>
      </c>
      <c r="B472" t="s">
        <v>168</v>
      </c>
      <c r="C472" t="s">
        <v>300</v>
      </c>
      <c r="D472" t="s">
        <v>149</v>
      </c>
      <c r="E472" t="s">
        <v>301</v>
      </c>
      <c r="F472">
        <v>0</v>
      </c>
      <c r="G472">
        <v>0</v>
      </c>
      <c r="H472">
        <v>1.2320263660623729</v>
      </c>
      <c r="I472">
        <v>173.97820736625542</v>
      </c>
      <c r="J472">
        <v>4145.9037265303314</v>
      </c>
      <c r="K472">
        <v>896.97072442372394</v>
      </c>
      <c r="L472">
        <v>0</v>
      </c>
      <c r="M472" s="28">
        <v>0</v>
      </c>
      <c r="N472" s="28">
        <v>0</v>
      </c>
      <c r="O472">
        <v>0</v>
      </c>
      <c r="P472">
        <v>0</v>
      </c>
      <c r="Q472">
        <v>0</v>
      </c>
      <c r="R472">
        <v>0</v>
      </c>
      <c r="S472" s="28">
        <v>5218.0846846863733</v>
      </c>
      <c r="T472" s="29">
        <f>SUM(BaseHoras[[#This Row],[Jan/2019]:[Mar/2019]])</f>
        <v>1.2320263660623729</v>
      </c>
      <c r="U472" s="29">
        <f>SUM(BaseHoras[[#This Row],[Abr/2019]:[Jun/2019]])</f>
        <v>5216.8526583203111</v>
      </c>
      <c r="V472" s="29">
        <f>SUM(BaseHoras[[#This Row],[Jul/2019]:[Set/2019]])</f>
        <v>0</v>
      </c>
      <c r="W472" s="29">
        <f>SUM(BaseHoras[[#This Row],[Out/2019]:[Dez/2019]])</f>
        <v>0</v>
      </c>
    </row>
    <row r="473" spans="1:23">
      <c r="A473" t="s">
        <v>151</v>
      </c>
      <c r="B473" t="s">
        <v>168</v>
      </c>
      <c r="C473" t="s">
        <v>302</v>
      </c>
      <c r="D473" t="s">
        <v>29</v>
      </c>
      <c r="E473" t="s">
        <v>301</v>
      </c>
      <c r="F473">
        <v>44.764360012978479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s="28">
        <v>0</v>
      </c>
      <c r="N473" s="28">
        <v>0</v>
      </c>
      <c r="O473">
        <v>0</v>
      </c>
      <c r="P473">
        <v>0</v>
      </c>
      <c r="Q473">
        <v>0</v>
      </c>
      <c r="R473">
        <v>0</v>
      </c>
      <c r="S473" s="28">
        <v>44.764360012978479</v>
      </c>
      <c r="T473" s="29">
        <f>SUM(BaseHoras[[#This Row],[Jan/2019]:[Mar/2019]])</f>
        <v>44.764360012978479</v>
      </c>
      <c r="U473" s="29">
        <f>SUM(BaseHoras[[#This Row],[Abr/2019]:[Jun/2019]])</f>
        <v>0</v>
      </c>
      <c r="V473" s="29">
        <f>SUM(BaseHoras[[#This Row],[Jul/2019]:[Set/2019]])</f>
        <v>0</v>
      </c>
      <c r="W473" s="29">
        <f>SUM(BaseHoras[[#This Row],[Out/2019]:[Dez/2019]])</f>
        <v>0</v>
      </c>
    </row>
    <row r="474" spans="1:23">
      <c r="A474" t="s">
        <v>151</v>
      </c>
      <c r="B474" t="s">
        <v>168</v>
      </c>
      <c r="C474" t="s">
        <v>302</v>
      </c>
      <c r="D474" t="s">
        <v>30</v>
      </c>
      <c r="E474" t="s">
        <v>301</v>
      </c>
      <c r="F474">
        <v>0</v>
      </c>
      <c r="G474">
        <v>0</v>
      </c>
      <c r="H474">
        <v>37.982868505489876</v>
      </c>
      <c r="I474">
        <v>0</v>
      </c>
      <c r="J474">
        <v>0</v>
      </c>
      <c r="K474">
        <v>216.39312192835663</v>
      </c>
      <c r="L474">
        <v>0</v>
      </c>
      <c r="M474" s="28">
        <v>0</v>
      </c>
      <c r="N474" s="28">
        <v>0</v>
      </c>
      <c r="O474">
        <v>0</v>
      </c>
      <c r="P474">
        <v>0</v>
      </c>
      <c r="Q474">
        <v>0</v>
      </c>
      <c r="R474">
        <v>0</v>
      </c>
      <c r="S474" s="28">
        <v>254.37599043384651</v>
      </c>
      <c r="T474" s="29">
        <f>SUM(BaseHoras[[#This Row],[Jan/2019]:[Mar/2019]])</f>
        <v>37.982868505489876</v>
      </c>
      <c r="U474" s="29">
        <f>SUM(BaseHoras[[#This Row],[Abr/2019]:[Jun/2019]])</f>
        <v>216.39312192835663</v>
      </c>
      <c r="V474" s="29">
        <f>SUM(BaseHoras[[#This Row],[Jul/2019]:[Set/2019]])</f>
        <v>0</v>
      </c>
      <c r="W474" s="29">
        <f>SUM(BaseHoras[[#This Row],[Out/2019]:[Dez/2019]])</f>
        <v>0</v>
      </c>
    </row>
    <row r="475" spans="1:23">
      <c r="A475" t="s">
        <v>151</v>
      </c>
      <c r="B475" t="s">
        <v>168</v>
      </c>
      <c r="C475" t="s">
        <v>302</v>
      </c>
      <c r="D475" t="s">
        <v>36</v>
      </c>
      <c r="E475" t="s">
        <v>301</v>
      </c>
      <c r="F475">
        <v>0</v>
      </c>
      <c r="G475">
        <v>0</v>
      </c>
      <c r="H475">
        <v>1307.1205451994263</v>
      </c>
      <c r="I475">
        <v>0</v>
      </c>
      <c r="J475">
        <v>0</v>
      </c>
      <c r="K475">
        <v>0</v>
      </c>
      <c r="L475">
        <v>0</v>
      </c>
      <c r="M475" s="28">
        <v>0</v>
      </c>
      <c r="N475" s="28">
        <v>0</v>
      </c>
      <c r="O475">
        <v>0</v>
      </c>
      <c r="P475">
        <v>0</v>
      </c>
      <c r="Q475">
        <v>0</v>
      </c>
      <c r="R475">
        <v>0</v>
      </c>
      <c r="S475" s="28">
        <v>1307.1205451994263</v>
      </c>
      <c r="T475" s="29">
        <f>SUM(BaseHoras[[#This Row],[Jan/2019]:[Mar/2019]])</f>
        <v>1307.1205451994263</v>
      </c>
      <c r="U475" s="29">
        <f>SUM(BaseHoras[[#This Row],[Abr/2019]:[Jun/2019]])</f>
        <v>0</v>
      </c>
      <c r="V475" s="29">
        <f>SUM(BaseHoras[[#This Row],[Jul/2019]:[Set/2019]])</f>
        <v>0</v>
      </c>
      <c r="W475" s="29">
        <f>SUM(BaseHoras[[#This Row],[Out/2019]:[Dez/2019]])</f>
        <v>0</v>
      </c>
    </row>
    <row r="476" spans="1:23">
      <c r="A476" t="s">
        <v>151</v>
      </c>
      <c r="B476" t="s">
        <v>168</v>
      </c>
      <c r="C476" t="s">
        <v>302</v>
      </c>
      <c r="D476" t="s">
        <v>45</v>
      </c>
      <c r="E476" t="s">
        <v>301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120.12585468609032</v>
      </c>
      <c r="L476">
        <v>0</v>
      </c>
      <c r="M476" s="28">
        <v>0</v>
      </c>
      <c r="N476" s="28">
        <v>0</v>
      </c>
      <c r="O476">
        <v>0</v>
      </c>
      <c r="P476">
        <v>0</v>
      </c>
      <c r="Q476">
        <v>0</v>
      </c>
      <c r="R476">
        <v>0</v>
      </c>
      <c r="S476" s="28">
        <v>120.12585468609032</v>
      </c>
      <c r="T476" s="29">
        <f>SUM(BaseHoras[[#This Row],[Jan/2019]:[Mar/2019]])</f>
        <v>0</v>
      </c>
      <c r="U476" s="29">
        <f>SUM(BaseHoras[[#This Row],[Abr/2019]:[Jun/2019]])</f>
        <v>120.12585468609032</v>
      </c>
      <c r="V476" s="29">
        <f>SUM(BaseHoras[[#This Row],[Jul/2019]:[Set/2019]])</f>
        <v>0</v>
      </c>
      <c r="W476" s="29">
        <f>SUM(BaseHoras[[#This Row],[Out/2019]:[Dez/2019]])</f>
        <v>0</v>
      </c>
    </row>
    <row r="477" spans="1:23">
      <c r="A477" t="s">
        <v>151</v>
      </c>
      <c r="B477" t="s">
        <v>168</v>
      </c>
      <c r="C477" t="s">
        <v>302</v>
      </c>
      <c r="D477" t="s">
        <v>49</v>
      </c>
      <c r="E477" t="s">
        <v>301</v>
      </c>
      <c r="F477">
        <v>0</v>
      </c>
      <c r="G477">
        <v>37.463361681088109</v>
      </c>
      <c r="H477">
        <v>0</v>
      </c>
      <c r="I477">
        <v>0</v>
      </c>
      <c r="J477">
        <v>0</v>
      </c>
      <c r="K477">
        <v>0</v>
      </c>
      <c r="L477">
        <v>0</v>
      </c>
      <c r="M477" s="28">
        <v>0</v>
      </c>
      <c r="N477" s="28">
        <v>0</v>
      </c>
      <c r="O477">
        <v>0</v>
      </c>
      <c r="P477">
        <v>0</v>
      </c>
      <c r="Q477">
        <v>0</v>
      </c>
      <c r="R477">
        <v>0</v>
      </c>
      <c r="S477" s="28">
        <v>37.463361681088109</v>
      </c>
      <c r="T477" s="29">
        <f>SUM(BaseHoras[[#This Row],[Jan/2019]:[Mar/2019]])</f>
        <v>37.463361681088109</v>
      </c>
      <c r="U477" s="29">
        <f>SUM(BaseHoras[[#This Row],[Abr/2019]:[Jun/2019]])</f>
        <v>0</v>
      </c>
      <c r="V477" s="29">
        <f>SUM(BaseHoras[[#This Row],[Jul/2019]:[Set/2019]])</f>
        <v>0</v>
      </c>
      <c r="W477" s="29">
        <f>SUM(BaseHoras[[#This Row],[Out/2019]:[Dez/2019]])</f>
        <v>0</v>
      </c>
    </row>
    <row r="478" spans="1:23">
      <c r="A478" t="s">
        <v>151</v>
      </c>
      <c r="B478" t="s">
        <v>168</v>
      </c>
      <c r="C478" t="s">
        <v>302</v>
      </c>
      <c r="D478" t="s">
        <v>52</v>
      </c>
      <c r="E478" t="s">
        <v>301</v>
      </c>
      <c r="F478">
        <v>0</v>
      </c>
      <c r="G478">
        <v>0</v>
      </c>
      <c r="H478">
        <v>0</v>
      </c>
      <c r="I478">
        <v>2.2829263153863391</v>
      </c>
      <c r="J478">
        <v>5.6027536604989887</v>
      </c>
      <c r="K478">
        <v>0</v>
      </c>
      <c r="L478">
        <v>0</v>
      </c>
      <c r="M478" s="28">
        <v>0</v>
      </c>
      <c r="N478" s="28">
        <v>0</v>
      </c>
      <c r="O478">
        <v>0</v>
      </c>
      <c r="P478">
        <v>0</v>
      </c>
      <c r="Q478">
        <v>0</v>
      </c>
      <c r="R478">
        <v>0</v>
      </c>
      <c r="S478" s="28">
        <v>7.8856799758853278</v>
      </c>
      <c r="T478" s="29">
        <f>SUM(BaseHoras[[#This Row],[Jan/2019]:[Mar/2019]])</f>
        <v>0</v>
      </c>
      <c r="U478" s="29">
        <f>SUM(BaseHoras[[#This Row],[Abr/2019]:[Jun/2019]])</f>
        <v>7.8856799758853278</v>
      </c>
      <c r="V478" s="29">
        <f>SUM(BaseHoras[[#This Row],[Jul/2019]:[Set/2019]])</f>
        <v>0</v>
      </c>
      <c r="W478" s="29">
        <f>SUM(BaseHoras[[#This Row],[Out/2019]:[Dez/2019]])</f>
        <v>0</v>
      </c>
    </row>
    <row r="479" spans="1:23">
      <c r="A479" t="s">
        <v>151</v>
      </c>
      <c r="B479" t="s">
        <v>168</v>
      </c>
      <c r="C479" t="s">
        <v>302</v>
      </c>
      <c r="D479" t="s">
        <v>64</v>
      </c>
      <c r="E479" t="s">
        <v>301</v>
      </c>
      <c r="F479">
        <v>66.578461599251952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s="28">
        <v>0</v>
      </c>
      <c r="N479" s="28">
        <v>0</v>
      </c>
      <c r="O479">
        <v>0</v>
      </c>
      <c r="P479">
        <v>0</v>
      </c>
      <c r="Q479">
        <v>0</v>
      </c>
      <c r="R479">
        <v>0</v>
      </c>
      <c r="S479" s="28">
        <v>66.578461599251952</v>
      </c>
      <c r="T479" s="29">
        <f>SUM(BaseHoras[[#This Row],[Jan/2019]:[Mar/2019]])</f>
        <v>66.578461599251952</v>
      </c>
      <c r="U479" s="29">
        <f>SUM(BaseHoras[[#This Row],[Abr/2019]:[Jun/2019]])</f>
        <v>0</v>
      </c>
      <c r="V479" s="29">
        <f>SUM(BaseHoras[[#This Row],[Jul/2019]:[Set/2019]])</f>
        <v>0</v>
      </c>
      <c r="W479" s="29">
        <f>SUM(BaseHoras[[#This Row],[Out/2019]:[Dez/2019]])</f>
        <v>0</v>
      </c>
    </row>
    <row r="480" spans="1:23">
      <c r="A480" t="s">
        <v>151</v>
      </c>
      <c r="B480" t="s">
        <v>168</v>
      </c>
      <c r="C480" t="s">
        <v>302</v>
      </c>
      <c r="D480" t="s">
        <v>83</v>
      </c>
      <c r="E480" t="s">
        <v>301</v>
      </c>
      <c r="F480">
        <v>1137.3996367714676</v>
      </c>
      <c r="G480">
        <v>261.37305850531601</v>
      </c>
      <c r="H480">
        <v>0</v>
      </c>
      <c r="I480">
        <v>0</v>
      </c>
      <c r="J480">
        <v>0</v>
      </c>
      <c r="K480">
        <v>0</v>
      </c>
      <c r="L480">
        <v>0</v>
      </c>
      <c r="M480" s="28">
        <v>0</v>
      </c>
      <c r="N480" s="28">
        <v>0</v>
      </c>
      <c r="O480">
        <v>0</v>
      </c>
      <c r="P480">
        <v>0</v>
      </c>
      <c r="Q480">
        <v>0</v>
      </c>
      <c r="R480">
        <v>0</v>
      </c>
      <c r="S480" s="28">
        <v>1398.7726952767837</v>
      </c>
      <c r="T480" s="29">
        <f>SUM(BaseHoras[[#This Row],[Jan/2019]:[Mar/2019]])</f>
        <v>1398.7726952767837</v>
      </c>
      <c r="U480" s="29">
        <f>SUM(BaseHoras[[#This Row],[Abr/2019]:[Jun/2019]])</f>
        <v>0</v>
      </c>
      <c r="V480" s="29">
        <f>SUM(BaseHoras[[#This Row],[Jul/2019]:[Set/2019]])</f>
        <v>0</v>
      </c>
      <c r="W480" s="29">
        <f>SUM(BaseHoras[[#This Row],[Out/2019]:[Dez/2019]])</f>
        <v>0</v>
      </c>
    </row>
    <row r="481" spans="1:23">
      <c r="A481" t="s">
        <v>151</v>
      </c>
      <c r="B481" t="s">
        <v>168</v>
      </c>
      <c r="C481" t="s">
        <v>302</v>
      </c>
      <c r="D481" t="s">
        <v>85</v>
      </c>
      <c r="E481" t="s">
        <v>301</v>
      </c>
      <c r="F481">
        <v>0</v>
      </c>
      <c r="G481">
        <v>0</v>
      </c>
      <c r="H481">
        <v>0</v>
      </c>
      <c r="I481">
        <v>0</v>
      </c>
      <c r="J481">
        <v>291.39259673697785</v>
      </c>
      <c r="K481">
        <v>2196.7021455721438</v>
      </c>
      <c r="L481">
        <v>0</v>
      </c>
      <c r="M481" s="28">
        <v>0</v>
      </c>
      <c r="N481" s="28">
        <v>0</v>
      </c>
      <c r="O481">
        <v>0</v>
      </c>
      <c r="P481">
        <v>0</v>
      </c>
      <c r="Q481">
        <v>0</v>
      </c>
      <c r="R481">
        <v>0</v>
      </c>
      <c r="S481" s="28">
        <v>2488.0947423091216</v>
      </c>
      <c r="T481" s="29">
        <f>SUM(BaseHoras[[#This Row],[Jan/2019]:[Mar/2019]])</f>
        <v>0</v>
      </c>
      <c r="U481" s="29">
        <f>SUM(BaseHoras[[#This Row],[Abr/2019]:[Jun/2019]])</f>
        <v>2488.0947423091216</v>
      </c>
      <c r="V481" s="29">
        <f>SUM(BaseHoras[[#This Row],[Jul/2019]:[Set/2019]])</f>
        <v>0</v>
      </c>
      <c r="W481" s="29">
        <f>SUM(BaseHoras[[#This Row],[Out/2019]:[Dez/2019]])</f>
        <v>0</v>
      </c>
    </row>
    <row r="482" spans="1:23">
      <c r="A482" t="s">
        <v>151</v>
      </c>
      <c r="B482" t="s">
        <v>168</v>
      </c>
      <c r="C482" t="s">
        <v>302</v>
      </c>
      <c r="D482" t="s">
        <v>87</v>
      </c>
      <c r="E482" t="s">
        <v>301</v>
      </c>
      <c r="F482">
        <v>0</v>
      </c>
      <c r="G482">
        <v>44.319938585722426</v>
      </c>
      <c r="H482">
        <v>0</v>
      </c>
      <c r="I482">
        <v>0</v>
      </c>
      <c r="J482">
        <v>0</v>
      </c>
      <c r="K482">
        <v>0</v>
      </c>
      <c r="L482">
        <v>0</v>
      </c>
      <c r="M482" s="28">
        <v>0</v>
      </c>
      <c r="N482" s="28">
        <v>0</v>
      </c>
      <c r="O482">
        <v>0</v>
      </c>
      <c r="P482">
        <v>0</v>
      </c>
      <c r="Q482">
        <v>0</v>
      </c>
      <c r="R482">
        <v>0</v>
      </c>
      <c r="S482" s="28">
        <v>44.319938585722426</v>
      </c>
      <c r="T482" s="29">
        <f>SUM(BaseHoras[[#This Row],[Jan/2019]:[Mar/2019]])</f>
        <v>44.319938585722426</v>
      </c>
      <c r="U482" s="29">
        <f>SUM(BaseHoras[[#This Row],[Abr/2019]:[Jun/2019]])</f>
        <v>0</v>
      </c>
      <c r="V482" s="29">
        <f>SUM(BaseHoras[[#This Row],[Jul/2019]:[Set/2019]])</f>
        <v>0</v>
      </c>
      <c r="W482" s="29">
        <f>SUM(BaseHoras[[#This Row],[Out/2019]:[Dez/2019]])</f>
        <v>0</v>
      </c>
    </row>
    <row r="483" spans="1:23">
      <c r="A483" t="s">
        <v>151</v>
      </c>
      <c r="B483" t="s">
        <v>168</v>
      </c>
      <c r="C483" t="s">
        <v>302</v>
      </c>
      <c r="D483" t="s">
        <v>156</v>
      </c>
      <c r="E483" t="s">
        <v>301</v>
      </c>
      <c r="F483">
        <v>77.365846184381539</v>
      </c>
      <c r="G483">
        <v>318.98791796054263</v>
      </c>
      <c r="H483">
        <v>0</v>
      </c>
      <c r="I483">
        <v>0</v>
      </c>
      <c r="J483">
        <v>0</v>
      </c>
      <c r="K483">
        <v>0</v>
      </c>
      <c r="L483">
        <v>0</v>
      </c>
      <c r="M483" s="28">
        <v>0</v>
      </c>
      <c r="N483" s="28">
        <v>0</v>
      </c>
      <c r="O483">
        <v>0</v>
      </c>
      <c r="P483">
        <v>0</v>
      </c>
      <c r="Q483">
        <v>0</v>
      </c>
      <c r="R483">
        <v>0</v>
      </c>
      <c r="S483" s="28">
        <v>396.35376414492418</v>
      </c>
      <c r="T483" s="29">
        <f>SUM(BaseHoras[[#This Row],[Jan/2019]:[Mar/2019]])</f>
        <v>396.35376414492418</v>
      </c>
      <c r="U483" s="29">
        <f>SUM(BaseHoras[[#This Row],[Abr/2019]:[Jun/2019]])</f>
        <v>0</v>
      </c>
      <c r="V483" s="29">
        <f>SUM(BaseHoras[[#This Row],[Jul/2019]:[Set/2019]])</f>
        <v>0</v>
      </c>
      <c r="W483" s="29">
        <f>SUM(BaseHoras[[#This Row],[Out/2019]:[Dez/2019]])</f>
        <v>0</v>
      </c>
    </row>
    <row r="484" spans="1:23">
      <c r="A484" t="s">
        <v>151</v>
      </c>
      <c r="B484" t="s">
        <v>168</v>
      </c>
      <c r="C484" t="s">
        <v>302</v>
      </c>
      <c r="D484" t="s">
        <v>98</v>
      </c>
      <c r="E484" t="s">
        <v>301</v>
      </c>
      <c r="F484">
        <v>44.93198591207755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s="28">
        <v>0</v>
      </c>
      <c r="N484" s="28">
        <v>0</v>
      </c>
      <c r="O484">
        <v>0</v>
      </c>
      <c r="P484">
        <v>0</v>
      </c>
      <c r="Q484">
        <v>0</v>
      </c>
      <c r="R484">
        <v>0</v>
      </c>
      <c r="S484" s="28">
        <v>44.93198591207755</v>
      </c>
      <c r="T484" s="29">
        <f>SUM(BaseHoras[[#This Row],[Jan/2019]:[Mar/2019]])</f>
        <v>44.93198591207755</v>
      </c>
      <c r="U484" s="29">
        <f>SUM(BaseHoras[[#This Row],[Abr/2019]:[Jun/2019]])</f>
        <v>0</v>
      </c>
      <c r="V484" s="29">
        <f>SUM(BaseHoras[[#This Row],[Jul/2019]:[Set/2019]])</f>
        <v>0</v>
      </c>
      <c r="W484" s="29">
        <f>SUM(BaseHoras[[#This Row],[Out/2019]:[Dez/2019]])</f>
        <v>0</v>
      </c>
    </row>
    <row r="485" spans="1:23">
      <c r="A485" t="s">
        <v>151</v>
      </c>
      <c r="B485" t="s">
        <v>168</v>
      </c>
      <c r="C485" t="s">
        <v>302</v>
      </c>
      <c r="D485" t="s">
        <v>100</v>
      </c>
      <c r="E485" t="s">
        <v>301</v>
      </c>
      <c r="F485">
        <v>0</v>
      </c>
      <c r="G485">
        <v>53.839050095051817</v>
      </c>
      <c r="H485">
        <v>0</v>
      </c>
      <c r="I485">
        <v>0</v>
      </c>
      <c r="J485">
        <v>0</v>
      </c>
      <c r="K485">
        <v>0</v>
      </c>
      <c r="L485">
        <v>0</v>
      </c>
      <c r="M485" s="28">
        <v>0</v>
      </c>
      <c r="N485" s="28">
        <v>0</v>
      </c>
      <c r="O485">
        <v>0</v>
      </c>
      <c r="P485">
        <v>0</v>
      </c>
      <c r="Q485">
        <v>0</v>
      </c>
      <c r="R485">
        <v>0</v>
      </c>
      <c r="S485" s="28">
        <v>53.839050095051817</v>
      </c>
      <c r="T485" s="29">
        <f>SUM(BaseHoras[[#This Row],[Jan/2019]:[Mar/2019]])</f>
        <v>53.839050095051817</v>
      </c>
      <c r="U485" s="29">
        <f>SUM(BaseHoras[[#This Row],[Abr/2019]:[Jun/2019]])</f>
        <v>0</v>
      </c>
      <c r="V485" s="29">
        <f>SUM(BaseHoras[[#This Row],[Jul/2019]:[Set/2019]])</f>
        <v>0</v>
      </c>
      <c r="W485" s="29">
        <f>SUM(BaseHoras[[#This Row],[Out/2019]:[Dez/2019]])</f>
        <v>0</v>
      </c>
    </row>
    <row r="486" spans="1:23">
      <c r="A486" t="s">
        <v>151</v>
      </c>
      <c r="B486" t="s">
        <v>168</v>
      </c>
      <c r="C486" t="s">
        <v>302</v>
      </c>
      <c r="D486" t="s">
        <v>102</v>
      </c>
      <c r="E486" t="s">
        <v>301</v>
      </c>
      <c r="F486">
        <v>0</v>
      </c>
      <c r="G486">
        <v>0</v>
      </c>
      <c r="H486">
        <v>0</v>
      </c>
      <c r="I486">
        <v>0</v>
      </c>
      <c r="J486">
        <v>6.6504690353197642</v>
      </c>
      <c r="K486">
        <v>0</v>
      </c>
      <c r="L486">
        <v>0</v>
      </c>
      <c r="M486" s="28">
        <v>0</v>
      </c>
      <c r="N486" s="28">
        <v>0</v>
      </c>
      <c r="O486">
        <v>0</v>
      </c>
      <c r="P486">
        <v>0</v>
      </c>
      <c r="Q486">
        <v>0</v>
      </c>
      <c r="R486">
        <v>0</v>
      </c>
      <c r="S486" s="28">
        <v>6.6504690353197642</v>
      </c>
      <c r="T486" s="29">
        <f>SUM(BaseHoras[[#This Row],[Jan/2019]:[Mar/2019]])</f>
        <v>0</v>
      </c>
      <c r="U486" s="29">
        <f>SUM(BaseHoras[[#This Row],[Abr/2019]:[Jun/2019]])</f>
        <v>6.6504690353197642</v>
      </c>
      <c r="V486" s="29">
        <f>SUM(BaseHoras[[#This Row],[Jul/2019]:[Set/2019]])</f>
        <v>0</v>
      </c>
      <c r="W486" s="29">
        <f>SUM(BaseHoras[[#This Row],[Out/2019]:[Dez/2019]])</f>
        <v>0</v>
      </c>
    </row>
    <row r="487" spans="1:23">
      <c r="A487" t="s">
        <v>151</v>
      </c>
      <c r="B487" t="s">
        <v>168</v>
      </c>
      <c r="C487" t="s">
        <v>302</v>
      </c>
      <c r="D487" t="s">
        <v>105</v>
      </c>
      <c r="E487" t="s">
        <v>301</v>
      </c>
      <c r="F487">
        <v>0</v>
      </c>
      <c r="G487">
        <v>314.20479072749242</v>
      </c>
      <c r="H487">
        <v>0</v>
      </c>
      <c r="I487">
        <v>0</v>
      </c>
      <c r="J487">
        <v>295.64870009773034</v>
      </c>
      <c r="K487">
        <v>0</v>
      </c>
      <c r="L487">
        <v>0</v>
      </c>
      <c r="M487" s="28">
        <v>0</v>
      </c>
      <c r="N487" s="28">
        <v>0</v>
      </c>
      <c r="O487">
        <v>0</v>
      </c>
      <c r="P487">
        <v>0</v>
      </c>
      <c r="Q487">
        <v>0</v>
      </c>
      <c r="R487">
        <v>0</v>
      </c>
      <c r="S487" s="28">
        <v>609.85349082522271</v>
      </c>
      <c r="T487" s="29">
        <f>SUM(BaseHoras[[#This Row],[Jan/2019]:[Mar/2019]])</f>
        <v>314.20479072749242</v>
      </c>
      <c r="U487" s="29">
        <f>SUM(BaseHoras[[#This Row],[Abr/2019]:[Jun/2019]])</f>
        <v>295.64870009773034</v>
      </c>
      <c r="V487" s="29">
        <f>SUM(BaseHoras[[#This Row],[Jul/2019]:[Set/2019]])</f>
        <v>0</v>
      </c>
      <c r="W487" s="29">
        <f>SUM(BaseHoras[[#This Row],[Out/2019]:[Dez/2019]])</f>
        <v>0</v>
      </c>
    </row>
    <row r="488" spans="1:23">
      <c r="A488" t="s">
        <v>151</v>
      </c>
      <c r="B488" t="s">
        <v>168</v>
      </c>
      <c r="C488" t="s">
        <v>302</v>
      </c>
      <c r="D488" t="s">
        <v>106</v>
      </c>
      <c r="E488" t="s">
        <v>301</v>
      </c>
      <c r="F488">
        <v>0</v>
      </c>
      <c r="G488">
        <v>43.03108192867839</v>
      </c>
      <c r="H488">
        <v>0</v>
      </c>
      <c r="I488">
        <v>0</v>
      </c>
      <c r="J488">
        <v>0</v>
      </c>
      <c r="K488">
        <v>0</v>
      </c>
      <c r="L488">
        <v>0</v>
      </c>
      <c r="M488" s="28">
        <v>0</v>
      </c>
      <c r="N488" s="28">
        <v>0</v>
      </c>
      <c r="O488">
        <v>0</v>
      </c>
      <c r="P488">
        <v>0</v>
      </c>
      <c r="Q488">
        <v>0</v>
      </c>
      <c r="R488">
        <v>0</v>
      </c>
      <c r="S488" s="28">
        <v>43.03108192867839</v>
      </c>
      <c r="T488" s="29">
        <f>SUM(BaseHoras[[#This Row],[Jan/2019]:[Mar/2019]])</f>
        <v>43.03108192867839</v>
      </c>
      <c r="U488" s="29">
        <f>SUM(BaseHoras[[#This Row],[Abr/2019]:[Jun/2019]])</f>
        <v>0</v>
      </c>
      <c r="V488" s="29">
        <f>SUM(BaseHoras[[#This Row],[Jul/2019]:[Set/2019]])</f>
        <v>0</v>
      </c>
      <c r="W488" s="29">
        <f>SUM(BaseHoras[[#This Row],[Out/2019]:[Dez/2019]])</f>
        <v>0</v>
      </c>
    </row>
    <row r="489" spans="1:23">
      <c r="A489" t="s">
        <v>151</v>
      </c>
      <c r="B489" t="s">
        <v>168</v>
      </c>
      <c r="C489" t="s">
        <v>302</v>
      </c>
      <c r="D489" t="s">
        <v>109</v>
      </c>
      <c r="E489" t="s">
        <v>301</v>
      </c>
      <c r="F489">
        <v>0</v>
      </c>
      <c r="G489">
        <v>19.781408182076159</v>
      </c>
      <c r="H489">
        <v>0</v>
      </c>
      <c r="I489">
        <v>0</v>
      </c>
      <c r="J489">
        <v>0</v>
      </c>
      <c r="K489">
        <v>0</v>
      </c>
      <c r="L489">
        <v>0</v>
      </c>
      <c r="M489" s="28">
        <v>0</v>
      </c>
      <c r="N489" s="28">
        <v>0</v>
      </c>
      <c r="O489">
        <v>0</v>
      </c>
      <c r="P489">
        <v>0</v>
      </c>
      <c r="Q489">
        <v>0</v>
      </c>
      <c r="R489">
        <v>0</v>
      </c>
      <c r="S489" s="28">
        <v>19.781408182076159</v>
      </c>
      <c r="T489" s="29">
        <f>SUM(BaseHoras[[#This Row],[Jan/2019]:[Mar/2019]])</f>
        <v>19.781408182076159</v>
      </c>
      <c r="U489" s="29">
        <f>SUM(BaseHoras[[#This Row],[Abr/2019]:[Jun/2019]])</f>
        <v>0</v>
      </c>
      <c r="V489" s="29">
        <f>SUM(BaseHoras[[#This Row],[Jul/2019]:[Set/2019]])</f>
        <v>0</v>
      </c>
      <c r="W489" s="29">
        <f>SUM(BaseHoras[[#This Row],[Out/2019]:[Dez/2019]])</f>
        <v>0</v>
      </c>
    </row>
    <row r="490" spans="1:23">
      <c r="A490" t="s">
        <v>151</v>
      </c>
      <c r="B490" t="s">
        <v>168</v>
      </c>
      <c r="C490" t="s">
        <v>302</v>
      </c>
      <c r="D490" t="s">
        <v>118</v>
      </c>
      <c r="E490" t="s">
        <v>301</v>
      </c>
      <c r="F490">
        <v>1402.5822694052317</v>
      </c>
      <c r="G490">
        <v>122.43897734167437</v>
      </c>
      <c r="H490">
        <v>434.99946850760591</v>
      </c>
      <c r="I490">
        <v>311.62826906125827</v>
      </c>
      <c r="J490">
        <v>142.14750621735737</v>
      </c>
      <c r="K490">
        <v>0</v>
      </c>
      <c r="L490">
        <v>0</v>
      </c>
      <c r="M490" s="28">
        <v>0</v>
      </c>
      <c r="N490" s="28">
        <v>0</v>
      </c>
      <c r="O490">
        <v>0</v>
      </c>
      <c r="P490">
        <v>0</v>
      </c>
      <c r="Q490">
        <v>0</v>
      </c>
      <c r="R490">
        <v>0</v>
      </c>
      <c r="S490" s="28">
        <v>2413.7964905331278</v>
      </c>
      <c r="T490" s="29">
        <f>SUM(BaseHoras[[#This Row],[Jan/2019]:[Mar/2019]])</f>
        <v>1960.0207152545122</v>
      </c>
      <c r="U490" s="29">
        <f>SUM(BaseHoras[[#This Row],[Abr/2019]:[Jun/2019]])</f>
        <v>453.77577527861564</v>
      </c>
      <c r="V490" s="29">
        <f>SUM(BaseHoras[[#This Row],[Jul/2019]:[Set/2019]])</f>
        <v>0</v>
      </c>
      <c r="W490" s="29">
        <f>SUM(BaseHoras[[#This Row],[Out/2019]:[Dez/2019]])</f>
        <v>0</v>
      </c>
    </row>
    <row r="491" spans="1:23">
      <c r="A491" t="s">
        <v>151</v>
      </c>
      <c r="B491" t="s">
        <v>168</v>
      </c>
      <c r="C491" t="s">
        <v>302</v>
      </c>
      <c r="D491" t="s">
        <v>124</v>
      </c>
      <c r="E491" t="s">
        <v>301</v>
      </c>
      <c r="F491">
        <v>0</v>
      </c>
      <c r="G491">
        <v>0</v>
      </c>
      <c r="H491">
        <v>0</v>
      </c>
      <c r="I491">
        <v>154.76855922607538</v>
      </c>
      <c r="J491">
        <v>607.45674241719098</v>
      </c>
      <c r="K491">
        <v>0</v>
      </c>
      <c r="L491">
        <v>0</v>
      </c>
      <c r="M491" s="28">
        <v>0</v>
      </c>
      <c r="N491" s="28">
        <v>0</v>
      </c>
      <c r="O491">
        <v>0</v>
      </c>
      <c r="P491">
        <v>0</v>
      </c>
      <c r="Q491">
        <v>0</v>
      </c>
      <c r="R491">
        <v>0</v>
      </c>
      <c r="S491" s="28">
        <v>762.22530164326633</v>
      </c>
      <c r="T491" s="29">
        <f>SUM(BaseHoras[[#This Row],[Jan/2019]:[Mar/2019]])</f>
        <v>0</v>
      </c>
      <c r="U491" s="29">
        <f>SUM(BaseHoras[[#This Row],[Abr/2019]:[Jun/2019]])</f>
        <v>762.22530164326633</v>
      </c>
      <c r="V491" s="29">
        <f>SUM(BaseHoras[[#This Row],[Jul/2019]:[Set/2019]])</f>
        <v>0</v>
      </c>
      <c r="W491" s="29">
        <f>SUM(BaseHoras[[#This Row],[Out/2019]:[Dez/2019]])</f>
        <v>0</v>
      </c>
    </row>
    <row r="492" spans="1:23">
      <c r="A492" t="s">
        <v>151</v>
      </c>
      <c r="B492" t="s">
        <v>168</v>
      </c>
      <c r="C492" t="s">
        <v>302</v>
      </c>
      <c r="D492" t="s">
        <v>128</v>
      </c>
      <c r="E492" t="s">
        <v>301</v>
      </c>
      <c r="F492">
        <v>98.871501276115879</v>
      </c>
      <c r="G492">
        <v>388.26084793598898</v>
      </c>
      <c r="H492">
        <v>0</v>
      </c>
      <c r="I492">
        <v>0</v>
      </c>
      <c r="J492">
        <v>0</v>
      </c>
      <c r="K492">
        <v>0</v>
      </c>
      <c r="L492">
        <v>0</v>
      </c>
      <c r="M492" s="28">
        <v>0</v>
      </c>
      <c r="N492" s="28">
        <v>0</v>
      </c>
      <c r="O492">
        <v>0</v>
      </c>
      <c r="P492">
        <v>0</v>
      </c>
      <c r="Q492">
        <v>0</v>
      </c>
      <c r="R492">
        <v>0</v>
      </c>
      <c r="S492" s="28">
        <v>487.13234921210483</v>
      </c>
      <c r="T492" s="29">
        <f>SUM(BaseHoras[[#This Row],[Jan/2019]:[Mar/2019]])</f>
        <v>487.13234921210483</v>
      </c>
      <c r="U492" s="29">
        <f>SUM(BaseHoras[[#This Row],[Abr/2019]:[Jun/2019]])</f>
        <v>0</v>
      </c>
      <c r="V492" s="29">
        <f>SUM(BaseHoras[[#This Row],[Jul/2019]:[Set/2019]])</f>
        <v>0</v>
      </c>
      <c r="W492" s="29">
        <f>SUM(BaseHoras[[#This Row],[Out/2019]:[Dez/2019]])</f>
        <v>0</v>
      </c>
    </row>
    <row r="493" spans="1:23">
      <c r="A493" t="s">
        <v>151</v>
      </c>
      <c r="B493" t="s">
        <v>168</v>
      </c>
      <c r="C493" t="s">
        <v>302</v>
      </c>
      <c r="D493" t="s">
        <v>144</v>
      </c>
      <c r="E493" t="s">
        <v>301</v>
      </c>
      <c r="F493">
        <v>131.2816161376046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s="28">
        <v>0</v>
      </c>
      <c r="N493" s="28">
        <v>0</v>
      </c>
      <c r="O493">
        <v>0</v>
      </c>
      <c r="P493">
        <v>0</v>
      </c>
      <c r="Q493">
        <v>0</v>
      </c>
      <c r="R493">
        <v>0</v>
      </c>
      <c r="S493" s="28">
        <v>131.2816161376046</v>
      </c>
      <c r="T493" s="29">
        <f>SUM(BaseHoras[[#This Row],[Jan/2019]:[Mar/2019]])</f>
        <v>131.2816161376046</v>
      </c>
      <c r="U493" s="29">
        <f>SUM(BaseHoras[[#This Row],[Abr/2019]:[Jun/2019]])</f>
        <v>0</v>
      </c>
      <c r="V493" s="29">
        <f>SUM(BaseHoras[[#This Row],[Jul/2019]:[Set/2019]])</f>
        <v>0</v>
      </c>
      <c r="W493" s="29">
        <f>SUM(BaseHoras[[#This Row],[Out/2019]:[Dez/2019]])</f>
        <v>0</v>
      </c>
    </row>
    <row r="494" spans="1:23">
      <c r="A494" t="s">
        <v>151</v>
      </c>
      <c r="B494" t="s">
        <v>168</v>
      </c>
      <c r="C494" t="s">
        <v>160</v>
      </c>
      <c r="D494" t="s">
        <v>64</v>
      </c>
      <c r="E494" t="s">
        <v>152</v>
      </c>
      <c r="F494">
        <v>0</v>
      </c>
      <c r="G494">
        <v>0</v>
      </c>
      <c r="H494">
        <v>866.36808282383993</v>
      </c>
      <c r="I494">
        <v>0</v>
      </c>
      <c r="J494">
        <v>0</v>
      </c>
      <c r="K494">
        <v>0</v>
      </c>
      <c r="L494">
        <v>0</v>
      </c>
      <c r="M494" s="28">
        <v>0</v>
      </c>
      <c r="N494" s="28">
        <v>0</v>
      </c>
      <c r="O494">
        <v>0</v>
      </c>
      <c r="P494">
        <v>0</v>
      </c>
      <c r="Q494">
        <v>0</v>
      </c>
      <c r="R494">
        <v>0</v>
      </c>
      <c r="S494" s="28">
        <v>866.36808282383993</v>
      </c>
      <c r="T494" s="29">
        <f>SUM(BaseHoras[[#This Row],[Jan/2019]:[Mar/2019]])</f>
        <v>866.36808282383993</v>
      </c>
      <c r="U494" s="29">
        <f>SUM(BaseHoras[[#This Row],[Abr/2019]:[Jun/2019]])</f>
        <v>0</v>
      </c>
      <c r="V494" s="29">
        <f>SUM(BaseHoras[[#This Row],[Jul/2019]:[Set/2019]])</f>
        <v>0</v>
      </c>
      <c r="W494" s="29">
        <f>SUM(BaseHoras[[#This Row],[Out/2019]:[Dez/2019]])</f>
        <v>0</v>
      </c>
    </row>
    <row r="495" spans="1:23">
      <c r="A495" t="s">
        <v>151</v>
      </c>
      <c r="B495" t="s">
        <v>168</v>
      </c>
      <c r="C495" t="s">
        <v>303</v>
      </c>
      <c r="D495" t="s">
        <v>29</v>
      </c>
      <c r="E495" t="s">
        <v>179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83.50056772499434</v>
      </c>
      <c r="M495" s="28">
        <v>0</v>
      </c>
      <c r="N495" s="28">
        <v>0</v>
      </c>
      <c r="O495">
        <v>0</v>
      </c>
      <c r="P495">
        <v>0</v>
      </c>
      <c r="Q495">
        <v>0</v>
      </c>
      <c r="R495">
        <v>0</v>
      </c>
      <c r="S495" s="28">
        <v>83.50056772499434</v>
      </c>
      <c r="T495" s="29">
        <f>SUM(BaseHoras[[#This Row],[Jan/2019]:[Mar/2019]])</f>
        <v>0</v>
      </c>
      <c r="U495" s="29">
        <f>SUM(BaseHoras[[#This Row],[Abr/2019]:[Jun/2019]])</f>
        <v>0</v>
      </c>
      <c r="V495" s="29">
        <f>SUM(BaseHoras[[#This Row],[Jul/2019]:[Set/2019]])</f>
        <v>83.50056772499434</v>
      </c>
      <c r="W495" s="29">
        <f>SUM(BaseHoras[[#This Row],[Out/2019]:[Dez/2019]])</f>
        <v>0</v>
      </c>
    </row>
    <row r="496" spans="1:23">
      <c r="A496" t="s">
        <v>151</v>
      </c>
      <c r="B496" t="s">
        <v>168</v>
      </c>
      <c r="C496" t="s">
        <v>303</v>
      </c>
      <c r="D496" t="s">
        <v>30</v>
      </c>
      <c r="E496" t="s">
        <v>179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s="28">
        <v>256.8200124172497</v>
      </c>
      <c r="N496" s="28">
        <v>0</v>
      </c>
      <c r="O496">
        <v>0</v>
      </c>
      <c r="P496">
        <v>0</v>
      </c>
      <c r="Q496">
        <v>0</v>
      </c>
      <c r="R496">
        <v>0</v>
      </c>
      <c r="S496" s="28">
        <v>256.8200124172497</v>
      </c>
      <c r="T496" s="29">
        <f>SUM(BaseHoras[[#This Row],[Jan/2019]:[Mar/2019]])</f>
        <v>0</v>
      </c>
      <c r="U496" s="29">
        <f>SUM(BaseHoras[[#This Row],[Abr/2019]:[Jun/2019]])</f>
        <v>0</v>
      </c>
      <c r="V496" s="29">
        <f>SUM(BaseHoras[[#This Row],[Jul/2019]:[Set/2019]])</f>
        <v>256.8200124172497</v>
      </c>
      <c r="W496" s="29">
        <f>SUM(BaseHoras[[#This Row],[Out/2019]:[Dez/2019]])</f>
        <v>0</v>
      </c>
    </row>
    <row r="497" spans="1:23">
      <c r="A497" t="s">
        <v>151</v>
      </c>
      <c r="B497" t="s">
        <v>168</v>
      </c>
      <c r="C497" t="s">
        <v>303</v>
      </c>
      <c r="D497" t="s">
        <v>41</v>
      </c>
      <c r="E497" t="s">
        <v>179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110.33886968528982</v>
      </c>
      <c r="M497" s="28">
        <v>0</v>
      </c>
      <c r="N497" s="28">
        <v>0</v>
      </c>
      <c r="O497">
        <v>0</v>
      </c>
      <c r="P497">
        <v>0</v>
      </c>
      <c r="Q497">
        <v>0</v>
      </c>
      <c r="R497">
        <v>0</v>
      </c>
      <c r="S497" s="28">
        <v>110.33886968528982</v>
      </c>
      <c r="T497" s="29">
        <f>SUM(BaseHoras[[#This Row],[Jan/2019]:[Mar/2019]])</f>
        <v>0</v>
      </c>
      <c r="U497" s="29">
        <f>SUM(BaseHoras[[#This Row],[Abr/2019]:[Jun/2019]])</f>
        <v>0</v>
      </c>
      <c r="V497" s="29">
        <f>SUM(BaseHoras[[#This Row],[Jul/2019]:[Set/2019]])</f>
        <v>110.33886968528982</v>
      </c>
      <c r="W497" s="29">
        <f>SUM(BaseHoras[[#This Row],[Out/2019]:[Dez/2019]])</f>
        <v>0</v>
      </c>
    </row>
    <row r="498" spans="1:23">
      <c r="A498" t="s">
        <v>151</v>
      </c>
      <c r="B498" t="s">
        <v>168</v>
      </c>
      <c r="C498" t="s">
        <v>303</v>
      </c>
      <c r="D498" t="s">
        <v>49</v>
      </c>
      <c r="E498" t="s">
        <v>179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69.198357388034637</v>
      </c>
      <c r="L498">
        <v>23.988465021271651</v>
      </c>
      <c r="M498" s="28">
        <v>0</v>
      </c>
      <c r="N498" s="28">
        <v>0</v>
      </c>
      <c r="O498">
        <v>189.98232318095353</v>
      </c>
      <c r="P498">
        <v>0</v>
      </c>
      <c r="Q498">
        <v>0</v>
      </c>
      <c r="R498">
        <v>0</v>
      </c>
      <c r="S498" s="28">
        <v>283.1691455902598</v>
      </c>
      <c r="T498" s="29">
        <f>SUM(BaseHoras[[#This Row],[Jan/2019]:[Mar/2019]])</f>
        <v>0</v>
      </c>
      <c r="U498" s="29">
        <f>SUM(BaseHoras[[#This Row],[Abr/2019]:[Jun/2019]])</f>
        <v>69.198357388034637</v>
      </c>
      <c r="V498" s="29">
        <f>SUM(BaseHoras[[#This Row],[Jul/2019]:[Set/2019]])</f>
        <v>23.988465021271651</v>
      </c>
      <c r="W498" s="29">
        <f>SUM(BaseHoras[[#This Row],[Out/2019]:[Dez/2019]])</f>
        <v>189.98232318095353</v>
      </c>
    </row>
    <row r="499" spans="1:23">
      <c r="A499" t="s">
        <v>151</v>
      </c>
      <c r="B499" t="s">
        <v>168</v>
      </c>
      <c r="C499" t="s">
        <v>303</v>
      </c>
      <c r="D499" t="s">
        <v>87</v>
      </c>
      <c r="E499" t="s">
        <v>179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12.75647078547733</v>
      </c>
      <c r="L499">
        <v>0</v>
      </c>
      <c r="M499" s="28">
        <v>0</v>
      </c>
      <c r="N499" s="28">
        <v>0</v>
      </c>
      <c r="O499">
        <v>14.162846591009606</v>
      </c>
      <c r="P499">
        <v>0</v>
      </c>
      <c r="Q499">
        <v>0</v>
      </c>
      <c r="R499">
        <v>0</v>
      </c>
      <c r="S499" s="28">
        <v>26.919317376486937</v>
      </c>
      <c r="T499" s="29">
        <f>SUM(BaseHoras[[#This Row],[Jan/2019]:[Mar/2019]])</f>
        <v>0</v>
      </c>
      <c r="U499" s="29">
        <f>SUM(BaseHoras[[#This Row],[Abr/2019]:[Jun/2019]])</f>
        <v>12.75647078547733</v>
      </c>
      <c r="V499" s="29">
        <f>SUM(BaseHoras[[#This Row],[Jul/2019]:[Set/2019]])</f>
        <v>0</v>
      </c>
      <c r="W499" s="29">
        <f>SUM(BaseHoras[[#This Row],[Out/2019]:[Dez/2019]])</f>
        <v>14.162846591009606</v>
      </c>
    </row>
    <row r="500" spans="1:23">
      <c r="A500" t="s">
        <v>151</v>
      </c>
      <c r="B500" t="s">
        <v>168</v>
      </c>
      <c r="C500" t="s">
        <v>303</v>
      </c>
      <c r="D500" t="s">
        <v>93</v>
      </c>
      <c r="E500" t="s">
        <v>179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s="28">
        <v>0</v>
      </c>
      <c r="N500" s="28">
        <v>0</v>
      </c>
      <c r="O500">
        <v>0</v>
      </c>
      <c r="P500">
        <v>0</v>
      </c>
      <c r="Q500">
        <v>502.60321925625016</v>
      </c>
      <c r="R500">
        <v>0</v>
      </c>
      <c r="S500" s="28">
        <v>502.60321925625016</v>
      </c>
      <c r="T500" s="29">
        <f>SUM(BaseHoras[[#This Row],[Jan/2019]:[Mar/2019]])</f>
        <v>0</v>
      </c>
      <c r="U500" s="29">
        <f>SUM(BaseHoras[[#This Row],[Abr/2019]:[Jun/2019]])</f>
        <v>0</v>
      </c>
      <c r="V500" s="29">
        <f>SUM(BaseHoras[[#This Row],[Jul/2019]:[Set/2019]])</f>
        <v>0</v>
      </c>
      <c r="W500" s="29">
        <f>SUM(BaseHoras[[#This Row],[Out/2019]:[Dez/2019]])</f>
        <v>502.60321925625016</v>
      </c>
    </row>
    <row r="501" spans="1:23">
      <c r="A501" t="s">
        <v>151</v>
      </c>
      <c r="B501" t="s">
        <v>168</v>
      </c>
      <c r="C501" t="s">
        <v>303</v>
      </c>
      <c r="D501" t="s">
        <v>100</v>
      </c>
      <c r="E501" t="s">
        <v>179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25.671746228822869</v>
      </c>
      <c r="M501" s="28">
        <v>0</v>
      </c>
      <c r="N501" s="28">
        <v>0</v>
      </c>
      <c r="O501">
        <v>0</v>
      </c>
      <c r="P501">
        <v>16.801153860494171</v>
      </c>
      <c r="Q501">
        <v>0</v>
      </c>
      <c r="R501">
        <v>0</v>
      </c>
      <c r="S501" s="28">
        <v>42.472900089317037</v>
      </c>
      <c r="T501" s="29">
        <f>SUM(BaseHoras[[#This Row],[Jan/2019]:[Mar/2019]])</f>
        <v>0</v>
      </c>
      <c r="U501" s="29">
        <f>SUM(BaseHoras[[#This Row],[Abr/2019]:[Jun/2019]])</f>
        <v>0</v>
      </c>
      <c r="V501" s="29">
        <f>SUM(BaseHoras[[#This Row],[Jul/2019]:[Set/2019]])</f>
        <v>25.671746228822869</v>
      </c>
      <c r="W501" s="29">
        <f>SUM(BaseHoras[[#This Row],[Out/2019]:[Dez/2019]])</f>
        <v>16.801153860494171</v>
      </c>
    </row>
    <row r="502" spans="1:23">
      <c r="A502" t="s">
        <v>151</v>
      </c>
      <c r="B502" t="s">
        <v>168</v>
      </c>
      <c r="C502" t="s">
        <v>303</v>
      </c>
      <c r="D502" t="s">
        <v>102</v>
      </c>
      <c r="E502" t="s">
        <v>179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s="28">
        <v>0</v>
      </c>
      <c r="N502" s="28">
        <v>0</v>
      </c>
      <c r="O502">
        <v>8.1743161119463732</v>
      </c>
      <c r="P502">
        <v>0</v>
      </c>
      <c r="Q502">
        <v>0</v>
      </c>
      <c r="R502">
        <v>0</v>
      </c>
      <c r="S502" s="28">
        <v>8.1743161119463732</v>
      </c>
      <c r="T502" s="29">
        <f>SUM(BaseHoras[[#This Row],[Jan/2019]:[Mar/2019]])</f>
        <v>0</v>
      </c>
      <c r="U502" s="29">
        <f>SUM(BaseHoras[[#This Row],[Abr/2019]:[Jun/2019]])</f>
        <v>0</v>
      </c>
      <c r="V502" s="29">
        <f>SUM(BaseHoras[[#This Row],[Jul/2019]:[Set/2019]])</f>
        <v>0</v>
      </c>
      <c r="W502" s="29">
        <f>SUM(BaseHoras[[#This Row],[Out/2019]:[Dez/2019]])</f>
        <v>8.1743161119463732</v>
      </c>
    </row>
    <row r="503" spans="1:23">
      <c r="A503" t="s">
        <v>151</v>
      </c>
      <c r="B503" t="s">
        <v>168</v>
      </c>
      <c r="C503" t="s">
        <v>303</v>
      </c>
      <c r="D503" t="s">
        <v>105</v>
      </c>
      <c r="E503" t="s">
        <v>179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251.85772532681003</v>
      </c>
      <c r="L503">
        <v>0</v>
      </c>
      <c r="M503" s="28">
        <v>0</v>
      </c>
      <c r="N503" s="28">
        <v>0</v>
      </c>
      <c r="O503">
        <v>0</v>
      </c>
      <c r="P503">
        <v>0</v>
      </c>
      <c r="Q503">
        <v>0</v>
      </c>
      <c r="R503">
        <v>0</v>
      </c>
      <c r="S503" s="28">
        <v>251.85772532681003</v>
      </c>
      <c r="T503" s="29">
        <f>SUM(BaseHoras[[#This Row],[Jan/2019]:[Mar/2019]])</f>
        <v>0</v>
      </c>
      <c r="U503" s="29">
        <f>SUM(BaseHoras[[#This Row],[Abr/2019]:[Jun/2019]])</f>
        <v>251.85772532681003</v>
      </c>
      <c r="V503" s="29">
        <f>SUM(BaseHoras[[#This Row],[Jul/2019]:[Set/2019]])</f>
        <v>0</v>
      </c>
      <c r="W503" s="29">
        <f>SUM(BaseHoras[[#This Row],[Out/2019]:[Dez/2019]])</f>
        <v>0</v>
      </c>
    </row>
    <row r="504" spans="1:23">
      <c r="A504" t="s">
        <v>151</v>
      </c>
      <c r="B504" t="s">
        <v>168</v>
      </c>
      <c r="C504" t="s">
        <v>303</v>
      </c>
      <c r="D504" t="s">
        <v>122</v>
      </c>
      <c r="E504" t="s">
        <v>179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183.50890135683096</v>
      </c>
      <c r="L504">
        <v>107.5168715657331</v>
      </c>
      <c r="M504" s="28">
        <v>0</v>
      </c>
      <c r="N504" s="28">
        <v>359.79136918581963</v>
      </c>
      <c r="O504">
        <v>0</v>
      </c>
      <c r="P504">
        <v>0</v>
      </c>
      <c r="Q504">
        <v>0</v>
      </c>
      <c r="R504">
        <v>0</v>
      </c>
      <c r="S504" s="28">
        <v>650.81714210838368</v>
      </c>
      <c r="T504" s="29">
        <f>SUM(BaseHoras[[#This Row],[Jan/2019]:[Mar/2019]])</f>
        <v>0</v>
      </c>
      <c r="U504" s="29">
        <f>SUM(BaseHoras[[#This Row],[Abr/2019]:[Jun/2019]])</f>
        <v>183.50890135683096</v>
      </c>
      <c r="V504" s="29">
        <f>SUM(BaseHoras[[#This Row],[Jul/2019]:[Set/2019]])</f>
        <v>467.30824075155272</v>
      </c>
      <c r="W504" s="29">
        <f>SUM(BaseHoras[[#This Row],[Out/2019]:[Dez/2019]])</f>
        <v>0</v>
      </c>
    </row>
    <row r="505" spans="1:23">
      <c r="A505" t="s">
        <v>151</v>
      </c>
      <c r="B505" t="s">
        <v>168</v>
      </c>
      <c r="C505" t="s">
        <v>303</v>
      </c>
      <c r="D505" t="s">
        <v>141</v>
      </c>
      <c r="E505" t="s">
        <v>179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s="28">
        <v>0</v>
      </c>
      <c r="N505" s="28">
        <v>130.30063476398684</v>
      </c>
      <c r="O505">
        <v>0</v>
      </c>
      <c r="P505">
        <v>0</v>
      </c>
      <c r="Q505">
        <v>0</v>
      </c>
      <c r="R505">
        <v>0</v>
      </c>
      <c r="S505" s="28">
        <v>130.30063476398684</v>
      </c>
      <c r="T505" s="29">
        <f>SUM(BaseHoras[[#This Row],[Jan/2019]:[Mar/2019]])</f>
        <v>0</v>
      </c>
      <c r="U505" s="29">
        <f>SUM(BaseHoras[[#This Row],[Abr/2019]:[Jun/2019]])</f>
        <v>0</v>
      </c>
      <c r="V505" s="29">
        <f>SUM(BaseHoras[[#This Row],[Jul/2019]:[Set/2019]])</f>
        <v>130.30063476398684</v>
      </c>
      <c r="W505" s="29">
        <f>SUM(BaseHoras[[#This Row],[Out/2019]:[Dez/2019]])</f>
        <v>0</v>
      </c>
    </row>
    <row r="506" spans="1:23">
      <c r="A506" t="s">
        <v>151</v>
      </c>
      <c r="B506" t="s">
        <v>168</v>
      </c>
      <c r="C506" t="s">
        <v>303</v>
      </c>
      <c r="D506" t="s">
        <v>149</v>
      </c>
      <c r="E506" t="s">
        <v>179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s="28">
        <v>0</v>
      </c>
      <c r="N506" s="28">
        <v>31.010275381650747</v>
      </c>
      <c r="O506">
        <v>0</v>
      </c>
      <c r="P506">
        <v>0</v>
      </c>
      <c r="Q506">
        <v>0</v>
      </c>
      <c r="R506">
        <v>0</v>
      </c>
      <c r="S506" s="28">
        <v>31.010275381650747</v>
      </c>
      <c r="T506" s="29">
        <f>SUM(BaseHoras[[#This Row],[Jan/2019]:[Mar/2019]])</f>
        <v>0</v>
      </c>
      <c r="U506" s="29">
        <f>SUM(BaseHoras[[#This Row],[Abr/2019]:[Jun/2019]])</f>
        <v>0</v>
      </c>
      <c r="V506" s="29">
        <f>SUM(BaseHoras[[#This Row],[Jul/2019]:[Set/2019]])</f>
        <v>31.010275381650747</v>
      </c>
      <c r="W506" s="29">
        <f>SUM(BaseHoras[[#This Row],[Out/2019]:[Dez/2019]])</f>
        <v>0</v>
      </c>
    </row>
    <row r="507" spans="1:23">
      <c r="A507" t="s">
        <v>151</v>
      </c>
      <c r="B507" t="s">
        <v>168</v>
      </c>
      <c r="C507" t="s">
        <v>304</v>
      </c>
      <c r="D507" t="s">
        <v>82</v>
      </c>
      <c r="E507" t="s">
        <v>179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s="28">
        <v>0</v>
      </c>
      <c r="N507" s="28">
        <v>0</v>
      </c>
      <c r="O507">
        <v>0</v>
      </c>
      <c r="P507">
        <v>0</v>
      </c>
      <c r="Q507">
        <v>48.790935109674379</v>
      </c>
      <c r="R507">
        <v>0</v>
      </c>
      <c r="S507" s="28">
        <v>48.790935109674379</v>
      </c>
      <c r="T507" s="29">
        <f>SUM(BaseHoras[[#This Row],[Jan/2019]:[Mar/2019]])</f>
        <v>0</v>
      </c>
      <c r="U507" s="29">
        <f>SUM(BaseHoras[[#This Row],[Abr/2019]:[Jun/2019]])</f>
        <v>0</v>
      </c>
      <c r="V507" s="29">
        <f>SUM(BaseHoras[[#This Row],[Jul/2019]:[Set/2019]])</f>
        <v>0</v>
      </c>
      <c r="W507" s="29">
        <f>SUM(BaseHoras[[#This Row],[Out/2019]:[Dez/2019]])</f>
        <v>48.790935109674379</v>
      </c>
    </row>
    <row r="508" spans="1:23">
      <c r="A508" t="s">
        <v>151</v>
      </c>
      <c r="B508" t="s">
        <v>168</v>
      </c>
      <c r="C508" t="s">
        <v>305</v>
      </c>
      <c r="D508" t="s">
        <v>105</v>
      </c>
      <c r="E508" t="s">
        <v>179</v>
      </c>
      <c r="F508">
        <v>18.89206360907388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s="28">
        <v>0</v>
      </c>
      <c r="N508" s="28">
        <v>0</v>
      </c>
      <c r="O508">
        <v>0</v>
      </c>
      <c r="P508">
        <v>0</v>
      </c>
      <c r="Q508">
        <v>0</v>
      </c>
      <c r="R508">
        <v>0</v>
      </c>
      <c r="S508" s="28">
        <v>18.89206360907388</v>
      </c>
      <c r="T508" s="29">
        <f>SUM(BaseHoras[[#This Row],[Jan/2019]:[Mar/2019]])</f>
        <v>18.89206360907388</v>
      </c>
      <c r="U508" s="29">
        <f>SUM(BaseHoras[[#This Row],[Abr/2019]:[Jun/2019]])</f>
        <v>0</v>
      </c>
      <c r="V508" s="29">
        <f>SUM(BaseHoras[[#This Row],[Jul/2019]:[Set/2019]])</f>
        <v>0</v>
      </c>
      <c r="W508" s="29">
        <f>SUM(BaseHoras[[#This Row],[Out/2019]:[Dez/2019]])</f>
        <v>0</v>
      </c>
    </row>
    <row r="509" spans="1:23">
      <c r="A509" t="s">
        <v>151</v>
      </c>
      <c r="B509" t="s">
        <v>168</v>
      </c>
      <c r="C509" t="s">
        <v>306</v>
      </c>
      <c r="D509" t="s">
        <v>81</v>
      </c>
      <c r="E509" t="s">
        <v>179</v>
      </c>
      <c r="F509">
        <v>110.30822132861829</v>
      </c>
      <c r="G509">
        <v>7.6519266132366104</v>
      </c>
      <c r="H509">
        <v>0</v>
      </c>
      <c r="I509">
        <v>0</v>
      </c>
      <c r="J509">
        <v>0</v>
      </c>
      <c r="K509">
        <v>0</v>
      </c>
      <c r="L509">
        <v>0</v>
      </c>
      <c r="M509" s="28">
        <v>0</v>
      </c>
      <c r="N509" s="28">
        <v>0</v>
      </c>
      <c r="O509">
        <v>0</v>
      </c>
      <c r="P509">
        <v>0</v>
      </c>
      <c r="Q509">
        <v>0</v>
      </c>
      <c r="R509">
        <v>0</v>
      </c>
      <c r="S509" s="28">
        <v>117.9601479418549</v>
      </c>
      <c r="T509" s="29">
        <f>SUM(BaseHoras[[#This Row],[Jan/2019]:[Mar/2019]])</f>
        <v>117.9601479418549</v>
      </c>
      <c r="U509" s="29">
        <f>SUM(BaseHoras[[#This Row],[Abr/2019]:[Jun/2019]])</f>
        <v>0</v>
      </c>
      <c r="V509" s="29">
        <f>SUM(BaseHoras[[#This Row],[Jul/2019]:[Set/2019]])</f>
        <v>0</v>
      </c>
      <c r="W509" s="29">
        <f>SUM(BaseHoras[[#This Row],[Out/2019]:[Dez/2019]])</f>
        <v>0</v>
      </c>
    </row>
    <row r="510" spans="1:23">
      <c r="A510" t="s">
        <v>151</v>
      </c>
      <c r="B510" t="s">
        <v>168</v>
      </c>
      <c r="C510" t="s">
        <v>306</v>
      </c>
      <c r="D510" t="s">
        <v>136</v>
      </c>
      <c r="E510" t="s">
        <v>179</v>
      </c>
      <c r="F510">
        <v>2.7269593084644805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s="28">
        <v>0</v>
      </c>
      <c r="N510" s="28">
        <v>0</v>
      </c>
      <c r="O510">
        <v>0</v>
      </c>
      <c r="P510">
        <v>0</v>
      </c>
      <c r="Q510">
        <v>0</v>
      </c>
      <c r="R510">
        <v>0</v>
      </c>
      <c r="S510" s="28">
        <v>2.7269593084644805</v>
      </c>
      <c r="T510" s="29">
        <f>SUM(BaseHoras[[#This Row],[Jan/2019]:[Mar/2019]])</f>
        <v>2.7269593084644805</v>
      </c>
      <c r="U510" s="29">
        <f>SUM(BaseHoras[[#This Row],[Abr/2019]:[Jun/2019]])</f>
        <v>0</v>
      </c>
      <c r="V510" s="29">
        <f>SUM(BaseHoras[[#This Row],[Jul/2019]:[Set/2019]])</f>
        <v>0</v>
      </c>
      <c r="W510" s="29">
        <f>SUM(BaseHoras[[#This Row],[Out/2019]:[Dez/2019]])</f>
        <v>0</v>
      </c>
    </row>
    <row r="511" spans="1:23">
      <c r="A511" t="s">
        <v>151</v>
      </c>
      <c r="B511" t="s">
        <v>168</v>
      </c>
      <c r="C511" t="s">
        <v>307</v>
      </c>
      <c r="D511" t="s">
        <v>19</v>
      </c>
      <c r="E511" t="s">
        <v>260</v>
      </c>
      <c r="F511">
        <v>3.9970960287232193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s="28">
        <v>0</v>
      </c>
      <c r="N511" s="28">
        <v>0</v>
      </c>
      <c r="O511">
        <v>0</v>
      </c>
      <c r="P511">
        <v>0</v>
      </c>
      <c r="Q511">
        <v>0</v>
      </c>
      <c r="R511">
        <v>0</v>
      </c>
      <c r="S511" s="28">
        <v>3.9970960287232193</v>
      </c>
      <c r="T511" s="29">
        <f>SUM(BaseHoras[[#This Row],[Jan/2019]:[Mar/2019]])</f>
        <v>3.9970960287232193</v>
      </c>
      <c r="U511" s="29">
        <f>SUM(BaseHoras[[#This Row],[Abr/2019]:[Jun/2019]])</f>
        <v>0</v>
      </c>
      <c r="V511" s="29">
        <f>SUM(BaseHoras[[#This Row],[Jul/2019]:[Set/2019]])</f>
        <v>0</v>
      </c>
      <c r="W511" s="29">
        <f>SUM(BaseHoras[[#This Row],[Out/2019]:[Dez/2019]])</f>
        <v>0</v>
      </c>
    </row>
    <row r="512" spans="1:23">
      <c r="A512" t="s">
        <v>151</v>
      </c>
      <c r="B512" t="s">
        <v>168</v>
      </c>
      <c r="C512" t="s">
        <v>307</v>
      </c>
      <c r="D512" t="s">
        <v>29</v>
      </c>
      <c r="E512" t="s">
        <v>260</v>
      </c>
      <c r="F512">
        <v>26.153085997394811</v>
      </c>
      <c r="G512">
        <v>18.228230329085726</v>
      </c>
      <c r="H512">
        <v>77.702876436835524</v>
      </c>
      <c r="I512">
        <v>0</v>
      </c>
      <c r="J512">
        <v>0</v>
      </c>
      <c r="K512">
        <v>0</v>
      </c>
      <c r="L512">
        <v>0</v>
      </c>
      <c r="M512" s="28">
        <v>0</v>
      </c>
      <c r="N512" s="28">
        <v>0</v>
      </c>
      <c r="O512">
        <v>0</v>
      </c>
      <c r="P512">
        <v>0</v>
      </c>
      <c r="Q512">
        <v>0</v>
      </c>
      <c r="R512">
        <v>0</v>
      </c>
      <c r="S512" s="28">
        <v>122.08419276331605</v>
      </c>
      <c r="T512" s="29">
        <f>SUM(BaseHoras[[#This Row],[Jan/2019]:[Mar/2019]])</f>
        <v>122.08419276331605</v>
      </c>
      <c r="U512" s="29">
        <f>SUM(BaseHoras[[#This Row],[Abr/2019]:[Jun/2019]])</f>
        <v>0</v>
      </c>
      <c r="V512" s="29">
        <f>SUM(BaseHoras[[#This Row],[Jul/2019]:[Set/2019]])</f>
        <v>0</v>
      </c>
      <c r="W512" s="29">
        <f>SUM(BaseHoras[[#This Row],[Out/2019]:[Dez/2019]])</f>
        <v>0</v>
      </c>
    </row>
    <row r="513" spans="1:23">
      <c r="A513" t="s">
        <v>151</v>
      </c>
      <c r="B513" t="s">
        <v>168</v>
      </c>
      <c r="C513" t="s">
        <v>307</v>
      </c>
      <c r="D513" t="s">
        <v>36</v>
      </c>
      <c r="E513" t="s">
        <v>260</v>
      </c>
      <c r="F513">
        <v>141.32283484729393</v>
      </c>
      <c r="G513">
        <v>245.58990866931379</v>
      </c>
      <c r="H513">
        <v>0</v>
      </c>
      <c r="I513">
        <v>0</v>
      </c>
      <c r="J513">
        <v>0</v>
      </c>
      <c r="K513">
        <v>0</v>
      </c>
      <c r="L513">
        <v>0</v>
      </c>
      <c r="M513" s="28">
        <v>0</v>
      </c>
      <c r="N513" s="28">
        <v>0</v>
      </c>
      <c r="O513">
        <v>0</v>
      </c>
      <c r="P513">
        <v>0</v>
      </c>
      <c r="Q513">
        <v>0</v>
      </c>
      <c r="R513">
        <v>0</v>
      </c>
      <c r="S513" s="28">
        <v>386.91274351660775</v>
      </c>
      <c r="T513" s="29">
        <f>SUM(BaseHoras[[#This Row],[Jan/2019]:[Mar/2019]])</f>
        <v>386.91274351660775</v>
      </c>
      <c r="U513" s="29">
        <f>SUM(BaseHoras[[#This Row],[Abr/2019]:[Jun/2019]])</f>
        <v>0</v>
      </c>
      <c r="V513" s="29">
        <f>SUM(BaseHoras[[#This Row],[Jul/2019]:[Set/2019]])</f>
        <v>0</v>
      </c>
      <c r="W513" s="29">
        <f>SUM(BaseHoras[[#This Row],[Out/2019]:[Dez/2019]])</f>
        <v>0</v>
      </c>
    </row>
    <row r="514" spans="1:23">
      <c r="A514" t="s">
        <v>151</v>
      </c>
      <c r="B514" t="s">
        <v>168</v>
      </c>
      <c r="C514" t="s">
        <v>307</v>
      </c>
      <c r="D514" t="s">
        <v>40</v>
      </c>
      <c r="E514" t="s">
        <v>260</v>
      </c>
      <c r="F514">
        <v>4.1793272949695481</v>
      </c>
      <c r="G514">
        <v>67.040346735435122</v>
      </c>
      <c r="H514">
        <v>0</v>
      </c>
      <c r="I514">
        <v>0</v>
      </c>
      <c r="J514">
        <v>0</v>
      </c>
      <c r="K514">
        <v>0</v>
      </c>
      <c r="L514">
        <v>0</v>
      </c>
      <c r="M514" s="28">
        <v>0</v>
      </c>
      <c r="N514" s="28">
        <v>0</v>
      </c>
      <c r="O514">
        <v>0</v>
      </c>
      <c r="P514">
        <v>0</v>
      </c>
      <c r="Q514">
        <v>0</v>
      </c>
      <c r="R514">
        <v>0</v>
      </c>
      <c r="S514" s="28">
        <v>71.219674030404676</v>
      </c>
      <c r="T514" s="29">
        <f>SUM(BaseHoras[[#This Row],[Jan/2019]:[Mar/2019]])</f>
        <v>71.219674030404676</v>
      </c>
      <c r="U514" s="29">
        <f>SUM(BaseHoras[[#This Row],[Abr/2019]:[Jun/2019]])</f>
        <v>0</v>
      </c>
      <c r="V514" s="29">
        <f>SUM(BaseHoras[[#This Row],[Jul/2019]:[Set/2019]])</f>
        <v>0</v>
      </c>
      <c r="W514" s="29">
        <f>SUM(BaseHoras[[#This Row],[Out/2019]:[Dez/2019]])</f>
        <v>0</v>
      </c>
    </row>
    <row r="515" spans="1:23">
      <c r="A515" t="s">
        <v>151</v>
      </c>
      <c r="B515" t="s">
        <v>168</v>
      </c>
      <c r="C515" t="s">
        <v>307</v>
      </c>
      <c r="D515" t="s">
        <v>41</v>
      </c>
      <c r="E515" t="s">
        <v>260</v>
      </c>
      <c r="F515">
        <v>107.7935488815978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s="28">
        <v>0</v>
      </c>
      <c r="N515" s="28">
        <v>0</v>
      </c>
      <c r="O515">
        <v>0</v>
      </c>
      <c r="P515">
        <v>0</v>
      </c>
      <c r="Q515">
        <v>0</v>
      </c>
      <c r="R515">
        <v>0</v>
      </c>
      <c r="S515" s="28">
        <v>107.7935488815978</v>
      </c>
      <c r="T515" s="29">
        <f>SUM(BaseHoras[[#This Row],[Jan/2019]:[Mar/2019]])</f>
        <v>107.7935488815978</v>
      </c>
      <c r="U515" s="29">
        <f>SUM(BaseHoras[[#This Row],[Abr/2019]:[Jun/2019]])</f>
        <v>0</v>
      </c>
      <c r="V515" s="29">
        <f>SUM(BaseHoras[[#This Row],[Jul/2019]:[Set/2019]])</f>
        <v>0</v>
      </c>
      <c r="W515" s="29">
        <f>SUM(BaseHoras[[#This Row],[Out/2019]:[Dez/2019]])</f>
        <v>0</v>
      </c>
    </row>
    <row r="516" spans="1:23">
      <c r="A516" t="s">
        <v>151</v>
      </c>
      <c r="B516" t="s">
        <v>168</v>
      </c>
      <c r="C516" t="s">
        <v>307</v>
      </c>
      <c r="D516" t="s">
        <v>49</v>
      </c>
      <c r="E516" t="s">
        <v>260</v>
      </c>
      <c r="F516">
        <v>50.996782700962271</v>
      </c>
      <c r="G516">
        <v>0</v>
      </c>
      <c r="H516">
        <v>24.941549200509172</v>
      </c>
      <c r="I516">
        <v>0</v>
      </c>
      <c r="J516">
        <v>0</v>
      </c>
      <c r="K516">
        <v>0</v>
      </c>
      <c r="L516">
        <v>0</v>
      </c>
      <c r="M516" s="28">
        <v>0</v>
      </c>
      <c r="N516" s="28">
        <v>0</v>
      </c>
      <c r="O516">
        <v>0</v>
      </c>
      <c r="P516">
        <v>0</v>
      </c>
      <c r="Q516">
        <v>0</v>
      </c>
      <c r="R516">
        <v>0</v>
      </c>
      <c r="S516" s="28">
        <v>75.938331901471443</v>
      </c>
      <c r="T516" s="29">
        <f>SUM(BaseHoras[[#This Row],[Jan/2019]:[Mar/2019]])</f>
        <v>75.938331901471443</v>
      </c>
      <c r="U516" s="29">
        <f>SUM(BaseHoras[[#This Row],[Abr/2019]:[Jun/2019]])</f>
        <v>0</v>
      </c>
      <c r="V516" s="29">
        <f>SUM(BaseHoras[[#This Row],[Jul/2019]:[Set/2019]])</f>
        <v>0</v>
      </c>
      <c r="W516" s="29">
        <f>SUM(BaseHoras[[#This Row],[Out/2019]:[Dez/2019]])</f>
        <v>0</v>
      </c>
    </row>
    <row r="517" spans="1:23">
      <c r="A517" t="s">
        <v>151</v>
      </c>
      <c r="B517" t="s">
        <v>168</v>
      </c>
      <c r="C517" t="s">
        <v>307</v>
      </c>
      <c r="D517" t="s">
        <v>87</v>
      </c>
      <c r="E517" t="s">
        <v>260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20.906255467193198</v>
      </c>
      <c r="L517">
        <v>0</v>
      </c>
      <c r="M517" s="28">
        <v>0</v>
      </c>
      <c r="N517" s="28">
        <v>0</v>
      </c>
      <c r="O517">
        <v>0</v>
      </c>
      <c r="P517">
        <v>0</v>
      </c>
      <c r="Q517">
        <v>0</v>
      </c>
      <c r="R517">
        <v>0</v>
      </c>
      <c r="S517" s="28">
        <v>20.906255467193198</v>
      </c>
      <c r="T517" s="29">
        <f>SUM(BaseHoras[[#This Row],[Jan/2019]:[Mar/2019]])</f>
        <v>0</v>
      </c>
      <c r="U517" s="29">
        <f>SUM(BaseHoras[[#This Row],[Abr/2019]:[Jun/2019]])</f>
        <v>20.906255467193198</v>
      </c>
      <c r="V517" s="29">
        <f>SUM(BaseHoras[[#This Row],[Jul/2019]:[Set/2019]])</f>
        <v>0</v>
      </c>
      <c r="W517" s="29">
        <f>SUM(BaseHoras[[#This Row],[Out/2019]:[Dez/2019]])</f>
        <v>0</v>
      </c>
    </row>
    <row r="518" spans="1:23">
      <c r="A518" t="s">
        <v>151</v>
      </c>
      <c r="B518" t="s">
        <v>168</v>
      </c>
      <c r="C518" t="s">
        <v>307</v>
      </c>
      <c r="D518" t="s">
        <v>98</v>
      </c>
      <c r="E518" t="s">
        <v>260</v>
      </c>
      <c r="F518">
        <v>84.11877243759433</v>
      </c>
      <c r="G518">
        <v>0</v>
      </c>
      <c r="H518">
        <v>12.920895904470862</v>
      </c>
      <c r="I518">
        <v>0</v>
      </c>
      <c r="J518">
        <v>0</v>
      </c>
      <c r="K518">
        <v>0</v>
      </c>
      <c r="L518">
        <v>0</v>
      </c>
      <c r="M518" s="28">
        <v>0</v>
      </c>
      <c r="N518" s="28">
        <v>0</v>
      </c>
      <c r="O518">
        <v>0</v>
      </c>
      <c r="P518">
        <v>0</v>
      </c>
      <c r="Q518">
        <v>0</v>
      </c>
      <c r="R518">
        <v>0</v>
      </c>
      <c r="S518" s="28">
        <v>97.039668342065198</v>
      </c>
      <c r="T518" s="29">
        <f>SUM(BaseHoras[[#This Row],[Jan/2019]:[Mar/2019]])</f>
        <v>97.039668342065198</v>
      </c>
      <c r="U518" s="29">
        <f>SUM(BaseHoras[[#This Row],[Abr/2019]:[Jun/2019]])</f>
        <v>0</v>
      </c>
      <c r="V518" s="29">
        <f>SUM(BaseHoras[[#This Row],[Jul/2019]:[Set/2019]])</f>
        <v>0</v>
      </c>
      <c r="W518" s="29">
        <f>SUM(BaseHoras[[#This Row],[Out/2019]:[Dez/2019]])</f>
        <v>0</v>
      </c>
    </row>
    <row r="519" spans="1:23">
      <c r="A519" t="s">
        <v>151</v>
      </c>
      <c r="B519" t="s">
        <v>168</v>
      </c>
      <c r="C519" t="s">
        <v>307</v>
      </c>
      <c r="D519" t="s">
        <v>102</v>
      </c>
      <c r="E519" t="s">
        <v>260</v>
      </c>
      <c r="F519">
        <v>0</v>
      </c>
      <c r="G519">
        <v>5.9723199527523869</v>
      </c>
      <c r="H519">
        <v>0</v>
      </c>
      <c r="I519">
        <v>0</v>
      </c>
      <c r="J519">
        <v>0</v>
      </c>
      <c r="K519">
        <v>0</v>
      </c>
      <c r="L519">
        <v>0</v>
      </c>
      <c r="M519" s="28">
        <v>0</v>
      </c>
      <c r="N519" s="28">
        <v>0</v>
      </c>
      <c r="O519">
        <v>0</v>
      </c>
      <c r="P519">
        <v>0</v>
      </c>
      <c r="Q519">
        <v>0</v>
      </c>
      <c r="R519">
        <v>0</v>
      </c>
      <c r="S519" s="28">
        <v>5.9723199527523869</v>
      </c>
      <c r="T519" s="29">
        <f>SUM(BaseHoras[[#This Row],[Jan/2019]:[Mar/2019]])</f>
        <v>5.9723199527523869</v>
      </c>
      <c r="U519" s="29">
        <f>SUM(BaseHoras[[#This Row],[Abr/2019]:[Jun/2019]])</f>
        <v>0</v>
      </c>
      <c r="V519" s="29">
        <f>SUM(BaseHoras[[#This Row],[Jul/2019]:[Set/2019]])</f>
        <v>0</v>
      </c>
      <c r="W519" s="29">
        <f>SUM(BaseHoras[[#This Row],[Out/2019]:[Dez/2019]])</f>
        <v>0</v>
      </c>
    </row>
    <row r="520" spans="1:23">
      <c r="A520" t="s">
        <v>151</v>
      </c>
      <c r="B520" t="s">
        <v>168</v>
      </c>
      <c r="C520" t="s">
        <v>307</v>
      </c>
      <c r="D520" t="s">
        <v>117</v>
      </c>
      <c r="E520" t="s">
        <v>260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s="28">
        <v>0</v>
      </c>
      <c r="N520" s="28">
        <v>0</v>
      </c>
      <c r="O520">
        <v>0</v>
      </c>
      <c r="P520" t="s">
        <v>395</v>
      </c>
      <c r="Q520">
        <v>0</v>
      </c>
      <c r="R520">
        <v>0</v>
      </c>
      <c r="S520" s="28">
        <v>0</v>
      </c>
      <c r="T520" s="29">
        <f>SUM(BaseHoras[[#This Row],[Jan/2019]:[Mar/2019]])</f>
        <v>0</v>
      </c>
      <c r="U520" s="29">
        <f>SUM(BaseHoras[[#This Row],[Abr/2019]:[Jun/2019]])</f>
        <v>0</v>
      </c>
      <c r="V520" s="29">
        <f>SUM(BaseHoras[[#This Row],[Jul/2019]:[Set/2019]])</f>
        <v>0</v>
      </c>
      <c r="W520" s="29">
        <f>SUM(BaseHoras[[#This Row],[Out/2019]:[Dez/2019]])</f>
        <v>0</v>
      </c>
    </row>
    <row r="521" spans="1:23">
      <c r="A521" t="s">
        <v>151</v>
      </c>
      <c r="B521" t="s">
        <v>168</v>
      </c>
      <c r="C521" t="s">
        <v>307</v>
      </c>
      <c r="D521" t="s">
        <v>118</v>
      </c>
      <c r="E521" t="s">
        <v>260</v>
      </c>
      <c r="F521">
        <v>64.487665327125541</v>
      </c>
      <c r="G521">
        <v>450.85482433286137</v>
      </c>
      <c r="H521">
        <v>256.29037262360185</v>
      </c>
      <c r="I521">
        <v>1437.4558182412186</v>
      </c>
      <c r="J521">
        <v>10.485411422043178</v>
      </c>
      <c r="K521">
        <v>0</v>
      </c>
      <c r="L521">
        <v>0</v>
      </c>
      <c r="M521" s="28">
        <v>0</v>
      </c>
      <c r="N521" s="28">
        <v>0</v>
      </c>
      <c r="O521">
        <v>0</v>
      </c>
      <c r="P521">
        <v>0</v>
      </c>
      <c r="Q521">
        <v>0</v>
      </c>
      <c r="R521">
        <v>0</v>
      </c>
      <c r="S521" s="28">
        <v>2219.5740919468508</v>
      </c>
      <c r="T521" s="29">
        <f>SUM(BaseHoras[[#This Row],[Jan/2019]:[Mar/2019]])</f>
        <v>771.63286228358879</v>
      </c>
      <c r="U521" s="29">
        <f>SUM(BaseHoras[[#This Row],[Abr/2019]:[Jun/2019]])</f>
        <v>1447.9412296632618</v>
      </c>
      <c r="V521" s="29">
        <f>SUM(BaseHoras[[#This Row],[Jul/2019]:[Set/2019]])</f>
        <v>0</v>
      </c>
      <c r="W521" s="29">
        <f>SUM(BaseHoras[[#This Row],[Out/2019]:[Dez/2019]])</f>
        <v>0</v>
      </c>
    </row>
    <row r="522" spans="1:23">
      <c r="A522" t="s">
        <v>151</v>
      </c>
      <c r="B522" t="s">
        <v>168</v>
      </c>
      <c r="C522" t="s">
        <v>307</v>
      </c>
      <c r="D522" t="s">
        <v>123</v>
      </c>
      <c r="E522" t="s">
        <v>260</v>
      </c>
      <c r="F522">
        <v>0</v>
      </c>
      <c r="G522">
        <v>117.07719491241677</v>
      </c>
      <c r="H522">
        <v>89.54508294905942</v>
      </c>
      <c r="I522">
        <v>0</v>
      </c>
      <c r="J522">
        <v>0</v>
      </c>
      <c r="K522">
        <v>0</v>
      </c>
      <c r="L522">
        <v>0</v>
      </c>
      <c r="M522" s="28">
        <v>0</v>
      </c>
      <c r="N522" s="28">
        <v>0</v>
      </c>
      <c r="O522">
        <v>0</v>
      </c>
      <c r="P522">
        <v>0</v>
      </c>
      <c r="Q522">
        <v>0</v>
      </c>
      <c r="R522">
        <v>0</v>
      </c>
      <c r="S522" s="28">
        <v>206.62227786147619</v>
      </c>
      <c r="T522" s="29">
        <f>SUM(BaseHoras[[#This Row],[Jan/2019]:[Mar/2019]])</f>
        <v>206.62227786147619</v>
      </c>
      <c r="U522" s="29">
        <f>SUM(BaseHoras[[#This Row],[Abr/2019]:[Jun/2019]])</f>
        <v>0</v>
      </c>
      <c r="V522" s="29">
        <f>SUM(BaseHoras[[#This Row],[Jul/2019]:[Set/2019]])</f>
        <v>0</v>
      </c>
      <c r="W522" s="29">
        <f>SUM(BaseHoras[[#This Row],[Out/2019]:[Dez/2019]])</f>
        <v>0</v>
      </c>
    </row>
    <row r="523" spans="1:23">
      <c r="A523" t="s">
        <v>151</v>
      </c>
      <c r="B523" t="s">
        <v>168</v>
      </c>
      <c r="C523" t="s">
        <v>307</v>
      </c>
      <c r="D523" t="s">
        <v>128</v>
      </c>
      <c r="E523" t="s">
        <v>260</v>
      </c>
      <c r="F523">
        <v>58.219503680734498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s="28">
        <v>0</v>
      </c>
      <c r="N523" s="28">
        <v>0</v>
      </c>
      <c r="O523">
        <v>0</v>
      </c>
      <c r="P523">
        <v>0</v>
      </c>
      <c r="Q523">
        <v>0</v>
      </c>
      <c r="R523">
        <v>0</v>
      </c>
      <c r="S523" s="28">
        <v>58.219503680734498</v>
      </c>
      <c r="T523" s="29">
        <f>SUM(BaseHoras[[#This Row],[Jan/2019]:[Mar/2019]])</f>
        <v>58.219503680734498</v>
      </c>
      <c r="U523" s="29">
        <f>SUM(BaseHoras[[#This Row],[Abr/2019]:[Jun/2019]])</f>
        <v>0</v>
      </c>
      <c r="V523" s="29">
        <f>SUM(BaseHoras[[#This Row],[Jul/2019]:[Set/2019]])</f>
        <v>0</v>
      </c>
      <c r="W523" s="29">
        <f>SUM(BaseHoras[[#This Row],[Out/2019]:[Dez/2019]])</f>
        <v>0</v>
      </c>
    </row>
    <row r="524" spans="1:23">
      <c r="A524" t="s">
        <v>151</v>
      </c>
      <c r="B524" t="s">
        <v>168</v>
      </c>
      <c r="C524" t="s">
        <v>307</v>
      </c>
      <c r="D524" t="s">
        <v>146</v>
      </c>
      <c r="E524" t="s">
        <v>260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15.542947689888264</v>
      </c>
      <c r="M524" s="28">
        <v>0</v>
      </c>
      <c r="N524" s="28">
        <v>55.61756282501311</v>
      </c>
      <c r="O524">
        <v>403.99493829738611</v>
      </c>
      <c r="P524">
        <v>2348.0685767114869</v>
      </c>
      <c r="Q524">
        <v>12.18184922890387</v>
      </c>
      <c r="R524">
        <v>0</v>
      </c>
      <c r="S524" s="28">
        <v>2835.4058747526783</v>
      </c>
      <c r="T524" s="29">
        <f>SUM(BaseHoras[[#This Row],[Jan/2019]:[Mar/2019]])</f>
        <v>0</v>
      </c>
      <c r="U524" s="29">
        <f>SUM(BaseHoras[[#This Row],[Abr/2019]:[Jun/2019]])</f>
        <v>0</v>
      </c>
      <c r="V524" s="29">
        <f>SUM(BaseHoras[[#This Row],[Jul/2019]:[Set/2019]])</f>
        <v>71.160510514901375</v>
      </c>
      <c r="W524" s="29">
        <f>SUM(BaseHoras[[#This Row],[Out/2019]:[Dez/2019]])</f>
        <v>2764.2453642377768</v>
      </c>
    </row>
    <row r="525" spans="1:23">
      <c r="A525" t="s">
        <v>151</v>
      </c>
      <c r="B525" t="s">
        <v>168</v>
      </c>
      <c r="C525" t="s">
        <v>308</v>
      </c>
      <c r="D525" t="s">
        <v>87</v>
      </c>
      <c r="E525" t="s">
        <v>179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s="28">
        <v>0</v>
      </c>
      <c r="N525" s="28">
        <v>0</v>
      </c>
      <c r="O525">
        <v>42.08018574591221</v>
      </c>
      <c r="P525">
        <v>0</v>
      </c>
      <c r="Q525">
        <v>0</v>
      </c>
      <c r="R525">
        <v>0</v>
      </c>
      <c r="S525" s="28">
        <v>42.08018574591221</v>
      </c>
      <c r="T525" s="29">
        <f>SUM(BaseHoras[[#This Row],[Jan/2019]:[Mar/2019]])</f>
        <v>0</v>
      </c>
      <c r="U525" s="29">
        <f>SUM(BaseHoras[[#This Row],[Abr/2019]:[Jun/2019]])</f>
        <v>0</v>
      </c>
      <c r="V525" s="29">
        <f>SUM(BaseHoras[[#This Row],[Jul/2019]:[Set/2019]])</f>
        <v>0</v>
      </c>
      <c r="W525" s="29">
        <f>SUM(BaseHoras[[#This Row],[Out/2019]:[Dez/2019]])</f>
        <v>42.08018574591221</v>
      </c>
    </row>
    <row r="526" spans="1:23">
      <c r="A526" t="s">
        <v>151</v>
      </c>
      <c r="B526" t="s">
        <v>168</v>
      </c>
      <c r="C526" t="s">
        <v>309</v>
      </c>
      <c r="D526" t="s">
        <v>100</v>
      </c>
      <c r="E526" t="s">
        <v>179</v>
      </c>
      <c r="F526">
        <v>0</v>
      </c>
      <c r="G526">
        <v>58.100217458012366</v>
      </c>
      <c r="H526">
        <v>35.3155834437134</v>
      </c>
      <c r="I526">
        <v>0</v>
      </c>
      <c r="J526">
        <v>0</v>
      </c>
      <c r="K526">
        <v>0</v>
      </c>
      <c r="L526">
        <v>0</v>
      </c>
      <c r="M526" s="28">
        <v>0</v>
      </c>
      <c r="N526" s="28">
        <v>0</v>
      </c>
      <c r="O526">
        <v>0</v>
      </c>
      <c r="P526">
        <v>0</v>
      </c>
      <c r="Q526">
        <v>0</v>
      </c>
      <c r="R526">
        <v>0</v>
      </c>
      <c r="S526" s="28">
        <v>93.41580090172576</v>
      </c>
      <c r="T526" s="29">
        <f>SUM(BaseHoras[[#This Row],[Jan/2019]:[Mar/2019]])</f>
        <v>93.41580090172576</v>
      </c>
      <c r="U526" s="29">
        <f>SUM(BaseHoras[[#This Row],[Abr/2019]:[Jun/2019]])</f>
        <v>0</v>
      </c>
      <c r="V526" s="29">
        <f>SUM(BaseHoras[[#This Row],[Jul/2019]:[Set/2019]])</f>
        <v>0</v>
      </c>
      <c r="W526" s="29">
        <f>SUM(BaseHoras[[#This Row],[Out/2019]:[Dez/2019]])</f>
        <v>0</v>
      </c>
    </row>
    <row r="527" spans="1:23">
      <c r="A527" t="s">
        <v>151</v>
      </c>
      <c r="B527" t="s">
        <v>168</v>
      </c>
      <c r="C527" t="s">
        <v>310</v>
      </c>
      <c r="D527" t="s">
        <v>30</v>
      </c>
      <c r="E527" t="s">
        <v>179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s="28">
        <v>0</v>
      </c>
      <c r="N527" s="28">
        <v>0</v>
      </c>
      <c r="O527">
        <v>0</v>
      </c>
      <c r="P527">
        <v>196.0410440241746</v>
      </c>
      <c r="Q527">
        <v>47.901947307860539</v>
      </c>
      <c r="R527">
        <v>0</v>
      </c>
      <c r="S527" s="28">
        <v>243.94299133203515</v>
      </c>
      <c r="T527" s="29">
        <f>SUM(BaseHoras[[#This Row],[Jan/2019]:[Mar/2019]])</f>
        <v>0</v>
      </c>
      <c r="U527" s="29">
        <f>SUM(BaseHoras[[#This Row],[Abr/2019]:[Jun/2019]])</f>
        <v>0</v>
      </c>
      <c r="V527" s="29">
        <f>SUM(BaseHoras[[#This Row],[Jul/2019]:[Set/2019]])</f>
        <v>0</v>
      </c>
      <c r="W527" s="29">
        <f>SUM(BaseHoras[[#This Row],[Out/2019]:[Dez/2019]])</f>
        <v>243.94299133203515</v>
      </c>
    </row>
    <row r="528" spans="1:23">
      <c r="A528" t="s">
        <v>151</v>
      </c>
      <c r="B528" t="s">
        <v>168</v>
      </c>
      <c r="C528" t="s">
        <v>310</v>
      </c>
      <c r="D528" t="s">
        <v>40</v>
      </c>
      <c r="E528" t="s">
        <v>179</v>
      </c>
      <c r="F528">
        <v>271.15354876355076</v>
      </c>
      <c r="G528">
        <v>13.280629906927844</v>
      </c>
      <c r="H528">
        <v>0</v>
      </c>
      <c r="I528">
        <v>0</v>
      </c>
      <c r="J528">
        <v>0</v>
      </c>
      <c r="K528">
        <v>0</v>
      </c>
      <c r="L528">
        <v>0</v>
      </c>
      <c r="M528" s="28">
        <v>0</v>
      </c>
      <c r="N528" s="28">
        <v>0</v>
      </c>
      <c r="O528">
        <v>34.145929803770166</v>
      </c>
      <c r="P528">
        <v>0</v>
      </c>
      <c r="Q528">
        <v>0</v>
      </c>
      <c r="R528">
        <v>0</v>
      </c>
      <c r="S528" s="28">
        <v>318.58010847424879</v>
      </c>
      <c r="T528" s="29">
        <f>SUM(BaseHoras[[#This Row],[Jan/2019]:[Mar/2019]])</f>
        <v>284.43417867047862</v>
      </c>
      <c r="U528" s="29">
        <f>SUM(BaseHoras[[#This Row],[Abr/2019]:[Jun/2019]])</f>
        <v>0</v>
      </c>
      <c r="V528" s="29">
        <f>SUM(BaseHoras[[#This Row],[Jul/2019]:[Set/2019]])</f>
        <v>0</v>
      </c>
      <c r="W528" s="29">
        <f>SUM(BaseHoras[[#This Row],[Out/2019]:[Dez/2019]])</f>
        <v>34.145929803770166</v>
      </c>
    </row>
    <row r="529" spans="1:23">
      <c r="A529" t="s">
        <v>151</v>
      </c>
      <c r="B529" t="s">
        <v>168</v>
      </c>
      <c r="C529" t="s">
        <v>310</v>
      </c>
      <c r="D529" t="s">
        <v>82</v>
      </c>
      <c r="E529" t="s">
        <v>179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s="28">
        <v>0</v>
      </c>
      <c r="N529" s="28">
        <v>0</v>
      </c>
      <c r="O529">
        <v>0</v>
      </c>
      <c r="P529">
        <v>0</v>
      </c>
      <c r="Q529">
        <v>112.87992006290565</v>
      </c>
      <c r="R529">
        <v>0</v>
      </c>
      <c r="S529" s="28">
        <v>112.87992006290565</v>
      </c>
      <c r="T529" s="29">
        <f>SUM(BaseHoras[[#This Row],[Jan/2019]:[Mar/2019]])</f>
        <v>0</v>
      </c>
      <c r="U529" s="29">
        <f>SUM(BaseHoras[[#This Row],[Abr/2019]:[Jun/2019]])</f>
        <v>0</v>
      </c>
      <c r="V529" s="29">
        <f>SUM(BaseHoras[[#This Row],[Jul/2019]:[Set/2019]])</f>
        <v>0</v>
      </c>
      <c r="W529" s="29">
        <f>SUM(BaseHoras[[#This Row],[Out/2019]:[Dez/2019]])</f>
        <v>112.87992006290565</v>
      </c>
    </row>
    <row r="530" spans="1:23">
      <c r="A530" t="s">
        <v>151</v>
      </c>
      <c r="B530" t="s">
        <v>168</v>
      </c>
      <c r="C530" t="s">
        <v>310</v>
      </c>
      <c r="D530" t="s">
        <v>91</v>
      </c>
      <c r="E530" t="s">
        <v>179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s="28">
        <v>0</v>
      </c>
      <c r="N530" s="28">
        <v>0</v>
      </c>
      <c r="O530">
        <v>0</v>
      </c>
      <c r="P530">
        <v>0</v>
      </c>
      <c r="Q530">
        <v>48.607962806312642</v>
      </c>
      <c r="R530">
        <v>0</v>
      </c>
      <c r="S530" s="28">
        <v>48.607962806312642</v>
      </c>
      <c r="T530" s="29">
        <f>SUM(BaseHoras[[#This Row],[Jan/2019]:[Mar/2019]])</f>
        <v>0</v>
      </c>
      <c r="U530" s="29">
        <f>SUM(BaseHoras[[#This Row],[Abr/2019]:[Jun/2019]])</f>
        <v>0</v>
      </c>
      <c r="V530" s="29">
        <f>SUM(BaseHoras[[#This Row],[Jul/2019]:[Set/2019]])</f>
        <v>0</v>
      </c>
      <c r="W530" s="29">
        <f>SUM(BaseHoras[[#This Row],[Out/2019]:[Dez/2019]])</f>
        <v>48.607962806312642</v>
      </c>
    </row>
    <row r="531" spans="1:23">
      <c r="A531" t="s">
        <v>151</v>
      </c>
      <c r="B531" t="s">
        <v>168</v>
      </c>
      <c r="C531" t="s">
        <v>310</v>
      </c>
      <c r="D531" t="s">
        <v>98</v>
      </c>
      <c r="E531" t="s">
        <v>179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11.091838058573099</v>
      </c>
      <c r="L531">
        <v>0</v>
      </c>
      <c r="M531" s="28">
        <v>0</v>
      </c>
      <c r="N531" s="28">
        <v>0</v>
      </c>
      <c r="O531">
        <v>0</v>
      </c>
      <c r="P531">
        <v>0</v>
      </c>
      <c r="Q531">
        <v>0</v>
      </c>
      <c r="R531">
        <v>0</v>
      </c>
      <c r="S531" s="28">
        <v>11.091838058573099</v>
      </c>
      <c r="T531" s="29">
        <f>SUM(BaseHoras[[#This Row],[Jan/2019]:[Mar/2019]])</f>
        <v>0</v>
      </c>
      <c r="U531" s="29">
        <f>SUM(BaseHoras[[#This Row],[Abr/2019]:[Jun/2019]])</f>
        <v>11.091838058573099</v>
      </c>
      <c r="V531" s="29">
        <f>SUM(BaseHoras[[#This Row],[Jul/2019]:[Set/2019]])</f>
        <v>0</v>
      </c>
      <c r="W531" s="29">
        <f>SUM(BaseHoras[[#This Row],[Out/2019]:[Dez/2019]])</f>
        <v>0</v>
      </c>
    </row>
    <row r="532" spans="1:23">
      <c r="A532" t="s">
        <v>151</v>
      </c>
      <c r="B532" t="s">
        <v>168</v>
      </c>
      <c r="C532" t="s">
        <v>310</v>
      </c>
      <c r="D532" t="s">
        <v>123</v>
      </c>
      <c r="E532" t="s">
        <v>179</v>
      </c>
      <c r="F532">
        <v>102.96510048506808</v>
      </c>
      <c r="G532">
        <v>23.453022302373654</v>
      </c>
      <c r="H532">
        <v>0</v>
      </c>
      <c r="I532">
        <v>0</v>
      </c>
      <c r="J532">
        <v>0</v>
      </c>
      <c r="K532">
        <v>0</v>
      </c>
      <c r="L532">
        <v>0</v>
      </c>
      <c r="M532" s="28">
        <v>0</v>
      </c>
      <c r="N532" s="28">
        <v>0</v>
      </c>
      <c r="O532">
        <v>0</v>
      </c>
      <c r="P532">
        <v>0</v>
      </c>
      <c r="Q532">
        <v>0</v>
      </c>
      <c r="R532">
        <v>0</v>
      </c>
      <c r="S532" s="28">
        <v>126.41812278744173</v>
      </c>
      <c r="T532" s="29">
        <f>SUM(BaseHoras[[#This Row],[Jan/2019]:[Mar/2019]])</f>
        <v>126.41812278744173</v>
      </c>
      <c r="U532" s="29">
        <f>SUM(BaseHoras[[#This Row],[Abr/2019]:[Jun/2019]])</f>
        <v>0</v>
      </c>
      <c r="V532" s="29">
        <f>SUM(BaseHoras[[#This Row],[Jul/2019]:[Set/2019]])</f>
        <v>0</v>
      </c>
      <c r="W532" s="29">
        <f>SUM(BaseHoras[[#This Row],[Out/2019]:[Dez/2019]])</f>
        <v>0</v>
      </c>
    </row>
    <row r="533" spans="1:23">
      <c r="A533" t="s">
        <v>151</v>
      </c>
      <c r="B533" t="s">
        <v>168</v>
      </c>
      <c r="C533" t="s">
        <v>310</v>
      </c>
      <c r="D533" t="s">
        <v>131</v>
      </c>
      <c r="E533" t="s">
        <v>179</v>
      </c>
      <c r="F533">
        <v>10.633877463172281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s="28">
        <v>0</v>
      </c>
      <c r="N533" s="28">
        <v>0</v>
      </c>
      <c r="O533">
        <v>0</v>
      </c>
      <c r="P533">
        <v>0</v>
      </c>
      <c r="Q533">
        <v>0</v>
      </c>
      <c r="R533">
        <v>0</v>
      </c>
      <c r="S533" s="28">
        <v>10.633877463172281</v>
      </c>
      <c r="T533" s="29">
        <f>SUM(BaseHoras[[#This Row],[Jan/2019]:[Mar/2019]])</f>
        <v>10.633877463172281</v>
      </c>
      <c r="U533" s="29">
        <f>SUM(BaseHoras[[#This Row],[Abr/2019]:[Jun/2019]])</f>
        <v>0</v>
      </c>
      <c r="V533" s="29">
        <f>SUM(BaseHoras[[#This Row],[Jul/2019]:[Set/2019]])</f>
        <v>0</v>
      </c>
      <c r="W533" s="29">
        <f>SUM(BaseHoras[[#This Row],[Out/2019]:[Dez/2019]])</f>
        <v>0</v>
      </c>
    </row>
    <row r="534" spans="1:23">
      <c r="A534" t="s">
        <v>151</v>
      </c>
      <c r="B534" t="s">
        <v>168</v>
      </c>
      <c r="C534" t="s">
        <v>310</v>
      </c>
      <c r="D534" t="s">
        <v>146</v>
      </c>
      <c r="E534" t="s">
        <v>179</v>
      </c>
      <c r="F534">
        <v>0</v>
      </c>
      <c r="G534">
        <v>1552.1856769826525</v>
      </c>
      <c r="H534">
        <v>176.3772729046014</v>
      </c>
      <c r="I534">
        <v>0</v>
      </c>
      <c r="J534">
        <v>0</v>
      </c>
      <c r="K534">
        <v>0</v>
      </c>
      <c r="L534">
        <v>0</v>
      </c>
      <c r="M534" s="28">
        <v>0</v>
      </c>
      <c r="N534" s="28">
        <v>0</v>
      </c>
      <c r="O534">
        <v>0</v>
      </c>
      <c r="P534">
        <v>0</v>
      </c>
      <c r="Q534">
        <v>0</v>
      </c>
      <c r="R534">
        <v>0</v>
      </c>
      <c r="S534" s="28">
        <v>1728.5629498872538</v>
      </c>
      <c r="T534" s="29">
        <f>SUM(BaseHoras[[#This Row],[Jan/2019]:[Mar/2019]])</f>
        <v>1728.5629498872538</v>
      </c>
      <c r="U534" s="29">
        <f>SUM(BaseHoras[[#This Row],[Abr/2019]:[Jun/2019]])</f>
        <v>0</v>
      </c>
      <c r="V534" s="29">
        <f>SUM(BaseHoras[[#This Row],[Jul/2019]:[Set/2019]])</f>
        <v>0</v>
      </c>
      <c r="W534" s="29">
        <f>SUM(BaseHoras[[#This Row],[Out/2019]:[Dez/2019]])</f>
        <v>0</v>
      </c>
    </row>
    <row r="535" spans="1:23">
      <c r="A535" t="s">
        <v>151</v>
      </c>
      <c r="B535" t="s">
        <v>168</v>
      </c>
      <c r="C535" t="s">
        <v>311</v>
      </c>
      <c r="D535" t="s">
        <v>19</v>
      </c>
      <c r="E535" t="s">
        <v>179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s="28">
        <v>0</v>
      </c>
      <c r="N535" s="28">
        <v>0</v>
      </c>
      <c r="O535">
        <v>0</v>
      </c>
      <c r="P535">
        <v>21.24749954995173</v>
      </c>
      <c r="Q535">
        <v>0</v>
      </c>
      <c r="R535">
        <v>0</v>
      </c>
      <c r="S535" s="28">
        <v>21.24749954995173</v>
      </c>
      <c r="T535" s="29">
        <f>SUM(BaseHoras[[#This Row],[Jan/2019]:[Mar/2019]])</f>
        <v>0</v>
      </c>
      <c r="U535" s="29">
        <f>SUM(BaseHoras[[#This Row],[Abr/2019]:[Jun/2019]])</f>
        <v>0</v>
      </c>
      <c r="V535" s="29">
        <f>SUM(BaseHoras[[#This Row],[Jul/2019]:[Set/2019]])</f>
        <v>0</v>
      </c>
      <c r="W535" s="29">
        <f>SUM(BaseHoras[[#This Row],[Out/2019]:[Dez/2019]])</f>
        <v>21.24749954995173</v>
      </c>
    </row>
    <row r="536" spans="1:23">
      <c r="A536" t="s">
        <v>151</v>
      </c>
      <c r="B536" t="s">
        <v>168</v>
      </c>
      <c r="C536" t="s">
        <v>311</v>
      </c>
      <c r="D536" t="s">
        <v>25</v>
      </c>
      <c r="E536" t="s">
        <v>179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s="28">
        <v>9.7053506072656717</v>
      </c>
      <c r="N536" s="28">
        <v>494.8235404951501</v>
      </c>
      <c r="O536">
        <v>0</v>
      </c>
      <c r="P536">
        <v>3.0182229535390452</v>
      </c>
      <c r="Q536" t="s">
        <v>395</v>
      </c>
      <c r="R536">
        <v>0</v>
      </c>
      <c r="S536" s="28">
        <v>507.54711405595481</v>
      </c>
      <c r="T536" s="29">
        <f>SUM(BaseHoras[[#This Row],[Jan/2019]:[Mar/2019]])</f>
        <v>0</v>
      </c>
      <c r="U536" s="29">
        <f>SUM(BaseHoras[[#This Row],[Abr/2019]:[Jun/2019]])</f>
        <v>0</v>
      </c>
      <c r="V536" s="29">
        <f>SUM(BaseHoras[[#This Row],[Jul/2019]:[Set/2019]])</f>
        <v>504.52889110241574</v>
      </c>
      <c r="W536" s="29">
        <f>SUM(BaseHoras[[#This Row],[Out/2019]:[Dez/2019]])</f>
        <v>3.0182229535390452</v>
      </c>
    </row>
    <row r="537" spans="1:23">
      <c r="A537" t="s">
        <v>151</v>
      </c>
      <c r="B537" t="s">
        <v>168</v>
      </c>
      <c r="C537" t="s">
        <v>311</v>
      </c>
      <c r="D537" t="s">
        <v>30</v>
      </c>
      <c r="E537" t="s">
        <v>179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s="28">
        <v>82.661259606807278</v>
      </c>
      <c r="N537" s="28">
        <v>477.36764144495839</v>
      </c>
      <c r="O537">
        <v>231.86395400133094</v>
      </c>
      <c r="P537">
        <v>4403.7008615082532</v>
      </c>
      <c r="Q537">
        <v>0</v>
      </c>
      <c r="R537">
        <v>0</v>
      </c>
      <c r="S537" s="28">
        <v>5195.5937165613495</v>
      </c>
      <c r="T537" s="29">
        <f>SUM(BaseHoras[[#This Row],[Jan/2019]:[Mar/2019]])</f>
        <v>0</v>
      </c>
      <c r="U537" s="29">
        <f>SUM(BaseHoras[[#This Row],[Abr/2019]:[Jun/2019]])</f>
        <v>0</v>
      </c>
      <c r="V537" s="29">
        <f>SUM(BaseHoras[[#This Row],[Jul/2019]:[Set/2019]])</f>
        <v>560.02890105176562</v>
      </c>
      <c r="W537" s="29">
        <f>SUM(BaseHoras[[#This Row],[Out/2019]:[Dez/2019]])</f>
        <v>4635.5648155095842</v>
      </c>
    </row>
    <row r="538" spans="1:23">
      <c r="A538" t="s">
        <v>151</v>
      </c>
      <c r="B538" t="s">
        <v>168</v>
      </c>
      <c r="C538" t="s">
        <v>311</v>
      </c>
      <c r="D538" t="s">
        <v>36</v>
      </c>
      <c r="E538" t="s">
        <v>179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s="28">
        <v>148.16331845827554</v>
      </c>
      <c r="N538" s="28">
        <v>586.20308213786643</v>
      </c>
      <c r="O538">
        <v>402.04367517197142</v>
      </c>
      <c r="P538">
        <v>185.20670966375616</v>
      </c>
      <c r="Q538">
        <v>73.416334500207</v>
      </c>
      <c r="R538">
        <v>0</v>
      </c>
      <c r="S538" s="28">
        <v>1395.0331199320765</v>
      </c>
      <c r="T538" s="29">
        <f>SUM(BaseHoras[[#This Row],[Jan/2019]:[Mar/2019]])</f>
        <v>0</v>
      </c>
      <c r="U538" s="29">
        <f>SUM(BaseHoras[[#This Row],[Abr/2019]:[Jun/2019]])</f>
        <v>0</v>
      </c>
      <c r="V538" s="29">
        <f>SUM(BaseHoras[[#This Row],[Jul/2019]:[Set/2019]])</f>
        <v>734.36640059614194</v>
      </c>
      <c r="W538" s="29">
        <f>SUM(BaseHoras[[#This Row],[Out/2019]:[Dez/2019]])</f>
        <v>660.66671933593454</v>
      </c>
    </row>
    <row r="539" spans="1:23">
      <c r="A539" t="s">
        <v>151</v>
      </c>
      <c r="B539" t="s">
        <v>168</v>
      </c>
      <c r="C539" t="s">
        <v>311</v>
      </c>
      <c r="D539" t="s">
        <v>40</v>
      </c>
      <c r="E539" t="s">
        <v>179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s="28">
        <v>0</v>
      </c>
      <c r="N539" s="28">
        <v>0</v>
      </c>
      <c r="O539">
        <v>96.200094553512685</v>
      </c>
      <c r="P539">
        <v>2.6036440713675328</v>
      </c>
      <c r="Q539">
        <v>0</v>
      </c>
      <c r="R539">
        <v>0</v>
      </c>
      <c r="S539" s="28">
        <v>98.803738624880211</v>
      </c>
      <c r="T539" s="29">
        <f>SUM(BaseHoras[[#This Row],[Jan/2019]:[Mar/2019]])</f>
        <v>0</v>
      </c>
      <c r="U539" s="29">
        <f>SUM(BaseHoras[[#This Row],[Abr/2019]:[Jun/2019]])</f>
        <v>0</v>
      </c>
      <c r="V539" s="29">
        <f>SUM(BaseHoras[[#This Row],[Jul/2019]:[Set/2019]])</f>
        <v>0</v>
      </c>
      <c r="W539" s="29">
        <f>SUM(BaseHoras[[#This Row],[Out/2019]:[Dez/2019]])</f>
        <v>98.803738624880211</v>
      </c>
    </row>
    <row r="540" spans="1:23">
      <c r="A540" t="s">
        <v>151</v>
      </c>
      <c r="B540" t="s">
        <v>168</v>
      </c>
      <c r="C540" t="s">
        <v>311</v>
      </c>
      <c r="D540" t="s">
        <v>41</v>
      </c>
      <c r="E540" t="s">
        <v>179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s="28">
        <v>49.392544796797736</v>
      </c>
      <c r="N540" s="28">
        <v>744.1827844550121</v>
      </c>
      <c r="O540">
        <v>0</v>
      </c>
      <c r="P540">
        <v>0</v>
      </c>
      <c r="Q540">
        <v>0</v>
      </c>
      <c r="R540">
        <v>0</v>
      </c>
      <c r="S540" s="28">
        <v>793.57532925180988</v>
      </c>
      <c r="T540" s="29">
        <f>SUM(BaseHoras[[#This Row],[Jan/2019]:[Mar/2019]])</f>
        <v>0</v>
      </c>
      <c r="U540" s="29">
        <f>SUM(BaseHoras[[#This Row],[Abr/2019]:[Jun/2019]])</f>
        <v>0</v>
      </c>
      <c r="V540" s="29">
        <f>SUM(BaseHoras[[#This Row],[Jul/2019]:[Set/2019]])</f>
        <v>793.57532925180988</v>
      </c>
      <c r="W540" s="29">
        <f>SUM(BaseHoras[[#This Row],[Out/2019]:[Dez/2019]])</f>
        <v>0</v>
      </c>
    </row>
    <row r="541" spans="1:23">
      <c r="A541" t="s">
        <v>151</v>
      </c>
      <c r="B541" t="s">
        <v>168</v>
      </c>
      <c r="C541" t="s">
        <v>311</v>
      </c>
      <c r="D541" t="s">
        <v>49</v>
      </c>
      <c r="E541" t="s">
        <v>179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s="28">
        <v>0</v>
      </c>
      <c r="N541" s="28">
        <v>0</v>
      </c>
      <c r="O541">
        <v>0</v>
      </c>
      <c r="P541">
        <v>211.0398958264619</v>
      </c>
      <c r="Q541">
        <v>0</v>
      </c>
      <c r="R541">
        <v>0</v>
      </c>
      <c r="S541" s="28">
        <v>211.0398958264619</v>
      </c>
      <c r="T541" s="29">
        <f>SUM(BaseHoras[[#This Row],[Jan/2019]:[Mar/2019]])</f>
        <v>0</v>
      </c>
      <c r="U541" s="29">
        <f>SUM(BaseHoras[[#This Row],[Abr/2019]:[Jun/2019]])</f>
        <v>0</v>
      </c>
      <c r="V541" s="29">
        <f>SUM(BaseHoras[[#This Row],[Jul/2019]:[Set/2019]])</f>
        <v>0</v>
      </c>
      <c r="W541" s="29">
        <f>SUM(BaseHoras[[#This Row],[Out/2019]:[Dez/2019]])</f>
        <v>211.0398958264619</v>
      </c>
    </row>
    <row r="542" spans="1:23">
      <c r="A542" t="s">
        <v>151</v>
      </c>
      <c r="B542" t="s">
        <v>168</v>
      </c>
      <c r="C542" t="s">
        <v>311</v>
      </c>
      <c r="D542" t="s">
        <v>55</v>
      </c>
      <c r="E542" t="s">
        <v>179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s="28">
        <v>0</v>
      </c>
      <c r="N542" s="28">
        <v>0</v>
      </c>
      <c r="O542">
        <v>19.734631274224615</v>
      </c>
      <c r="P542">
        <v>5.1377578268963235</v>
      </c>
      <c r="Q542">
        <v>0</v>
      </c>
      <c r="R542">
        <v>0</v>
      </c>
      <c r="S542" s="28">
        <v>24.872389101120937</v>
      </c>
      <c r="T542" s="29">
        <f>SUM(BaseHoras[[#This Row],[Jan/2019]:[Mar/2019]])</f>
        <v>0</v>
      </c>
      <c r="U542" s="29">
        <f>SUM(BaseHoras[[#This Row],[Abr/2019]:[Jun/2019]])</f>
        <v>0</v>
      </c>
      <c r="V542" s="29">
        <f>SUM(BaseHoras[[#This Row],[Jul/2019]:[Set/2019]])</f>
        <v>0</v>
      </c>
      <c r="W542" s="29">
        <f>SUM(BaseHoras[[#This Row],[Out/2019]:[Dez/2019]])</f>
        <v>24.872389101120937</v>
      </c>
    </row>
    <row r="543" spans="1:23">
      <c r="A543" t="s">
        <v>151</v>
      </c>
      <c r="B543" t="s">
        <v>168</v>
      </c>
      <c r="C543" t="s">
        <v>311</v>
      </c>
      <c r="D543" t="s">
        <v>81</v>
      </c>
      <c r="E543" t="s">
        <v>179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s="28">
        <v>0</v>
      </c>
      <c r="N543" s="28">
        <v>8.9207062689885035</v>
      </c>
      <c r="O543">
        <v>0</v>
      </c>
      <c r="P543">
        <v>0</v>
      </c>
      <c r="Q543">
        <v>0</v>
      </c>
      <c r="R543">
        <v>0</v>
      </c>
      <c r="S543" s="28">
        <v>8.9207062689885035</v>
      </c>
      <c r="T543" s="29">
        <f>SUM(BaseHoras[[#This Row],[Jan/2019]:[Mar/2019]])</f>
        <v>0</v>
      </c>
      <c r="U543" s="29">
        <f>SUM(BaseHoras[[#This Row],[Abr/2019]:[Jun/2019]])</f>
        <v>0</v>
      </c>
      <c r="V543" s="29">
        <f>SUM(BaseHoras[[#This Row],[Jul/2019]:[Set/2019]])</f>
        <v>8.9207062689885035</v>
      </c>
      <c r="W543" s="29">
        <f>SUM(BaseHoras[[#This Row],[Out/2019]:[Dez/2019]])</f>
        <v>0</v>
      </c>
    </row>
    <row r="544" spans="1:23">
      <c r="A544" t="s">
        <v>151</v>
      </c>
      <c r="B544" t="s">
        <v>168</v>
      </c>
      <c r="C544" t="s">
        <v>311</v>
      </c>
      <c r="D544" t="s">
        <v>93</v>
      </c>
      <c r="E544" t="s">
        <v>179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s="28">
        <v>0</v>
      </c>
      <c r="N544" s="28">
        <v>0</v>
      </c>
      <c r="O544">
        <v>0</v>
      </c>
      <c r="P544">
        <v>898.30659878840538</v>
      </c>
      <c r="Q544">
        <v>0</v>
      </c>
      <c r="R544">
        <v>0</v>
      </c>
      <c r="S544" s="28">
        <v>898.30659878840538</v>
      </c>
      <c r="T544" s="29">
        <f>SUM(BaseHoras[[#This Row],[Jan/2019]:[Mar/2019]])</f>
        <v>0</v>
      </c>
      <c r="U544" s="29">
        <f>SUM(BaseHoras[[#This Row],[Abr/2019]:[Jun/2019]])</f>
        <v>0</v>
      </c>
      <c r="V544" s="29">
        <f>SUM(BaseHoras[[#This Row],[Jul/2019]:[Set/2019]])</f>
        <v>0</v>
      </c>
      <c r="W544" s="29">
        <f>SUM(BaseHoras[[#This Row],[Out/2019]:[Dez/2019]])</f>
        <v>898.30659878840538</v>
      </c>
    </row>
    <row r="545" spans="1:23">
      <c r="A545" t="s">
        <v>151</v>
      </c>
      <c r="B545" t="s">
        <v>168</v>
      </c>
      <c r="C545" t="s">
        <v>311</v>
      </c>
      <c r="D545" t="s">
        <v>100</v>
      </c>
      <c r="E545" t="s">
        <v>179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s="28">
        <v>0</v>
      </c>
      <c r="N545" s="28">
        <v>0</v>
      </c>
      <c r="O545">
        <v>188.8835240516371</v>
      </c>
      <c r="P545">
        <v>35.482270279924684</v>
      </c>
      <c r="Q545">
        <v>0</v>
      </c>
      <c r="R545">
        <v>0</v>
      </c>
      <c r="S545" s="28">
        <v>224.36579433156177</v>
      </c>
      <c r="T545" s="29">
        <f>SUM(BaseHoras[[#This Row],[Jan/2019]:[Mar/2019]])</f>
        <v>0</v>
      </c>
      <c r="U545" s="29">
        <f>SUM(BaseHoras[[#This Row],[Abr/2019]:[Jun/2019]])</f>
        <v>0</v>
      </c>
      <c r="V545" s="29">
        <f>SUM(BaseHoras[[#This Row],[Jul/2019]:[Set/2019]])</f>
        <v>0</v>
      </c>
      <c r="W545" s="29">
        <f>SUM(BaseHoras[[#This Row],[Out/2019]:[Dez/2019]])</f>
        <v>224.36579433156177</v>
      </c>
    </row>
    <row r="546" spans="1:23">
      <c r="A546" t="s">
        <v>151</v>
      </c>
      <c r="B546" t="s">
        <v>168</v>
      </c>
      <c r="C546" t="s">
        <v>311</v>
      </c>
      <c r="D546" t="s">
        <v>102</v>
      </c>
      <c r="E546" t="s">
        <v>179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s="28">
        <v>0</v>
      </c>
      <c r="N546" s="28">
        <v>0</v>
      </c>
      <c r="O546">
        <v>4.4131062105790111</v>
      </c>
      <c r="P546">
        <v>0</v>
      </c>
      <c r="Q546">
        <v>0</v>
      </c>
      <c r="R546">
        <v>0</v>
      </c>
      <c r="S546" s="28">
        <v>4.4131062105790111</v>
      </c>
      <c r="T546" s="29">
        <f>SUM(BaseHoras[[#This Row],[Jan/2019]:[Mar/2019]])</f>
        <v>0</v>
      </c>
      <c r="U546" s="29">
        <f>SUM(BaseHoras[[#This Row],[Abr/2019]:[Jun/2019]])</f>
        <v>0</v>
      </c>
      <c r="V546" s="29">
        <f>SUM(BaseHoras[[#This Row],[Jul/2019]:[Set/2019]])</f>
        <v>0</v>
      </c>
      <c r="W546" s="29">
        <f>SUM(BaseHoras[[#This Row],[Out/2019]:[Dez/2019]])</f>
        <v>4.4131062105790111</v>
      </c>
    </row>
    <row r="547" spans="1:23">
      <c r="A547" t="s">
        <v>151</v>
      </c>
      <c r="B547" t="s">
        <v>168</v>
      </c>
      <c r="C547" t="s">
        <v>311</v>
      </c>
      <c r="D547" t="s">
        <v>107</v>
      </c>
      <c r="E547" t="s">
        <v>179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s="28">
        <v>0</v>
      </c>
      <c r="N547" s="28">
        <v>2135.7694145431669</v>
      </c>
      <c r="O547">
        <v>0</v>
      </c>
      <c r="P547">
        <v>0</v>
      </c>
      <c r="Q547">
        <v>0</v>
      </c>
      <c r="R547">
        <v>0</v>
      </c>
      <c r="S547" s="28">
        <v>2135.7694145431669</v>
      </c>
      <c r="T547" s="29">
        <f>SUM(BaseHoras[[#This Row],[Jan/2019]:[Mar/2019]])</f>
        <v>0</v>
      </c>
      <c r="U547" s="29">
        <f>SUM(BaseHoras[[#This Row],[Abr/2019]:[Jun/2019]])</f>
        <v>0</v>
      </c>
      <c r="V547" s="29">
        <f>SUM(BaseHoras[[#This Row],[Jul/2019]:[Set/2019]])</f>
        <v>2135.7694145431669</v>
      </c>
      <c r="W547" s="29">
        <f>SUM(BaseHoras[[#This Row],[Out/2019]:[Dez/2019]])</f>
        <v>0</v>
      </c>
    </row>
    <row r="548" spans="1:23">
      <c r="A548" t="s">
        <v>151</v>
      </c>
      <c r="B548" t="s">
        <v>168</v>
      </c>
      <c r="C548" t="s">
        <v>311</v>
      </c>
      <c r="D548" t="s">
        <v>312</v>
      </c>
      <c r="E548" t="s">
        <v>179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s="28">
        <v>0</v>
      </c>
      <c r="N548" s="28">
        <v>478.64642950484739</v>
      </c>
      <c r="O548">
        <v>705.76402811512946</v>
      </c>
      <c r="P548">
        <v>815.32516132612841</v>
      </c>
      <c r="Q548">
        <v>1015.4381059245048</v>
      </c>
      <c r="R548">
        <v>0</v>
      </c>
      <c r="S548" s="28">
        <v>3015.1737248706099</v>
      </c>
      <c r="T548" s="29">
        <f>SUM(BaseHoras[[#This Row],[Jan/2019]:[Mar/2019]])</f>
        <v>0</v>
      </c>
      <c r="U548" s="29">
        <f>SUM(BaseHoras[[#This Row],[Abr/2019]:[Jun/2019]])</f>
        <v>0</v>
      </c>
      <c r="V548" s="29">
        <f>SUM(BaseHoras[[#This Row],[Jul/2019]:[Set/2019]])</f>
        <v>478.64642950484739</v>
      </c>
      <c r="W548" s="29">
        <f>SUM(BaseHoras[[#This Row],[Out/2019]:[Dez/2019]])</f>
        <v>2536.5272953657627</v>
      </c>
    </row>
    <row r="549" spans="1:23">
      <c r="A549" t="s">
        <v>151</v>
      </c>
      <c r="B549" t="s">
        <v>168</v>
      </c>
      <c r="C549" t="s">
        <v>311</v>
      </c>
      <c r="D549" t="s">
        <v>132</v>
      </c>
      <c r="E549" t="s">
        <v>179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s="28">
        <v>5.5186909390388319</v>
      </c>
      <c r="N549" s="28" t="s">
        <v>395</v>
      </c>
      <c r="O549">
        <v>0</v>
      </c>
      <c r="P549">
        <v>0</v>
      </c>
      <c r="Q549">
        <v>0</v>
      </c>
      <c r="R549">
        <v>0</v>
      </c>
      <c r="S549" s="28">
        <v>5.5186909390388319</v>
      </c>
      <c r="T549" s="29">
        <f>SUM(BaseHoras[[#This Row],[Jan/2019]:[Mar/2019]])</f>
        <v>0</v>
      </c>
      <c r="U549" s="29">
        <f>SUM(BaseHoras[[#This Row],[Abr/2019]:[Jun/2019]])</f>
        <v>0</v>
      </c>
      <c r="V549" s="29">
        <f>SUM(BaseHoras[[#This Row],[Jul/2019]:[Set/2019]])</f>
        <v>5.5186909390388319</v>
      </c>
      <c r="W549" s="29">
        <f>SUM(BaseHoras[[#This Row],[Out/2019]:[Dez/2019]])</f>
        <v>0</v>
      </c>
    </row>
    <row r="550" spans="1:23">
      <c r="A550" t="s">
        <v>151</v>
      </c>
      <c r="B550" t="s">
        <v>168</v>
      </c>
      <c r="C550" t="s">
        <v>311</v>
      </c>
      <c r="D550" t="s">
        <v>139</v>
      </c>
      <c r="E550" t="s">
        <v>179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s="28">
        <v>0</v>
      </c>
      <c r="N550" s="28">
        <v>983.65936181304016</v>
      </c>
      <c r="O550">
        <v>0</v>
      </c>
      <c r="P550">
        <v>0</v>
      </c>
      <c r="Q550">
        <v>0</v>
      </c>
      <c r="R550">
        <v>0</v>
      </c>
      <c r="S550" s="28">
        <v>983.65936181304016</v>
      </c>
      <c r="T550" s="29">
        <f>SUM(BaseHoras[[#This Row],[Jan/2019]:[Mar/2019]])</f>
        <v>0</v>
      </c>
      <c r="U550" s="29">
        <f>SUM(BaseHoras[[#This Row],[Abr/2019]:[Jun/2019]])</f>
        <v>0</v>
      </c>
      <c r="V550" s="29">
        <f>SUM(BaseHoras[[#This Row],[Jul/2019]:[Set/2019]])</f>
        <v>983.65936181304016</v>
      </c>
      <c r="W550" s="29">
        <f>SUM(BaseHoras[[#This Row],[Out/2019]:[Dez/2019]])</f>
        <v>0</v>
      </c>
    </row>
    <row r="551" spans="1:23">
      <c r="A551" t="s">
        <v>151</v>
      </c>
      <c r="B551" t="s">
        <v>168</v>
      </c>
      <c r="C551" t="s">
        <v>311</v>
      </c>
      <c r="D551" t="s">
        <v>149</v>
      </c>
      <c r="E551" t="s">
        <v>179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s="28">
        <v>0</v>
      </c>
      <c r="N551" s="28">
        <v>16.294251471534242</v>
      </c>
      <c r="O551">
        <v>123.44095524842839</v>
      </c>
      <c r="P551">
        <v>0</v>
      </c>
      <c r="Q551">
        <v>0</v>
      </c>
      <c r="R551">
        <v>0</v>
      </c>
      <c r="S551" s="28">
        <v>139.73520671996263</v>
      </c>
      <c r="T551" s="29">
        <f>SUM(BaseHoras[[#This Row],[Jan/2019]:[Mar/2019]])</f>
        <v>0</v>
      </c>
      <c r="U551" s="29">
        <f>SUM(BaseHoras[[#This Row],[Abr/2019]:[Jun/2019]])</f>
        <v>0</v>
      </c>
      <c r="V551" s="29">
        <f>SUM(BaseHoras[[#This Row],[Jul/2019]:[Set/2019]])</f>
        <v>16.294251471534242</v>
      </c>
      <c r="W551" s="29">
        <f>SUM(BaseHoras[[#This Row],[Out/2019]:[Dez/2019]])</f>
        <v>123.44095524842839</v>
      </c>
    </row>
    <row r="552" spans="1:23">
      <c r="A552" t="s">
        <v>151</v>
      </c>
      <c r="B552" t="s">
        <v>168</v>
      </c>
      <c r="C552" t="s">
        <v>313</v>
      </c>
      <c r="D552" t="s">
        <v>40</v>
      </c>
      <c r="E552" t="s">
        <v>179</v>
      </c>
      <c r="F552">
        <v>0</v>
      </c>
      <c r="G552">
        <v>0</v>
      </c>
      <c r="H552">
        <v>7.3485109902103156</v>
      </c>
      <c r="I552">
        <v>72.916943832283451</v>
      </c>
      <c r="J552">
        <v>0</v>
      </c>
      <c r="K552">
        <v>0</v>
      </c>
      <c r="L552">
        <v>0</v>
      </c>
      <c r="M552" s="28">
        <v>0</v>
      </c>
      <c r="N552" s="28">
        <v>0</v>
      </c>
      <c r="O552">
        <v>0</v>
      </c>
      <c r="P552">
        <v>0</v>
      </c>
      <c r="Q552">
        <v>0</v>
      </c>
      <c r="R552">
        <v>0</v>
      </c>
      <c r="S552" s="28">
        <v>80.265454822493766</v>
      </c>
      <c r="T552" s="29">
        <f>SUM(BaseHoras[[#This Row],[Jan/2019]:[Mar/2019]])</f>
        <v>7.3485109902103156</v>
      </c>
      <c r="U552" s="29">
        <f>SUM(BaseHoras[[#This Row],[Abr/2019]:[Jun/2019]])</f>
        <v>72.916943832283451</v>
      </c>
      <c r="V552" s="29">
        <f>SUM(BaseHoras[[#This Row],[Jul/2019]:[Set/2019]])</f>
        <v>0</v>
      </c>
      <c r="W552" s="29">
        <f>SUM(BaseHoras[[#This Row],[Out/2019]:[Dez/2019]])</f>
        <v>0</v>
      </c>
    </row>
    <row r="553" spans="1:23">
      <c r="A553" t="s">
        <v>151</v>
      </c>
      <c r="B553" t="s">
        <v>168</v>
      </c>
      <c r="C553" t="s">
        <v>313</v>
      </c>
      <c r="D553" t="s">
        <v>102</v>
      </c>
      <c r="E553" t="s">
        <v>179</v>
      </c>
      <c r="F553">
        <v>0</v>
      </c>
      <c r="G553">
        <v>0</v>
      </c>
      <c r="H553">
        <v>16.18784251652221</v>
      </c>
      <c r="I553">
        <v>114.74712060477475</v>
      </c>
      <c r="J553">
        <v>0</v>
      </c>
      <c r="K553">
        <v>0</v>
      </c>
      <c r="L553">
        <v>0</v>
      </c>
      <c r="M553" s="28">
        <v>0</v>
      </c>
      <c r="N553" s="28">
        <v>0</v>
      </c>
      <c r="O553">
        <v>0</v>
      </c>
      <c r="P553">
        <v>0</v>
      </c>
      <c r="Q553">
        <v>0</v>
      </c>
      <c r="R553">
        <v>0</v>
      </c>
      <c r="S553" s="28">
        <v>130.93496312129696</v>
      </c>
      <c r="T553" s="29">
        <f>SUM(BaseHoras[[#This Row],[Jan/2019]:[Mar/2019]])</f>
        <v>16.18784251652221</v>
      </c>
      <c r="U553" s="29">
        <f>SUM(BaseHoras[[#This Row],[Abr/2019]:[Jun/2019]])</f>
        <v>114.74712060477475</v>
      </c>
      <c r="V553" s="29">
        <f>SUM(BaseHoras[[#This Row],[Jul/2019]:[Set/2019]])</f>
        <v>0</v>
      </c>
      <c r="W553" s="29">
        <f>SUM(BaseHoras[[#This Row],[Out/2019]:[Dez/2019]])</f>
        <v>0</v>
      </c>
    </row>
    <row r="554" spans="1:23">
      <c r="A554" t="s">
        <v>151</v>
      </c>
      <c r="B554" t="s">
        <v>168</v>
      </c>
      <c r="C554" t="s">
        <v>313</v>
      </c>
      <c r="D554" t="s">
        <v>131</v>
      </c>
      <c r="E554" t="s">
        <v>179</v>
      </c>
      <c r="F554">
        <v>0</v>
      </c>
      <c r="G554">
        <v>0</v>
      </c>
      <c r="H554">
        <v>0</v>
      </c>
      <c r="I554">
        <v>0</v>
      </c>
      <c r="J554">
        <v>5.1953545722677426</v>
      </c>
      <c r="K554">
        <v>0</v>
      </c>
      <c r="L554">
        <v>0</v>
      </c>
      <c r="M554" s="28">
        <v>0</v>
      </c>
      <c r="N554" s="28">
        <v>0</v>
      </c>
      <c r="O554">
        <v>0</v>
      </c>
      <c r="P554">
        <v>0</v>
      </c>
      <c r="Q554">
        <v>0</v>
      </c>
      <c r="R554">
        <v>0</v>
      </c>
      <c r="S554" s="28">
        <v>5.1953545722677426</v>
      </c>
      <c r="T554" s="29">
        <f>SUM(BaseHoras[[#This Row],[Jan/2019]:[Mar/2019]])</f>
        <v>0</v>
      </c>
      <c r="U554" s="29">
        <f>SUM(BaseHoras[[#This Row],[Abr/2019]:[Jun/2019]])</f>
        <v>5.1953545722677426</v>
      </c>
      <c r="V554" s="29">
        <f>SUM(BaseHoras[[#This Row],[Jul/2019]:[Set/2019]])</f>
        <v>0</v>
      </c>
      <c r="W554" s="29">
        <f>SUM(BaseHoras[[#This Row],[Out/2019]:[Dez/2019]])</f>
        <v>0</v>
      </c>
    </row>
    <row r="555" spans="1:23">
      <c r="A555" t="s">
        <v>151</v>
      </c>
      <c r="B555" t="s">
        <v>168</v>
      </c>
      <c r="C555" t="s">
        <v>314</v>
      </c>
      <c r="D555" t="s">
        <v>36</v>
      </c>
      <c r="E555" t="s">
        <v>315</v>
      </c>
      <c r="F555">
        <v>0</v>
      </c>
      <c r="G555">
        <v>0</v>
      </c>
      <c r="H555">
        <v>0</v>
      </c>
      <c r="I555">
        <v>0</v>
      </c>
      <c r="J555">
        <v>97.460589697930459</v>
      </c>
      <c r="K555">
        <v>78.603380256237031</v>
      </c>
      <c r="L555">
        <v>0</v>
      </c>
      <c r="M555" s="28">
        <v>0</v>
      </c>
      <c r="N555" s="28">
        <v>0</v>
      </c>
      <c r="O555">
        <v>0</v>
      </c>
      <c r="P555">
        <v>0</v>
      </c>
      <c r="Q555">
        <v>0</v>
      </c>
      <c r="R555">
        <v>0</v>
      </c>
      <c r="S555" s="28">
        <v>176.06396995416748</v>
      </c>
      <c r="T555" s="29">
        <f>SUM(BaseHoras[[#This Row],[Jan/2019]:[Mar/2019]])</f>
        <v>0</v>
      </c>
      <c r="U555" s="29">
        <f>SUM(BaseHoras[[#This Row],[Abr/2019]:[Jun/2019]])</f>
        <v>176.06396995416748</v>
      </c>
      <c r="V555" s="29">
        <f>SUM(BaseHoras[[#This Row],[Jul/2019]:[Set/2019]])</f>
        <v>0</v>
      </c>
      <c r="W555" s="29">
        <f>SUM(BaseHoras[[#This Row],[Out/2019]:[Dez/2019]])</f>
        <v>0</v>
      </c>
    </row>
    <row r="556" spans="1:23">
      <c r="A556" t="s">
        <v>151</v>
      </c>
      <c r="B556" t="s">
        <v>168</v>
      </c>
      <c r="C556" t="s">
        <v>314</v>
      </c>
      <c r="D556" t="s">
        <v>55</v>
      </c>
      <c r="E556" t="s">
        <v>315</v>
      </c>
      <c r="F556">
        <v>0</v>
      </c>
      <c r="G556">
        <v>0</v>
      </c>
      <c r="H556">
        <v>0</v>
      </c>
      <c r="I556">
        <v>0</v>
      </c>
      <c r="J556">
        <v>2.2125907896997705</v>
      </c>
      <c r="K556">
        <v>0</v>
      </c>
      <c r="L556">
        <v>0</v>
      </c>
      <c r="M556" s="28">
        <v>0</v>
      </c>
      <c r="N556" s="28">
        <v>0</v>
      </c>
      <c r="O556">
        <v>0</v>
      </c>
      <c r="P556">
        <v>0</v>
      </c>
      <c r="Q556">
        <v>0</v>
      </c>
      <c r="R556">
        <v>0</v>
      </c>
      <c r="S556" s="28">
        <v>2.2125907896997705</v>
      </c>
      <c r="T556" s="29">
        <f>SUM(BaseHoras[[#This Row],[Jan/2019]:[Mar/2019]])</f>
        <v>0</v>
      </c>
      <c r="U556" s="29">
        <f>SUM(BaseHoras[[#This Row],[Abr/2019]:[Jun/2019]])</f>
        <v>2.2125907896997705</v>
      </c>
      <c r="V556" s="29">
        <f>SUM(BaseHoras[[#This Row],[Jul/2019]:[Set/2019]])</f>
        <v>0</v>
      </c>
      <c r="W556" s="29">
        <f>SUM(BaseHoras[[#This Row],[Out/2019]:[Dez/2019]])</f>
        <v>0</v>
      </c>
    </row>
    <row r="557" spans="1:23">
      <c r="A557" t="s">
        <v>151</v>
      </c>
      <c r="B557" t="s">
        <v>168</v>
      </c>
      <c r="C557" t="s">
        <v>314</v>
      </c>
      <c r="D557" t="s">
        <v>64</v>
      </c>
      <c r="E557" t="s">
        <v>315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s="28">
        <v>0</v>
      </c>
      <c r="N557" s="28">
        <v>0</v>
      </c>
      <c r="O557">
        <v>0</v>
      </c>
      <c r="P557">
        <v>0</v>
      </c>
      <c r="Q557">
        <v>13.120894881437144</v>
      </c>
      <c r="R557">
        <v>0</v>
      </c>
      <c r="S557" s="28">
        <v>13.120894881437144</v>
      </c>
      <c r="T557" s="29">
        <f>SUM(BaseHoras[[#This Row],[Jan/2019]:[Mar/2019]])</f>
        <v>0</v>
      </c>
      <c r="U557" s="29">
        <f>SUM(BaseHoras[[#This Row],[Abr/2019]:[Jun/2019]])</f>
        <v>0</v>
      </c>
      <c r="V557" s="29">
        <f>SUM(BaseHoras[[#This Row],[Jul/2019]:[Set/2019]])</f>
        <v>0</v>
      </c>
      <c r="W557" s="29">
        <f>SUM(BaseHoras[[#This Row],[Out/2019]:[Dez/2019]])</f>
        <v>13.120894881437144</v>
      </c>
    </row>
    <row r="558" spans="1:23">
      <c r="A558" t="s">
        <v>151</v>
      </c>
      <c r="B558" t="s">
        <v>168</v>
      </c>
      <c r="C558" t="s">
        <v>314</v>
      </c>
      <c r="D558" t="s">
        <v>87</v>
      </c>
      <c r="E558" t="s">
        <v>315</v>
      </c>
      <c r="F558">
        <v>0</v>
      </c>
      <c r="G558">
        <v>0</v>
      </c>
      <c r="H558">
        <v>0</v>
      </c>
      <c r="I558">
        <v>0</v>
      </c>
      <c r="J558">
        <v>58.514503166234803</v>
      </c>
      <c r="K558">
        <v>0</v>
      </c>
      <c r="L558">
        <v>0</v>
      </c>
      <c r="M558" s="28">
        <v>0</v>
      </c>
      <c r="N558" s="28">
        <v>0</v>
      </c>
      <c r="O558">
        <v>0</v>
      </c>
      <c r="P558">
        <v>0</v>
      </c>
      <c r="Q558">
        <v>0</v>
      </c>
      <c r="R558">
        <v>0</v>
      </c>
      <c r="S558" s="28">
        <v>58.514503166234803</v>
      </c>
      <c r="T558" s="29">
        <f>SUM(BaseHoras[[#This Row],[Jan/2019]:[Mar/2019]])</f>
        <v>0</v>
      </c>
      <c r="U558" s="29">
        <f>SUM(BaseHoras[[#This Row],[Abr/2019]:[Jun/2019]])</f>
        <v>58.514503166234803</v>
      </c>
      <c r="V558" s="29">
        <f>SUM(BaseHoras[[#This Row],[Jul/2019]:[Set/2019]])</f>
        <v>0</v>
      </c>
      <c r="W558" s="29">
        <f>SUM(BaseHoras[[#This Row],[Out/2019]:[Dez/2019]])</f>
        <v>0</v>
      </c>
    </row>
    <row r="559" spans="1:23">
      <c r="A559" t="s">
        <v>151</v>
      </c>
      <c r="B559" t="s">
        <v>168</v>
      </c>
      <c r="C559" t="s">
        <v>314</v>
      </c>
      <c r="D559" t="s">
        <v>102</v>
      </c>
      <c r="E559" t="s">
        <v>315</v>
      </c>
      <c r="F559">
        <v>0</v>
      </c>
      <c r="G559">
        <v>0</v>
      </c>
      <c r="H559">
        <v>0</v>
      </c>
      <c r="I559">
        <v>0</v>
      </c>
      <c r="J559">
        <v>1.9928430050111237</v>
      </c>
      <c r="K559">
        <v>0</v>
      </c>
      <c r="L559">
        <v>0</v>
      </c>
      <c r="M559" s="28">
        <v>0</v>
      </c>
      <c r="N559" s="28">
        <v>0</v>
      </c>
      <c r="O559">
        <v>0</v>
      </c>
      <c r="P559">
        <v>0</v>
      </c>
      <c r="Q559">
        <v>0</v>
      </c>
      <c r="R559">
        <v>0</v>
      </c>
      <c r="S559" s="28">
        <v>1.9928430050111237</v>
      </c>
      <c r="T559" s="29">
        <f>SUM(BaseHoras[[#This Row],[Jan/2019]:[Mar/2019]])</f>
        <v>0</v>
      </c>
      <c r="U559" s="29">
        <f>SUM(BaseHoras[[#This Row],[Abr/2019]:[Jun/2019]])</f>
        <v>1.9928430050111237</v>
      </c>
      <c r="V559" s="29">
        <f>SUM(BaseHoras[[#This Row],[Jul/2019]:[Set/2019]])</f>
        <v>0</v>
      </c>
      <c r="W559" s="29">
        <f>SUM(BaseHoras[[#This Row],[Out/2019]:[Dez/2019]])</f>
        <v>0</v>
      </c>
    </row>
    <row r="560" spans="1:23">
      <c r="A560" t="s">
        <v>151</v>
      </c>
      <c r="B560" t="s">
        <v>168</v>
      </c>
      <c r="C560" t="s">
        <v>314</v>
      </c>
      <c r="D560" t="s">
        <v>118</v>
      </c>
      <c r="E560" t="s">
        <v>315</v>
      </c>
      <c r="F560">
        <v>0</v>
      </c>
      <c r="G560">
        <v>0</v>
      </c>
      <c r="H560">
        <v>0</v>
      </c>
      <c r="I560">
        <v>0</v>
      </c>
      <c r="J560">
        <v>776.56997202404671</v>
      </c>
      <c r="K560">
        <v>0</v>
      </c>
      <c r="L560">
        <v>0</v>
      </c>
      <c r="M560" s="28">
        <v>0</v>
      </c>
      <c r="N560" s="28">
        <v>0</v>
      </c>
      <c r="O560">
        <v>0</v>
      </c>
      <c r="P560">
        <v>0</v>
      </c>
      <c r="Q560">
        <v>0</v>
      </c>
      <c r="R560">
        <v>0</v>
      </c>
      <c r="S560" s="28">
        <v>776.56997202404671</v>
      </c>
      <c r="T560" s="29">
        <f>SUM(BaseHoras[[#This Row],[Jan/2019]:[Mar/2019]])</f>
        <v>0</v>
      </c>
      <c r="U560" s="29">
        <f>SUM(BaseHoras[[#This Row],[Abr/2019]:[Jun/2019]])</f>
        <v>776.56997202404671</v>
      </c>
      <c r="V560" s="29">
        <f>SUM(BaseHoras[[#This Row],[Jul/2019]:[Set/2019]])</f>
        <v>0</v>
      </c>
      <c r="W560" s="29">
        <f>SUM(BaseHoras[[#This Row],[Out/2019]:[Dez/2019]])</f>
        <v>0</v>
      </c>
    </row>
    <row r="561" spans="1:23">
      <c r="A561" t="s">
        <v>151</v>
      </c>
      <c r="B561" t="s">
        <v>168</v>
      </c>
      <c r="C561" t="s">
        <v>316</v>
      </c>
      <c r="D561" t="s">
        <v>64</v>
      </c>
      <c r="E561" t="s">
        <v>315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s="28">
        <v>0</v>
      </c>
      <c r="N561" s="28">
        <v>0</v>
      </c>
      <c r="O561">
        <v>0</v>
      </c>
      <c r="P561">
        <v>0</v>
      </c>
      <c r="Q561">
        <v>9.8409518842550181</v>
      </c>
      <c r="R561">
        <v>0</v>
      </c>
      <c r="S561" s="28">
        <v>9.8409518842550181</v>
      </c>
      <c r="T561" s="29">
        <f>SUM(BaseHoras[[#This Row],[Jan/2019]:[Mar/2019]])</f>
        <v>0</v>
      </c>
      <c r="U561" s="29">
        <f>SUM(BaseHoras[[#This Row],[Abr/2019]:[Jun/2019]])</f>
        <v>0</v>
      </c>
      <c r="V561" s="29">
        <f>SUM(BaseHoras[[#This Row],[Jul/2019]:[Set/2019]])</f>
        <v>0</v>
      </c>
      <c r="W561" s="29">
        <f>SUM(BaseHoras[[#This Row],[Out/2019]:[Dez/2019]])</f>
        <v>9.8409518842550181</v>
      </c>
    </row>
    <row r="562" spans="1:23">
      <c r="A562" t="s">
        <v>151</v>
      </c>
      <c r="B562" t="s">
        <v>168</v>
      </c>
      <c r="C562" t="s">
        <v>317</v>
      </c>
      <c r="D562" t="s">
        <v>86</v>
      </c>
      <c r="E562" t="s">
        <v>318</v>
      </c>
      <c r="F562">
        <v>160.44638308346066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s="28">
        <v>0</v>
      </c>
      <c r="N562" s="28">
        <v>0</v>
      </c>
      <c r="O562">
        <v>0</v>
      </c>
      <c r="P562">
        <v>0</v>
      </c>
      <c r="Q562">
        <v>0</v>
      </c>
      <c r="R562">
        <v>0</v>
      </c>
      <c r="S562" s="28">
        <v>160.44638308346066</v>
      </c>
      <c r="T562" s="29">
        <f>SUM(BaseHoras[[#This Row],[Jan/2019]:[Mar/2019]])</f>
        <v>160.44638308346066</v>
      </c>
      <c r="U562" s="29">
        <f>SUM(BaseHoras[[#This Row],[Abr/2019]:[Jun/2019]])</f>
        <v>0</v>
      </c>
      <c r="V562" s="29">
        <f>SUM(BaseHoras[[#This Row],[Jul/2019]:[Set/2019]])</f>
        <v>0</v>
      </c>
      <c r="W562" s="29">
        <f>SUM(BaseHoras[[#This Row],[Out/2019]:[Dez/2019]])</f>
        <v>0</v>
      </c>
    </row>
    <row r="563" spans="1:23">
      <c r="A563" t="s">
        <v>151</v>
      </c>
      <c r="B563" t="s">
        <v>168</v>
      </c>
      <c r="C563" t="s">
        <v>317</v>
      </c>
      <c r="D563" t="s">
        <v>103</v>
      </c>
      <c r="E563" t="s">
        <v>318</v>
      </c>
      <c r="F563">
        <v>0</v>
      </c>
      <c r="G563">
        <v>6.9615683316069443</v>
      </c>
      <c r="H563">
        <v>0</v>
      </c>
      <c r="I563">
        <v>0</v>
      </c>
      <c r="J563">
        <v>0</v>
      </c>
      <c r="K563">
        <v>0</v>
      </c>
      <c r="L563">
        <v>0</v>
      </c>
      <c r="M563" s="28">
        <v>0</v>
      </c>
      <c r="N563" s="28">
        <v>0</v>
      </c>
      <c r="O563">
        <v>0</v>
      </c>
      <c r="P563">
        <v>0</v>
      </c>
      <c r="Q563">
        <v>0</v>
      </c>
      <c r="R563">
        <v>0</v>
      </c>
      <c r="S563" s="28">
        <v>6.9615683316069443</v>
      </c>
      <c r="T563" s="29">
        <f>SUM(BaseHoras[[#This Row],[Jan/2019]:[Mar/2019]])</f>
        <v>6.9615683316069443</v>
      </c>
      <c r="U563" s="29">
        <f>SUM(BaseHoras[[#This Row],[Abr/2019]:[Jun/2019]])</f>
        <v>0</v>
      </c>
      <c r="V563" s="29">
        <f>SUM(BaseHoras[[#This Row],[Jul/2019]:[Set/2019]])</f>
        <v>0</v>
      </c>
      <c r="W563" s="29">
        <f>SUM(BaseHoras[[#This Row],[Out/2019]:[Dez/2019]])</f>
        <v>0</v>
      </c>
    </row>
    <row r="564" spans="1:23">
      <c r="A564" t="s">
        <v>151</v>
      </c>
      <c r="B564" t="s">
        <v>168</v>
      </c>
      <c r="C564" t="s">
        <v>319</v>
      </c>
      <c r="D564" t="s">
        <v>55</v>
      </c>
      <c r="E564" t="s">
        <v>320</v>
      </c>
      <c r="F564">
        <v>0</v>
      </c>
      <c r="G564">
        <v>1.6501383562224015</v>
      </c>
      <c r="H564">
        <v>0</v>
      </c>
      <c r="I564">
        <v>0</v>
      </c>
      <c r="J564">
        <v>0</v>
      </c>
      <c r="K564">
        <v>0</v>
      </c>
      <c r="L564">
        <v>0</v>
      </c>
      <c r="M564" s="28">
        <v>0</v>
      </c>
      <c r="N564" s="28">
        <v>0</v>
      </c>
      <c r="O564">
        <v>0</v>
      </c>
      <c r="P564">
        <v>0</v>
      </c>
      <c r="Q564">
        <v>0</v>
      </c>
      <c r="R564">
        <v>0</v>
      </c>
      <c r="S564" s="28">
        <v>1.6501383562224015</v>
      </c>
      <c r="T564" s="29">
        <f>SUM(BaseHoras[[#This Row],[Jan/2019]:[Mar/2019]])</f>
        <v>1.6501383562224015</v>
      </c>
      <c r="U564" s="29">
        <f>SUM(BaseHoras[[#This Row],[Abr/2019]:[Jun/2019]])</f>
        <v>0</v>
      </c>
      <c r="V564" s="29">
        <f>SUM(BaseHoras[[#This Row],[Jul/2019]:[Set/2019]])</f>
        <v>0</v>
      </c>
      <c r="W564" s="29">
        <f>SUM(BaseHoras[[#This Row],[Out/2019]:[Dez/2019]])</f>
        <v>0</v>
      </c>
    </row>
    <row r="565" spans="1:23">
      <c r="A565" t="s">
        <v>151</v>
      </c>
      <c r="B565" t="s">
        <v>168</v>
      </c>
      <c r="C565" t="s">
        <v>321</v>
      </c>
      <c r="D565" t="s">
        <v>30</v>
      </c>
      <c r="E565" t="s">
        <v>152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s="28">
        <v>0</v>
      </c>
      <c r="N565" s="28">
        <v>0</v>
      </c>
      <c r="O565">
        <v>131.06675119082945</v>
      </c>
      <c r="P565">
        <v>0</v>
      </c>
      <c r="Q565">
        <v>0</v>
      </c>
      <c r="R565">
        <v>0</v>
      </c>
      <c r="S565" s="28">
        <v>131.06675119082945</v>
      </c>
      <c r="T565" s="29">
        <f>SUM(BaseHoras[[#This Row],[Jan/2019]:[Mar/2019]])</f>
        <v>0</v>
      </c>
      <c r="U565" s="29">
        <f>SUM(BaseHoras[[#This Row],[Abr/2019]:[Jun/2019]])</f>
        <v>0</v>
      </c>
      <c r="V565" s="29">
        <f>SUM(BaseHoras[[#This Row],[Jul/2019]:[Set/2019]])</f>
        <v>0</v>
      </c>
      <c r="W565" s="29">
        <f>SUM(BaseHoras[[#This Row],[Out/2019]:[Dez/2019]])</f>
        <v>131.06675119082945</v>
      </c>
    </row>
    <row r="566" spans="1:23">
      <c r="A566" t="s">
        <v>151</v>
      </c>
      <c r="B566" t="s">
        <v>168</v>
      </c>
      <c r="C566" t="s">
        <v>321</v>
      </c>
      <c r="D566" t="s">
        <v>43</v>
      </c>
      <c r="E566" t="s">
        <v>152</v>
      </c>
      <c r="F566">
        <v>299.24657849292367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s="28">
        <v>0</v>
      </c>
      <c r="N566" s="28">
        <v>0</v>
      </c>
      <c r="O566">
        <v>0</v>
      </c>
      <c r="P566">
        <v>0</v>
      </c>
      <c r="Q566">
        <v>0</v>
      </c>
      <c r="R566">
        <v>0</v>
      </c>
      <c r="S566" s="28">
        <v>299.24657849292367</v>
      </c>
      <c r="T566" s="29">
        <f>SUM(BaseHoras[[#This Row],[Jan/2019]:[Mar/2019]])</f>
        <v>299.24657849292367</v>
      </c>
      <c r="U566" s="29">
        <f>SUM(BaseHoras[[#This Row],[Abr/2019]:[Jun/2019]])</f>
        <v>0</v>
      </c>
      <c r="V566" s="29">
        <f>SUM(BaseHoras[[#This Row],[Jul/2019]:[Set/2019]])</f>
        <v>0</v>
      </c>
      <c r="W566" s="29">
        <f>SUM(BaseHoras[[#This Row],[Out/2019]:[Dez/2019]])</f>
        <v>0</v>
      </c>
    </row>
    <row r="567" spans="1:23">
      <c r="A567" t="s">
        <v>151</v>
      </c>
      <c r="B567" t="s">
        <v>168</v>
      </c>
      <c r="C567" t="s">
        <v>321</v>
      </c>
      <c r="D567" t="s">
        <v>49</v>
      </c>
      <c r="E567" t="s">
        <v>152</v>
      </c>
      <c r="F567">
        <v>58.942235768333845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s="28">
        <v>0</v>
      </c>
      <c r="N567" s="28">
        <v>0</v>
      </c>
      <c r="O567">
        <v>0</v>
      </c>
      <c r="P567">
        <v>0</v>
      </c>
      <c r="Q567">
        <v>0</v>
      </c>
      <c r="R567">
        <v>0</v>
      </c>
      <c r="S567" s="28">
        <v>58.942235768333845</v>
      </c>
      <c r="T567" s="29">
        <f>SUM(BaseHoras[[#This Row],[Jan/2019]:[Mar/2019]])</f>
        <v>58.942235768333845</v>
      </c>
      <c r="U567" s="29">
        <f>SUM(BaseHoras[[#This Row],[Abr/2019]:[Jun/2019]])</f>
        <v>0</v>
      </c>
      <c r="V567" s="29">
        <f>SUM(BaseHoras[[#This Row],[Jul/2019]:[Set/2019]])</f>
        <v>0</v>
      </c>
      <c r="W567" s="29">
        <f>SUM(BaseHoras[[#This Row],[Out/2019]:[Dez/2019]])</f>
        <v>0</v>
      </c>
    </row>
    <row r="568" spans="1:23">
      <c r="A568" t="s">
        <v>151</v>
      </c>
      <c r="B568" t="s">
        <v>168</v>
      </c>
      <c r="C568" t="s">
        <v>321</v>
      </c>
      <c r="D568" t="s">
        <v>89</v>
      </c>
      <c r="E568" t="s">
        <v>152</v>
      </c>
      <c r="F568">
        <v>0</v>
      </c>
      <c r="G568">
        <v>0</v>
      </c>
      <c r="H568">
        <v>0</v>
      </c>
      <c r="I568">
        <v>58.404440142782903</v>
      </c>
      <c r="J568">
        <v>0</v>
      </c>
      <c r="K568">
        <v>0</v>
      </c>
      <c r="L568">
        <v>0</v>
      </c>
      <c r="M568" s="28">
        <v>0</v>
      </c>
      <c r="N568" s="28">
        <v>0</v>
      </c>
      <c r="O568">
        <v>0</v>
      </c>
      <c r="P568">
        <v>0</v>
      </c>
      <c r="Q568">
        <v>0</v>
      </c>
      <c r="R568">
        <v>0</v>
      </c>
      <c r="S568" s="28">
        <v>58.404440142782903</v>
      </c>
      <c r="T568" s="29">
        <f>SUM(BaseHoras[[#This Row],[Jan/2019]:[Mar/2019]])</f>
        <v>0</v>
      </c>
      <c r="U568" s="29">
        <f>SUM(BaseHoras[[#This Row],[Abr/2019]:[Jun/2019]])</f>
        <v>58.404440142782903</v>
      </c>
      <c r="V568" s="29">
        <f>SUM(BaseHoras[[#This Row],[Jul/2019]:[Set/2019]])</f>
        <v>0</v>
      </c>
      <c r="W568" s="29">
        <f>SUM(BaseHoras[[#This Row],[Out/2019]:[Dez/2019]])</f>
        <v>0</v>
      </c>
    </row>
    <row r="569" spans="1:23">
      <c r="A569" t="s">
        <v>151</v>
      </c>
      <c r="B569" t="s">
        <v>168</v>
      </c>
      <c r="C569" t="s">
        <v>322</v>
      </c>
      <c r="D569" t="s">
        <v>42</v>
      </c>
      <c r="E569" t="s">
        <v>152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s="28">
        <v>21.421371644299242</v>
      </c>
      <c r="N569" s="28">
        <v>0</v>
      </c>
      <c r="O569">
        <v>0</v>
      </c>
      <c r="P569">
        <v>0</v>
      </c>
      <c r="Q569">
        <v>0</v>
      </c>
      <c r="R569">
        <v>0</v>
      </c>
      <c r="S569" s="28">
        <v>21.421371644299242</v>
      </c>
      <c r="T569" s="29">
        <f>SUM(BaseHoras[[#This Row],[Jan/2019]:[Mar/2019]])</f>
        <v>0</v>
      </c>
      <c r="U569" s="29">
        <f>SUM(BaseHoras[[#This Row],[Abr/2019]:[Jun/2019]])</f>
        <v>0</v>
      </c>
      <c r="V569" s="29">
        <f>SUM(BaseHoras[[#This Row],[Jul/2019]:[Set/2019]])</f>
        <v>21.421371644299242</v>
      </c>
      <c r="W569" s="29">
        <f>SUM(BaseHoras[[#This Row],[Out/2019]:[Dez/2019]])</f>
        <v>0</v>
      </c>
    </row>
    <row r="570" spans="1:23">
      <c r="A570" t="s">
        <v>151</v>
      </c>
      <c r="B570" t="s">
        <v>168</v>
      </c>
      <c r="C570" t="s">
        <v>322</v>
      </c>
      <c r="D570" t="s">
        <v>80</v>
      </c>
      <c r="E570" t="s">
        <v>152</v>
      </c>
      <c r="F570">
        <v>277.14534953599957</v>
      </c>
      <c r="G570">
        <v>362.31257278730618</v>
      </c>
      <c r="H570">
        <v>0</v>
      </c>
      <c r="I570">
        <v>0</v>
      </c>
      <c r="J570">
        <v>0</v>
      </c>
      <c r="K570">
        <v>0</v>
      </c>
      <c r="L570">
        <v>0</v>
      </c>
      <c r="M570" s="28">
        <v>0</v>
      </c>
      <c r="N570" s="28">
        <v>0</v>
      </c>
      <c r="O570">
        <v>0</v>
      </c>
      <c r="P570">
        <v>0</v>
      </c>
      <c r="Q570">
        <v>0</v>
      </c>
      <c r="R570">
        <v>0</v>
      </c>
      <c r="S570" s="28">
        <v>639.45792232330575</v>
      </c>
      <c r="T570" s="29">
        <f>SUM(BaseHoras[[#This Row],[Jan/2019]:[Mar/2019]])</f>
        <v>639.45792232330575</v>
      </c>
      <c r="U570" s="29">
        <f>SUM(BaseHoras[[#This Row],[Abr/2019]:[Jun/2019]])</f>
        <v>0</v>
      </c>
      <c r="V570" s="29">
        <f>SUM(BaseHoras[[#This Row],[Jul/2019]:[Set/2019]])</f>
        <v>0</v>
      </c>
      <c r="W570" s="29">
        <f>SUM(BaseHoras[[#This Row],[Out/2019]:[Dez/2019]])</f>
        <v>0</v>
      </c>
    </row>
    <row r="571" spans="1:23">
      <c r="A571" t="s">
        <v>151</v>
      </c>
      <c r="B571" t="s">
        <v>168</v>
      </c>
      <c r="C571" t="s">
        <v>322</v>
      </c>
      <c r="D571" t="s">
        <v>88</v>
      </c>
      <c r="E571" t="s">
        <v>152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1282.7680384426528</v>
      </c>
      <c r="M571" s="28">
        <v>232.87304226783036</v>
      </c>
      <c r="N571" s="28">
        <v>0</v>
      </c>
      <c r="O571">
        <v>0</v>
      </c>
      <c r="P571">
        <v>0</v>
      </c>
      <c r="Q571">
        <v>0</v>
      </c>
      <c r="R571">
        <v>0</v>
      </c>
      <c r="S571" s="28">
        <v>1515.6410807104833</v>
      </c>
      <c r="T571" s="29">
        <f>SUM(BaseHoras[[#This Row],[Jan/2019]:[Mar/2019]])</f>
        <v>0</v>
      </c>
      <c r="U571" s="29">
        <f>SUM(BaseHoras[[#This Row],[Abr/2019]:[Jun/2019]])</f>
        <v>0</v>
      </c>
      <c r="V571" s="29">
        <f>SUM(BaseHoras[[#This Row],[Jul/2019]:[Set/2019]])</f>
        <v>1515.6410807104833</v>
      </c>
      <c r="W571" s="29">
        <f>SUM(BaseHoras[[#This Row],[Out/2019]:[Dez/2019]])</f>
        <v>0</v>
      </c>
    </row>
    <row r="572" spans="1:23">
      <c r="A572" t="s">
        <v>151</v>
      </c>
      <c r="B572" t="s">
        <v>168</v>
      </c>
      <c r="C572" t="s">
        <v>322</v>
      </c>
      <c r="D572" t="s">
        <v>104</v>
      </c>
      <c r="E572" t="s">
        <v>152</v>
      </c>
      <c r="F572">
        <v>65.816097478905874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s="28">
        <v>0</v>
      </c>
      <c r="N572" s="28">
        <v>0</v>
      </c>
      <c r="O572">
        <v>0</v>
      </c>
      <c r="P572">
        <v>0</v>
      </c>
      <c r="Q572">
        <v>466.92438176448564</v>
      </c>
      <c r="R572">
        <v>0</v>
      </c>
      <c r="S572" s="28">
        <v>532.74047924339152</v>
      </c>
      <c r="T572" s="29">
        <f>SUM(BaseHoras[[#This Row],[Jan/2019]:[Mar/2019]])</f>
        <v>65.816097478905874</v>
      </c>
      <c r="U572" s="29">
        <f>SUM(BaseHoras[[#This Row],[Abr/2019]:[Jun/2019]])</f>
        <v>0</v>
      </c>
      <c r="V572" s="29">
        <f>SUM(BaseHoras[[#This Row],[Jul/2019]:[Set/2019]])</f>
        <v>0</v>
      </c>
      <c r="W572" s="29">
        <f>SUM(BaseHoras[[#This Row],[Out/2019]:[Dez/2019]])</f>
        <v>466.92438176448564</v>
      </c>
    </row>
    <row r="573" spans="1:23">
      <c r="A573" t="s">
        <v>151</v>
      </c>
      <c r="B573" t="s">
        <v>168</v>
      </c>
      <c r="C573" t="s">
        <v>322</v>
      </c>
      <c r="D573" t="s">
        <v>119</v>
      </c>
      <c r="E573" t="s">
        <v>152</v>
      </c>
      <c r="F573">
        <v>316.19370325678386</v>
      </c>
      <c r="G573">
        <v>3234.0125760873252</v>
      </c>
      <c r="H573">
        <v>952.21037666390714</v>
      </c>
      <c r="I573">
        <v>578.1254604696378</v>
      </c>
      <c r="J573">
        <v>23048.967266756081</v>
      </c>
      <c r="K573">
        <v>1145.9012831253124</v>
      </c>
      <c r="L573">
        <v>96.442750631978669</v>
      </c>
      <c r="M573" s="28">
        <v>896.37482054656255</v>
      </c>
      <c r="N573" s="28">
        <v>1511.1733980275258</v>
      </c>
      <c r="O573">
        <v>520.98080212261698</v>
      </c>
      <c r="P573">
        <v>1926.8008026295734</v>
      </c>
      <c r="Q573">
        <v>107.42147956264448</v>
      </c>
      <c r="R573">
        <v>0</v>
      </c>
      <c r="S573" s="28">
        <v>34334.604719879957</v>
      </c>
      <c r="T573" s="29">
        <f>SUM(BaseHoras[[#This Row],[Jan/2019]:[Mar/2019]])</f>
        <v>4502.4166560080166</v>
      </c>
      <c r="U573" s="29">
        <f>SUM(BaseHoras[[#This Row],[Abr/2019]:[Jun/2019]])</f>
        <v>24772.994010351031</v>
      </c>
      <c r="V573" s="29">
        <f>SUM(BaseHoras[[#This Row],[Jul/2019]:[Set/2019]])</f>
        <v>2503.9909692060669</v>
      </c>
      <c r="W573" s="29">
        <f>SUM(BaseHoras[[#This Row],[Out/2019]:[Dez/2019]])</f>
        <v>2555.2030843148345</v>
      </c>
    </row>
    <row r="574" spans="1:23">
      <c r="A574" t="s">
        <v>151</v>
      </c>
      <c r="B574" t="s">
        <v>168</v>
      </c>
      <c r="C574" t="s">
        <v>323</v>
      </c>
      <c r="D574" t="s">
        <v>38</v>
      </c>
      <c r="E574" t="s">
        <v>152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s="28">
        <v>16.469050877863804</v>
      </c>
      <c r="N574" s="28">
        <v>0</v>
      </c>
      <c r="O574">
        <v>0</v>
      </c>
      <c r="P574">
        <v>0</v>
      </c>
      <c r="Q574">
        <v>0</v>
      </c>
      <c r="R574">
        <v>0</v>
      </c>
      <c r="S574" s="28">
        <v>16.469050877863804</v>
      </c>
      <c r="T574" s="29">
        <f>SUM(BaseHoras[[#This Row],[Jan/2019]:[Mar/2019]])</f>
        <v>0</v>
      </c>
      <c r="U574" s="29">
        <f>SUM(BaseHoras[[#This Row],[Abr/2019]:[Jun/2019]])</f>
        <v>0</v>
      </c>
      <c r="V574" s="29">
        <f>SUM(BaseHoras[[#This Row],[Jul/2019]:[Set/2019]])</f>
        <v>16.469050877863804</v>
      </c>
      <c r="W574" s="29">
        <f>SUM(BaseHoras[[#This Row],[Out/2019]:[Dez/2019]])</f>
        <v>0</v>
      </c>
    </row>
    <row r="575" spans="1:23">
      <c r="A575" t="s">
        <v>151</v>
      </c>
      <c r="B575" t="s">
        <v>168</v>
      </c>
      <c r="C575" t="s">
        <v>323</v>
      </c>
      <c r="D575" t="s">
        <v>57</v>
      </c>
      <c r="E575" t="s">
        <v>152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s="28">
        <v>0</v>
      </c>
      <c r="N575" s="28">
        <v>0</v>
      </c>
      <c r="O575">
        <v>0</v>
      </c>
      <c r="P575">
        <v>0</v>
      </c>
      <c r="Q575">
        <v>3653.4645858048048</v>
      </c>
      <c r="R575">
        <v>0</v>
      </c>
      <c r="S575" s="28">
        <v>3653.4645858048048</v>
      </c>
      <c r="T575" s="29">
        <f>SUM(BaseHoras[[#This Row],[Jan/2019]:[Mar/2019]])</f>
        <v>0</v>
      </c>
      <c r="U575" s="29">
        <f>SUM(BaseHoras[[#This Row],[Abr/2019]:[Jun/2019]])</f>
        <v>0</v>
      </c>
      <c r="V575" s="29">
        <f>SUM(BaseHoras[[#This Row],[Jul/2019]:[Set/2019]])</f>
        <v>0</v>
      </c>
      <c r="W575" s="29">
        <f>SUM(BaseHoras[[#This Row],[Out/2019]:[Dez/2019]])</f>
        <v>3653.4645858048048</v>
      </c>
    </row>
    <row r="576" spans="1:23">
      <c r="A576" t="s">
        <v>151</v>
      </c>
      <c r="B576" t="s">
        <v>168</v>
      </c>
      <c r="C576" t="s">
        <v>323</v>
      </c>
      <c r="D576" t="s">
        <v>279</v>
      </c>
      <c r="E576" t="s">
        <v>152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s="28">
        <v>0</v>
      </c>
      <c r="N576" s="28">
        <v>0</v>
      </c>
      <c r="O576">
        <v>0</v>
      </c>
      <c r="P576">
        <v>961.55496711650676</v>
      </c>
      <c r="Q576">
        <v>0</v>
      </c>
      <c r="R576">
        <v>0</v>
      </c>
      <c r="S576" s="28">
        <v>961.55496711650676</v>
      </c>
      <c r="T576" s="29">
        <f>SUM(BaseHoras[[#This Row],[Jan/2019]:[Mar/2019]])</f>
        <v>0</v>
      </c>
      <c r="U576" s="29">
        <f>SUM(BaseHoras[[#This Row],[Abr/2019]:[Jun/2019]])</f>
        <v>0</v>
      </c>
      <c r="V576" s="29">
        <f>SUM(BaseHoras[[#This Row],[Jul/2019]:[Set/2019]])</f>
        <v>0</v>
      </c>
      <c r="W576" s="29">
        <f>SUM(BaseHoras[[#This Row],[Out/2019]:[Dez/2019]])</f>
        <v>961.55496711650676</v>
      </c>
    </row>
    <row r="577" spans="1:23">
      <c r="A577" t="s">
        <v>151</v>
      </c>
      <c r="B577" t="s">
        <v>168</v>
      </c>
      <c r="C577" t="s">
        <v>324</v>
      </c>
      <c r="D577" t="s">
        <v>49</v>
      </c>
      <c r="E577" t="s">
        <v>325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s="28">
        <v>0</v>
      </c>
      <c r="N577" s="28">
        <v>0</v>
      </c>
      <c r="O577">
        <v>0</v>
      </c>
      <c r="P577">
        <v>76.568564409678117</v>
      </c>
      <c r="Q577">
        <v>268.56060996826142</v>
      </c>
      <c r="R577">
        <v>0</v>
      </c>
      <c r="S577" s="28">
        <v>345.12917437793953</v>
      </c>
      <c r="T577" s="29">
        <f>SUM(BaseHoras[[#This Row],[Jan/2019]:[Mar/2019]])</f>
        <v>0</v>
      </c>
      <c r="U577" s="29">
        <f>SUM(BaseHoras[[#This Row],[Abr/2019]:[Jun/2019]])</f>
        <v>0</v>
      </c>
      <c r="V577" s="29">
        <f>SUM(BaseHoras[[#This Row],[Jul/2019]:[Set/2019]])</f>
        <v>0</v>
      </c>
      <c r="W577" s="29">
        <f>SUM(BaseHoras[[#This Row],[Out/2019]:[Dez/2019]])</f>
        <v>345.12917437793953</v>
      </c>
    </row>
    <row r="578" spans="1:23">
      <c r="A578" t="s">
        <v>151</v>
      </c>
      <c r="B578" t="s">
        <v>168</v>
      </c>
      <c r="C578" t="s">
        <v>324</v>
      </c>
      <c r="D578" t="s">
        <v>87</v>
      </c>
      <c r="E578" t="s">
        <v>325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s="28">
        <v>0</v>
      </c>
      <c r="N578" s="28">
        <v>0</v>
      </c>
      <c r="O578">
        <v>0</v>
      </c>
      <c r="P578">
        <v>0</v>
      </c>
      <c r="Q578">
        <v>11.504763521615496</v>
      </c>
      <c r="R578">
        <v>0</v>
      </c>
      <c r="S578" s="28">
        <v>11.504763521615496</v>
      </c>
      <c r="T578" s="29">
        <f>SUM(BaseHoras[[#This Row],[Jan/2019]:[Mar/2019]])</f>
        <v>0</v>
      </c>
      <c r="U578" s="29">
        <f>SUM(BaseHoras[[#This Row],[Abr/2019]:[Jun/2019]])</f>
        <v>0</v>
      </c>
      <c r="V578" s="29">
        <f>SUM(BaseHoras[[#This Row],[Jul/2019]:[Set/2019]])</f>
        <v>0</v>
      </c>
      <c r="W578" s="29">
        <f>SUM(BaseHoras[[#This Row],[Out/2019]:[Dez/2019]])</f>
        <v>11.504763521615496</v>
      </c>
    </row>
    <row r="579" spans="1:23">
      <c r="A579" t="s">
        <v>151</v>
      </c>
      <c r="B579" t="s">
        <v>168</v>
      </c>
      <c r="C579" t="s">
        <v>324</v>
      </c>
      <c r="D579" t="s">
        <v>93</v>
      </c>
      <c r="E579" t="s">
        <v>325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s="28">
        <v>0</v>
      </c>
      <c r="N579" s="28">
        <v>0</v>
      </c>
      <c r="O579">
        <v>0</v>
      </c>
      <c r="P579">
        <v>233.75686526048281</v>
      </c>
      <c r="Q579">
        <v>76.015255408460504</v>
      </c>
      <c r="R579">
        <v>0</v>
      </c>
      <c r="S579" s="28">
        <v>309.77212066894333</v>
      </c>
      <c r="T579" s="29">
        <f>SUM(BaseHoras[[#This Row],[Jan/2019]:[Mar/2019]])</f>
        <v>0</v>
      </c>
      <c r="U579" s="29">
        <f>SUM(BaseHoras[[#This Row],[Abr/2019]:[Jun/2019]])</f>
        <v>0</v>
      </c>
      <c r="V579" s="29">
        <f>SUM(BaseHoras[[#This Row],[Jul/2019]:[Set/2019]])</f>
        <v>0</v>
      </c>
      <c r="W579" s="29">
        <f>SUM(BaseHoras[[#This Row],[Out/2019]:[Dez/2019]])</f>
        <v>309.77212066894333</v>
      </c>
    </row>
    <row r="580" spans="1:23">
      <c r="A580" t="s">
        <v>151</v>
      </c>
      <c r="B580" t="s">
        <v>168</v>
      </c>
      <c r="C580" t="s">
        <v>324</v>
      </c>
      <c r="D580" t="s">
        <v>109</v>
      </c>
      <c r="E580" t="s">
        <v>325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s="28">
        <v>0</v>
      </c>
      <c r="N580" s="28">
        <v>0</v>
      </c>
      <c r="O580">
        <v>0</v>
      </c>
      <c r="P580">
        <v>0</v>
      </c>
      <c r="Q580">
        <v>674.11171187983211</v>
      </c>
      <c r="R580">
        <v>0</v>
      </c>
      <c r="S580" s="28">
        <v>674.11171187983211</v>
      </c>
      <c r="T580" s="29">
        <f>SUM(BaseHoras[[#This Row],[Jan/2019]:[Mar/2019]])</f>
        <v>0</v>
      </c>
      <c r="U580" s="29">
        <f>SUM(BaseHoras[[#This Row],[Abr/2019]:[Jun/2019]])</f>
        <v>0</v>
      </c>
      <c r="V580" s="29">
        <f>SUM(BaseHoras[[#This Row],[Jul/2019]:[Set/2019]])</f>
        <v>0</v>
      </c>
      <c r="W580" s="29">
        <f>SUM(BaseHoras[[#This Row],[Out/2019]:[Dez/2019]])</f>
        <v>674.11171187983211</v>
      </c>
    </row>
    <row r="581" spans="1:23">
      <c r="A581" t="s">
        <v>151</v>
      </c>
      <c r="B581" t="s">
        <v>168</v>
      </c>
      <c r="C581" t="s">
        <v>324</v>
      </c>
      <c r="D581" t="s">
        <v>124</v>
      </c>
      <c r="E581" t="s">
        <v>325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s="28">
        <v>0</v>
      </c>
      <c r="N581" s="28">
        <v>0</v>
      </c>
      <c r="O581">
        <v>0</v>
      </c>
      <c r="P581">
        <v>337.70792396876175</v>
      </c>
      <c r="Q581">
        <v>120.4650365207641</v>
      </c>
      <c r="R581">
        <v>0</v>
      </c>
      <c r="S581" s="28">
        <v>458.17296048952585</v>
      </c>
      <c r="T581" s="29">
        <f>SUM(BaseHoras[[#This Row],[Jan/2019]:[Mar/2019]])</f>
        <v>0</v>
      </c>
      <c r="U581" s="29">
        <f>SUM(BaseHoras[[#This Row],[Abr/2019]:[Jun/2019]])</f>
        <v>0</v>
      </c>
      <c r="V581" s="29">
        <f>SUM(BaseHoras[[#This Row],[Jul/2019]:[Set/2019]])</f>
        <v>0</v>
      </c>
      <c r="W581" s="29">
        <f>SUM(BaseHoras[[#This Row],[Out/2019]:[Dez/2019]])</f>
        <v>458.17296048952585</v>
      </c>
    </row>
    <row r="582" spans="1:23">
      <c r="A582" t="s">
        <v>151</v>
      </c>
      <c r="B582" t="s">
        <v>168</v>
      </c>
      <c r="C582" t="s">
        <v>324</v>
      </c>
      <c r="D582" t="s">
        <v>138</v>
      </c>
      <c r="E582" t="s">
        <v>325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s="28">
        <v>0</v>
      </c>
      <c r="N582" s="28">
        <v>0</v>
      </c>
      <c r="O582">
        <v>0</v>
      </c>
      <c r="P582">
        <v>23.56602349274554</v>
      </c>
      <c r="Q582">
        <v>383.59108274662236</v>
      </c>
      <c r="R582">
        <v>0</v>
      </c>
      <c r="S582" s="28">
        <v>407.15710623936792</v>
      </c>
      <c r="T582" s="29">
        <f>SUM(BaseHoras[[#This Row],[Jan/2019]:[Mar/2019]])</f>
        <v>0</v>
      </c>
      <c r="U582" s="29">
        <f>SUM(BaseHoras[[#This Row],[Abr/2019]:[Jun/2019]])</f>
        <v>0</v>
      </c>
      <c r="V582" s="29">
        <f>SUM(BaseHoras[[#This Row],[Jul/2019]:[Set/2019]])</f>
        <v>0</v>
      </c>
      <c r="W582" s="29">
        <f>SUM(BaseHoras[[#This Row],[Out/2019]:[Dez/2019]])</f>
        <v>407.15710623936792</v>
      </c>
    </row>
    <row r="583" spans="1:23">
      <c r="A583" t="s">
        <v>151</v>
      </c>
      <c r="B583" t="s">
        <v>168</v>
      </c>
      <c r="C583" t="s">
        <v>326</v>
      </c>
      <c r="D583" t="s">
        <v>40</v>
      </c>
      <c r="E583" t="s">
        <v>327</v>
      </c>
      <c r="F583">
        <v>0</v>
      </c>
      <c r="G583">
        <v>8.4758595285627809</v>
      </c>
      <c r="H583">
        <v>77.940176576995057</v>
      </c>
      <c r="I583">
        <v>0</v>
      </c>
      <c r="J583">
        <v>0</v>
      </c>
      <c r="K583">
        <v>0</v>
      </c>
      <c r="L583">
        <v>0</v>
      </c>
      <c r="M583" s="28">
        <v>0</v>
      </c>
      <c r="N583" s="28">
        <v>0</v>
      </c>
      <c r="O583">
        <v>0</v>
      </c>
      <c r="P583">
        <v>0</v>
      </c>
      <c r="Q583">
        <v>0</v>
      </c>
      <c r="R583">
        <v>0</v>
      </c>
      <c r="S583" s="28">
        <v>86.416036105557836</v>
      </c>
      <c r="T583" s="29">
        <f>SUM(BaseHoras[[#This Row],[Jan/2019]:[Mar/2019]])</f>
        <v>86.416036105557836</v>
      </c>
      <c r="U583" s="29">
        <f>SUM(BaseHoras[[#This Row],[Abr/2019]:[Jun/2019]])</f>
        <v>0</v>
      </c>
      <c r="V583" s="29">
        <f>SUM(BaseHoras[[#This Row],[Jul/2019]:[Set/2019]])</f>
        <v>0</v>
      </c>
      <c r="W583" s="29">
        <f>SUM(BaseHoras[[#This Row],[Out/2019]:[Dez/2019]])</f>
        <v>0</v>
      </c>
    </row>
    <row r="584" spans="1:23">
      <c r="A584" t="s">
        <v>151</v>
      </c>
      <c r="B584" t="s">
        <v>168</v>
      </c>
      <c r="C584" t="s">
        <v>326</v>
      </c>
      <c r="D584" t="s">
        <v>60</v>
      </c>
      <c r="E584" t="s">
        <v>327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2472.40721478156</v>
      </c>
      <c r="L584">
        <v>0</v>
      </c>
      <c r="M584" s="28">
        <v>0</v>
      </c>
      <c r="N584" s="28">
        <v>0</v>
      </c>
      <c r="O584">
        <v>0</v>
      </c>
      <c r="P584">
        <v>0</v>
      </c>
      <c r="Q584">
        <v>0</v>
      </c>
      <c r="R584">
        <v>0</v>
      </c>
      <c r="S584" s="28">
        <v>2472.40721478156</v>
      </c>
      <c r="T584" s="29">
        <f>SUM(BaseHoras[[#This Row],[Jan/2019]:[Mar/2019]])</f>
        <v>0</v>
      </c>
      <c r="U584" s="29">
        <f>SUM(BaseHoras[[#This Row],[Abr/2019]:[Jun/2019]])</f>
        <v>2472.40721478156</v>
      </c>
      <c r="V584" s="29">
        <f>SUM(BaseHoras[[#This Row],[Jul/2019]:[Set/2019]])</f>
        <v>0</v>
      </c>
      <c r="W584" s="29">
        <f>SUM(BaseHoras[[#This Row],[Out/2019]:[Dez/2019]])</f>
        <v>0</v>
      </c>
    </row>
    <row r="585" spans="1:23">
      <c r="A585" t="s">
        <v>151</v>
      </c>
      <c r="B585" t="s">
        <v>168</v>
      </c>
      <c r="C585" t="s">
        <v>326</v>
      </c>
      <c r="D585" t="s">
        <v>64</v>
      </c>
      <c r="E585" t="s">
        <v>327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s="28">
        <v>10962.800696825079</v>
      </c>
      <c r="N585" s="28">
        <v>183.24410905075325</v>
      </c>
      <c r="O585">
        <v>0</v>
      </c>
      <c r="P585">
        <v>0</v>
      </c>
      <c r="Q585">
        <v>0</v>
      </c>
      <c r="R585">
        <v>0</v>
      </c>
      <c r="S585" s="28">
        <v>11146.044805875832</v>
      </c>
      <c r="T585" s="29">
        <f>SUM(BaseHoras[[#This Row],[Jan/2019]:[Mar/2019]])</f>
        <v>0</v>
      </c>
      <c r="U585" s="29">
        <f>SUM(BaseHoras[[#This Row],[Abr/2019]:[Jun/2019]])</f>
        <v>0</v>
      </c>
      <c r="V585" s="29">
        <f>SUM(BaseHoras[[#This Row],[Jul/2019]:[Set/2019]])</f>
        <v>11146.044805875832</v>
      </c>
      <c r="W585" s="29">
        <f>SUM(BaseHoras[[#This Row],[Out/2019]:[Dez/2019]])</f>
        <v>0</v>
      </c>
    </row>
    <row r="586" spans="1:23">
      <c r="A586" t="s">
        <v>151</v>
      </c>
      <c r="B586" t="s">
        <v>168</v>
      </c>
      <c r="C586" t="s">
        <v>326</v>
      </c>
      <c r="D586" t="s">
        <v>87</v>
      </c>
      <c r="E586" t="s">
        <v>327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s="28">
        <v>119.50016855476319</v>
      </c>
      <c r="N586" s="28">
        <v>162.83537336063407</v>
      </c>
      <c r="O586">
        <v>0</v>
      </c>
      <c r="P586">
        <v>0</v>
      </c>
      <c r="Q586">
        <v>0</v>
      </c>
      <c r="R586">
        <v>0</v>
      </c>
      <c r="S586" s="28">
        <v>282.33554191539724</v>
      </c>
      <c r="T586" s="29">
        <f>SUM(BaseHoras[[#This Row],[Jan/2019]:[Mar/2019]])</f>
        <v>0</v>
      </c>
      <c r="U586" s="29">
        <f>SUM(BaseHoras[[#This Row],[Abr/2019]:[Jun/2019]])</f>
        <v>0</v>
      </c>
      <c r="V586" s="29">
        <f>SUM(BaseHoras[[#This Row],[Jul/2019]:[Set/2019]])</f>
        <v>282.33554191539724</v>
      </c>
      <c r="W586" s="29">
        <f>SUM(BaseHoras[[#This Row],[Out/2019]:[Dez/2019]])</f>
        <v>0</v>
      </c>
    </row>
    <row r="587" spans="1:23">
      <c r="A587" t="s">
        <v>151</v>
      </c>
      <c r="B587" t="s">
        <v>168</v>
      </c>
      <c r="C587" t="s">
        <v>326</v>
      </c>
      <c r="D587" t="s">
        <v>102</v>
      </c>
      <c r="E587" t="s">
        <v>327</v>
      </c>
      <c r="F587">
        <v>0</v>
      </c>
      <c r="G587">
        <v>0</v>
      </c>
      <c r="H587">
        <v>2.6560871948914464</v>
      </c>
      <c r="I587">
        <v>4.8560825857643497</v>
      </c>
      <c r="J587">
        <v>9.3543944841522606</v>
      </c>
      <c r="K587">
        <v>0</v>
      </c>
      <c r="L587">
        <v>0</v>
      </c>
      <c r="M587" s="28">
        <v>0</v>
      </c>
      <c r="N587" s="28">
        <v>0</v>
      </c>
      <c r="O587">
        <v>0</v>
      </c>
      <c r="P587">
        <v>49.887591177875422</v>
      </c>
      <c r="Q587">
        <v>0</v>
      </c>
      <c r="R587">
        <v>0</v>
      </c>
      <c r="S587" s="28">
        <v>66.754155442683469</v>
      </c>
      <c r="T587" s="29">
        <f>SUM(BaseHoras[[#This Row],[Jan/2019]:[Mar/2019]])</f>
        <v>2.6560871948914464</v>
      </c>
      <c r="U587" s="29">
        <f>SUM(BaseHoras[[#This Row],[Abr/2019]:[Jun/2019]])</f>
        <v>14.21047706991661</v>
      </c>
      <c r="V587" s="29">
        <f>SUM(BaseHoras[[#This Row],[Jul/2019]:[Set/2019]])</f>
        <v>0</v>
      </c>
      <c r="W587" s="29">
        <f>SUM(BaseHoras[[#This Row],[Out/2019]:[Dez/2019]])</f>
        <v>49.887591177875422</v>
      </c>
    </row>
    <row r="588" spans="1:23">
      <c r="A588" t="s">
        <v>151</v>
      </c>
      <c r="B588" t="s">
        <v>168</v>
      </c>
      <c r="C588" t="s">
        <v>326</v>
      </c>
      <c r="D588" t="s">
        <v>106</v>
      </c>
      <c r="E588" t="s">
        <v>327</v>
      </c>
      <c r="F588">
        <v>27.234178962219875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s="28">
        <v>0</v>
      </c>
      <c r="N588" s="28">
        <v>0</v>
      </c>
      <c r="O588">
        <v>0</v>
      </c>
      <c r="P588">
        <v>0</v>
      </c>
      <c r="Q588">
        <v>0</v>
      </c>
      <c r="R588">
        <v>0</v>
      </c>
      <c r="S588" s="28">
        <v>27.234178962219875</v>
      </c>
      <c r="T588" s="29">
        <f>SUM(BaseHoras[[#This Row],[Jan/2019]:[Mar/2019]])</f>
        <v>27.234178962219875</v>
      </c>
      <c r="U588" s="29">
        <f>SUM(BaseHoras[[#This Row],[Abr/2019]:[Jun/2019]])</f>
        <v>0</v>
      </c>
      <c r="V588" s="29">
        <f>SUM(BaseHoras[[#This Row],[Jul/2019]:[Set/2019]])</f>
        <v>0</v>
      </c>
      <c r="W588" s="29">
        <f>SUM(BaseHoras[[#This Row],[Out/2019]:[Dez/2019]])</f>
        <v>0</v>
      </c>
    </row>
    <row r="589" spans="1:23">
      <c r="A589" t="s">
        <v>151</v>
      </c>
      <c r="B589" t="s">
        <v>168</v>
      </c>
      <c r="C589" t="s">
        <v>326</v>
      </c>
      <c r="D589" t="s">
        <v>122</v>
      </c>
      <c r="E589" t="s">
        <v>327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s="28">
        <v>361.51154146640567</v>
      </c>
      <c r="N589" s="28">
        <v>11837.322096843654</v>
      </c>
      <c r="O589">
        <v>0</v>
      </c>
      <c r="P589">
        <v>0</v>
      </c>
      <c r="Q589">
        <v>0</v>
      </c>
      <c r="R589">
        <v>0</v>
      </c>
      <c r="S589" s="28">
        <v>12198.83363831006</v>
      </c>
      <c r="T589" s="29">
        <f>SUM(BaseHoras[[#This Row],[Jan/2019]:[Mar/2019]])</f>
        <v>0</v>
      </c>
      <c r="U589" s="29">
        <f>SUM(BaseHoras[[#This Row],[Abr/2019]:[Jun/2019]])</f>
        <v>0</v>
      </c>
      <c r="V589" s="29">
        <f>SUM(BaseHoras[[#This Row],[Jul/2019]:[Set/2019]])</f>
        <v>12198.83363831006</v>
      </c>
      <c r="W589" s="29">
        <f>SUM(BaseHoras[[#This Row],[Out/2019]:[Dez/2019]])</f>
        <v>0</v>
      </c>
    </row>
    <row r="590" spans="1:23">
      <c r="A590" t="s">
        <v>151</v>
      </c>
      <c r="B590" t="s">
        <v>168</v>
      </c>
      <c r="C590" t="s">
        <v>326</v>
      </c>
      <c r="D590" t="s">
        <v>131</v>
      </c>
      <c r="E590" t="s">
        <v>327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s="28">
        <v>0</v>
      </c>
      <c r="N590" s="28">
        <v>0</v>
      </c>
      <c r="O590">
        <v>0</v>
      </c>
      <c r="P590">
        <v>17.299909083852512</v>
      </c>
      <c r="Q590">
        <v>0</v>
      </c>
      <c r="R590">
        <v>0</v>
      </c>
      <c r="S590" s="28">
        <v>17.299909083852512</v>
      </c>
      <c r="T590" s="29">
        <f>SUM(BaseHoras[[#This Row],[Jan/2019]:[Mar/2019]])</f>
        <v>0</v>
      </c>
      <c r="U590" s="29">
        <f>SUM(BaseHoras[[#This Row],[Abr/2019]:[Jun/2019]])</f>
        <v>0</v>
      </c>
      <c r="V590" s="29">
        <f>SUM(BaseHoras[[#This Row],[Jul/2019]:[Set/2019]])</f>
        <v>0</v>
      </c>
      <c r="W590" s="29">
        <f>SUM(BaseHoras[[#This Row],[Out/2019]:[Dez/2019]])</f>
        <v>17.299909083852512</v>
      </c>
    </row>
    <row r="591" spans="1:23">
      <c r="A591" t="s">
        <v>151</v>
      </c>
      <c r="B591" t="s">
        <v>168</v>
      </c>
      <c r="C591" t="s">
        <v>326</v>
      </c>
      <c r="D591" t="s">
        <v>149</v>
      </c>
      <c r="E591" t="s">
        <v>327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s="28">
        <v>0</v>
      </c>
      <c r="N591" s="28">
        <v>47.053108704090477</v>
      </c>
      <c r="O591">
        <v>0</v>
      </c>
      <c r="P591">
        <v>0</v>
      </c>
      <c r="Q591">
        <v>0</v>
      </c>
      <c r="R591">
        <v>0</v>
      </c>
      <c r="S591" s="28">
        <v>47.053108704090477</v>
      </c>
      <c r="T591" s="29">
        <f>SUM(BaseHoras[[#This Row],[Jan/2019]:[Mar/2019]])</f>
        <v>0</v>
      </c>
      <c r="U591" s="29">
        <f>SUM(BaseHoras[[#This Row],[Abr/2019]:[Jun/2019]])</f>
        <v>0</v>
      </c>
      <c r="V591" s="29">
        <f>SUM(BaseHoras[[#This Row],[Jul/2019]:[Set/2019]])</f>
        <v>47.053108704090477</v>
      </c>
      <c r="W591" s="29">
        <f>SUM(BaseHoras[[#This Row],[Out/2019]:[Dez/2019]])</f>
        <v>0</v>
      </c>
    </row>
    <row r="592" spans="1:23">
      <c r="A592" t="s">
        <v>151</v>
      </c>
      <c r="B592" t="s">
        <v>168</v>
      </c>
      <c r="C592" t="s">
        <v>328</v>
      </c>
      <c r="D592" t="s">
        <v>55</v>
      </c>
      <c r="E592" t="s">
        <v>329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s="28">
        <v>15.398760308111406</v>
      </c>
      <c r="N592" s="28">
        <v>0</v>
      </c>
      <c r="O592">
        <v>0</v>
      </c>
      <c r="P592">
        <v>0</v>
      </c>
      <c r="Q592">
        <v>0</v>
      </c>
      <c r="R592">
        <v>0</v>
      </c>
      <c r="S592" s="28">
        <v>15.398760308111406</v>
      </c>
      <c r="T592" s="29">
        <f>SUM(BaseHoras[[#This Row],[Jan/2019]:[Mar/2019]])</f>
        <v>0</v>
      </c>
      <c r="U592" s="29">
        <f>SUM(BaseHoras[[#This Row],[Abr/2019]:[Jun/2019]])</f>
        <v>0</v>
      </c>
      <c r="V592" s="29">
        <f>SUM(BaseHoras[[#This Row],[Jul/2019]:[Set/2019]])</f>
        <v>15.398760308111406</v>
      </c>
      <c r="W592" s="29">
        <f>SUM(BaseHoras[[#This Row],[Out/2019]:[Dez/2019]])</f>
        <v>0</v>
      </c>
    </row>
    <row r="593" spans="1:23">
      <c r="A593" t="s">
        <v>151</v>
      </c>
      <c r="B593" t="s">
        <v>168</v>
      </c>
      <c r="C593" t="s">
        <v>328</v>
      </c>
      <c r="D593" t="s">
        <v>118</v>
      </c>
      <c r="E593" t="s">
        <v>329</v>
      </c>
      <c r="F593">
        <v>0</v>
      </c>
      <c r="G593">
        <v>0</v>
      </c>
      <c r="H593">
        <v>0</v>
      </c>
      <c r="I593">
        <v>0</v>
      </c>
      <c r="J593">
        <v>56.123811221801674</v>
      </c>
      <c r="K593">
        <v>237.77525930679582</v>
      </c>
      <c r="L593">
        <v>0</v>
      </c>
      <c r="M593" s="28">
        <v>0</v>
      </c>
      <c r="N593" s="28">
        <v>0</v>
      </c>
      <c r="O593">
        <v>0</v>
      </c>
      <c r="P593">
        <v>0</v>
      </c>
      <c r="Q593">
        <v>0</v>
      </c>
      <c r="R593">
        <v>0</v>
      </c>
      <c r="S593" s="28">
        <v>293.89907052859746</v>
      </c>
      <c r="T593" s="29">
        <f>SUM(BaseHoras[[#This Row],[Jan/2019]:[Mar/2019]])</f>
        <v>0</v>
      </c>
      <c r="U593" s="29">
        <f>SUM(BaseHoras[[#This Row],[Abr/2019]:[Jun/2019]])</f>
        <v>293.89907052859746</v>
      </c>
      <c r="V593" s="29">
        <f>SUM(BaseHoras[[#This Row],[Jul/2019]:[Set/2019]])</f>
        <v>0</v>
      </c>
      <c r="W593" s="29">
        <f>SUM(BaseHoras[[#This Row],[Out/2019]:[Dez/2019]])</f>
        <v>0</v>
      </c>
    </row>
    <row r="594" spans="1:23">
      <c r="A594" t="s">
        <v>151</v>
      </c>
      <c r="B594" t="s">
        <v>168</v>
      </c>
      <c r="C594" t="s">
        <v>328</v>
      </c>
      <c r="D594" t="s">
        <v>124</v>
      </c>
      <c r="E594" t="s">
        <v>329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162.23815565536256</v>
      </c>
      <c r="L594">
        <v>0</v>
      </c>
      <c r="M594" s="28">
        <v>0</v>
      </c>
      <c r="N594" s="28">
        <v>0</v>
      </c>
      <c r="O594">
        <v>0</v>
      </c>
      <c r="P594">
        <v>0</v>
      </c>
      <c r="Q594">
        <v>0</v>
      </c>
      <c r="R594">
        <v>0</v>
      </c>
      <c r="S594" s="28">
        <v>162.23815565536256</v>
      </c>
      <c r="T594" s="29">
        <f>SUM(BaseHoras[[#This Row],[Jan/2019]:[Mar/2019]])</f>
        <v>0</v>
      </c>
      <c r="U594" s="29">
        <f>SUM(BaseHoras[[#This Row],[Abr/2019]:[Jun/2019]])</f>
        <v>162.23815565536256</v>
      </c>
      <c r="V594" s="29">
        <f>SUM(BaseHoras[[#This Row],[Jul/2019]:[Set/2019]])</f>
        <v>0</v>
      </c>
      <c r="W594" s="29">
        <f>SUM(BaseHoras[[#This Row],[Out/2019]:[Dez/2019]])</f>
        <v>0</v>
      </c>
    </row>
    <row r="595" spans="1:23">
      <c r="A595" t="s">
        <v>151</v>
      </c>
      <c r="B595" t="s">
        <v>168</v>
      </c>
      <c r="C595" t="s">
        <v>330</v>
      </c>
      <c r="D595" t="s">
        <v>19</v>
      </c>
      <c r="E595" t="s">
        <v>215</v>
      </c>
      <c r="F595">
        <v>20.149374476778046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s="28">
        <v>0</v>
      </c>
      <c r="N595" s="28">
        <v>0</v>
      </c>
      <c r="O595">
        <v>0</v>
      </c>
      <c r="P595">
        <v>0</v>
      </c>
      <c r="Q595">
        <v>0</v>
      </c>
      <c r="R595">
        <v>0</v>
      </c>
      <c r="S595" s="28">
        <v>20.149374476778046</v>
      </c>
      <c r="T595" s="29">
        <f>SUM(BaseHoras[[#This Row],[Jan/2019]:[Mar/2019]])</f>
        <v>20.149374476778046</v>
      </c>
      <c r="U595" s="29">
        <f>SUM(BaseHoras[[#This Row],[Abr/2019]:[Jun/2019]])</f>
        <v>0</v>
      </c>
      <c r="V595" s="29">
        <f>SUM(BaseHoras[[#This Row],[Jul/2019]:[Set/2019]])</f>
        <v>0</v>
      </c>
      <c r="W595" s="29">
        <f>SUM(BaseHoras[[#This Row],[Out/2019]:[Dez/2019]])</f>
        <v>0</v>
      </c>
    </row>
    <row r="596" spans="1:23">
      <c r="A596" t="s">
        <v>151</v>
      </c>
      <c r="B596" t="s">
        <v>168</v>
      </c>
      <c r="C596" t="s">
        <v>330</v>
      </c>
      <c r="D596" t="s">
        <v>27</v>
      </c>
      <c r="E596" t="s">
        <v>215</v>
      </c>
      <c r="F596">
        <v>341.92058313225425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s="28">
        <v>0</v>
      </c>
      <c r="N596" s="28">
        <v>0</v>
      </c>
      <c r="O596">
        <v>0</v>
      </c>
      <c r="P596">
        <v>0</v>
      </c>
      <c r="Q596">
        <v>0</v>
      </c>
      <c r="R596">
        <v>0</v>
      </c>
      <c r="S596" s="28">
        <v>341.92058313225425</v>
      </c>
      <c r="T596" s="29">
        <f>SUM(BaseHoras[[#This Row],[Jan/2019]:[Mar/2019]])</f>
        <v>341.92058313225425</v>
      </c>
      <c r="U596" s="29">
        <f>SUM(BaseHoras[[#This Row],[Abr/2019]:[Jun/2019]])</f>
        <v>0</v>
      </c>
      <c r="V596" s="29">
        <f>SUM(BaseHoras[[#This Row],[Jul/2019]:[Set/2019]])</f>
        <v>0</v>
      </c>
      <c r="W596" s="29">
        <f>SUM(BaseHoras[[#This Row],[Out/2019]:[Dez/2019]])</f>
        <v>0</v>
      </c>
    </row>
    <row r="597" spans="1:23">
      <c r="A597" t="s">
        <v>151</v>
      </c>
      <c r="B597" t="s">
        <v>168</v>
      </c>
      <c r="C597" t="s">
        <v>330</v>
      </c>
      <c r="D597" t="s">
        <v>39</v>
      </c>
      <c r="E597" t="s">
        <v>215</v>
      </c>
      <c r="F597">
        <v>181.58366487958372</v>
      </c>
      <c r="G597">
        <v>212.34546594354825</v>
      </c>
      <c r="H597">
        <v>0</v>
      </c>
      <c r="I597">
        <v>0</v>
      </c>
      <c r="J597">
        <v>0</v>
      </c>
      <c r="K597">
        <v>0</v>
      </c>
      <c r="L597">
        <v>0</v>
      </c>
      <c r="M597" s="28">
        <v>0</v>
      </c>
      <c r="N597" s="28">
        <v>0</v>
      </c>
      <c r="O597">
        <v>0</v>
      </c>
      <c r="P597">
        <v>0</v>
      </c>
      <c r="Q597">
        <v>0</v>
      </c>
      <c r="R597">
        <v>0</v>
      </c>
      <c r="S597" s="28">
        <v>393.92913082313197</v>
      </c>
      <c r="T597" s="29">
        <f>SUM(BaseHoras[[#This Row],[Jan/2019]:[Mar/2019]])</f>
        <v>393.92913082313197</v>
      </c>
      <c r="U597" s="29">
        <f>SUM(BaseHoras[[#This Row],[Abr/2019]:[Jun/2019]])</f>
        <v>0</v>
      </c>
      <c r="V597" s="29">
        <f>SUM(BaseHoras[[#This Row],[Jul/2019]:[Set/2019]])</f>
        <v>0</v>
      </c>
      <c r="W597" s="29">
        <f>SUM(BaseHoras[[#This Row],[Out/2019]:[Dez/2019]])</f>
        <v>0</v>
      </c>
    </row>
    <row r="598" spans="1:23">
      <c r="A598" t="s">
        <v>151</v>
      </c>
      <c r="B598" t="s">
        <v>168</v>
      </c>
      <c r="C598" t="s">
        <v>330</v>
      </c>
      <c r="D598" t="s">
        <v>71</v>
      </c>
      <c r="E598" t="s">
        <v>215</v>
      </c>
      <c r="F598">
        <v>74.336368598866443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s="28">
        <v>0</v>
      </c>
      <c r="N598" s="28">
        <v>0</v>
      </c>
      <c r="O598">
        <v>0</v>
      </c>
      <c r="P598">
        <v>0</v>
      </c>
      <c r="Q598">
        <v>0</v>
      </c>
      <c r="R598">
        <v>0</v>
      </c>
      <c r="S598" s="28">
        <v>74.336368598866443</v>
      </c>
      <c r="T598" s="29">
        <f>SUM(BaseHoras[[#This Row],[Jan/2019]:[Mar/2019]])</f>
        <v>74.336368598866443</v>
      </c>
      <c r="U598" s="29">
        <f>SUM(BaseHoras[[#This Row],[Abr/2019]:[Jun/2019]])</f>
        <v>0</v>
      </c>
      <c r="V598" s="29">
        <f>SUM(BaseHoras[[#This Row],[Jul/2019]:[Set/2019]])</f>
        <v>0</v>
      </c>
      <c r="W598" s="29">
        <f>SUM(BaseHoras[[#This Row],[Out/2019]:[Dez/2019]])</f>
        <v>0</v>
      </c>
    </row>
    <row r="599" spans="1:23">
      <c r="A599" t="s">
        <v>151</v>
      </c>
      <c r="B599" t="s">
        <v>168</v>
      </c>
      <c r="C599" t="s">
        <v>330</v>
      </c>
      <c r="D599" t="s">
        <v>91</v>
      </c>
      <c r="E599" t="s">
        <v>215</v>
      </c>
      <c r="F599">
        <v>675.67488358064895</v>
      </c>
      <c r="G599">
        <v>9533.9793782721554</v>
      </c>
      <c r="H599">
        <v>971.10964085693263</v>
      </c>
      <c r="I599">
        <v>401.19209032490994</v>
      </c>
      <c r="J599">
        <v>530.81863933751742</v>
      </c>
      <c r="K599">
        <v>548.92268080057738</v>
      </c>
      <c r="L599">
        <v>2345.8210071241028</v>
      </c>
      <c r="M599" s="28">
        <v>696.98502057251244</v>
      </c>
      <c r="N599" s="28">
        <v>228.16539405438763</v>
      </c>
      <c r="O599">
        <v>0</v>
      </c>
      <c r="P599">
        <v>0</v>
      </c>
      <c r="Q599">
        <v>943.65382897578263</v>
      </c>
      <c r="R599">
        <v>0</v>
      </c>
      <c r="S599" s="28">
        <v>16876.322563899525</v>
      </c>
      <c r="T599" s="29">
        <f>SUM(BaseHoras[[#This Row],[Jan/2019]:[Mar/2019]])</f>
        <v>11180.763902709736</v>
      </c>
      <c r="U599" s="29">
        <f>SUM(BaseHoras[[#This Row],[Abr/2019]:[Jun/2019]])</f>
        <v>1480.9334104630047</v>
      </c>
      <c r="V599" s="29">
        <f>SUM(BaseHoras[[#This Row],[Jul/2019]:[Set/2019]])</f>
        <v>3270.9714217510027</v>
      </c>
      <c r="W599" s="29">
        <f>SUM(BaseHoras[[#This Row],[Out/2019]:[Dez/2019]])</f>
        <v>943.65382897578263</v>
      </c>
    </row>
    <row r="600" spans="1:23">
      <c r="A600" t="s">
        <v>151</v>
      </c>
      <c r="B600" t="s">
        <v>168</v>
      </c>
      <c r="C600" t="s">
        <v>330</v>
      </c>
      <c r="D600" t="s">
        <v>108</v>
      </c>
      <c r="E600" t="s">
        <v>215</v>
      </c>
      <c r="F600">
        <v>257.65777602722221</v>
      </c>
      <c r="G600">
        <v>0</v>
      </c>
      <c r="H600">
        <v>0</v>
      </c>
      <c r="I600">
        <v>229.94159792875729</v>
      </c>
      <c r="J600">
        <v>0</v>
      </c>
      <c r="K600">
        <v>0</v>
      </c>
      <c r="L600">
        <v>500.45714131412529</v>
      </c>
      <c r="M600" s="28">
        <v>0</v>
      </c>
      <c r="N600" s="28">
        <v>0</v>
      </c>
      <c r="O600">
        <v>0</v>
      </c>
      <c r="P600">
        <v>0</v>
      </c>
      <c r="Q600">
        <v>0</v>
      </c>
      <c r="R600">
        <v>0</v>
      </c>
      <c r="S600" s="28">
        <v>988.0565152701048</v>
      </c>
      <c r="T600" s="29">
        <f>SUM(BaseHoras[[#This Row],[Jan/2019]:[Mar/2019]])</f>
        <v>257.65777602722221</v>
      </c>
      <c r="U600" s="29">
        <f>SUM(BaseHoras[[#This Row],[Abr/2019]:[Jun/2019]])</f>
        <v>229.94159792875729</v>
      </c>
      <c r="V600" s="29">
        <f>SUM(BaseHoras[[#This Row],[Jul/2019]:[Set/2019]])</f>
        <v>500.45714131412529</v>
      </c>
      <c r="W600" s="29">
        <f>SUM(BaseHoras[[#This Row],[Out/2019]:[Dez/2019]])</f>
        <v>0</v>
      </c>
    </row>
    <row r="601" spans="1:23">
      <c r="A601" t="s">
        <v>151</v>
      </c>
      <c r="B601" t="s">
        <v>168</v>
      </c>
      <c r="C601" t="s">
        <v>330</v>
      </c>
      <c r="D601" t="s">
        <v>109</v>
      </c>
      <c r="E601" t="s">
        <v>215</v>
      </c>
      <c r="F601">
        <v>262.65218237138515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s="28">
        <v>0</v>
      </c>
      <c r="N601" s="28">
        <v>36.241494341553263</v>
      </c>
      <c r="O601">
        <v>0</v>
      </c>
      <c r="P601">
        <v>0</v>
      </c>
      <c r="Q601">
        <v>0</v>
      </c>
      <c r="R601">
        <v>0</v>
      </c>
      <c r="S601" s="28">
        <v>298.89367671293843</v>
      </c>
      <c r="T601" s="29">
        <f>SUM(BaseHoras[[#This Row],[Jan/2019]:[Mar/2019]])</f>
        <v>262.65218237138515</v>
      </c>
      <c r="U601" s="29">
        <f>SUM(BaseHoras[[#This Row],[Abr/2019]:[Jun/2019]])</f>
        <v>0</v>
      </c>
      <c r="V601" s="29">
        <f>SUM(BaseHoras[[#This Row],[Jul/2019]:[Set/2019]])</f>
        <v>36.241494341553263</v>
      </c>
      <c r="W601" s="29">
        <f>SUM(BaseHoras[[#This Row],[Out/2019]:[Dez/2019]])</f>
        <v>0</v>
      </c>
    </row>
    <row r="602" spans="1:23">
      <c r="A602" t="s">
        <v>151</v>
      </c>
      <c r="B602" t="s">
        <v>168</v>
      </c>
      <c r="C602" t="s">
        <v>330</v>
      </c>
      <c r="D602" t="s">
        <v>283</v>
      </c>
      <c r="E602" t="s">
        <v>215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s="28">
        <v>0</v>
      </c>
      <c r="N602" s="28">
        <v>0</v>
      </c>
      <c r="O602">
        <v>0</v>
      </c>
      <c r="P602">
        <v>0</v>
      </c>
      <c r="Q602">
        <v>602.53728934505398</v>
      </c>
      <c r="R602">
        <v>0</v>
      </c>
      <c r="S602" s="28">
        <v>602.53728934505398</v>
      </c>
      <c r="T602" s="29">
        <f>SUM(BaseHoras[[#This Row],[Jan/2019]:[Mar/2019]])</f>
        <v>0</v>
      </c>
      <c r="U602" s="29">
        <f>SUM(BaseHoras[[#This Row],[Abr/2019]:[Jun/2019]])</f>
        <v>0</v>
      </c>
      <c r="V602" s="29">
        <f>SUM(BaseHoras[[#This Row],[Jul/2019]:[Set/2019]])</f>
        <v>0</v>
      </c>
      <c r="W602" s="29">
        <f>SUM(BaseHoras[[#This Row],[Out/2019]:[Dez/2019]])</f>
        <v>602.53728934505398</v>
      </c>
    </row>
    <row r="603" spans="1:23">
      <c r="A603" t="s">
        <v>151</v>
      </c>
      <c r="B603" t="s">
        <v>168</v>
      </c>
      <c r="C603" t="s">
        <v>330</v>
      </c>
      <c r="D603" t="s">
        <v>121</v>
      </c>
      <c r="E603" t="s">
        <v>215</v>
      </c>
      <c r="F603">
        <v>6555.0966187918675</v>
      </c>
      <c r="G603">
        <v>62.643256190432623</v>
      </c>
      <c r="H603">
        <v>0</v>
      </c>
      <c r="I603">
        <v>532.18141633645723</v>
      </c>
      <c r="J603">
        <v>0</v>
      </c>
      <c r="K603">
        <v>0</v>
      </c>
      <c r="L603">
        <v>0</v>
      </c>
      <c r="M603" s="28">
        <v>0</v>
      </c>
      <c r="N603" s="28">
        <v>0</v>
      </c>
      <c r="O603">
        <v>0</v>
      </c>
      <c r="P603">
        <v>0</v>
      </c>
      <c r="Q603">
        <v>0</v>
      </c>
      <c r="R603">
        <v>0</v>
      </c>
      <c r="S603" s="28">
        <v>7149.9212913187575</v>
      </c>
      <c r="T603" s="29">
        <f>SUM(BaseHoras[[#This Row],[Jan/2019]:[Mar/2019]])</f>
        <v>6617.7398749823005</v>
      </c>
      <c r="U603" s="29">
        <f>SUM(BaseHoras[[#This Row],[Abr/2019]:[Jun/2019]])</f>
        <v>532.18141633645723</v>
      </c>
      <c r="V603" s="29">
        <f>SUM(BaseHoras[[#This Row],[Jul/2019]:[Set/2019]])</f>
        <v>0</v>
      </c>
      <c r="W603" s="29">
        <f>SUM(BaseHoras[[#This Row],[Out/2019]:[Dez/2019]])</f>
        <v>0</v>
      </c>
    </row>
    <row r="604" spans="1:23">
      <c r="A604" t="s">
        <v>151</v>
      </c>
      <c r="B604" t="s">
        <v>168</v>
      </c>
      <c r="C604" t="s">
        <v>330</v>
      </c>
      <c r="D604" t="s">
        <v>124</v>
      </c>
      <c r="E604" t="s">
        <v>215</v>
      </c>
      <c r="F604">
        <v>0</v>
      </c>
      <c r="G604">
        <v>36.424100207089666</v>
      </c>
      <c r="H604">
        <v>241.25935906600904</v>
      </c>
      <c r="I604">
        <v>89.748682537416684</v>
      </c>
      <c r="J604">
        <v>0</v>
      </c>
      <c r="K604">
        <v>0</v>
      </c>
      <c r="L604">
        <v>0</v>
      </c>
      <c r="M604" s="28">
        <v>0</v>
      </c>
      <c r="N604" s="28">
        <v>0</v>
      </c>
      <c r="O604">
        <v>0</v>
      </c>
      <c r="P604">
        <v>0</v>
      </c>
      <c r="Q604">
        <v>0</v>
      </c>
      <c r="R604">
        <v>0</v>
      </c>
      <c r="S604" s="28">
        <v>367.43214181051542</v>
      </c>
      <c r="T604" s="29">
        <f>SUM(BaseHoras[[#This Row],[Jan/2019]:[Mar/2019]])</f>
        <v>277.68345927309872</v>
      </c>
      <c r="U604" s="29">
        <f>SUM(BaseHoras[[#This Row],[Abr/2019]:[Jun/2019]])</f>
        <v>89.748682537416684</v>
      </c>
      <c r="V604" s="29">
        <f>SUM(BaseHoras[[#This Row],[Jul/2019]:[Set/2019]])</f>
        <v>0</v>
      </c>
      <c r="W604" s="29">
        <f>SUM(BaseHoras[[#This Row],[Out/2019]:[Dez/2019]])</f>
        <v>0</v>
      </c>
    </row>
    <row r="605" spans="1:23">
      <c r="A605" t="s">
        <v>151</v>
      </c>
      <c r="B605" t="s">
        <v>168</v>
      </c>
      <c r="C605" t="s">
        <v>330</v>
      </c>
      <c r="D605" t="s">
        <v>146</v>
      </c>
      <c r="E605" t="s">
        <v>215</v>
      </c>
      <c r="F605">
        <v>66.344420286411633</v>
      </c>
      <c r="G605">
        <v>21.95322210610319</v>
      </c>
      <c r="H605">
        <v>0</v>
      </c>
      <c r="I605">
        <v>0</v>
      </c>
      <c r="J605">
        <v>0</v>
      </c>
      <c r="K605">
        <v>0</v>
      </c>
      <c r="L605">
        <v>0</v>
      </c>
      <c r="M605" s="28">
        <v>0</v>
      </c>
      <c r="N605" s="28">
        <v>0</v>
      </c>
      <c r="O605">
        <v>0</v>
      </c>
      <c r="P605">
        <v>0</v>
      </c>
      <c r="Q605">
        <v>0</v>
      </c>
      <c r="R605">
        <v>0</v>
      </c>
      <c r="S605" s="28">
        <v>88.297642392514831</v>
      </c>
      <c r="T605" s="29">
        <f>SUM(BaseHoras[[#This Row],[Jan/2019]:[Mar/2019]])</f>
        <v>88.297642392514831</v>
      </c>
      <c r="U605" s="29">
        <f>SUM(BaseHoras[[#This Row],[Abr/2019]:[Jun/2019]])</f>
        <v>0</v>
      </c>
      <c r="V605" s="29">
        <f>SUM(BaseHoras[[#This Row],[Jul/2019]:[Set/2019]])</f>
        <v>0</v>
      </c>
      <c r="W605" s="29">
        <f>SUM(BaseHoras[[#This Row],[Out/2019]:[Dez/2019]])</f>
        <v>0</v>
      </c>
    </row>
    <row r="606" spans="1:23">
      <c r="A606" t="s">
        <v>151</v>
      </c>
      <c r="B606" t="s">
        <v>168</v>
      </c>
      <c r="C606" t="s">
        <v>331</v>
      </c>
      <c r="D606" t="s">
        <v>25</v>
      </c>
      <c r="E606" t="s">
        <v>327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s="28">
        <v>0</v>
      </c>
      <c r="N606" s="28">
        <v>0</v>
      </c>
      <c r="O606">
        <v>0</v>
      </c>
      <c r="P606">
        <v>13.496870946507341</v>
      </c>
      <c r="Q606">
        <v>27.394929977490598</v>
      </c>
      <c r="R606">
        <v>0</v>
      </c>
      <c r="S606" s="28">
        <v>40.891800923997941</v>
      </c>
      <c r="T606" s="29">
        <f>SUM(BaseHoras[[#This Row],[Jan/2019]:[Mar/2019]])</f>
        <v>0</v>
      </c>
      <c r="U606" s="29">
        <f>SUM(BaseHoras[[#This Row],[Abr/2019]:[Jun/2019]])</f>
        <v>0</v>
      </c>
      <c r="V606" s="29">
        <f>SUM(BaseHoras[[#This Row],[Jul/2019]:[Set/2019]])</f>
        <v>0</v>
      </c>
      <c r="W606" s="29">
        <f>SUM(BaseHoras[[#This Row],[Out/2019]:[Dez/2019]])</f>
        <v>40.891800923997941</v>
      </c>
    </row>
    <row r="607" spans="1:23">
      <c r="A607" t="s">
        <v>151</v>
      </c>
      <c r="B607" t="s">
        <v>168</v>
      </c>
      <c r="C607" t="s">
        <v>331</v>
      </c>
      <c r="D607" t="s">
        <v>36</v>
      </c>
      <c r="E607" t="s">
        <v>327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s="28">
        <v>0</v>
      </c>
      <c r="N607" s="28">
        <v>0</v>
      </c>
      <c r="O607">
        <v>0</v>
      </c>
      <c r="P607">
        <v>60.825403681833386</v>
      </c>
      <c r="Q607">
        <v>415.52860770086784</v>
      </c>
      <c r="R607">
        <v>0</v>
      </c>
      <c r="S607" s="28">
        <v>476.35401138270123</v>
      </c>
      <c r="T607" s="29">
        <f>SUM(BaseHoras[[#This Row],[Jan/2019]:[Mar/2019]])</f>
        <v>0</v>
      </c>
      <c r="U607" s="29">
        <f>SUM(BaseHoras[[#This Row],[Abr/2019]:[Jun/2019]])</f>
        <v>0</v>
      </c>
      <c r="V607" s="29">
        <f>SUM(BaseHoras[[#This Row],[Jul/2019]:[Set/2019]])</f>
        <v>0</v>
      </c>
      <c r="W607" s="29">
        <f>SUM(BaseHoras[[#This Row],[Out/2019]:[Dez/2019]])</f>
        <v>476.35401138270123</v>
      </c>
    </row>
    <row r="608" spans="1:23">
      <c r="A608" t="s">
        <v>151</v>
      </c>
      <c r="B608" t="s">
        <v>168</v>
      </c>
      <c r="C608" t="s">
        <v>331</v>
      </c>
      <c r="D608" t="s">
        <v>42</v>
      </c>
      <c r="E608" t="s">
        <v>327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s="28">
        <v>0</v>
      </c>
      <c r="N608" s="28">
        <v>13.312955955527903</v>
      </c>
      <c r="O608">
        <v>115.07570350570361</v>
      </c>
      <c r="P608">
        <v>1297.0324070476679</v>
      </c>
      <c r="Q608">
        <v>262.75789715408848</v>
      </c>
      <c r="R608">
        <v>0</v>
      </c>
      <c r="S608" s="28">
        <v>1688.1789636629878</v>
      </c>
      <c r="T608" s="29">
        <f>SUM(BaseHoras[[#This Row],[Jan/2019]:[Mar/2019]])</f>
        <v>0</v>
      </c>
      <c r="U608" s="29">
        <f>SUM(BaseHoras[[#This Row],[Abr/2019]:[Jun/2019]])</f>
        <v>0</v>
      </c>
      <c r="V608" s="29">
        <f>SUM(BaseHoras[[#This Row],[Jul/2019]:[Set/2019]])</f>
        <v>13.312955955527903</v>
      </c>
      <c r="W608" s="29">
        <f>SUM(BaseHoras[[#This Row],[Out/2019]:[Dez/2019]])</f>
        <v>1674.8660077074601</v>
      </c>
    </row>
    <row r="609" spans="1:23">
      <c r="A609" t="s">
        <v>151</v>
      </c>
      <c r="B609" t="s">
        <v>168</v>
      </c>
      <c r="C609" t="s">
        <v>331</v>
      </c>
      <c r="D609" t="s">
        <v>49</v>
      </c>
      <c r="E609" t="s">
        <v>327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s="28">
        <v>0</v>
      </c>
      <c r="N609" s="28">
        <v>1552.2107475258626</v>
      </c>
      <c r="O609">
        <v>201.36462959596443</v>
      </c>
      <c r="P609">
        <v>0</v>
      </c>
      <c r="Q609">
        <v>22.944943545196189</v>
      </c>
      <c r="R609">
        <v>0</v>
      </c>
      <c r="S609" s="28">
        <v>1776.5203206670233</v>
      </c>
      <c r="T609" s="29">
        <f>SUM(BaseHoras[[#This Row],[Jan/2019]:[Mar/2019]])</f>
        <v>0</v>
      </c>
      <c r="U609" s="29">
        <f>SUM(BaseHoras[[#This Row],[Abr/2019]:[Jun/2019]])</f>
        <v>0</v>
      </c>
      <c r="V609" s="29">
        <f>SUM(BaseHoras[[#This Row],[Jul/2019]:[Set/2019]])</f>
        <v>1552.2107475258626</v>
      </c>
      <c r="W609" s="29">
        <f>SUM(BaseHoras[[#This Row],[Out/2019]:[Dez/2019]])</f>
        <v>224.30957314116063</v>
      </c>
    </row>
    <row r="610" spans="1:23">
      <c r="A610" t="s">
        <v>151</v>
      </c>
      <c r="B610" t="s">
        <v>168</v>
      </c>
      <c r="C610" t="s">
        <v>331</v>
      </c>
      <c r="D610" t="s">
        <v>60</v>
      </c>
      <c r="E610" t="s">
        <v>327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s="28">
        <v>0</v>
      </c>
      <c r="N610" s="28">
        <v>0</v>
      </c>
      <c r="O610">
        <v>826.52283808877678</v>
      </c>
      <c r="P610">
        <v>0</v>
      </c>
      <c r="Q610">
        <v>0</v>
      </c>
      <c r="R610">
        <v>0</v>
      </c>
      <c r="S610" s="28">
        <v>826.52283808877678</v>
      </c>
      <c r="T610" s="29">
        <f>SUM(BaseHoras[[#This Row],[Jan/2019]:[Mar/2019]])</f>
        <v>0</v>
      </c>
      <c r="U610" s="29">
        <f>SUM(BaseHoras[[#This Row],[Abr/2019]:[Jun/2019]])</f>
        <v>0</v>
      </c>
      <c r="V610" s="29">
        <f>SUM(BaseHoras[[#This Row],[Jul/2019]:[Set/2019]])</f>
        <v>0</v>
      </c>
      <c r="W610" s="29">
        <f>SUM(BaseHoras[[#This Row],[Out/2019]:[Dez/2019]])</f>
        <v>826.52283808877678</v>
      </c>
    </row>
    <row r="611" spans="1:23">
      <c r="A611" t="s">
        <v>151</v>
      </c>
      <c r="B611" t="s">
        <v>168</v>
      </c>
      <c r="C611" t="s">
        <v>331</v>
      </c>
      <c r="D611" t="s">
        <v>64</v>
      </c>
      <c r="E611" t="s">
        <v>327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s="28">
        <v>0</v>
      </c>
      <c r="N611" s="28">
        <v>0</v>
      </c>
      <c r="O611">
        <v>141.90751170244849</v>
      </c>
      <c r="P611">
        <v>0</v>
      </c>
      <c r="Q611">
        <v>12.955264426285753</v>
      </c>
      <c r="R611">
        <v>0</v>
      </c>
      <c r="S611" s="28">
        <v>154.86277612873425</v>
      </c>
      <c r="T611" s="29">
        <f>SUM(BaseHoras[[#This Row],[Jan/2019]:[Mar/2019]])</f>
        <v>0</v>
      </c>
      <c r="U611" s="29">
        <f>SUM(BaseHoras[[#This Row],[Abr/2019]:[Jun/2019]])</f>
        <v>0</v>
      </c>
      <c r="V611" s="29">
        <f>SUM(BaseHoras[[#This Row],[Jul/2019]:[Set/2019]])</f>
        <v>0</v>
      </c>
      <c r="W611" s="29">
        <f>SUM(BaseHoras[[#This Row],[Out/2019]:[Dez/2019]])</f>
        <v>154.86277612873425</v>
      </c>
    </row>
    <row r="612" spans="1:23">
      <c r="A612" t="s">
        <v>151</v>
      </c>
      <c r="B612" t="s">
        <v>168</v>
      </c>
      <c r="C612" t="s">
        <v>331</v>
      </c>
      <c r="D612" t="s">
        <v>81</v>
      </c>
      <c r="E612" t="s">
        <v>327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s="28">
        <v>0</v>
      </c>
      <c r="N612" s="28">
        <v>0</v>
      </c>
      <c r="O612">
        <v>0</v>
      </c>
      <c r="P612" t="s">
        <v>395</v>
      </c>
      <c r="Q612">
        <v>450.78600641958622</v>
      </c>
      <c r="R612">
        <v>0</v>
      </c>
      <c r="S612" s="28">
        <v>450.78600641958622</v>
      </c>
      <c r="T612" s="29">
        <f>SUM(BaseHoras[[#This Row],[Jan/2019]:[Mar/2019]])</f>
        <v>0</v>
      </c>
      <c r="U612" s="29">
        <f>SUM(BaseHoras[[#This Row],[Abr/2019]:[Jun/2019]])</f>
        <v>0</v>
      </c>
      <c r="V612" s="29">
        <f>SUM(BaseHoras[[#This Row],[Jul/2019]:[Set/2019]])</f>
        <v>0</v>
      </c>
      <c r="W612" s="29">
        <f>SUM(BaseHoras[[#This Row],[Out/2019]:[Dez/2019]])</f>
        <v>450.78600641958622</v>
      </c>
    </row>
    <row r="613" spans="1:23">
      <c r="A613" t="s">
        <v>151</v>
      </c>
      <c r="B613" t="s">
        <v>168</v>
      </c>
      <c r="C613" t="s">
        <v>331</v>
      </c>
      <c r="D613" t="s">
        <v>87</v>
      </c>
      <c r="E613" t="s">
        <v>327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s="28">
        <v>0</v>
      </c>
      <c r="N613" s="28">
        <v>0</v>
      </c>
      <c r="O613">
        <v>102.23918798057581</v>
      </c>
      <c r="P613">
        <v>0</v>
      </c>
      <c r="Q613">
        <v>18.149091521212419</v>
      </c>
      <c r="R613">
        <v>0</v>
      </c>
      <c r="S613" s="28">
        <v>120.38827950178822</v>
      </c>
      <c r="T613" s="29">
        <f>SUM(BaseHoras[[#This Row],[Jan/2019]:[Mar/2019]])</f>
        <v>0</v>
      </c>
      <c r="U613" s="29">
        <f>SUM(BaseHoras[[#This Row],[Abr/2019]:[Jun/2019]])</f>
        <v>0</v>
      </c>
      <c r="V613" s="29">
        <f>SUM(BaseHoras[[#This Row],[Jul/2019]:[Set/2019]])</f>
        <v>0</v>
      </c>
      <c r="W613" s="29">
        <f>SUM(BaseHoras[[#This Row],[Out/2019]:[Dez/2019]])</f>
        <v>120.38827950178822</v>
      </c>
    </row>
    <row r="614" spans="1:23">
      <c r="A614" t="s">
        <v>151</v>
      </c>
      <c r="B614" t="s">
        <v>168</v>
      </c>
      <c r="C614" t="s">
        <v>331</v>
      </c>
      <c r="D614" t="s">
        <v>97</v>
      </c>
      <c r="E614" t="s">
        <v>327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s="28">
        <v>0</v>
      </c>
      <c r="N614" s="28">
        <v>0</v>
      </c>
      <c r="O614">
        <v>0</v>
      </c>
      <c r="P614">
        <v>50.974163936696307</v>
      </c>
      <c r="Q614">
        <v>0</v>
      </c>
      <c r="R614">
        <v>0</v>
      </c>
      <c r="S614" s="28">
        <v>50.974163936696307</v>
      </c>
      <c r="T614" s="29">
        <f>SUM(BaseHoras[[#This Row],[Jan/2019]:[Mar/2019]])</f>
        <v>0</v>
      </c>
      <c r="U614" s="29">
        <f>SUM(BaseHoras[[#This Row],[Abr/2019]:[Jun/2019]])</f>
        <v>0</v>
      </c>
      <c r="V614" s="29">
        <f>SUM(BaseHoras[[#This Row],[Jul/2019]:[Set/2019]])</f>
        <v>0</v>
      </c>
      <c r="W614" s="29">
        <f>SUM(BaseHoras[[#This Row],[Out/2019]:[Dez/2019]])</f>
        <v>50.974163936696307</v>
      </c>
    </row>
    <row r="615" spans="1:23">
      <c r="A615" t="s">
        <v>151</v>
      </c>
      <c r="B615" t="s">
        <v>168</v>
      </c>
      <c r="C615" t="s">
        <v>331</v>
      </c>
      <c r="D615" t="s">
        <v>100</v>
      </c>
      <c r="E615" t="s">
        <v>327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s="28">
        <v>0</v>
      </c>
      <c r="N615" s="28">
        <v>0</v>
      </c>
      <c r="O615">
        <v>0</v>
      </c>
      <c r="P615">
        <v>0</v>
      </c>
      <c r="Q615">
        <v>6.4937943721769118</v>
      </c>
      <c r="R615">
        <v>0</v>
      </c>
      <c r="S615" s="28">
        <v>6.4937943721769118</v>
      </c>
      <c r="T615" s="29">
        <f>SUM(BaseHoras[[#This Row],[Jan/2019]:[Mar/2019]])</f>
        <v>0</v>
      </c>
      <c r="U615" s="29">
        <f>SUM(BaseHoras[[#This Row],[Abr/2019]:[Jun/2019]])</f>
        <v>0</v>
      </c>
      <c r="V615" s="29">
        <f>SUM(BaseHoras[[#This Row],[Jul/2019]:[Set/2019]])</f>
        <v>0</v>
      </c>
      <c r="W615" s="29">
        <f>SUM(BaseHoras[[#This Row],[Out/2019]:[Dez/2019]])</f>
        <v>6.4937943721769118</v>
      </c>
    </row>
    <row r="616" spans="1:23">
      <c r="A616" t="s">
        <v>151</v>
      </c>
      <c r="B616" t="s">
        <v>168</v>
      </c>
      <c r="C616" t="s">
        <v>331</v>
      </c>
      <c r="D616" t="s">
        <v>107</v>
      </c>
      <c r="E616" t="s">
        <v>327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s="28">
        <v>0</v>
      </c>
      <c r="N616" s="28">
        <v>0</v>
      </c>
      <c r="O616">
        <v>0</v>
      </c>
      <c r="P616">
        <v>13247.776120098591</v>
      </c>
      <c r="Q616">
        <v>4.6666747242625757</v>
      </c>
      <c r="R616">
        <v>0</v>
      </c>
      <c r="S616" s="28">
        <v>13252.442794822855</v>
      </c>
      <c r="T616" s="29">
        <f>SUM(BaseHoras[[#This Row],[Jan/2019]:[Mar/2019]])</f>
        <v>0</v>
      </c>
      <c r="U616" s="29">
        <f>SUM(BaseHoras[[#This Row],[Abr/2019]:[Jun/2019]])</f>
        <v>0</v>
      </c>
      <c r="V616" s="29">
        <f>SUM(BaseHoras[[#This Row],[Jul/2019]:[Set/2019]])</f>
        <v>0</v>
      </c>
      <c r="W616" s="29">
        <f>SUM(BaseHoras[[#This Row],[Out/2019]:[Dez/2019]])</f>
        <v>13252.442794822855</v>
      </c>
    </row>
    <row r="617" spans="1:23">
      <c r="A617" t="s">
        <v>151</v>
      </c>
      <c r="B617" t="s">
        <v>168</v>
      </c>
      <c r="C617" t="s">
        <v>331</v>
      </c>
      <c r="D617" t="s">
        <v>136</v>
      </c>
      <c r="E617" t="s">
        <v>327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s="28">
        <v>0</v>
      </c>
      <c r="N617" s="28">
        <v>0</v>
      </c>
      <c r="O617">
        <v>0</v>
      </c>
      <c r="P617">
        <v>0</v>
      </c>
      <c r="Q617">
        <v>74.400612605737749</v>
      </c>
      <c r="R617">
        <v>0</v>
      </c>
      <c r="S617" s="28">
        <v>74.400612605737749</v>
      </c>
      <c r="T617" s="29">
        <f>SUM(BaseHoras[[#This Row],[Jan/2019]:[Mar/2019]])</f>
        <v>0</v>
      </c>
      <c r="U617" s="29">
        <f>SUM(BaseHoras[[#This Row],[Abr/2019]:[Jun/2019]])</f>
        <v>0</v>
      </c>
      <c r="V617" s="29">
        <f>SUM(BaseHoras[[#This Row],[Jul/2019]:[Set/2019]])</f>
        <v>0</v>
      </c>
      <c r="W617" s="29">
        <f>SUM(BaseHoras[[#This Row],[Out/2019]:[Dez/2019]])</f>
        <v>74.400612605737749</v>
      </c>
    </row>
    <row r="618" spans="1:23">
      <c r="A618" t="s">
        <v>151</v>
      </c>
      <c r="B618" t="s">
        <v>168</v>
      </c>
      <c r="C618" t="s">
        <v>331</v>
      </c>
      <c r="D618" t="s">
        <v>139</v>
      </c>
      <c r="E618" t="s">
        <v>327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s="28">
        <v>0</v>
      </c>
      <c r="N618" s="28">
        <v>5084.3587321674486</v>
      </c>
      <c r="O618">
        <v>482.93598148528531</v>
      </c>
      <c r="P618">
        <v>0</v>
      </c>
      <c r="Q618">
        <v>137.36710110151975</v>
      </c>
      <c r="R618">
        <v>0</v>
      </c>
      <c r="S618" s="28">
        <v>5704.6618147542531</v>
      </c>
      <c r="T618" s="29">
        <f>SUM(BaseHoras[[#This Row],[Jan/2019]:[Mar/2019]])</f>
        <v>0</v>
      </c>
      <c r="U618" s="29">
        <f>SUM(BaseHoras[[#This Row],[Abr/2019]:[Jun/2019]])</f>
        <v>0</v>
      </c>
      <c r="V618" s="29">
        <f>SUM(BaseHoras[[#This Row],[Jul/2019]:[Set/2019]])</f>
        <v>5084.3587321674486</v>
      </c>
      <c r="W618" s="29">
        <f>SUM(BaseHoras[[#This Row],[Out/2019]:[Dez/2019]])</f>
        <v>620.30308258680509</v>
      </c>
    </row>
    <row r="619" spans="1:23">
      <c r="A619" t="s">
        <v>151</v>
      </c>
      <c r="B619" t="s">
        <v>168</v>
      </c>
      <c r="C619" t="s">
        <v>331</v>
      </c>
      <c r="D619" t="s">
        <v>147</v>
      </c>
      <c r="E619" t="s">
        <v>327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s="28">
        <v>0</v>
      </c>
      <c r="N619" s="28">
        <v>0</v>
      </c>
      <c r="O619">
        <v>0</v>
      </c>
      <c r="P619">
        <v>584.37911784389735</v>
      </c>
      <c r="Q619">
        <v>0</v>
      </c>
      <c r="R619">
        <v>0</v>
      </c>
      <c r="S619" s="28">
        <v>584.37911784389735</v>
      </c>
      <c r="T619" s="29">
        <f>SUM(BaseHoras[[#This Row],[Jan/2019]:[Mar/2019]])</f>
        <v>0</v>
      </c>
      <c r="U619" s="29">
        <f>SUM(BaseHoras[[#This Row],[Abr/2019]:[Jun/2019]])</f>
        <v>0</v>
      </c>
      <c r="V619" s="29">
        <f>SUM(BaseHoras[[#This Row],[Jul/2019]:[Set/2019]])</f>
        <v>0</v>
      </c>
      <c r="W619" s="29">
        <f>SUM(BaseHoras[[#This Row],[Out/2019]:[Dez/2019]])</f>
        <v>584.37911784389735</v>
      </c>
    </row>
    <row r="620" spans="1:23">
      <c r="A620" t="s">
        <v>151</v>
      </c>
      <c r="B620" t="s">
        <v>168</v>
      </c>
      <c r="C620" t="s">
        <v>332</v>
      </c>
      <c r="D620" t="s">
        <v>87</v>
      </c>
      <c r="E620" t="s">
        <v>260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s="28">
        <v>0</v>
      </c>
      <c r="N620" s="28">
        <v>2263.6935686367569</v>
      </c>
      <c r="O620">
        <v>0</v>
      </c>
      <c r="P620">
        <v>0</v>
      </c>
      <c r="Q620">
        <v>0</v>
      </c>
      <c r="R620">
        <v>0</v>
      </c>
      <c r="S620" s="28">
        <v>2263.6935686367569</v>
      </c>
      <c r="T620" s="29">
        <f>SUM(BaseHoras[[#This Row],[Jan/2019]:[Mar/2019]])</f>
        <v>0</v>
      </c>
      <c r="U620" s="29">
        <f>SUM(BaseHoras[[#This Row],[Abr/2019]:[Jun/2019]])</f>
        <v>0</v>
      </c>
      <c r="V620" s="29">
        <f>SUM(BaseHoras[[#This Row],[Jul/2019]:[Set/2019]])</f>
        <v>2263.6935686367569</v>
      </c>
      <c r="W620" s="29">
        <f>SUM(BaseHoras[[#This Row],[Out/2019]:[Dez/2019]])</f>
        <v>0</v>
      </c>
    </row>
    <row r="621" spans="1:23">
      <c r="A621" t="s">
        <v>151</v>
      </c>
      <c r="B621" t="s">
        <v>168</v>
      </c>
      <c r="C621" t="s">
        <v>333</v>
      </c>
      <c r="D621" t="s">
        <v>131</v>
      </c>
      <c r="E621" t="s">
        <v>260</v>
      </c>
      <c r="F621">
        <v>0</v>
      </c>
      <c r="G621">
        <v>11.450408937796919</v>
      </c>
      <c r="H621">
        <v>0</v>
      </c>
      <c r="I621">
        <v>0</v>
      </c>
      <c r="J621">
        <v>0</v>
      </c>
      <c r="K621">
        <v>0</v>
      </c>
      <c r="L621">
        <v>0</v>
      </c>
      <c r="M621" s="28">
        <v>11.333147767737552</v>
      </c>
      <c r="N621" s="28">
        <v>0</v>
      </c>
      <c r="O621">
        <v>0</v>
      </c>
      <c r="P621">
        <v>0</v>
      </c>
      <c r="Q621">
        <v>0</v>
      </c>
      <c r="R621">
        <v>0</v>
      </c>
      <c r="S621" s="28">
        <v>22.783556705534473</v>
      </c>
      <c r="T621" s="29">
        <f>SUM(BaseHoras[[#This Row],[Jan/2019]:[Mar/2019]])</f>
        <v>11.450408937796919</v>
      </c>
      <c r="U621" s="29">
        <f>SUM(BaseHoras[[#This Row],[Abr/2019]:[Jun/2019]])</f>
        <v>0</v>
      </c>
      <c r="V621" s="29">
        <f>SUM(BaseHoras[[#This Row],[Jul/2019]:[Set/2019]])</f>
        <v>11.333147767737552</v>
      </c>
      <c r="W621" s="29">
        <f>SUM(BaseHoras[[#This Row],[Out/2019]:[Dez/2019]])</f>
        <v>0</v>
      </c>
    </row>
    <row r="622" spans="1:23">
      <c r="A622" t="s">
        <v>151</v>
      </c>
      <c r="B622" t="s">
        <v>168</v>
      </c>
      <c r="C622" t="s">
        <v>334</v>
      </c>
      <c r="D622" t="s">
        <v>81</v>
      </c>
      <c r="E622" t="s">
        <v>215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2.1902982252493333</v>
      </c>
      <c r="L622">
        <v>0</v>
      </c>
      <c r="M622" s="28">
        <v>0</v>
      </c>
      <c r="N622" s="28">
        <v>0</v>
      </c>
      <c r="O622">
        <v>0</v>
      </c>
      <c r="P622">
        <v>12.66725237130645</v>
      </c>
      <c r="Q622">
        <v>0</v>
      </c>
      <c r="R622">
        <v>0</v>
      </c>
      <c r="S622" s="28">
        <v>14.857550596555782</v>
      </c>
      <c r="T622" s="29">
        <f>SUM(BaseHoras[[#This Row],[Jan/2019]:[Mar/2019]])</f>
        <v>0</v>
      </c>
      <c r="U622" s="29">
        <f>SUM(BaseHoras[[#This Row],[Abr/2019]:[Jun/2019]])</f>
        <v>2.1902982252493333</v>
      </c>
      <c r="V622" s="29">
        <f>SUM(BaseHoras[[#This Row],[Jul/2019]:[Set/2019]])</f>
        <v>0</v>
      </c>
      <c r="W622" s="29">
        <f>SUM(BaseHoras[[#This Row],[Out/2019]:[Dez/2019]])</f>
        <v>12.66725237130645</v>
      </c>
    </row>
    <row r="623" spans="1:23">
      <c r="A623" t="s">
        <v>151</v>
      </c>
      <c r="B623" t="s">
        <v>168</v>
      </c>
      <c r="C623" t="s">
        <v>334</v>
      </c>
      <c r="D623" t="s">
        <v>82</v>
      </c>
      <c r="E623" t="s">
        <v>215</v>
      </c>
      <c r="F623">
        <v>0</v>
      </c>
      <c r="G623">
        <v>40.956594618149659</v>
      </c>
      <c r="H623">
        <v>44.319076340655926</v>
      </c>
      <c r="I623">
        <v>0</v>
      </c>
      <c r="J623">
        <v>0</v>
      </c>
      <c r="K623">
        <v>0</v>
      </c>
      <c r="L623">
        <v>0</v>
      </c>
      <c r="M623" s="28">
        <v>0</v>
      </c>
      <c r="N623" s="28">
        <v>0</v>
      </c>
      <c r="O623">
        <v>0</v>
      </c>
      <c r="P623">
        <v>0</v>
      </c>
      <c r="Q623">
        <v>0</v>
      </c>
      <c r="R623">
        <v>0</v>
      </c>
      <c r="S623" s="28">
        <v>85.275670958805591</v>
      </c>
      <c r="T623" s="29">
        <f>SUM(BaseHoras[[#This Row],[Jan/2019]:[Mar/2019]])</f>
        <v>85.275670958805591</v>
      </c>
      <c r="U623" s="29">
        <f>SUM(BaseHoras[[#This Row],[Abr/2019]:[Jun/2019]])</f>
        <v>0</v>
      </c>
      <c r="V623" s="29">
        <f>SUM(BaseHoras[[#This Row],[Jul/2019]:[Set/2019]])</f>
        <v>0</v>
      </c>
      <c r="W623" s="29">
        <f>SUM(BaseHoras[[#This Row],[Out/2019]:[Dez/2019]])</f>
        <v>0</v>
      </c>
    </row>
    <row r="624" spans="1:23">
      <c r="A624" t="s">
        <v>151</v>
      </c>
      <c r="B624" t="s">
        <v>168</v>
      </c>
      <c r="C624" t="s">
        <v>334</v>
      </c>
      <c r="D624" t="s">
        <v>90</v>
      </c>
      <c r="E624" t="s">
        <v>215</v>
      </c>
      <c r="F624">
        <v>1921.9300809111242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s="28">
        <v>0</v>
      </c>
      <c r="N624" s="28">
        <v>0</v>
      </c>
      <c r="O624">
        <v>0</v>
      </c>
      <c r="P624">
        <v>0</v>
      </c>
      <c r="Q624">
        <v>0</v>
      </c>
      <c r="R624">
        <v>0</v>
      </c>
      <c r="S624" s="28">
        <v>1921.9300809111242</v>
      </c>
      <c r="T624" s="29">
        <f>SUM(BaseHoras[[#This Row],[Jan/2019]:[Mar/2019]])</f>
        <v>1921.9300809111242</v>
      </c>
      <c r="U624" s="29">
        <f>SUM(BaseHoras[[#This Row],[Abr/2019]:[Jun/2019]])</f>
        <v>0</v>
      </c>
      <c r="V624" s="29">
        <f>SUM(BaseHoras[[#This Row],[Jul/2019]:[Set/2019]])</f>
        <v>0</v>
      </c>
      <c r="W624" s="29">
        <f>SUM(BaseHoras[[#This Row],[Out/2019]:[Dez/2019]])</f>
        <v>0</v>
      </c>
    </row>
    <row r="625" spans="1:23">
      <c r="A625" t="s">
        <v>151</v>
      </c>
      <c r="B625" t="s">
        <v>168</v>
      </c>
      <c r="C625" t="s">
        <v>334</v>
      </c>
      <c r="D625" t="s">
        <v>105</v>
      </c>
      <c r="E625" t="s">
        <v>215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12.118762971844745</v>
      </c>
      <c r="M625" s="28">
        <v>0</v>
      </c>
      <c r="N625" s="28">
        <v>0</v>
      </c>
      <c r="O625">
        <v>0</v>
      </c>
      <c r="P625">
        <v>0</v>
      </c>
      <c r="Q625">
        <v>0</v>
      </c>
      <c r="R625">
        <v>0</v>
      </c>
      <c r="S625" s="28">
        <v>12.118762971844745</v>
      </c>
      <c r="T625" s="29">
        <f>SUM(BaseHoras[[#This Row],[Jan/2019]:[Mar/2019]])</f>
        <v>0</v>
      </c>
      <c r="U625" s="29">
        <f>SUM(BaseHoras[[#This Row],[Abr/2019]:[Jun/2019]])</f>
        <v>0</v>
      </c>
      <c r="V625" s="29">
        <f>SUM(BaseHoras[[#This Row],[Jul/2019]:[Set/2019]])</f>
        <v>12.118762971844745</v>
      </c>
      <c r="W625" s="29">
        <f>SUM(BaseHoras[[#This Row],[Out/2019]:[Dez/2019]])</f>
        <v>0</v>
      </c>
    </row>
    <row r="626" spans="1:23">
      <c r="A626" t="s">
        <v>151</v>
      </c>
      <c r="B626" t="s">
        <v>168</v>
      </c>
      <c r="C626" t="s">
        <v>334</v>
      </c>
      <c r="D626" t="s">
        <v>107</v>
      </c>
      <c r="E626" t="s">
        <v>215</v>
      </c>
      <c r="F626">
        <v>0</v>
      </c>
      <c r="G626">
        <v>0</v>
      </c>
      <c r="H626">
        <v>0</v>
      </c>
      <c r="I626">
        <v>43.965402514548273</v>
      </c>
      <c r="J626">
        <v>0</v>
      </c>
      <c r="K626">
        <v>0</v>
      </c>
      <c r="L626">
        <v>0</v>
      </c>
      <c r="M626" s="28">
        <v>0</v>
      </c>
      <c r="N626" s="28">
        <v>0</v>
      </c>
      <c r="O626">
        <v>0</v>
      </c>
      <c r="P626">
        <v>0</v>
      </c>
      <c r="Q626">
        <v>0</v>
      </c>
      <c r="R626">
        <v>0</v>
      </c>
      <c r="S626" s="28">
        <v>43.965402514548273</v>
      </c>
      <c r="T626" s="29">
        <f>SUM(BaseHoras[[#This Row],[Jan/2019]:[Mar/2019]])</f>
        <v>0</v>
      </c>
      <c r="U626" s="29">
        <f>SUM(BaseHoras[[#This Row],[Abr/2019]:[Jun/2019]])</f>
        <v>43.965402514548273</v>
      </c>
      <c r="V626" s="29">
        <f>SUM(BaseHoras[[#This Row],[Jul/2019]:[Set/2019]])</f>
        <v>0</v>
      </c>
      <c r="W626" s="29">
        <f>SUM(BaseHoras[[#This Row],[Out/2019]:[Dez/2019]])</f>
        <v>0</v>
      </c>
    </row>
    <row r="627" spans="1:23">
      <c r="A627" t="s">
        <v>151</v>
      </c>
      <c r="B627" t="s">
        <v>168</v>
      </c>
      <c r="C627" t="s">
        <v>335</v>
      </c>
      <c r="D627" t="s">
        <v>19</v>
      </c>
      <c r="E627" t="s">
        <v>215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s="28">
        <v>57.990334275592147</v>
      </c>
      <c r="N627" s="28">
        <v>0</v>
      </c>
      <c r="O627">
        <v>0</v>
      </c>
      <c r="P627">
        <v>9.2763843150919243</v>
      </c>
      <c r="Q627">
        <v>30.893864503275761</v>
      </c>
      <c r="R627">
        <v>0</v>
      </c>
      <c r="S627" s="28">
        <v>98.160583093959829</v>
      </c>
      <c r="T627" s="29">
        <f>SUM(BaseHoras[[#This Row],[Jan/2019]:[Mar/2019]])</f>
        <v>0</v>
      </c>
      <c r="U627" s="29">
        <f>SUM(BaseHoras[[#This Row],[Abr/2019]:[Jun/2019]])</f>
        <v>0</v>
      </c>
      <c r="V627" s="29">
        <f>SUM(BaseHoras[[#This Row],[Jul/2019]:[Set/2019]])</f>
        <v>57.990334275592147</v>
      </c>
      <c r="W627" s="29">
        <f>SUM(BaseHoras[[#This Row],[Out/2019]:[Dez/2019]])</f>
        <v>40.170248818367682</v>
      </c>
    </row>
    <row r="628" spans="1:23">
      <c r="A628" t="s">
        <v>151</v>
      </c>
      <c r="B628" t="s">
        <v>168</v>
      </c>
      <c r="C628" t="s">
        <v>335</v>
      </c>
      <c r="D628" t="s">
        <v>29</v>
      </c>
      <c r="E628" t="s">
        <v>215</v>
      </c>
      <c r="F628">
        <v>0</v>
      </c>
      <c r="G628">
        <v>0</v>
      </c>
      <c r="H628">
        <v>73.330437335262616</v>
      </c>
      <c r="I628">
        <v>0</v>
      </c>
      <c r="J628">
        <v>0</v>
      </c>
      <c r="K628">
        <v>0</v>
      </c>
      <c r="L628">
        <v>0</v>
      </c>
      <c r="M628" s="28">
        <v>0</v>
      </c>
      <c r="N628" s="28">
        <v>0</v>
      </c>
      <c r="O628">
        <v>0</v>
      </c>
      <c r="P628">
        <v>0</v>
      </c>
      <c r="Q628">
        <v>0</v>
      </c>
      <c r="R628">
        <v>0</v>
      </c>
      <c r="S628" s="28">
        <v>73.330437335262616</v>
      </c>
      <c r="T628" s="29">
        <f>SUM(BaseHoras[[#This Row],[Jan/2019]:[Mar/2019]])</f>
        <v>73.330437335262616</v>
      </c>
      <c r="U628" s="29">
        <f>SUM(BaseHoras[[#This Row],[Abr/2019]:[Jun/2019]])</f>
        <v>0</v>
      </c>
      <c r="V628" s="29">
        <f>SUM(BaseHoras[[#This Row],[Jul/2019]:[Set/2019]])</f>
        <v>0</v>
      </c>
      <c r="W628" s="29">
        <f>SUM(BaseHoras[[#This Row],[Out/2019]:[Dez/2019]])</f>
        <v>0</v>
      </c>
    </row>
    <row r="629" spans="1:23">
      <c r="A629" t="s">
        <v>151</v>
      </c>
      <c r="B629" t="s">
        <v>168</v>
      </c>
      <c r="C629" t="s">
        <v>335</v>
      </c>
      <c r="D629" t="s">
        <v>30</v>
      </c>
      <c r="E629" t="s">
        <v>215</v>
      </c>
      <c r="F629">
        <v>0</v>
      </c>
      <c r="G629">
        <v>412.81435020378854</v>
      </c>
      <c r="H629">
        <v>102.53942864274141</v>
      </c>
      <c r="I629">
        <v>1494.5092194668637</v>
      </c>
      <c r="J629">
        <v>17.727470116575805</v>
      </c>
      <c r="K629">
        <v>311.26901515578243</v>
      </c>
      <c r="L629">
        <v>147.52315361899403</v>
      </c>
      <c r="M629" s="28">
        <v>15.91114241034888</v>
      </c>
      <c r="N629" s="28">
        <v>146.09601786338371</v>
      </c>
      <c r="O629">
        <v>0</v>
      </c>
      <c r="P629">
        <v>0</v>
      </c>
      <c r="Q629">
        <v>0</v>
      </c>
      <c r="R629">
        <v>0</v>
      </c>
      <c r="S629" s="28">
        <v>2648.3897974784786</v>
      </c>
      <c r="T629" s="29">
        <f>SUM(BaseHoras[[#This Row],[Jan/2019]:[Mar/2019]])</f>
        <v>515.35377884652996</v>
      </c>
      <c r="U629" s="29">
        <f>SUM(BaseHoras[[#This Row],[Abr/2019]:[Jun/2019]])</f>
        <v>1823.505704739222</v>
      </c>
      <c r="V629" s="29">
        <f>SUM(BaseHoras[[#This Row],[Jul/2019]:[Set/2019]])</f>
        <v>309.53031389272661</v>
      </c>
      <c r="W629" s="29">
        <f>SUM(BaseHoras[[#This Row],[Out/2019]:[Dez/2019]])</f>
        <v>0</v>
      </c>
    </row>
    <row r="630" spans="1:23">
      <c r="A630" t="s">
        <v>151</v>
      </c>
      <c r="B630" t="s">
        <v>168</v>
      </c>
      <c r="C630" t="s">
        <v>335</v>
      </c>
      <c r="D630" t="s">
        <v>36</v>
      </c>
      <c r="E630" t="s">
        <v>215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s="28">
        <v>0</v>
      </c>
      <c r="N630" s="28">
        <v>13.032334764946604</v>
      </c>
      <c r="O630">
        <v>101.0747326107047</v>
      </c>
      <c r="P630">
        <v>0</v>
      </c>
      <c r="Q630">
        <v>0</v>
      </c>
      <c r="R630">
        <v>0</v>
      </c>
      <c r="S630" s="28">
        <v>114.1070673756513</v>
      </c>
      <c r="T630" s="29">
        <f>SUM(BaseHoras[[#This Row],[Jan/2019]:[Mar/2019]])</f>
        <v>0</v>
      </c>
      <c r="U630" s="29">
        <f>SUM(BaseHoras[[#This Row],[Abr/2019]:[Jun/2019]])</f>
        <v>0</v>
      </c>
      <c r="V630" s="29">
        <f>SUM(BaseHoras[[#This Row],[Jul/2019]:[Set/2019]])</f>
        <v>13.032334764946604</v>
      </c>
      <c r="W630" s="29">
        <f>SUM(BaseHoras[[#This Row],[Out/2019]:[Dez/2019]])</f>
        <v>101.0747326107047</v>
      </c>
    </row>
    <row r="631" spans="1:23">
      <c r="A631" t="s">
        <v>151</v>
      </c>
      <c r="B631" t="s">
        <v>168</v>
      </c>
      <c r="C631" t="s">
        <v>335</v>
      </c>
      <c r="D631" t="s">
        <v>40</v>
      </c>
      <c r="E631" t="s">
        <v>215</v>
      </c>
      <c r="F631">
        <v>9.0258201888163363</v>
      </c>
      <c r="G631">
        <v>0</v>
      </c>
      <c r="H631">
        <v>0</v>
      </c>
      <c r="I631">
        <v>16.402162010229141</v>
      </c>
      <c r="J631">
        <v>38.41347278509555</v>
      </c>
      <c r="K631">
        <v>2.7626145038054792</v>
      </c>
      <c r="L631">
        <v>11.246681221970675</v>
      </c>
      <c r="M631" s="28">
        <v>69.232704938021485</v>
      </c>
      <c r="N631" s="28">
        <v>10.008268829656302</v>
      </c>
      <c r="O631">
        <v>7.1411120417684462</v>
      </c>
      <c r="P631">
        <v>0</v>
      </c>
      <c r="Q631">
        <v>0</v>
      </c>
      <c r="R631">
        <v>0</v>
      </c>
      <c r="S631" s="28">
        <v>164.23283651936339</v>
      </c>
      <c r="T631" s="29">
        <f>SUM(BaseHoras[[#This Row],[Jan/2019]:[Mar/2019]])</f>
        <v>9.0258201888163363</v>
      </c>
      <c r="U631" s="29">
        <f>SUM(BaseHoras[[#This Row],[Abr/2019]:[Jun/2019]])</f>
        <v>57.578249299130171</v>
      </c>
      <c r="V631" s="29">
        <f>SUM(BaseHoras[[#This Row],[Jul/2019]:[Set/2019]])</f>
        <v>90.487654989648462</v>
      </c>
      <c r="W631" s="29">
        <f>SUM(BaseHoras[[#This Row],[Out/2019]:[Dez/2019]])</f>
        <v>7.1411120417684462</v>
      </c>
    </row>
    <row r="632" spans="1:23">
      <c r="A632" t="s">
        <v>151</v>
      </c>
      <c r="B632" t="s">
        <v>168</v>
      </c>
      <c r="C632" t="s">
        <v>335</v>
      </c>
      <c r="D632" t="s">
        <v>60</v>
      </c>
      <c r="E632" t="s">
        <v>215</v>
      </c>
      <c r="F632">
        <v>3223.6789885027188</v>
      </c>
      <c r="G632">
        <v>319.62144423389765</v>
      </c>
      <c r="H632">
        <v>60.473700745262079</v>
      </c>
      <c r="I632">
        <v>492.95647999022174</v>
      </c>
      <c r="J632">
        <v>308.62434531742161</v>
      </c>
      <c r="K632">
        <v>75.840986873303478</v>
      </c>
      <c r="L632">
        <v>220.51304834565011</v>
      </c>
      <c r="M632" s="28">
        <v>0</v>
      </c>
      <c r="N632" s="28">
        <v>0</v>
      </c>
      <c r="O632">
        <v>0</v>
      </c>
      <c r="P632">
        <v>0</v>
      </c>
      <c r="Q632">
        <v>0</v>
      </c>
      <c r="R632">
        <v>0</v>
      </c>
      <c r="S632" s="28">
        <v>4701.7089940084761</v>
      </c>
      <c r="T632" s="29">
        <f>SUM(BaseHoras[[#This Row],[Jan/2019]:[Mar/2019]])</f>
        <v>3603.7741334818788</v>
      </c>
      <c r="U632" s="29">
        <f>SUM(BaseHoras[[#This Row],[Abr/2019]:[Jun/2019]])</f>
        <v>877.42181218094686</v>
      </c>
      <c r="V632" s="29">
        <f>SUM(BaseHoras[[#This Row],[Jul/2019]:[Set/2019]])</f>
        <v>220.51304834565011</v>
      </c>
      <c r="W632" s="29">
        <f>SUM(BaseHoras[[#This Row],[Out/2019]:[Dez/2019]])</f>
        <v>0</v>
      </c>
    </row>
    <row r="633" spans="1:23">
      <c r="A633" t="s">
        <v>151</v>
      </c>
      <c r="B633" t="s">
        <v>168</v>
      </c>
      <c r="C633" t="s">
        <v>335</v>
      </c>
      <c r="D633" t="s">
        <v>70</v>
      </c>
      <c r="E633" t="s">
        <v>215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22.539571007491919</v>
      </c>
      <c r="L633">
        <v>0</v>
      </c>
      <c r="M633" s="28">
        <v>0</v>
      </c>
      <c r="N633" s="28">
        <v>0</v>
      </c>
      <c r="O633">
        <v>0</v>
      </c>
      <c r="P633">
        <v>0</v>
      </c>
      <c r="Q633">
        <v>0</v>
      </c>
      <c r="R633">
        <v>0</v>
      </c>
      <c r="S633" s="28">
        <v>22.539571007491919</v>
      </c>
      <c r="T633" s="29">
        <f>SUM(BaseHoras[[#This Row],[Jan/2019]:[Mar/2019]])</f>
        <v>0</v>
      </c>
      <c r="U633" s="29">
        <f>SUM(BaseHoras[[#This Row],[Abr/2019]:[Jun/2019]])</f>
        <v>22.539571007491919</v>
      </c>
      <c r="V633" s="29">
        <f>SUM(BaseHoras[[#This Row],[Jul/2019]:[Set/2019]])</f>
        <v>0</v>
      </c>
      <c r="W633" s="29">
        <f>SUM(BaseHoras[[#This Row],[Out/2019]:[Dez/2019]])</f>
        <v>0</v>
      </c>
    </row>
    <row r="634" spans="1:23">
      <c r="A634" t="s">
        <v>151</v>
      </c>
      <c r="B634" t="s">
        <v>168</v>
      </c>
      <c r="C634" t="s">
        <v>335</v>
      </c>
      <c r="D634" t="s">
        <v>81</v>
      </c>
      <c r="E634" t="s">
        <v>215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s="28">
        <v>7.6375160798529587</v>
      </c>
      <c r="N634" s="28">
        <v>3.5153606812281684</v>
      </c>
      <c r="O634">
        <v>0</v>
      </c>
      <c r="P634">
        <v>0</v>
      </c>
      <c r="Q634">
        <v>0</v>
      </c>
      <c r="R634">
        <v>0</v>
      </c>
      <c r="S634" s="28">
        <v>11.152876761081128</v>
      </c>
      <c r="T634" s="29">
        <f>SUM(BaseHoras[[#This Row],[Jan/2019]:[Mar/2019]])</f>
        <v>0</v>
      </c>
      <c r="U634" s="29">
        <f>SUM(BaseHoras[[#This Row],[Abr/2019]:[Jun/2019]])</f>
        <v>0</v>
      </c>
      <c r="V634" s="29">
        <f>SUM(BaseHoras[[#This Row],[Jul/2019]:[Set/2019]])</f>
        <v>11.152876761081128</v>
      </c>
      <c r="W634" s="29">
        <f>SUM(BaseHoras[[#This Row],[Out/2019]:[Dez/2019]])</f>
        <v>0</v>
      </c>
    </row>
    <row r="635" spans="1:23">
      <c r="A635" t="s">
        <v>151</v>
      </c>
      <c r="B635" t="s">
        <v>168</v>
      </c>
      <c r="C635" t="s">
        <v>335</v>
      </c>
      <c r="D635" t="s">
        <v>87</v>
      </c>
      <c r="E635" t="s">
        <v>215</v>
      </c>
      <c r="F635">
        <v>643.01109660159875</v>
      </c>
      <c r="G635">
        <v>114.72743129367102</v>
      </c>
      <c r="H635">
        <v>0</v>
      </c>
      <c r="I635">
        <v>0</v>
      </c>
      <c r="J635">
        <v>0</v>
      </c>
      <c r="K635">
        <v>0</v>
      </c>
      <c r="L635">
        <v>0</v>
      </c>
      <c r="M635" s="28">
        <v>0</v>
      </c>
      <c r="N635" s="28">
        <v>0</v>
      </c>
      <c r="O635">
        <v>0</v>
      </c>
      <c r="P635">
        <v>0</v>
      </c>
      <c r="Q635">
        <v>0</v>
      </c>
      <c r="R635">
        <v>0</v>
      </c>
      <c r="S635" s="28">
        <v>757.73852789526973</v>
      </c>
      <c r="T635" s="29">
        <f>SUM(BaseHoras[[#This Row],[Jan/2019]:[Mar/2019]])</f>
        <v>757.73852789526973</v>
      </c>
      <c r="U635" s="29">
        <f>SUM(BaseHoras[[#This Row],[Abr/2019]:[Jun/2019]])</f>
        <v>0</v>
      </c>
      <c r="V635" s="29">
        <f>SUM(BaseHoras[[#This Row],[Jul/2019]:[Set/2019]])</f>
        <v>0</v>
      </c>
      <c r="W635" s="29">
        <f>SUM(BaseHoras[[#This Row],[Out/2019]:[Dez/2019]])</f>
        <v>0</v>
      </c>
    </row>
    <row r="636" spans="1:23">
      <c r="A636" t="s">
        <v>151</v>
      </c>
      <c r="B636" t="s">
        <v>168</v>
      </c>
      <c r="C636" t="s">
        <v>335</v>
      </c>
      <c r="D636" t="s">
        <v>93</v>
      </c>
      <c r="E636" t="s">
        <v>215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s="28">
        <v>0</v>
      </c>
      <c r="N636" s="28">
        <v>0</v>
      </c>
      <c r="O636">
        <v>0</v>
      </c>
      <c r="P636">
        <v>0</v>
      </c>
      <c r="Q636">
        <v>112.82930326312906</v>
      </c>
      <c r="R636">
        <v>0</v>
      </c>
      <c r="S636" s="28">
        <v>112.82930326312906</v>
      </c>
      <c r="T636" s="29">
        <f>SUM(BaseHoras[[#This Row],[Jan/2019]:[Mar/2019]])</f>
        <v>0</v>
      </c>
      <c r="U636" s="29">
        <f>SUM(BaseHoras[[#This Row],[Abr/2019]:[Jun/2019]])</f>
        <v>0</v>
      </c>
      <c r="V636" s="29">
        <f>SUM(BaseHoras[[#This Row],[Jul/2019]:[Set/2019]])</f>
        <v>0</v>
      </c>
      <c r="W636" s="29">
        <f>SUM(BaseHoras[[#This Row],[Out/2019]:[Dez/2019]])</f>
        <v>112.82930326312906</v>
      </c>
    </row>
    <row r="637" spans="1:23">
      <c r="A637" t="s">
        <v>151</v>
      </c>
      <c r="B637" t="s">
        <v>168</v>
      </c>
      <c r="C637" t="s">
        <v>335</v>
      </c>
      <c r="D637" t="s">
        <v>95</v>
      </c>
      <c r="E637" t="s">
        <v>215</v>
      </c>
      <c r="F637">
        <v>0</v>
      </c>
      <c r="G637">
        <v>997.63204228470386</v>
      </c>
      <c r="H637">
        <v>0</v>
      </c>
      <c r="I637">
        <v>0</v>
      </c>
      <c r="J637">
        <v>0</v>
      </c>
      <c r="K637">
        <v>0</v>
      </c>
      <c r="L637">
        <v>0</v>
      </c>
      <c r="M637" s="28">
        <v>0</v>
      </c>
      <c r="N637" s="28">
        <v>0</v>
      </c>
      <c r="O637">
        <v>0</v>
      </c>
      <c r="P637">
        <v>0</v>
      </c>
      <c r="Q637">
        <v>0</v>
      </c>
      <c r="R637">
        <v>0</v>
      </c>
      <c r="S637" s="28">
        <v>997.63204228470386</v>
      </c>
      <c r="T637" s="29">
        <f>SUM(BaseHoras[[#This Row],[Jan/2019]:[Mar/2019]])</f>
        <v>997.63204228470386</v>
      </c>
      <c r="U637" s="29">
        <f>SUM(BaseHoras[[#This Row],[Abr/2019]:[Jun/2019]])</f>
        <v>0</v>
      </c>
      <c r="V637" s="29">
        <f>SUM(BaseHoras[[#This Row],[Jul/2019]:[Set/2019]])</f>
        <v>0</v>
      </c>
      <c r="W637" s="29">
        <f>SUM(BaseHoras[[#This Row],[Out/2019]:[Dez/2019]])</f>
        <v>0</v>
      </c>
    </row>
    <row r="638" spans="1:23">
      <c r="A638" t="s">
        <v>151</v>
      </c>
      <c r="B638" t="s">
        <v>168</v>
      </c>
      <c r="C638" t="s">
        <v>335</v>
      </c>
      <c r="D638" t="s">
        <v>98</v>
      </c>
      <c r="E638" t="s">
        <v>215</v>
      </c>
      <c r="F638">
        <v>34.699795550514423</v>
      </c>
      <c r="G638">
        <v>437.60140523483346</v>
      </c>
      <c r="H638">
        <v>0</v>
      </c>
      <c r="I638">
        <v>0</v>
      </c>
      <c r="J638">
        <v>0</v>
      </c>
      <c r="K638">
        <v>0</v>
      </c>
      <c r="L638">
        <v>0</v>
      </c>
      <c r="M638" s="28">
        <v>0</v>
      </c>
      <c r="N638" s="28">
        <v>0</v>
      </c>
      <c r="O638">
        <v>0</v>
      </c>
      <c r="P638">
        <v>0</v>
      </c>
      <c r="Q638">
        <v>0</v>
      </c>
      <c r="R638">
        <v>0</v>
      </c>
      <c r="S638" s="28">
        <v>472.30120078534787</v>
      </c>
      <c r="T638" s="29">
        <f>SUM(BaseHoras[[#This Row],[Jan/2019]:[Mar/2019]])</f>
        <v>472.30120078534787</v>
      </c>
      <c r="U638" s="29">
        <f>SUM(BaseHoras[[#This Row],[Abr/2019]:[Jun/2019]])</f>
        <v>0</v>
      </c>
      <c r="V638" s="29">
        <f>SUM(BaseHoras[[#This Row],[Jul/2019]:[Set/2019]])</f>
        <v>0</v>
      </c>
      <c r="W638" s="29">
        <f>SUM(BaseHoras[[#This Row],[Out/2019]:[Dez/2019]])</f>
        <v>0</v>
      </c>
    </row>
    <row r="639" spans="1:23">
      <c r="A639" t="s">
        <v>151</v>
      </c>
      <c r="B639" t="s">
        <v>168</v>
      </c>
      <c r="C639" t="s">
        <v>335</v>
      </c>
      <c r="D639" t="s">
        <v>102</v>
      </c>
      <c r="E639" t="s">
        <v>215</v>
      </c>
      <c r="F639">
        <v>5.4971361179428326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s="28">
        <v>0</v>
      </c>
      <c r="N639" s="28">
        <v>0</v>
      </c>
      <c r="O639">
        <v>0</v>
      </c>
      <c r="P639">
        <v>0</v>
      </c>
      <c r="Q639">
        <v>0</v>
      </c>
      <c r="R639">
        <v>0</v>
      </c>
      <c r="S639" s="28">
        <v>5.4971361179428326</v>
      </c>
      <c r="T639" s="29">
        <f>SUM(BaseHoras[[#This Row],[Jan/2019]:[Mar/2019]])</f>
        <v>5.4971361179428326</v>
      </c>
      <c r="U639" s="29">
        <f>SUM(BaseHoras[[#This Row],[Abr/2019]:[Jun/2019]])</f>
        <v>0</v>
      </c>
      <c r="V639" s="29">
        <f>SUM(BaseHoras[[#This Row],[Jul/2019]:[Set/2019]])</f>
        <v>0</v>
      </c>
      <c r="W639" s="29">
        <f>SUM(BaseHoras[[#This Row],[Out/2019]:[Dez/2019]])</f>
        <v>0</v>
      </c>
    </row>
    <row r="640" spans="1:23">
      <c r="A640" t="s">
        <v>151</v>
      </c>
      <c r="B640" t="s">
        <v>168</v>
      </c>
      <c r="C640" t="s">
        <v>335</v>
      </c>
      <c r="D640" t="s">
        <v>105</v>
      </c>
      <c r="E640" t="s">
        <v>215</v>
      </c>
      <c r="F640">
        <v>52.582128697847175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s="28">
        <v>0</v>
      </c>
      <c r="N640" s="28">
        <v>0</v>
      </c>
      <c r="O640">
        <v>0</v>
      </c>
      <c r="P640">
        <v>0</v>
      </c>
      <c r="Q640">
        <v>0</v>
      </c>
      <c r="R640">
        <v>0</v>
      </c>
      <c r="S640" s="28">
        <v>52.582128697847175</v>
      </c>
      <c r="T640" s="29">
        <f>SUM(BaseHoras[[#This Row],[Jan/2019]:[Mar/2019]])</f>
        <v>52.582128697847175</v>
      </c>
      <c r="U640" s="29">
        <f>SUM(BaseHoras[[#This Row],[Abr/2019]:[Jun/2019]])</f>
        <v>0</v>
      </c>
      <c r="V640" s="29">
        <f>SUM(BaseHoras[[#This Row],[Jul/2019]:[Set/2019]])</f>
        <v>0</v>
      </c>
      <c r="W640" s="29">
        <f>SUM(BaseHoras[[#This Row],[Out/2019]:[Dez/2019]])</f>
        <v>0</v>
      </c>
    </row>
    <row r="641" spans="1:23">
      <c r="A641" t="s">
        <v>151</v>
      </c>
      <c r="B641" t="s">
        <v>168</v>
      </c>
      <c r="C641" t="s">
        <v>335</v>
      </c>
      <c r="D641" t="s">
        <v>106</v>
      </c>
      <c r="E641" t="s">
        <v>215</v>
      </c>
      <c r="F641">
        <v>46.353424512369592</v>
      </c>
      <c r="G641">
        <v>50.77912435547141</v>
      </c>
      <c r="H641">
        <v>60.521560625946023</v>
      </c>
      <c r="I641">
        <v>89.397383590068898</v>
      </c>
      <c r="J641">
        <v>0</v>
      </c>
      <c r="K641">
        <v>0</v>
      </c>
      <c r="L641">
        <v>0</v>
      </c>
      <c r="M641" s="28">
        <v>0</v>
      </c>
      <c r="N641" s="28">
        <v>0</v>
      </c>
      <c r="O641">
        <v>0</v>
      </c>
      <c r="P641">
        <v>0</v>
      </c>
      <c r="Q641">
        <v>0</v>
      </c>
      <c r="R641">
        <v>0</v>
      </c>
      <c r="S641" s="28">
        <v>247.05149308385592</v>
      </c>
      <c r="T641" s="29">
        <f>SUM(BaseHoras[[#This Row],[Jan/2019]:[Mar/2019]])</f>
        <v>157.65410949378702</v>
      </c>
      <c r="U641" s="29">
        <f>SUM(BaseHoras[[#This Row],[Abr/2019]:[Jun/2019]])</f>
        <v>89.397383590068898</v>
      </c>
      <c r="V641" s="29">
        <f>SUM(BaseHoras[[#This Row],[Jul/2019]:[Set/2019]])</f>
        <v>0</v>
      </c>
      <c r="W641" s="29">
        <f>SUM(BaseHoras[[#This Row],[Out/2019]:[Dez/2019]])</f>
        <v>0</v>
      </c>
    </row>
    <row r="642" spans="1:23">
      <c r="A642" t="s">
        <v>151</v>
      </c>
      <c r="B642" t="s">
        <v>168</v>
      </c>
      <c r="C642" t="s">
        <v>335</v>
      </c>
      <c r="D642" t="s">
        <v>116</v>
      </c>
      <c r="E642" t="s">
        <v>215</v>
      </c>
      <c r="F642">
        <v>0</v>
      </c>
      <c r="G642">
        <v>6.0730469983180297</v>
      </c>
      <c r="H642">
        <v>0</v>
      </c>
      <c r="I642">
        <v>0</v>
      </c>
      <c r="J642">
        <v>0</v>
      </c>
      <c r="K642">
        <v>0</v>
      </c>
      <c r="L642">
        <v>0</v>
      </c>
      <c r="M642" s="28">
        <v>0</v>
      </c>
      <c r="N642" s="28">
        <v>0</v>
      </c>
      <c r="O642">
        <v>0</v>
      </c>
      <c r="P642">
        <v>0</v>
      </c>
      <c r="Q642">
        <v>0</v>
      </c>
      <c r="R642">
        <v>0</v>
      </c>
      <c r="S642" s="28">
        <v>6.0730469983180297</v>
      </c>
      <c r="T642" s="29">
        <f>SUM(BaseHoras[[#This Row],[Jan/2019]:[Mar/2019]])</f>
        <v>6.0730469983180297</v>
      </c>
      <c r="U642" s="29">
        <f>SUM(BaseHoras[[#This Row],[Abr/2019]:[Jun/2019]])</f>
        <v>0</v>
      </c>
      <c r="V642" s="29">
        <f>SUM(BaseHoras[[#This Row],[Jul/2019]:[Set/2019]])</f>
        <v>0</v>
      </c>
      <c r="W642" s="29">
        <f>SUM(BaseHoras[[#This Row],[Out/2019]:[Dez/2019]])</f>
        <v>0</v>
      </c>
    </row>
    <row r="643" spans="1:23">
      <c r="A643" t="s">
        <v>151</v>
      </c>
      <c r="B643" t="s">
        <v>168</v>
      </c>
      <c r="C643" t="s">
        <v>335</v>
      </c>
      <c r="D643" t="s">
        <v>118</v>
      </c>
      <c r="E643" t="s">
        <v>215</v>
      </c>
      <c r="F643">
        <v>28.036379728238526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84.547403467157991</v>
      </c>
      <c r="M643" s="28">
        <v>0</v>
      </c>
      <c r="N643" s="28">
        <v>0</v>
      </c>
      <c r="O643">
        <v>0</v>
      </c>
      <c r="P643">
        <v>0</v>
      </c>
      <c r="Q643">
        <v>0</v>
      </c>
      <c r="R643">
        <v>0</v>
      </c>
      <c r="S643" s="28">
        <v>112.58378319539652</v>
      </c>
      <c r="T643" s="29">
        <f>SUM(BaseHoras[[#This Row],[Jan/2019]:[Mar/2019]])</f>
        <v>28.036379728238526</v>
      </c>
      <c r="U643" s="29">
        <f>SUM(BaseHoras[[#This Row],[Abr/2019]:[Jun/2019]])</f>
        <v>0</v>
      </c>
      <c r="V643" s="29">
        <f>SUM(BaseHoras[[#This Row],[Jul/2019]:[Set/2019]])</f>
        <v>84.547403467157991</v>
      </c>
      <c r="W643" s="29">
        <f>SUM(BaseHoras[[#This Row],[Out/2019]:[Dez/2019]])</f>
        <v>0</v>
      </c>
    </row>
    <row r="644" spans="1:23">
      <c r="A644" t="s">
        <v>151</v>
      </c>
      <c r="B644" t="s">
        <v>168</v>
      </c>
      <c r="C644" t="s">
        <v>335</v>
      </c>
      <c r="D644" t="s">
        <v>121</v>
      </c>
      <c r="E644" t="s">
        <v>215</v>
      </c>
      <c r="F644">
        <v>0</v>
      </c>
      <c r="G644">
        <v>0</v>
      </c>
      <c r="H644">
        <v>91.713713276819306</v>
      </c>
      <c r="I644">
        <v>0</v>
      </c>
      <c r="J644">
        <v>0</v>
      </c>
      <c r="K644">
        <v>0</v>
      </c>
      <c r="L644">
        <v>0</v>
      </c>
      <c r="M644" s="28">
        <v>0</v>
      </c>
      <c r="N644" s="28">
        <v>0</v>
      </c>
      <c r="O644">
        <v>0</v>
      </c>
      <c r="P644">
        <v>0</v>
      </c>
      <c r="Q644">
        <v>0</v>
      </c>
      <c r="R644">
        <v>0</v>
      </c>
      <c r="S644" s="28">
        <v>91.713713276819306</v>
      </c>
      <c r="T644" s="29">
        <f>SUM(BaseHoras[[#This Row],[Jan/2019]:[Mar/2019]])</f>
        <v>91.713713276819306</v>
      </c>
      <c r="U644" s="29">
        <f>SUM(BaseHoras[[#This Row],[Abr/2019]:[Jun/2019]])</f>
        <v>0</v>
      </c>
      <c r="V644" s="29">
        <f>SUM(BaseHoras[[#This Row],[Jul/2019]:[Set/2019]])</f>
        <v>0</v>
      </c>
      <c r="W644" s="29">
        <f>SUM(BaseHoras[[#This Row],[Out/2019]:[Dez/2019]])</f>
        <v>0</v>
      </c>
    </row>
    <row r="645" spans="1:23">
      <c r="A645" t="s">
        <v>151</v>
      </c>
      <c r="B645" t="s">
        <v>168</v>
      </c>
      <c r="C645" t="s">
        <v>335</v>
      </c>
      <c r="D645" t="s">
        <v>128</v>
      </c>
      <c r="E645" t="s">
        <v>215</v>
      </c>
      <c r="F645">
        <v>57.536256633866628</v>
      </c>
      <c r="G645">
        <v>443.61695362383722</v>
      </c>
      <c r="H645">
        <v>0</v>
      </c>
      <c r="I645">
        <v>0</v>
      </c>
      <c r="J645">
        <v>0</v>
      </c>
      <c r="K645">
        <v>0</v>
      </c>
      <c r="L645">
        <v>0</v>
      </c>
      <c r="M645" s="28">
        <v>0</v>
      </c>
      <c r="N645" s="28">
        <v>0</v>
      </c>
      <c r="O645">
        <v>0</v>
      </c>
      <c r="P645">
        <v>0</v>
      </c>
      <c r="Q645">
        <v>0</v>
      </c>
      <c r="R645">
        <v>0</v>
      </c>
      <c r="S645" s="28">
        <v>501.15321025770385</v>
      </c>
      <c r="T645" s="29">
        <f>SUM(BaseHoras[[#This Row],[Jan/2019]:[Mar/2019]])</f>
        <v>501.15321025770385</v>
      </c>
      <c r="U645" s="29">
        <f>SUM(BaseHoras[[#This Row],[Abr/2019]:[Jun/2019]])</f>
        <v>0</v>
      </c>
      <c r="V645" s="29">
        <f>SUM(BaseHoras[[#This Row],[Jul/2019]:[Set/2019]])</f>
        <v>0</v>
      </c>
      <c r="W645" s="29">
        <f>SUM(BaseHoras[[#This Row],[Out/2019]:[Dez/2019]])</f>
        <v>0</v>
      </c>
    </row>
    <row r="646" spans="1:23">
      <c r="A646" t="s">
        <v>151</v>
      </c>
      <c r="B646" t="s">
        <v>168</v>
      </c>
      <c r="C646" t="s">
        <v>335</v>
      </c>
      <c r="D646" t="s">
        <v>136</v>
      </c>
      <c r="E646" t="s">
        <v>215</v>
      </c>
      <c r="F646">
        <v>0</v>
      </c>
      <c r="G646">
        <v>0</v>
      </c>
      <c r="H646">
        <v>2656.0159355471501</v>
      </c>
      <c r="I646">
        <v>343.62743759607008</v>
      </c>
      <c r="J646">
        <v>0</v>
      </c>
      <c r="K646">
        <v>0</v>
      </c>
      <c r="L646">
        <v>0</v>
      </c>
      <c r="M646" s="28">
        <v>2.116735355046564</v>
      </c>
      <c r="N646" s="28">
        <v>0</v>
      </c>
      <c r="O646">
        <v>0</v>
      </c>
      <c r="P646">
        <v>0</v>
      </c>
      <c r="Q646">
        <v>0</v>
      </c>
      <c r="R646">
        <v>0</v>
      </c>
      <c r="S646" s="28">
        <v>3001.7601084982671</v>
      </c>
      <c r="T646" s="29">
        <f>SUM(BaseHoras[[#This Row],[Jan/2019]:[Mar/2019]])</f>
        <v>2656.0159355471501</v>
      </c>
      <c r="U646" s="29">
        <f>SUM(BaseHoras[[#This Row],[Abr/2019]:[Jun/2019]])</f>
        <v>343.62743759607008</v>
      </c>
      <c r="V646" s="29">
        <f>SUM(BaseHoras[[#This Row],[Jul/2019]:[Set/2019]])</f>
        <v>2.116735355046564</v>
      </c>
      <c r="W646" s="29">
        <f>SUM(BaseHoras[[#This Row],[Out/2019]:[Dez/2019]])</f>
        <v>0</v>
      </c>
    </row>
    <row r="647" spans="1:23">
      <c r="A647" t="s">
        <v>151</v>
      </c>
      <c r="B647" t="s">
        <v>168</v>
      </c>
      <c r="C647" t="s">
        <v>335</v>
      </c>
      <c r="D647" t="s">
        <v>138</v>
      </c>
      <c r="E647" t="s">
        <v>215</v>
      </c>
      <c r="F647">
        <v>6640.163336851273</v>
      </c>
      <c r="G647">
        <v>281.92758200983423</v>
      </c>
      <c r="H647">
        <v>1502.963492733915</v>
      </c>
      <c r="I647">
        <v>12.757460457027415</v>
      </c>
      <c r="J647">
        <v>0</v>
      </c>
      <c r="K647">
        <v>0</v>
      </c>
      <c r="L647">
        <v>0</v>
      </c>
      <c r="M647" s="28">
        <v>0</v>
      </c>
      <c r="N647" s="28">
        <v>0</v>
      </c>
      <c r="O647">
        <v>0</v>
      </c>
      <c r="P647">
        <v>9.2298291664546728</v>
      </c>
      <c r="Q647">
        <v>0</v>
      </c>
      <c r="R647">
        <v>0</v>
      </c>
      <c r="S647" s="28">
        <v>8447.0417012185044</v>
      </c>
      <c r="T647" s="29">
        <f>SUM(BaseHoras[[#This Row],[Jan/2019]:[Mar/2019]])</f>
        <v>8425.0544115950233</v>
      </c>
      <c r="U647" s="29">
        <f>SUM(BaseHoras[[#This Row],[Abr/2019]:[Jun/2019]])</f>
        <v>12.757460457027415</v>
      </c>
      <c r="V647" s="29">
        <f>SUM(BaseHoras[[#This Row],[Jul/2019]:[Set/2019]])</f>
        <v>0</v>
      </c>
      <c r="W647" s="29">
        <f>SUM(BaseHoras[[#This Row],[Out/2019]:[Dez/2019]])</f>
        <v>9.2298291664546728</v>
      </c>
    </row>
    <row r="648" spans="1:23">
      <c r="A648" t="s">
        <v>151</v>
      </c>
      <c r="B648" t="s">
        <v>168</v>
      </c>
      <c r="C648" t="s">
        <v>335</v>
      </c>
      <c r="D648" t="s">
        <v>144</v>
      </c>
      <c r="E648" t="s">
        <v>215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s="28">
        <v>8.3404626173269065</v>
      </c>
      <c r="N648" s="28">
        <v>0</v>
      </c>
      <c r="O648">
        <v>0</v>
      </c>
      <c r="P648">
        <v>0</v>
      </c>
      <c r="Q648">
        <v>0</v>
      </c>
      <c r="R648">
        <v>0</v>
      </c>
      <c r="S648" s="28">
        <v>8.3404626173269065</v>
      </c>
      <c r="T648" s="29">
        <f>SUM(BaseHoras[[#This Row],[Jan/2019]:[Mar/2019]])</f>
        <v>0</v>
      </c>
      <c r="U648" s="29">
        <f>SUM(BaseHoras[[#This Row],[Abr/2019]:[Jun/2019]])</f>
        <v>0</v>
      </c>
      <c r="V648" s="29">
        <f>SUM(BaseHoras[[#This Row],[Jul/2019]:[Set/2019]])</f>
        <v>8.3404626173269065</v>
      </c>
      <c r="W648" s="29">
        <f>SUM(BaseHoras[[#This Row],[Out/2019]:[Dez/2019]])</f>
        <v>0</v>
      </c>
    </row>
    <row r="649" spans="1:23">
      <c r="A649" t="s">
        <v>151</v>
      </c>
      <c r="B649" t="s">
        <v>168</v>
      </c>
      <c r="C649" t="s">
        <v>335</v>
      </c>
      <c r="D649" t="s">
        <v>146</v>
      </c>
      <c r="E649" t="s">
        <v>215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s="28">
        <v>15.80284879660832</v>
      </c>
      <c r="N649" s="28">
        <v>16.252011756332863</v>
      </c>
      <c r="O649">
        <v>0</v>
      </c>
      <c r="P649">
        <v>0</v>
      </c>
      <c r="Q649">
        <v>0</v>
      </c>
      <c r="R649">
        <v>0</v>
      </c>
      <c r="S649" s="28">
        <v>32.054860552941179</v>
      </c>
      <c r="T649" s="29">
        <f>SUM(BaseHoras[[#This Row],[Jan/2019]:[Mar/2019]])</f>
        <v>0</v>
      </c>
      <c r="U649" s="29">
        <f>SUM(BaseHoras[[#This Row],[Abr/2019]:[Jun/2019]])</f>
        <v>0</v>
      </c>
      <c r="V649" s="29">
        <f>SUM(BaseHoras[[#This Row],[Jul/2019]:[Set/2019]])</f>
        <v>32.054860552941179</v>
      </c>
      <c r="W649" s="29">
        <f>SUM(BaseHoras[[#This Row],[Out/2019]:[Dez/2019]])</f>
        <v>0</v>
      </c>
    </row>
    <row r="650" spans="1:23">
      <c r="A650" t="s">
        <v>151</v>
      </c>
      <c r="B650" t="s">
        <v>168</v>
      </c>
      <c r="C650" t="s">
        <v>335</v>
      </c>
      <c r="D650" t="s">
        <v>149</v>
      </c>
      <c r="E650" t="s">
        <v>215</v>
      </c>
      <c r="F650">
        <v>4150.7750453085091</v>
      </c>
      <c r="G650">
        <v>272.39608056835959</v>
      </c>
      <c r="H650">
        <v>0</v>
      </c>
      <c r="I650">
        <v>0</v>
      </c>
      <c r="J650">
        <v>0</v>
      </c>
      <c r="K650">
        <v>0</v>
      </c>
      <c r="L650">
        <v>0</v>
      </c>
      <c r="M650" s="28">
        <v>0</v>
      </c>
      <c r="N650" s="28">
        <v>0</v>
      </c>
      <c r="O650">
        <v>0</v>
      </c>
      <c r="P650">
        <v>0</v>
      </c>
      <c r="Q650">
        <v>0</v>
      </c>
      <c r="R650">
        <v>0</v>
      </c>
      <c r="S650" s="28">
        <v>4423.1711258768682</v>
      </c>
      <c r="T650" s="29">
        <f>SUM(BaseHoras[[#This Row],[Jan/2019]:[Mar/2019]])</f>
        <v>4423.1711258768682</v>
      </c>
      <c r="U650" s="29">
        <f>SUM(BaseHoras[[#This Row],[Abr/2019]:[Jun/2019]])</f>
        <v>0</v>
      </c>
      <c r="V650" s="29">
        <f>SUM(BaseHoras[[#This Row],[Jul/2019]:[Set/2019]])</f>
        <v>0</v>
      </c>
      <c r="W650" s="29">
        <f>SUM(BaseHoras[[#This Row],[Out/2019]:[Dez/2019]])</f>
        <v>0</v>
      </c>
    </row>
    <row r="651" spans="1:23">
      <c r="A651" t="s">
        <v>151</v>
      </c>
      <c r="B651" t="s">
        <v>168</v>
      </c>
      <c r="C651" t="s">
        <v>336</v>
      </c>
      <c r="D651" t="s">
        <v>23</v>
      </c>
      <c r="E651" t="s">
        <v>203</v>
      </c>
      <c r="F651">
        <v>0</v>
      </c>
      <c r="G651">
        <v>0</v>
      </c>
      <c r="H651">
        <v>0</v>
      </c>
      <c r="I651">
        <v>1723.4255944041111</v>
      </c>
      <c r="J651">
        <v>0</v>
      </c>
      <c r="K651">
        <v>0</v>
      </c>
      <c r="L651">
        <v>0</v>
      </c>
      <c r="M651" s="28">
        <v>0</v>
      </c>
      <c r="N651" s="28">
        <v>0</v>
      </c>
      <c r="O651">
        <v>0</v>
      </c>
      <c r="P651">
        <v>0</v>
      </c>
      <c r="Q651">
        <v>0</v>
      </c>
      <c r="R651">
        <v>0</v>
      </c>
      <c r="S651" s="28">
        <v>1723.4255944041111</v>
      </c>
      <c r="T651" s="29">
        <f>SUM(BaseHoras[[#This Row],[Jan/2019]:[Mar/2019]])</f>
        <v>0</v>
      </c>
      <c r="U651" s="29">
        <f>SUM(BaseHoras[[#This Row],[Abr/2019]:[Jun/2019]])</f>
        <v>1723.4255944041111</v>
      </c>
      <c r="V651" s="29">
        <f>SUM(BaseHoras[[#This Row],[Jul/2019]:[Set/2019]])</f>
        <v>0</v>
      </c>
      <c r="W651" s="29">
        <f>SUM(BaseHoras[[#This Row],[Out/2019]:[Dez/2019]])</f>
        <v>0</v>
      </c>
    </row>
    <row r="652" spans="1:23">
      <c r="A652" t="s">
        <v>151</v>
      </c>
      <c r="B652" t="s">
        <v>168</v>
      </c>
      <c r="C652" t="s">
        <v>336</v>
      </c>
      <c r="D652" t="s">
        <v>82</v>
      </c>
      <c r="E652" t="s">
        <v>203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73.52550491991218</v>
      </c>
      <c r="L652">
        <v>0</v>
      </c>
      <c r="M652" s="28">
        <v>0</v>
      </c>
      <c r="N652" s="28">
        <v>0</v>
      </c>
      <c r="O652">
        <v>0</v>
      </c>
      <c r="P652">
        <v>0</v>
      </c>
      <c r="Q652">
        <v>0</v>
      </c>
      <c r="R652">
        <v>0</v>
      </c>
      <c r="S652" s="28">
        <v>73.52550491991218</v>
      </c>
      <c r="T652" s="29">
        <f>SUM(BaseHoras[[#This Row],[Jan/2019]:[Mar/2019]])</f>
        <v>0</v>
      </c>
      <c r="U652" s="29">
        <f>SUM(BaseHoras[[#This Row],[Abr/2019]:[Jun/2019]])</f>
        <v>73.52550491991218</v>
      </c>
      <c r="V652" s="29">
        <f>SUM(BaseHoras[[#This Row],[Jul/2019]:[Set/2019]])</f>
        <v>0</v>
      </c>
      <c r="W652" s="29">
        <f>SUM(BaseHoras[[#This Row],[Out/2019]:[Dez/2019]])</f>
        <v>0</v>
      </c>
    </row>
    <row r="653" spans="1:23">
      <c r="A653" t="s">
        <v>151</v>
      </c>
      <c r="B653" t="s">
        <v>168</v>
      </c>
      <c r="C653" t="s">
        <v>336</v>
      </c>
      <c r="D653" t="s">
        <v>123</v>
      </c>
      <c r="E653" t="s">
        <v>203</v>
      </c>
      <c r="F653">
        <v>0</v>
      </c>
      <c r="G653">
        <v>0</v>
      </c>
      <c r="H653">
        <v>0</v>
      </c>
      <c r="I653">
        <v>0</v>
      </c>
      <c r="J653">
        <v>1550.4578874586955</v>
      </c>
      <c r="K653">
        <v>249.34325701210722</v>
      </c>
      <c r="L653">
        <v>0</v>
      </c>
      <c r="M653" s="28">
        <v>0</v>
      </c>
      <c r="N653" s="28">
        <v>0</v>
      </c>
      <c r="O653">
        <v>0</v>
      </c>
      <c r="P653">
        <v>0</v>
      </c>
      <c r="Q653">
        <v>0</v>
      </c>
      <c r="R653">
        <v>0</v>
      </c>
      <c r="S653" s="28">
        <v>1799.8011444708027</v>
      </c>
      <c r="T653" s="29">
        <f>SUM(BaseHoras[[#This Row],[Jan/2019]:[Mar/2019]])</f>
        <v>0</v>
      </c>
      <c r="U653" s="29">
        <f>SUM(BaseHoras[[#This Row],[Abr/2019]:[Jun/2019]])</f>
        <v>1799.8011444708027</v>
      </c>
      <c r="V653" s="29">
        <f>SUM(BaseHoras[[#This Row],[Jul/2019]:[Set/2019]])</f>
        <v>0</v>
      </c>
      <c r="W653" s="29">
        <f>SUM(BaseHoras[[#This Row],[Out/2019]:[Dez/2019]])</f>
        <v>0</v>
      </c>
    </row>
    <row r="654" spans="1:23">
      <c r="A654" t="s">
        <v>151</v>
      </c>
      <c r="B654" t="s">
        <v>168</v>
      </c>
      <c r="C654" t="s">
        <v>336</v>
      </c>
      <c r="D654" t="s">
        <v>129</v>
      </c>
      <c r="E654" t="s">
        <v>203</v>
      </c>
      <c r="F654">
        <v>0</v>
      </c>
      <c r="G654">
        <v>7.36463562325127</v>
      </c>
      <c r="H654">
        <v>0</v>
      </c>
      <c r="I654">
        <v>0</v>
      </c>
      <c r="J654">
        <v>0</v>
      </c>
      <c r="K654">
        <v>11.224343584193045</v>
      </c>
      <c r="L654">
        <v>14.35869589556104</v>
      </c>
      <c r="M654" s="28">
        <v>0</v>
      </c>
      <c r="N654" s="28">
        <v>0</v>
      </c>
      <c r="O654">
        <v>0</v>
      </c>
      <c r="P654">
        <v>0</v>
      </c>
      <c r="Q654">
        <v>0</v>
      </c>
      <c r="R654">
        <v>0</v>
      </c>
      <c r="S654" s="28">
        <v>32.947675103005352</v>
      </c>
      <c r="T654" s="29">
        <f>SUM(BaseHoras[[#This Row],[Jan/2019]:[Mar/2019]])</f>
        <v>7.36463562325127</v>
      </c>
      <c r="U654" s="29">
        <f>SUM(BaseHoras[[#This Row],[Abr/2019]:[Jun/2019]])</f>
        <v>11.224343584193045</v>
      </c>
      <c r="V654" s="29">
        <f>SUM(BaseHoras[[#This Row],[Jul/2019]:[Set/2019]])</f>
        <v>14.35869589556104</v>
      </c>
      <c r="W654" s="29">
        <f>SUM(BaseHoras[[#This Row],[Out/2019]:[Dez/2019]])</f>
        <v>0</v>
      </c>
    </row>
    <row r="655" spans="1:23">
      <c r="A655" t="s">
        <v>151</v>
      </c>
      <c r="B655" t="s">
        <v>168</v>
      </c>
      <c r="C655" t="s">
        <v>336</v>
      </c>
      <c r="D655" t="s">
        <v>131</v>
      </c>
      <c r="E655" t="s">
        <v>203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s="28">
        <v>0</v>
      </c>
      <c r="N655" s="28">
        <v>6.8257687197338406</v>
      </c>
      <c r="O655">
        <v>0</v>
      </c>
      <c r="P655">
        <v>0</v>
      </c>
      <c r="Q655">
        <v>0</v>
      </c>
      <c r="R655">
        <v>0</v>
      </c>
      <c r="S655" s="28">
        <v>6.8257687197338406</v>
      </c>
      <c r="T655" s="29">
        <f>SUM(BaseHoras[[#This Row],[Jan/2019]:[Mar/2019]])</f>
        <v>0</v>
      </c>
      <c r="U655" s="29">
        <f>SUM(BaseHoras[[#This Row],[Abr/2019]:[Jun/2019]])</f>
        <v>0</v>
      </c>
      <c r="V655" s="29">
        <f>SUM(BaseHoras[[#This Row],[Jul/2019]:[Set/2019]])</f>
        <v>6.8257687197338406</v>
      </c>
      <c r="W655" s="29">
        <f>SUM(BaseHoras[[#This Row],[Out/2019]:[Dez/2019]])</f>
        <v>0</v>
      </c>
    </row>
    <row r="656" spans="1:23">
      <c r="A656" t="s">
        <v>151</v>
      </c>
      <c r="B656" t="s">
        <v>168</v>
      </c>
      <c r="C656" t="s">
        <v>337</v>
      </c>
      <c r="D656" t="s">
        <v>19</v>
      </c>
      <c r="E656" t="s">
        <v>215</v>
      </c>
      <c r="F656">
        <v>0</v>
      </c>
      <c r="G656">
        <v>84.819475049557511</v>
      </c>
      <c r="H656">
        <v>0</v>
      </c>
      <c r="I656">
        <v>0</v>
      </c>
      <c r="J656">
        <v>0</v>
      </c>
      <c r="K656">
        <v>0</v>
      </c>
      <c r="L656">
        <v>24.726161816345279</v>
      </c>
      <c r="M656" s="28">
        <v>17.622202162793354</v>
      </c>
      <c r="N656" s="28">
        <v>51.953386148062691</v>
      </c>
      <c r="O656">
        <v>11.307280457859077</v>
      </c>
      <c r="P656">
        <v>12.755373041859707</v>
      </c>
      <c r="Q656">
        <v>53.256919816275726</v>
      </c>
      <c r="R656">
        <v>0</v>
      </c>
      <c r="S656" s="28">
        <v>256.44079849275334</v>
      </c>
      <c r="T656" s="29">
        <f>SUM(BaseHoras[[#This Row],[Jan/2019]:[Mar/2019]])</f>
        <v>84.819475049557511</v>
      </c>
      <c r="U656" s="29">
        <f>SUM(BaseHoras[[#This Row],[Abr/2019]:[Jun/2019]])</f>
        <v>0</v>
      </c>
      <c r="V656" s="29">
        <f>SUM(BaseHoras[[#This Row],[Jul/2019]:[Set/2019]])</f>
        <v>94.301750127201331</v>
      </c>
      <c r="W656" s="29">
        <f>SUM(BaseHoras[[#This Row],[Out/2019]:[Dez/2019]])</f>
        <v>77.319573315994518</v>
      </c>
    </row>
    <row r="657" spans="1:23">
      <c r="A657" t="s">
        <v>151</v>
      </c>
      <c r="B657" t="s">
        <v>168</v>
      </c>
      <c r="C657" t="s">
        <v>337</v>
      </c>
      <c r="D657" t="s">
        <v>29</v>
      </c>
      <c r="E657" t="s">
        <v>215</v>
      </c>
      <c r="F657">
        <v>0</v>
      </c>
      <c r="G657">
        <v>27.039625809309577</v>
      </c>
      <c r="H657">
        <v>0</v>
      </c>
      <c r="I657">
        <v>0</v>
      </c>
      <c r="J657">
        <v>0</v>
      </c>
      <c r="K657">
        <v>1437.0817999944759</v>
      </c>
      <c r="L657">
        <v>174.24749109357808</v>
      </c>
      <c r="M657" s="28">
        <v>5955.2229059898946</v>
      </c>
      <c r="N657" s="28">
        <v>6672.1306999967837</v>
      </c>
      <c r="O657">
        <v>0</v>
      </c>
      <c r="P657">
        <v>0</v>
      </c>
      <c r="Q657">
        <v>0</v>
      </c>
      <c r="R657">
        <v>0</v>
      </c>
      <c r="S657" s="28">
        <v>14265.722522884042</v>
      </c>
      <c r="T657" s="29">
        <f>SUM(BaseHoras[[#This Row],[Jan/2019]:[Mar/2019]])</f>
        <v>27.039625809309577</v>
      </c>
      <c r="U657" s="29">
        <f>SUM(BaseHoras[[#This Row],[Abr/2019]:[Jun/2019]])</f>
        <v>1437.0817999944759</v>
      </c>
      <c r="V657" s="29">
        <f>SUM(BaseHoras[[#This Row],[Jul/2019]:[Set/2019]])</f>
        <v>12801.601097080256</v>
      </c>
      <c r="W657" s="29">
        <f>SUM(BaseHoras[[#This Row],[Out/2019]:[Dez/2019]])</f>
        <v>0</v>
      </c>
    </row>
    <row r="658" spans="1:23">
      <c r="A658" t="s">
        <v>151</v>
      </c>
      <c r="B658" t="s">
        <v>168</v>
      </c>
      <c r="C658" t="s">
        <v>337</v>
      </c>
      <c r="D658" t="s">
        <v>30</v>
      </c>
      <c r="E658" t="s">
        <v>215</v>
      </c>
      <c r="F658">
        <v>74.053618357227322</v>
      </c>
      <c r="G658">
        <v>37.602151864359875</v>
      </c>
      <c r="H658">
        <v>216.0974430581453</v>
      </c>
      <c r="I658">
        <v>0</v>
      </c>
      <c r="J658">
        <v>189.5453626611428</v>
      </c>
      <c r="K658">
        <v>6926.7102814726877</v>
      </c>
      <c r="L658">
        <v>0</v>
      </c>
      <c r="M658" s="28">
        <v>90.959656094894797</v>
      </c>
      <c r="N658" s="28">
        <v>0</v>
      </c>
      <c r="O658">
        <v>0</v>
      </c>
      <c r="P658">
        <v>0</v>
      </c>
      <c r="Q658">
        <v>0</v>
      </c>
      <c r="R658">
        <v>0</v>
      </c>
      <c r="S658" s="28">
        <v>7534.9685135084574</v>
      </c>
      <c r="T658" s="29">
        <f>SUM(BaseHoras[[#This Row],[Jan/2019]:[Mar/2019]])</f>
        <v>327.75321327973251</v>
      </c>
      <c r="U658" s="29">
        <f>SUM(BaseHoras[[#This Row],[Abr/2019]:[Jun/2019]])</f>
        <v>7116.2556441338302</v>
      </c>
      <c r="V658" s="29">
        <f>SUM(BaseHoras[[#This Row],[Jul/2019]:[Set/2019]])</f>
        <v>90.959656094894797</v>
      </c>
      <c r="W658" s="29">
        <f>SUM(BaseHoras[[#This Row],[Out/2019]:[Dez/2019]])</f>
        <v>0</v>
      </c>
    </row>
    <row r="659" spans="1:23">
      <c r="A659" t="s">
        <v>151</v>
      </c>
      <c r="B659" t="s">
        <v>168</v>
      </c>
      <c r="C659" t="s">
        <v>337</v>
      </c>
      <c r="D659" t="s">
        <v>35</v>
      </c>
      <c r="E659" t="s">
        <v>215</v>
      </c>
      <c r="F659">
        <v>392.70366242730387</v>
      </c>
      <c r="G659">
        <v>234.84600371173551</v>
      </c>
      <c r="H659">
        <v>581.81487309245313</v>
      </c>
      <c r="I659">
        <v>52.914425324894744</v>
      </c>
      <c r="J659">
        <v>0</v>
      </c>
      <c r="K659">
        <v>0</v>
      </c>
      <c r="L659">
        <v>16.758788153754089</v>
      </c>
      <c r="M659" s="28">
        <v>0</v>
      </c>
      <c r="N659" s="28">
        <v>0</v>
      </c>
      <c r="O659">
        <v>0</v>
      </c>
      <c r="P659">
        <v>0</v>
      </c>
      <c r="Q659">
        <v>0</v>
      </c>
      <c r="R659">
        <v>0</v>
      </c>
      <c r="S659" s="28">
        <v>1279.0377527101411</v>
      </c>
      <c r="T659" s="29">
        <f>SUM(BaseHoras[[#This Row],[Jan/2019]:[Mar/2019]])</f>
        <v>1209.3645392314925</v>
      </c>
      <c r="U659" s="29">
        <f>SUM(BaseHoras[[#This Row],[Abr/2019]:[Jun/2019]])</f>
        <v>52.914425324894744</v>
      </c>
      <c r="V659" s="29">
        <f>SUM(BaseHoras[[#This Row],[Jul/2019]:[Set/2019]])</f>
        <v>16.758788153754089</v>
      </c>
      <c r="W659" s="29">
        <f>SUM(BaseHoras[[#This Row],[Out/2019]:[Dez/2019]])</f>
        <v>0</v>
      </c>
    </row>
    <row r="660" spans="1:23">
      <c r="A660" t="s">
        <v>151</v>
      </c>
      <c r="B660" t="s">
        <v>168</v>
      </c>
      <c r="C660" t="s">
        <v>337</v>
      </c>
      <c r="D660" t="s">
        <v>36</v>
      </c>
      <c r="E660" t="s">
        <v>215</v>
      </c>
      <c r="F660">
        <v>3674.3489498675385</v>
      </c>
      <c r="G660">
        <v>0</v>
      </c>
      <c r="H660">
        <v>26.283728956831879</v>
      </c>
      <c r="I660">
        <v>0</v>
      </c>
      <c r="J660">
        <v>0</v>
      </c>
      <c r="K660">
        <v>0</v>
      </c>
      <c r="L660">
        <v>59.201067984929168</v>
      </c>
      <c r="M660" s="28">
        <v>293.44686451868051</v>
      </c>
      <c r="N660" s="28">
        <v>165.67691010643244</v>
      </c>
      <c r="O660">
        <v>0</v>
      </c>
      <c r="P660">
        <v>0</v>
      </c>
      <c r="Q660">
        <v>0</v>
      </c>
      <c r="R660">
        <v>0</v>
      </c>
      <c r="S660" s="28">
        <v>4218.9575214344131</v>
      </c>
      <c r="T660" s="29">
        <f>SUM(BaseHoras[[#This Row],[Jan/2019]:[Mar/2019]])</f>
        <v>3700.6326788243705</v>
      </c>
      <c r="U660" s="29">
        <f>SUM(BaseHoras[[#This Row],[Abr/2019]:[Jun/2019]])</f>
        <v>0</v>
      </c>
      <c r="V660" s="29">
        <f>SUM(BaseHoras[[#This Row],[Jul/2019]:[Set/2019]])</f>
        <v>518.3248426100422</v>
      </c>
      <c r="W660" s="29">
        <f>SUM(BaseHoras[[#This Row],[Out/2019]:[Dez/2019]])</f>
        <v>0</v>
      </c>
    </row>
    <row r="661" spans="1:23">
      <c r="A661" t="s">
        <v>151</v>
      </c>
      <c r="B661" t="s">
        <v>168</v>
      </c>
      <c r="C661" t="s">
        <v>337</v>
      </c>
      <c r="D661" t="s">
        <v>40</v>
      </c>
      <c r="E661" t="s">
        <v>215</v>
      </c>
      <c r="F661">
        <v>0</v>
      </c>
      <c r="G661">
        <v>8.8029664983580851</v>
      </c>
      <c r="H661">
        <v>0</v>
      </c>
      <c r="I661">
        <v>0</v>
      </c>
      <c r="J661">
        <v>0</v>
      </c>
      <c r="K661">
        <v>0</v>
      </c>
      <c r="L661">
        <v>16.052099094452988</v>
      </c>
      <c r="M661" s="28">
        <v>19.060197821515768</v>
      </c>
      <c r="N661" s="28">
        <v>0</v>
      </c>
      <c r="O661">
        <v>0</v>
      </c>
      <c r="P661">
        <v>0</v>
      </c>
      <c r="Q661">
        <v>0</v>
      </c>
      <c r="R661">
        <v>0</v>
      </c>
      <c r="S661" s="28">
        <v>43.915263414326844</v>
      </c>
      <c r="T661" s="29">
        <f>SUM(BaseHoras[[#This Row],[Jan/2019]:[Mar/2019]])</f>
        <v>8.8029664983580851</v>
      </c>
      <c r="U661" s="29">
        <f>SUM(BaseHoras[[#This Row],[Abr/2019]:[Jun/2019]])</f>
        <v>0</v>
      </c>
      <c r="V661" s="29">
        <f>SUM(BaseHoras[[#This Row],[Jul/2019]:[Set/2019]])</f>
        <v>35.112296915968756</v>
      </c>
      <c r="W661" s="29">
        <f>SUM(BaseHoras[[#This Row],[Out/2019]:[Dez/2019]])</f>
        <v>0</v>
      </c>
    </row>
    <row r="662" spans="1:23">
      <c r="A662" t="s">
        <v>151</v>
      </c>
      <c r="B662" t="s">
        <v>168</v>
      </c>
      <c r="C662" t="s">
        <v>337</v>
      </c>
      <c r="D662" t="s">
        <v>49</v>
      </c>
      <c r="E662" t="s">
        <v>215</v>
      </c>
      <c r="F662">
        <v>132.91515124648896</v>
      </c>
      <c r="G662">
        <v>57.405259109578758</v>
      </c>
      <c r="H662">
        <v>148.67341659102547</v>
      </c>
      <c r="I662">
        <v>61.602333913728891</v>
      </c>
      <c r="J662">
        <v>0</v>
      </c>
      <c r="K662">
        <v>0</v>
      </c>
      <c r="L662">
        <v>17.276449645660652</v>
      </c>
      <c r="M662" s="28">
        <v>0</v>
      </c>
      <c r="N662" s="28">
        <v>0</v>
      </c>
      <c r="O662">
        <v>0</v>
      </c>
      <c r="P662">
        <v>0</v>
      </c>
      <c r="Q662">
        <v>0</v>
      </c>
      <c r="R662">
        <v>0</v>
      </c>
      <c r="S662" s="28">
        <v>417.87261050648277</v>
      </c>
      <c r="T662" s="29">
        <f>SUM(BaseHoras[[#This Row],[Jan/2019]:[Mar/2019]])</f>
        <v>338.99382694709323</v>
      </c>
      <c r="U662" s="29">
        <f>SUM(BaseHoras[[#This Row],[Abr/2019]:[Jun/2019]])</f>
        <v>61.602333913728891</v>
      </c>
      <c r="V662" s="29">
        <f>SUM(BaseHoras[[#This Row],[Jul/2019]:[Set/2019]])</f>
        <v>17.276449645660652</v>
      </c>
      <c r="W662" s="29">
        <f>SUM(BaseHoras[[#This Row],[Out/2019]:[Dez/2019]])</f>
        <v>0</v>
      </c>
    </row>
    <row r="663" spans="1:23">
      <c r="A663" t="s">
        <v>151</v>
      </c>
      <c r="B663" t="s">
        <v>168</v>
      </c>
      <c r="C663" t="s">
        <v>337</v>
      </c>
      <c r="D663" t="s">
        <v>60</v>
      </c>
      <c r="E663" t="s">
        <v>215</v>
      </c>
      <c r="F663">
        <v>0</v>
      </c>
      <c r="G663">
        <v>0</v>
      </c>
      <c r="H663">
        <v>556.80589927617518</v>
      </c>
      <c r="I663">
        <v>0</v>
      </c>
      <c r="J663">
        <v>0</v>
      </c>
      <c r="K663">
        <v>0</v>
      </c>
      <c r="L663">
        <v>0</v>
      </c>
      <c r="M663" s="28">
        <v>0</v>
      </c>
      <c r="N663" s="28">
        <v>0</v>
      </c>
      <c r="O663">
        <v>0</v>
      </c>
      <c r="P663">
        <v>0</v>
      </c>
      <c r="Q663">
        <v>0</v>
      </c>
      <c r="R663">
        <v>0</v>
      </c>
      <c r="S663" s="28">
        <v>556.80589927617518</v>
      </c>
      <c r="T663" s="29">
        <f>SUM(BaseHoras[[#This Row],[Jan/2019]:[Mar/2019]])</f>
        <v>556.80589927617518</v>
      </c>
      <c r="U663" s="29">
        <f>SUM(BaseHoras[[#This Row],[Abr/2019]:[Jun/2019]])</f>
        <v>0</v>
      </c>
      <c r="V663" s="29">
        <f>SUM(BaseHoras[[#This Row],[Jul/2019]:[Set/2019]])</f>
        <v>0</v>
      </c>
      <c r="W663" s="29">
        <f>SUM(BaseHoras[[#This Row],[Out/2019]:[Dez/2019]])</f>
        <v>0</v>
      </c>
    </row>
    <row r="664" spans="1:23">
      <c r="A664" t="s">
        <v>151</v>
      </c>
      <c r="B664" t="s">
        <v>168</v>
      </c>
      <c r="C664" t="s">
        <v>337</v>
      </c>
      <c r="D664" t="s">
        <v>71</v>
      </c>
      <c r="E664" t="s">
        <v>215</v>
      </c>
      <c r="F664">
        <v>1099.4468456395566</v>
      </c>
      <c r="G664">
        <v>34.445741805543179</v>
      </c>
      <c r="H664">
        <v>0</v>
      </c>
      <c r="I664">
        <v>0</v>
      </c>
      <c r="J664">
        <v>0</v>
      </c>
      <c r="K664">
        <v>0</v>
      </c>
      <c r="L664">
        <v>0</v>
      </c>
      <c r="M664" s="28">
        <v>0</v>
      </c>
      <c r="N664" s="28">
        <v>0</v>
      </c>
      <c r="O664">
        <v>0</v>
      </c>
      <c r="P664">
        <v>0</v>
      </c>
      <c r="Q664">
        <v>0</v>
      </c>
      <c r="R664">
        <v>0</v>
      </c>
      <c r="S664" s="28">
        <v>1133.8925874450997</v>
      </c>
      <c r="T664" s="29">
        <f>SUM(BaseHoras[[#This Row],[Jan/2019]:[Mar/2019]])</f>
        <v>1133.8925874450997</v>
      </c>
      <c r="U664" s="29">
        <f>SUM(BaseHoras[[#This Row],[Abr/2019]:[Jun/2019]])</f>
        <v>0</v>
      </c>
      <c r="V664" s="29">
        <f>SUM(BaseHoras[[#This Row],[Jul/2019]:[Set/2019]])</f>
        <v>0</v>
      </c>
      <c r="W664" s="29">
        <f>SUM(BaseHoras[[#This Row],[Out/2019]:[Dez/2019]])</f>
        <v>0</v>
      </c>
    </row>
    <row r="665" spans="1:23">
      <c r="A665" t="s">
        <v>151</v>
      </c>
      <c r="B665" t="s">
        <v>168</v>
      </c>
      <c r="C665" t="s">
        <v>337</v>
      </c>
      <c r="D665" t="s">
        <v>82</v>
      </c>
      <c r="E665" t="s">
        <v>215</v>
      </c>
      <c r="F665">
        <v>0</v>
      </c>
      <c r="G665">
        <v>0</v>
      </c>
      <c r="H665">
        <v>42.20194089489857</v>
      </c>
      <c r="I665">
        <v>0</v>
      </c>
      <c r="J665">
        <v>0</v>
      </c>
      <c r="K665">
        <v>0</v>
      </c>
      <c r="L665">
        <v>0</v>
      </c>
      <c r="M665" s="28">
        <v>0</v>
      </c>
      <c r="N665" s="28">
        <v>0</v>
      </c>
      <c r="O665">
        <v>59.766346933865314</v>
      </c>
      <c r="P665">
        <v>0</v>
      </c>
      <c r="Q665">
        <v>0</v>
      </c>
      <c r="R665">
        <v>0</v>
      </c>
      <c r="S665" s="28">
        <v>101.96828782876389</v>
      </c>
      <c r="T665" s="29">
        <f>SUM(BaseHoras[[#This Row],[Jan/2019]:[Mar/2019]])</f>
        <v>42.20194089489857</v>
      </c>
      <c r="U665" s="29">
        <f>SUM(BaseHoras[[#This Row],[Abr/2019]:[Jun/2019]])</f>
        <v>0</v>
      </c>
      <c r="V665" s="29">
        <f>SUM(BaseHoras[[#This Row],[Jul/2019]:[Set/2019]])</f>
        <v>0</v>
      </c>
      <c r="W665" s="29">
        <f>SUM(BaseHoras[[#This Row],[Out/2019]:[Dez/2019]])</f>
        <v>59.766346933865314</v>
      </c>
    </row>
    <row r="666" spans="1:23">
      <c r="A666" t="s">
        <v>151</v>
      </c>
      <c r="B666" t="s">
        <v>168</v>
      </c>
      <c r="C666" t="s">
        <v>337</v>
      </c>
      <c r="D666" t="s">
        <v>87</v>
      </c>
      <c r="E666" t="s">
        <v>215</v>
      </c>
      <c r="F666">
        <v>0</v>
      </c>
      <c r="G666">
        <v>0</v>
      </c>
      <c r="H666">
        <v>26.407783420908284</v>
      </c>
      <c r="I666">
        <v>3.9469847509099174</v>
      </c>
      <c r="J666">
        <v>0</v>
      </c>
      <c r="K666">
        <v>0</v>
      </c>
      <c r="L666">
        <v>0</v>
      </c>
      <c r="M666" s="28">
        <v>0</v>
      </c>
      <c r="N666" s="28">
        <v>0</v>
      </c>
      <c r="O666">
        <v>0</v>
      </c>
      <c r="P666">
        <v>0</v>
      </c>
      <c r="Q666">
        <v>0</v>
      </c>
      <c r="R666">
        <v>0</v>
      </c>
      <c r="S666" s="28">
        <v>30.354768171818201</v>
      </c>
      <c r="T666" s="29">
        <f>SUM(BaseHoras[[#This Row],[Jan/2019]:[Mar/2019]])</f>
        <v>26.407783420908284</v>
      </c>
      <c r="U666" s="29">
        <f>SUM(BaseHoras[[#This Row],[Abr/2019]:[Jun/2019]])</f>
        <v>3.9469847509099174</v>
      </c>
      <c r="V666" s="29">
        <f>SUM(BaseHoras[[#This Row],[Jul/2019]:[Set/2019]])</f>
        <v>0</v>
      </c>
      <c r="W666" s="29">
        <f>SUM(BaseHoras[[#This Row],[Out/2019]:[Dez/2019]])</f>
        <v>0</v>
      </c>
    </row>
    <row r="667" spans="1:23">
      <c r="A667" t="s">
        <v>151</v>
      </c>
      <c r="B667" t="s">
        <v>168</v>
      </c>
      <c r="C667" t="s">
        <v>337</v>
      </c>
      <c r="D667" t="s">
        <v>90</v>
      </c>
      <c r="E667" t="s">
        <v>215</v>
      </c>
      <c r="F667">
        <v>40.89348573927758</v>
      </c>
      <c r="G667">
        <v>133.78339919868546</v>
      </c>
      <c r="H667">
        <v>0</v>
      </c>
      <c r="I667">
        <v>0</v>
      </c>
      <c r="J667">
        <v>0</v>
      </c>
      <c r="K667">
        <v>0</v>
      </c>
      <c r="L667">
        <v>0</v>
      </c>
      <c r="M667" s="28">
        <v>0</v>
      </c>
      <c r="N667" s="28">
        <v>0</v>
      </c>
      <c r="O667">
        <v>0</v>
      </c>
      <c r="P667">
        <v>0</v>
      </c>
      <c r="Q667">
        <v>0</v>
      </c>
      <c r="R667">
        <v>0</v>
      </c>
      <c r="S667" s="28">
        <v>174.67688493796305</v>
      </c>
      <c r="T667" s="29">
        <f>SUM(BaseHoras[[#This Row],[Jan/2019]:[Mar/2019]])</f>
        <v>174.67688493796305</v>
      </c>
      <c r="U667" s="29">
        <f>SUM(BaseHoras[[#This Row],[Abr/2019]:[Jun/2019]])</f>
        <v>0</v>
      </c>
      <c r="V667" s="29">
        <f>SUM(BaseHoras[[#This Row],[Jul/2019]:[Set/2019]])</f>
        <v>0</v>
      </c>
      <c r="W667" s="29">
        <f>SUM(BaseHoras[[#This Row],[Out/2019]:[Dez/2019]])</f>
        <v>0</v>
      </c>
    </row>
    <row r="668" spans="1:23">
      <c r="A668" t="s">
        <v>151</v>
      </c>
      <c r="B668" t="s">
        <v>168</v>
      </c>
      <c r="C668" t="s">
        <v>337</v>
      </c>
      <c r="D668" t="s">
        <v>98</v>
      </c>
      <c r="E668" t="s">
        <v>215</v>
      </c>
      <c r="F668">
        <v>5.4299394639039669</v>
      </c>
      <c r="G668">
        <v>8.9417731685143629</v>
      </c>
      <c r="H668">
        <v>0</v>
      </c>
      <c r="I668">
        <v>2.5721416733779505</v>
      </c>
      <c r="J668">
        <v>4.8344004893947146</v>
      </c>
      <c r="K668">
        <v>26.035035656492759</v>
      </c>
      <c r="L668">
        <v>0</v>
      </c>
      <c r="M668" s="28">
        <v>0</v>
      </c>
      <c r="N668" s="28">
        <v>0</v>
      </c>
      <c r="O668">
        <v>0</v>
      </c>
      <c r="P668">
        <v>0</v>
      </c>
      <c r="Q668">
        <v>0</v>
      </c>
      <c r="R668">
        <v>0</v>
      </c>
      <c r="S668" s="28">
        <v>47.813290451683756</v>
      </c>
      <c r="T668" s="29">
        <f>SUM(BaseHoras[[#This Row],[Jan/2019]:[Mar/2019]])</f>
        <v>14.37171263241833</v>
      </c>
      <c r="U668" s="29">
        <f>SUM(BaseHoras[[#This Row],[Abr/2019]:[Jun/2019]])</f>
        <v>33.441577819265426</v>
      </c>
      <c r="V668" s="29">
        <f>SUM(BaseHoras[[#This Row],[Jul/2019]:[Set/2019]])</f>
        <v>0</v>
      </c>
      <c r="W668" s="29">
        <f>SUM(BaseHoras[[#This Row],[Out/2019]:[Dez/2019]])</f>
        <v>0</v>
      </c>
    </row>
    <row r="669" spans="1:23">
      <c r="A669" t="s">
        <v>151</v>
      </c>
      <c r="B669" t="s">
        <v>168</v>
      </c>
      <c r="C669" t="s">
        <v>337</v>
      </c>
      <c r="D669" t="s">
        <v>100</v>
      </c>
      <c r="E669" t="s">
        <v>215</v>
      </c>
      <c r="F669">
        <v>69.951772992888621</v>
      </c>
      <c r="G669">
        <v>175.79907122178619</v>
      </c>
      <c r="H669">
        <v>0</v>
      </c>
      <c r="I669">
        <v>207.09845762666419</v>
      </c>
      <c r="J669">
        <v>0</v>
      </c>
      <c r="K669">
        <v>0</v>
      </c>
      <c r="L669">
        <v>4.6679604735829541</v>
      </c>
      <c r="M669" s="28">
        <v>11.272506191217511</v>
      </c>
      <c r="N669" s="28">
        <v>0</v>
      </c>
      <c r="O669">
        <v>0</v>
      </c>
      <c r="P669">
        <v>52.467595385307703</v>
      </c>
      <c r="Q669">
        <v>0</v>
      </c>
      <c r="R669">
        <v>0</v>
      </c>
      <c r="S669" s="28">
        <v>521.2573638914472</v>
      </c>
      <c r="T669" s="29">
        <f>SUM(BaseHoras[[#This Row],[Jan/2019]:[Mar/2019]])</f>
        <v>245.75084421467483</v>
      </c>
      <c r="U669" s="29">
        <f>SUM(BaseHoras[[#This Row],[Abr/2019]:[Jun/2019]])</f>
        <v>207.09845762666419</v>
      </c>
      <c r="V669" s="29">
        <f>SUM(BaseHoras[[#This Row],[Jul/2019]:[Set/2019]])</f>
        <v>15.940466664800464</v>
      </c>
      <c r="W669" s="29">
        <f>SUM(BaseHoras[[#This Row],[Out/2019]:[Dez/2019]])</f>
        <v>52.467595385307703</v>
      </c>
    </row>
    <row r="670" spans="1:23">
      <c r="A670" t="s">
        <v>151</v>
      </c>
      <c r="B670" t="s">
        <v>168</v>
      </c>
      <c r="C670" t="s">
        <v>337</v>
      </c>
      <c r="D670" t="s">
        <v>105</v>
      </c>
      <c r="E670" t="s">
        <v>215</v>
      </c>
      <c r="F670">
        <v>0</v>
      </c>
      <c r="G670">
        <v>0</v>
      </c>
      <c r="H670">
        <v>0</v>
      </c>
      <c r="I670">
        <v>0</v>
      </c>
      <c r="J670">
        <v>62.962167797375344</v>
      </c>
      <c r="K670">
        <v>0</v>
      </c>
      <c r="L670">
        <v>0</v>
      </c>
      <c r="M670" s="28">
        <v>5386.1401006283113</v>
      </c>
      <c r="N670" s="28">
        <v>0</v>
      </c>
      <c r="O670">
        <v>0</v>
      </c>
      <c r="P670">
        <v>0</v>
      </c>
      <c r="Q670">
        <v>0</v>
      </c>
      <c r="R670">
        <v>0</v>
      </c>
      <c r="S670" s="28">
        <v>5449.1022684256868</v>
      </c>
      <c r="T670" s="29">
        <f>SUM(BaseHoras[[#This Row],[Jan/2019]:[Mar/2019]])</f>
        <v>0</v>
      </c>
      <c r="U670" s="29">
        <f>SUM(BaseHoras[[#This Row],[Abr/2019]:[Jun/2019]])</f>
        <v>62.962167797375344</v>
      </c>
      <c r="V670" s="29">
        <f>SUM(BaseHoras[[#This Row],[Jul/2019]:[Set/2019]])</f>
        <v>5386.1401006283113</v>
      </c>
      <c r="W670" s="29">
        <f>SUM(BaseHoras[[#This Row],[Out/2019]:[Dez/2019]])</f>
        <v>0</v>
      </c>
    </row>
    <row r="671" spans="1:23">
      <c r="A671" t="s">
        <v>151</v>
      </c>
      <c r="B671" t="s">
        <v>168</v>
      </c>
      <c r="C671" t="s">
        <v>337</v>
      </c>
      <c r="D671" t="s">
        <v>107</v>
      </c>
      <c r="E671" t="s">
        <v>215</v>
      </c>
      <c r="F671">
        <v>0</v>
      </c>
      <c r="G671">
        <v>0</v>
      </c>
      <c r="H671">
        <v>0</v>
      </c>
      <c r="I671">
        <v>0</v>
      </c>
      <c r="J671">
        <v>47.515845215192627</v>
      </c>
      <c r="K671">
        <v>343.12503811054466</v>
      </c>
      <c r="L671">
        <v>122.2657381639082</v>
      </c>
      <c r="M671" s="28">
        <v>0</v>
      </c>
      <c r="N671" s="28">
        <v>0</v>
      </c>
      <c r="O671">
        <v>0</v>
      </c>
      <c r="P671">
        <v>0</v>
      </c>
      <c r="Q671">
        <v>0</v>
      </c>
      <c r="R671">
        <v>0</v>
      </c>
      <c r="S671" s="28">
        <v>512.90662148964543</v>
      </c>
      <c r="T671" s="29">
        <f>SUM(BaseHoras[[#This Row],[Jan/2019]:[Mar/2019]])</f>
        <v>0</v>
      </c>
      <c r="U671" s="29">
        <f>SUM(BaseHoras[[#This Row],[Abr/2019]:[Jun/2019]])</f>
        <v>390.64088332573726</v>
      </c>
      <c r="V671" s="29">
        <f>SUM(BaseHoras[[#This Row],[Jul/2019]:[Set/2019]])</f>
        <v>122.2657381639082</v>
      </c>
      <c r="W671" s="29">
        <f>SUM(BaseHoras[[#This Row],[Out/2019]:[Dez/2019]])</f>
        <v>0</v>
      </c>
    </row>
    <row r="672" spans="1:23">
      <c r="A672" t="s">
        <v>151</v>
      </c>
      <c r="B672" t="s">
        <v>168</v>
      </c>
      <c r="C672" t="s">
        <v>337</v>
      </c>
      <c r="D672" t="s">
        <v>108</v>
      </c>
      <c r="E672" t="s">
        <v>215</v>
      </c>
      <c r="F672">
        <v>0</v>
      </c>
      <c r="G672">
        <v>0</v>
      </c>
      <c r="H672">
        <v>0</v>
      </c>
      <c r="I672">
        <v>0</v>
      </c>
      <c r="J672">
        <v>391.04821088047601</v>
      </c>
      <c r="K672">
        <v>218.66332707903203</v>
      </c>
      <c r="L672">
        <v>169.39840362944202</v>
      </c>
      <c r="M672" s="28">
        <v>64.603768417786071</v>
      </c>
      <c r="N672" s="28">
        <v>0</v>
      </c>
      <c r="O672">
        <v>0</v>
      </c>
      <c r="P672">
        <v>0</v>
      </c>
      <c r="Q672">
        <v>0</v>
      </c>
      <c r="R672">
        <v>0</v>
      </c>
      <c r="S672" s="28">
        <v>843.71371000673616</v>
      </c>
      <c r="T672" s="29">
        <f>SUM(BaseHoras[[#This Row],[Jan/2019]:[Mar/2019]])</f>
        <v>0</v>
      </c>
      <c r="U672" s="29">
        <f>SUM(BaseHoras[[#This Row],[Abr/2019]:[Jun/2019]])</f>
        <v>609.71153795950806</v>
      </c>
      <c r="V672" s="29">
        <f>SUM(BaseHoras[[#This Row],[Jul/2019]:[Set/2019]])</f>
        <v>234.0021720472281</v>
      </c>
      <c r="W672" s="29">
        <f>SUM(BaseHoras[[#This Row],[Out/2019]:[Dez/2019]])</f>
        <v>0</v>
      </c>
    </row>
    <row r="673" spans="1:23">
      <c r="A673" t="s">
        <v>151</v>
      </c>
      <c r="B673" t="s">
        <v>168</v>
      </c>
      <c r="C673" t="s">
        <v>337</v>
      </c>
      <c r="D673" t="s">
        <v>109</v>
      </c>
      <c r="E673" t="s">
        <v>215</v>
      </c>
      <c r="F673">
        <v>0</v>
      </c>
      <c r="G673">
        <v>0</v>
      </c>
      <c r="H673">
        <v>0</v>
      </c>
      <c r="I673">
        <v>0</v>
      </c>
      <c r="J673">
        <v>251.19666099484579</v>
      </c>
      <c r="K673">
        <v>146.00343247695548</v>
      </c>
      <c r="L673">
        <v>7121.4189157847668</v>
      </c>
      <c r="M673" s="28">
        <v>117.53127183536181</v>
      </c>
      <c r="N673" s="28">
        <v>2399.2121071333609</v>
      </c>
      <c r="O673">
        <v>124.73852317527023</v>
      </c>
      <c r="P673">
        <v>224.46913032253951</v>
      </c>
      <c r="Q673">
        <v>0</v>
      </c>
      <c r="R673">
        <v>0</v>
      </c>
      <c r="S673" s="28">
        <v>10384.5700417231</v>
      </c>
      <c r="T673" s="29">
        <f>SUM(BaseHoras[[#This Row],[Jan/2019]:[Mar/2019]])</f>
        <v>0</v>
      </c>
      <c r="U673" s="29">
        <f>SUM(BaseHoras[[#This Row],[Abr/2019]:[Jun/2019]])</f>
        <v>397.20009347180127</v>
      </c>
      <c r="V673" s="29">
        <f>SUM(BaseHoras[[#This Row],[Jul/2019]:[Set/2019]])</f>
        <v>9638.1622947534888</v>
      </c>
      <c r="W673" s="29">
        <f>SUM(BaseHoras[[#This Row],[Out/2019]:[Dez/2019]])</f>
        <v>349.20765349780976</v>
      </c>
    </row>
    <row r="674" spans="1:23">
      <c r="A674" t="s">
        <v>151</v>
      </c>
      <c r="B674" t="s">
        <v>168</v>
      </c>
      <c r="C674" t="s">
        <v>337</v>
      </c>
      <c r="D674" t="s">
        <v>125</v>
      </c>
      <c r="E674" t="s">
        <v>215</v>
      </c>
      <c r="F674">
        <v>0</v>
      </c>
      <c r="G674">
        <v>0</v>
      </c>
      <c r="H674">
        <v>7.857625066839395</v>
      </c>
      <c r="I674">
        <v>0</v>
      </c>
      <c r="J674">
        <v>0</v>
      </c>
      <c r="K674">
        <v>0</v>
      </c>
      <c r="L674">
        <v>0</v>
      </c>
      <c r="M674" s="28">
        <v>0</v>
      </c>
      <c r="N674" s="28">
        <v>0</v>
      </c>
      <c r="O674">
        <v>2.77368670667295</v>
      </c>
      <c r="P674">
        <v>0</v>
      </c>
      <c r="Q674">
        <v>0</v>
      </c>
      <c r="R674">
        <v>0</v>
      </c>
      <c r="S674" s="28">
        <v>10.631311773512344</v>
      </c>
      <c r="T674" s="29">
        <f>SUM(BaseHoras[[#This Row],[Jan/2019]:[Mar/2019]])</f>
        <v>7.857625066839395</v>
      </c>
      <c r="U674" s="29">
        <f>SUM(BaseHoras[[#This Row],[Abr/2019]:[Jun/2019]])</f>
        <v>0</v>
      </c>
      <c r="V674" s="29">
        <f>SUM(BaseHoras[[#This Row],[Jul/2019]:[Set/2019]])</f>
        <v>0</v>
      </c>
      <c r="W674" s="29">
        <f>SUM(BaseHoras[[#This Row],[Out/2019]:[Dez/2019]])</f>
        <v>2.77368670667295</v>
      </c>
    </row>
    <row r="675" spans="1:23">
      <c r="A675" t="s">
        <v>151</v>
      </c>
      <c r="B675" t="s">
        <v>168</v>
      </c>
      <c r="C675" t="s">
        <v>337</v>
      </c>
      <c r="D675" t="s">
        <v>128</v>
      </c>
      <c r="E675" t="s">
        <v>215</v>
      </c>
      <c r="F675">
        <v>0</v>
      </c>
      <c r="G675">
        <v>226.77268513355614</v>
      </c>
      <c r="H675">
        <v>0</v>
      </c>
      <c r="I675">
        <v>0</v>
      </c>
      <c r="J675">
        <v>0</v>
      </c>
      <c r="K675">
        <v>0</v>
      </c>
      <c r="L675">
        <v>0</v>
      </c>
      <c r="M675" s="28">
        <v>0</v>
      </c>
      <c r="N675" s="28">
        <v>0</v>
      </c>
      <c r="O675">
        <v>0</v>
      </c>
      <c r="P675">
        <v>0</v>
      </c>
      <c r="Q675">
        <v>0</v>
      </c>
      <c r="R675">
        <v>0</v>
      </c>
      <c r="S675" s="28">
        <v>226.77268513355614</v>
      </c>
      <c r="T675" s="29">
        <f>SUM(BaseHoras[[#This Row],[Jan/2019]:[Mar/2019]])</f>
        <v>226.77268513355614</v>
      </c>
      <c r="U675" s="29">
        <f>SUM(BaseHoras[[#This Row],[Abr/2019]:[Jun/2019]])</f>
        <v>0</v>
      </c>
      <c r="V675" s="29">
        <f>SUM(BaseHoras[[#This Row],[Jul/2019]:[Set/2019]])</f>
        <v>0</v>
      </c>
      <c r="W675" s="29">
        <f>SUM(BaseHoras[[#This Row],[Out/2019]:[Dez/2019]])</f>
        <v>0</v>
      </c>
    </row>
    <row r="676" spans="1:23">
      <c r="A676" t="s">
        <v>151</v>
      </c>
      <c r="B676" t="s">
        <v>168</v>
      </c>
      <c r="C676" t="s">
        <v>337</v>
      </c>
      <c r="D676" t="s">
        <v>136</v>
      </c>
      <c r="E676" t="s">
        <v>215</v>
      </c>
      <c r="F676">
        <v>0</v>
      </c>
      <c r="G676">
        <v>0</v>
      </c>
      <c r="H676">
        <v>0</v>
      </c>
      <c r="I676">
        <v>0</v>
      </c>
      <c r="J676">
        <v>22.782077264472814</v>
      </c>
      <c r="K676">
        <v>1.9891580895771384</v>
      </c>
      <c r="L676">
        <v>0</v>
      </c>
      <c r="M676" s="28">
        <v>0</v>
      </c>
      <c r="N676" s="28">
        <v>0</v>
      </c>
      <c r="O676">
        <v>0</v>
      </c>
      <c r="P676">
        <v>0</v>
      </c>
      <c r="Q676">
        <v>0</v>
      </c>
      <c r="R676">
        <v>0</v>
      </c>
      <c r="S676" s="28">
        <v>24.771235354049953</v>
      </c>
      <c r="T676" s="29">
        <f>SUM(BaseHoras[[#This Row],[Jan/2019]:[Mar/2019]])</f>
        <v>0</v>
      </c>
      <c r="U676" s="29">
        <f>SUM(BaseHoras[[#This Row],[Abr/2019]:[Jun/2019]])</f>
        <v>24.771235354049953</v>
      </c>
      <c r="V676" s="29">
        <f>SUM(BaseHoras[[#This Row],[Jul/2019]:[Set/2019]])</f>
        <v>0</v>
      </c>
      <c r="W676" s="29">
        <f>SUM(BaseHoras[[#This Row],[Out/2019]:[Dez/2019]])</f>
        <v>0</v>
      </c>
    </row>
    <row r="677" spans="1:23">
      <c r="A677" t="s">
        <v>151</v>
      </c>
      <c r="B677" t="s">
        <v>168</v>
      </c>
      <c r="C677" t="s">
        <v>337</v>
      </c>
      <c r="D677" t="s">
        <v>138</v>
      </c>
      <c r="E677" t="s">
        <v>215</v>
      </c>
      <c r="F677">
        <v>993.53937259770134</v>
      </c>
      <c r="G677">
        <v>0</v>
      </c>
      <c r="H677">
        <v>82.052541504604321</v>
      </c>
      <c r="I677">
        <v>0</v>
      </c>
      <c r="J677">
        <v>0</v>
      </c>
      <c r="K677">
        <v>0</v>
      </c>
      <c r="L677">
        <v>0</v>
      </c>
      <c r="M677" s="28">
        <v>0</v>
      </c>
      <c r="N677" s="28">
        <v>0</v>
      </c>
      <c r="O677">
        <v>0</v>
      </c>
      <c r="P677">
        <v>68.678980056187029</v>
      </c>
      <c r="Q677">
        <v>0</v>
      </c>
      <c r="R677">
        <v>0</v>
      </c>
      <c r="S677" s="28">
        <v>1144.2708941584929</v>
      </c>
      <c r="T677" s="29">
        <f>SUM(BaseHoras[[#This Row],[Jan/2019]:[Mar/2019]])</f>
        <v>1075.5919141023057</v>
      </c>
      <c r="U677" s="29">
        <f>SUM(BaseHoras[[#This Row],[Abr/2019]:[Jun/2019]])</f>
        <v>0</v>
      </c>
      <c r="V677" s="29">
        <f>SUM(BaseHoras[[#This Row],[Jul/2019]:[Set/2019]])</f>
        <v>0</v>
      </c>
      <c r="W677" s="29">
        <f>SUM(BaseHoras[[#This Row],[Out/2019]:[Dez/2019]])</f>
        <v>68.678980056187029</v>
      </c>
    </row>
    <row r="678" spans="1:23">
      <c r="A678" t="s">
        <v>151</v>
      </c>
      <c r="B678" t="s">
        <v>168</v>
      </c>
      <c r="C678" t="s">
        <v>337</v>
      </c>
      <c r="D678" t="s">
        <v>144</v>
      </c>
      <c r="E678" t="s">
        <v>215</v>
      </c>
      <c r="F678">
        <v>0</v>
      </c>
      <c r="G678">
        <v>0</v>
      </c>
      <c r="H678">
        <v>37.080664215208877</v>
      </c>
      <c r="I678">
        <v>0</v>
      </c>
      <c r="J678">
        <v>0</v>
      </c>
      <c r="K678">
        <v>27.1716530152028</v>
      </c>
      <c r="L678">
        <v>13.483892300880639</v>
      </c>
      <c r="M678" s="28">
        <v>0</v>
      </c>
      <c r="N678" s="28">
        <v>8744.5063814317218</v>
      </c>
      <c r="O678">
        <v>266.70287476382566</v>
      </c>
      <c r="P678">
        <v>0</v>
      </c>
      <c r="Q678">
        <v>0</v>
      </c>
      <c r="R678">
        <v>0</v>
      </c>
      <c r="S678" s="28">
        <v>9088.9454657268398</v>
      </c>
      <c r="T678" s="29">
        <f>SUM(BaseHoras[[#This Row],[Jan/2019]:[Mar/2019]])</f>
        <v>37.080664215208877</v>
      </c>
      <c r="U678" s="29">
        <f>SUM(BaseHoras[[#This Row],[Abr/2019]:[Jun/2019]])</f>
        <v>27.1716530152028</v>
      </c>
      <c r="V678" s="29">
        <f>SUM(BaseHoras[[#This Row],[Jul/2019]:[Set/2019]])</f>
        <v>8757.9902737326029</v>
      </c>
      <c r="W678" s="29">
        <f>SUM(BaseHoras[[#This Row],[Out/2019]:[Dez/2019]])</f>
        <v>266.70287476382566</v>
      </c>
    </row>
    <row r="679" spans="1:23">
      <c r="A679" t="s">
        <v>151</v>
      </c>
      <c r="B679" t="s">
        <v>168</v>
      </c>
      <c r="C679" t="s">
        <v>337</v>
      </c>
      <c r="D679" t="s">
        <v>146</v>
      </c>
      <c r="E679" t="s">
        <v>215</v>
      </c>
      <c r="F679">
        <v>0</v>
      </c>
      <c r="G679">
        <v>0</v>
      </c>
      <c r="H679">
        <v>0</v>
      </c>
      <c r="I679">
        <v>735.37196848758799</v>
      </c>
      <c r="J679">
        <v>0</v>
      </c>
      <c r="K679">
        <v>0</v>
      </c>
      <c r="L679">
        <v>0</v>
      </c>
      <c r="M679" s="28">
        <v>0</v>
      </c>
      <c r="N679" s="28">
        <v>0</v>
      </c>
      <c r="O679">
        <v>0</v>
      </c>
      <c r="P679">
        <v>0</v>
      </c>
      <c r="Q679">
        <v>0</v>
      </c>
      <c r="R679">
        <v>0</v>
      </c>
      <c r="S679" s="28">
        <v>735.37196848758799</v>
      </c>
      <c r="T679" s="29">
        <f>SUM(BaseHoras[[#This Row],[Jan/2019]:[Mar/2019]])</f>
        <v>0</v>
      </c>
      <c r="U679" s="29">
        <f>SUM(BaseHoras[[#This Row],[Abr/2019]:[Jun/2019]])</f>
        <v>735.37196848758799</v>
      </c>
      <c r="V679" s="29">
        <f>SUM(BaseHoras[[#This Row],[Jul/2019]:[Set/2019]])</f>
        <v>0</v>
      </c>
      <c r="W679" s="29">
        <f>SUM(BaseHoras[[#This Row],[Out/2019]:[Dez/2019]])</f>
        <v>0</v>
      </c>
    </row>
    <row r="680" spans="1:23">
      <c r="A680" t="s">
        <v>151</v>
      </c>
      <c r="B680" t="s">
        <v>168</v>
      </c>
      <c r="C680" t="s">
        <v>337</v>
      </c>
      <c r="D680" t="s">
        <v>149</v>
      </c>
      <c r="E680" t="s">
        <v>215</v>
      </c>
      <c r="F680">
        <v>0</v>
      </c>
      <c r="G680">
        <v>185.15696687789512</v>
      </c>
      <c r="H680">
        <v>354.92604154861363</v>
      </c>
      <c r="I680">
        <v>0</v>
      </c>
      <c r="J680">
        <v>0</v>
      </c>
      <c r="K680">
        <v>0</v>
      </c>
      <c r="L680">
        <v>0</v>
      </c>
      <c r="M680" s="28">
        <v>0</v>
      </c>
      <c r="N680" s="28">
        <v>0</v>
      </c>
      <c r="O680">
        <v>0</v>
      </c>
      <c r="P680">
        <v>0</v>
      </c>
      <c r="Q680">
        <v>0</v>
      </c>
      <c r="R680">
        <v>0</v>
      </c>
      <c r="S680" s="28">
        <v>540.08300842650874</v>
      </c>
      <c r="T680" s="29">
        <f>SUM(BaseHoras[[#This Row],[Jan/2019]:[Mar/2019]])</f>
        <v>540.08300842650874</v>
      </c>
      <c r="U680" s="29">
        <f>SUM(BaseHoras[[#This Row],[Abr/2019]:[Jun/2019]])</f>
        <v>0</v>
      </c>
      <c r="V680" s="29">
        <f>SUM(BaseHoras[[#This Row],[Jul/2019]:[Set/2019]])</f>
        <v>0</v>
      </c>
      <c r="W680" s="29">
        <f>SUM(BaseHoras[[#This Row],[Out/2019]:[Dez/2019]])</f>
        <v>0</v>
      </c>
    </row>
    <row r="681" spans="1:23">
      <c r="A681" t="s">
        <v>151</v>
      </c>
      <c r="B681" t="s">
        <v>168</v>
      </c>
      <c r="C681" t="s">
        <v>338</v>
      </c>
      <c r="D681" t="s">
        <v>138</v>
      </c>
      <c r="E681" t="s">
        <v>215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s="28">
        <v>0</v>
      </c>
      <c r="N681" s="28">
        <v>0</v>
      </c>
      <c r="O681">
        <v>0</v>
      </c>
      <c r="P681">
        <v>0</v>
      </c>
      <c r="Q681">
        <v>62.248572655840718</v>
      </c>
      <c r="R681">
        <v>0</v>
      </c>
      <c r="S681" s="28">
        <v>62.248572655840718</v>
      </c>
      <c r="T681" s="29">
        <f>SUM(BaseHoras[[#This Row],[Jan/2019]:[Mar/2019]])</f>
        <v>0</v>
      </c>
      <c r="U681" s="29">
        <f>SUM(BaseHoras[[#This Row],[Abr/2019]:[Jun/2019]])</f>
        <v>0</v>
      </c>
      <c r="V681" s="29">
        <f>SUM(BaseHoras[[#This Row],[Jul/2019]:[Set/2019]])</f>
        <v>0</v>
      </c>
      <c r="W681" s="29">
        <f>SUM(BaseHoras[[#This Row],[Out/2019]:[Dez/2019]])</f>
        <v>62.248572655840718</v>
      </c>
    </row>
    <row r="682" spans="1:23">
      <c r="A682" t="s">
        <v>151</v>
      </c>
      <c r="B682" t="s">
        <v>168</v>
      </c>
      <c r="C682" t="s">
        <v>339</v>
      </c>
      <c r="D682" t="s">
        <v>30</v>
      </c>
      <c r="E682" t="s">
        <v>215</v>
      </c>
      <c r="F682">
        <v>0</v>
      </c>
      <c r="G682">
        <v>0</v>
      </c>
      <c r="H682">
        <v>0</v>
      </c>
      <c r="I682">
        <v>57.723064189254245</v>
      </c>
      <c r="J682">
        <v>0</v>
      </c>
      <c r="K682">
        <v>0</v>
      </c>
      <c r="L682">
        <v>0</v>
      </c>
      <c r="M682" s="28">
        <v>0</v>
      </c>
      <c r="N682" s="28">
        <v>0</v>
      </c>
      <c r="O682">
        <v>0</v>
      </c>
      <c r="P682">
        <v>0</v>
      </c>
      <c r="Q682">
        <v>0</v>
      </c>
      <c r="R682">
        <v>0</v>
      </c>
      <c r="S682" s="28">
        <v>57.723064189254245</v>
      </c>
      <c r="T682" s="29">
        <f>SUM(BaseHoras[[#This Row],[Jan/2019]:[Mar/2019]])</f>
        <v>0</v>
      </c>
      <c r="U682" s="29">
        <f>SUM(BaseHoras[[#This Row],[Abr/2019]:[Jun/2019]])</f>
        <v>57.723064189254245</v>
      </c>
      <c r="V682" s="29">
        <f>SUM(BaseHoras[[#This Row],[Jul/2019]:[Set/2019]])</f>
        <v>0</v>
      </c>
      <c r="W682" s="29">
        <f>SUM(BaseHoras[[#This Row],[Out/2019]:[Dez/2019]])</f>
        <v>0</v>
      </c>
    </row>
    <row r="683" spans="1:23">
      <c r="A683" t="s">
        <v>151</v>
      </c>
      <c r="B683" t="s">
        <v>168</v>
      </c>
      <c r="C683" t="s">
        <v>339</v>
      </c>
      <c r="D683" t="s">
        <v>40</v>
      </c>
      <c r="E683" t="s">
        <v>215</v>
      </c>
      <c r="F683">
        <v>6.3818979059520435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s="28">
        <v>0</v>
      </c>
      <c r="N683" s="28">
        <v>0</v>
      </c>
      <c r="O683">
        <v>0</v>
      </c>
      <c r="P683">
        <v>0</v>
      </c>
      <c r="Q683">
        <v>0</v>
      </c>
      <c r="R683">
        <v>0</v>
      </c>
      <c r="S683" s="28">
        <v>6.3818979059520435</v>
      </c>
      <c r="T683" s="29">
        <f>SUM(BaseHoras[[#This Row],[Jan/2019]:[Mar/2019]])</f>
        <v>6.3818979059520435</v>
      </c>
      <c r="U683" s="29">
        <f>SUM(BaseHoras[[#This Row],[Abr/2019]:[Jun/2019]])</f>
        <v>0</v>
      </c>
      <c r="V683" s="29">
        <f>SUM(BaseHoras[[#This Row],[Jul/2019]:[Set/2019]])</f>
        <v>0</v>
      </c>
      <c r="W683" s="29">
        <f>SUM(BaseHoras[[#This Row],[Out/2019]:[Dez/2019]])</f>
        <v>0</v>
      </c>
    </row>
    <row r="684" spans="1:23">
      <c r="A684" t="s">
        <v>151</v>
      </c>
      <c r="B684" t="s">
        <v>168</v>
      </c>
      <c r="C684" t="s">
        <v>339</v>
      </c>
      <c r="D684" t="s">
        <v>82</v>
      </c>
      <c r="E684" t="s">
        <v>215</v>
      </c>
      <c r="F684">
        <v>0</v>
      </c>
      <c r="G684">
        <v>26.56695198830932</v>
      </c>
      <c r="H684">
        <v>0</v>
      </c>
      <c r="I684">
        <v>0</v>
      </c>
      <c r="J684">
        <v>0</v>
      </c>
      <c r="K684">
        <v>0</v>
      </c>
      <c r="L684">
        <v>0</v>
      </c>
      <c r="M684" s="28">
        <v>0</v>
      </c>
      <c r="N684" s="28">
        <v>0</v>
      </c>
      <c r="O684">
        <v>0</v>
      </c>
      <c r="P684">
        <v>0</v>
      </c>
      <c r="Q684">
        <v>0</v>
      </c>
      <c r="R684">
        <v>0</v>
      </c>
      <c r="S684" s="28">
        <v>26.56695198830932</v>
      </c>
      <c r="T684" s="29">
        <f>SUM(BaseHoras[[#This Row],[Jan/2019]:[Mar/2019]])</f>
        <v>26.56695198830932</v>
      </c>
      <c r="U684" s="29">
        <f>SUM(BaseHoras[[#This Row],[Abr/2019]:[Jun/2019]])</f>
        <v>0</v>
      </c>
      <c r="V684" s="29">
        <f>SUM(BaseHoras[[#This Row],[Jul/2019]:[Set/2019]])</f>
        <v>0</v>
      </c>
      <c r="W684" s="29">
        <f>SUM(BaseHoras[[#This Row],[Out/2019]:[Dez/2019]])</f>
        <v>0</v>
      </c>
    </row>
    <row r="685" spans="1:23">
      <c r="A685" t="s">
        <v>151</v>
      </c>
      <c r="B685" t="s">
        <v>168</v>
      </c>
      <c r="C685" t="s">
        <v>339</v>
      </c>
      <c r="D685" t="s">
        <v>120</v>
      </c>
      <c r="E685" t="s">
        <v>215</v>
      </c>
      <c r="F685">
        <v>619.36651389864608</v>
      </c>
      <c r="G685">
        <v>189.2549617984767</v>
      </c>
      <c r="H685">
        <v>0</v>
      </c>
      <c r="I685">
        <v>297.50299884763109</v>
      </c>
      <c r="J685">
        <v>0</v>
      </c>
      <c r="K685">
        <v>0</v>
      </c>
      <c r="L685">
        <v>0</v>
      </c>
      <c r="M685" s="28">
        <v>0</v>
      </c>
      <c r="N685" s="28">
        <v>0</v>
      </c>
      <c r="O685">
        <v>0</v>
      </c>
      <c r="P685">
        <v>0</v>
      </c>
      <c r="Q685">
        <v>0</v>
      </c>
      <c r="R685">
        <v>0</v>
      </c>
      <c r="S685" s="28">
        <v>1106.1244745447539</v>
      </c>
      <c r="T685" s="29">
        <f>SUM(BaseHoras[[#This Row],[Jan/2019]:[Mar/2019]])</f>
        <v>808.62147569712283</v>
      </c>
      <c r="U685" s="29">
        <f>SUM(BaseHoras[[#This Row],[Abr/2019]:[Jun/2019]])</f>
        <v>297.50299884763109</v>
      </c>
      <c r="V685" s="29">
        <f>SUM(BaseHoras[[#This Row],[Jul/2019]:[Set/2019]])</f>
        <v>0</v>
      </c>
      <c r="W685" s="29">
        <f>SUM(BaseHoras[[#This Row],[Out/2019]:[Dez/2019]])</f>
        <v>0</v>
      </c>
    </row>
    <row r="686" spans="1:23">
      <c r="A686" t="s">
        <v>151</v>
      </c>
      <c r="B686" t="s">
        <v>168</v>
      </c>
      <c r="C686" t="s">
        <v>339</v>
      </c>
      <c r="D686" t="s">
        <v>132</v>
      </c>
      <c r="E686" t="s">
        <v>215</v>
      </c>
      <c r="F686">
        <v>5.3019449428152567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s="28">
        <v>0</v>
      </c>
      <c r="N686" s="28">
        <v>0</v>
      </c>
      <c r="O686">
        <v>0</v>
      </c>
      <c r="P686">
        <v>0</v>
      </c>
      <c r="Q686">
        <v>0</v>
      </c>
      <c r="R686">
        <v>0</v>
      </c>
      <c r="S686" s="28">
        <v>5.3019449428152567</v>
      </c>
      <c r="T686" s="29">
        <f>SUM(BaseHoras[[#This Row],[Jan/2019]:[Mar/2019]])</f>
        <v>5.3019449428152567</v>
      </c>
      <c r="U686" s="29">
        <f>SUM(BaseHoras[[#This Row],[Abr/2019]:[Jun/2019]])</f>
        <v>0</v>
      </c>
      <c r="V686" s="29">
        <f>SUM(BaseHoras[[#This Row],[Jul/2019]:[Set/2019]])</f>
        <v>0</v>
      </c>
      <c r="W686" s="29">
        <f>SUM(BaseHoras[[#This Row],[Out/2019]:[Dez/2019]])</f>
        <v>0</v>
      </c>
    </row>
    <row r="687" spans="1:23">
      <c r="A687" t="s">
        <v>151</v>
      </c>
      <c r="B687" t="s">
        <v>168</v>
      </c>
      <c r="C687" t="s">
        <v>340</v>
      </c>
      <c r="D687" t="s">
        <v>29</v>
      </c>
      <c r="E687" t="s">
        <v>215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279.84927223432942</v>
      </c>
      <c r="M687" s="28">
        <v>0</v>
      </c>
      <c r="N687" s="28">
        <v>0</v>
      </c>
      <c r="O687">
        <v>0</v>
      </c>
      <c r="P687">
        <v>0</v>
      </c>
      <c r="Q687">
        <v>0</v>
      </c>
      <c r="R687">
        <v>0</v>
      </c>
      <c r="S687" s="28">
        <v>279.84927223432942</v>
      </c>
      <c r="T687" s="29">
        <f>SUM(BaseHoras[[#This Row],[Jan/2019]:[Mar/2019]])</f>
        <v>0</v>
      </c>
      <c r="U687" s="29">
        <f>SUM(BaseHoras[[#This Row],[Abr/2019]:[Jun/2019]])</f>
        <v>0</v>
      </c>
      <c r="V687" s="29">
        <f>SUM(BaseHoras[[#This Row],[Jul/2019]:[Set/2019]])</f>
        <v>279.84927223432942</v>
      </c>
      <c r="W687" s="29">
        <f>SUM(BaseHoras[[#This Row],[Out/2019]:[Dez/2019]])</f>
        <v>0</v>
      </c>
    </row>
    <row r="688" spans="1:23">
      <c r="A688" t="s">
        <v>151</v>
      </c>
      <c r="B688" t="s">
        <v>168</v>
      </c>
      <c r="C688" t="s">
        <v>340</v>
      </c>
      <c r="D688" t="s">
        <v>30</v>
      </c>
      <c r="E688" t="s">
        <v>215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s="28">
        <v>56.109588996727574</v>
      </c>
      <c r="N688" s="28">
        <v>419.65497089468909</v>
      </c>
      <c r="O688">
        <v>702.99159100650661</v>
      </c>
      <c r="P688">
        <v>134.31208624065246</v>
      </c>
      <c r="Q688">
        <v>254.7571971735706</v>
      </c>
      <c r="R688">
        <v>0</v>
      </c>
      <c r="S688" s="28">
        <v>1567.8254343121464</v>
      </c>
      <c r="T688" s="29">
        <f>SUM(BaseHoras[[#This Row],[Jan/2019]:[Mar/2019]])</f>
        <v>0</v>
      </c>
      <c r="U688" s="29">
        <f>SUM(BaseHoras[[#This Row],[Abr/2019]:[Jun/2019]])</f>
        <v>0</v>
      </c>
      <c r="V688" s="29">
        <f>SUM(BaseHoras[[#This Row],[Jul/2019]:[Set/2019]])</f>
        <v>475.76455989141664</v>
      </c>
      <c r="W688" s="29">
        <f>SUM(BaseHoras[[#This Row],[Out/2019]:[Dez/2019]])</f>
        <v>1092.0608744207298</v>
      </c>
    </row>
    <row r="689" spans="1:23">
      <c r="A689" t="s">
        <v>151</v>
      </c>
      <c r="B689" t="s">
        <v>168</v>
      </c>
      <c r="C689" t="s">
        <v>340</v>
      </c>
      <c r="D689" t="s">
        <v>35</v>
      </c>
      <c r="E689" t="s">
        <v>215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89.016202743220617</v>
      </c>
      <c r="M689" s="28">
        <v>0</v>
      </c>
      <c r="N689" s="28">
        <v>0</v>
      </c>
      <c r="O689">
        <v>116.0113325480597</v>
      </c>
      <c r="P689">
        <v>19.088507241307667</v>
      </c>
      <c r="Q689">
        <v>128.34537358906954</v>
      </c>
      <c r="R689">
        <v>0</v>
      </c>
      <c r="S689" s="28">
        <v>352.46141612165752</v>
      </c>
      <c r="T689" s="29">
        <f>SUM(BaseHoras[[#This Row],[Jan/2019]:[Mar/2019]])</f>
        <v>0</v>
      </c>
      <c r="U689" s="29">
        <f>SUM(BaseHoras[[#This Row],[Abr/2019]:[Jun/2019]])</f>
        <v>0</v>
      </c>
      <c r="V689" s="29">
        <f>SUM(BaseHoras[[#This Row],[Jul/2019]:[Set/2019]])</f>
        <v>89.016202743220617</v>
      </c>
      <c r="W689" s="29">
        <f>SUM(BaseHoras[[#This Row],[Out/2019]:[Dez/2019]])</f>
        <v>263.4452133784369</v>
      </c>
    </row>
    <row r="690" spans="1:23">
      <c r="A690" t="s">
        <v>151</v>
      </c>
      <c r="B690" t="s">
        <v>168</v>
      </c>
      <c r="C690" t="s">
        <v>340</v>
      </c>
      <c r="D690" t="s">
        <v>41</v>
      </c>
      <c r="E690" t="s">
        <v>215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s="28">
        <v>0</v>
      </c>
      <c r="N690" s="28">
        <v>0</v>
      </c>
      <c r="O690">
        <v>0</v>
      </c>
      <c r="P690">
        <v>27.643246388830978</v>
      </c>
      <c r="Q690">
        <v>477.31752754101637</v>
      </c>
      <c r="R690">
        <v>0</v>
      </c>
      <c r="S690" s="28">
        <v>504.96077392984733</v>
      </c>
      <c r="T690" s="29">
        <f>SUM(BaseHoras[[#This Row],[Jan/2019]:[Mar/2019]])</f>
        <v>0</v>
      </c>
      <c r="U690" s="29">
        <f>SUM(BaseHoras[[#This Row],[Abr/2019]:[Jun/2019]])</f>
        <v>0</v>
      </c>
      <c r="V690" s="29">
        <f>SUM(BaseHoras[[#This Row],[Jul/2019]:[Set/2019]])</f>
        <v>0</v>
      </c>
      <c r="W690" s="29">
        <f>SUM(BaseHoras[[#This Row],[Out/2019]:[Dez/2019]])</f>
        <v>504.96077392984733</v>
      </c>
    </row>
    <row r="691" spans="1:23">
      <c r="A691" t="s">
        <v>151</v>
      </c>
      <c r="B691" t="s">
        <v>168</v>
      </c>
      <c r="C691" t="s">
        <v>340</v>
      </c>
      <c r="D691" t="s">
        <v>49</v>
      </c>
      <c r="E691" t="s">
        <v>215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s="28">
        <v>59.308180719482444</v>
      </c>
      <c r="N691" s="28">
        <v>72.989283054122993</v>
      </c>
      <c r="O691">
        <v>669.00309066723969</v>
      </c>
      <c r="P691">
        <v>15.231027223001165</v>
      </c>
      <c r="Q691">
        <v>28.01145495053478</v>
      </c>
      <c r="R691">
        <v>0</v>
      </c>
      <c r="S691" s="28">
        <v>844.54303661438121</v>
      </c>
      <c r="T691" s="29">
        <f>SUM(BaseHoras[[#This Row],[Jan/2019]:[Mar/2019]])</f>
        <v>0</v>
      </c>
      <c r="U691" s="29">
        <f>SUM(BaseHoras[[#This Row],[Abr/2019]:[Jun/2019]])</f>
        <v>0</v>
      </c>
      <c r="V691" s="29">
        <f>SUM(BaseHoras[[#This Row],[Jul/2019]:[Set/2019]])</f>
        <v>132.29746377360544</v>
      </c>
      <c r="W691" s="29">
        <f>SUM(BaseHoras[[#This Row],[Out/2019]:[Dez/2019]])</f>
        <v>712.24557284077571</v>
      </c>
    </row>
    <row r="692" spans="1:23">
      <c r="A692" t="s">
        <v>151</v>
      </c>
      <c r="B692" t="s">
        <v>168</v>
      </c>
      <c r="C692" t="s">
        <v>340</v>
      </c>
      <c r="D692" t="s">
        <v>55</v>
      </c>
      <c r="E692" t="s">
        <v>215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s="28" t="s">
        <v>395</v>
      </c>
      <c r="N692" s="28">
        <v>0</v>
      </c>
      <c r="O692">
        <v>10.171126525844684</v>
      </c>
      <c r="P692">
        <v>0</v>
      </c>
      <c r="Q692">
        <v>0</v>
      </c>
      <c r="R692">
        <v>0</v>
      </c>
      <c r="S692" s="28">
        <v>10.171126525844684</v>
      </c>
      <c r="T692" s="29">
        <f>SUM(BaseHoras[[#This Row],[Jan/2019]:[Mar/2019]])</f>
        <v>0</v>
      </c>
      <c r="U692" s="29">
        <f>SUM(BaseHoras[[#This Row],[Abr/2019]:[Jun/2019]])</f>
        <v>0</v>
      </c>
      <c r="V692" s="29">
        <f>SUM(BaseHoras[[#This Row],[Jul/2019]:[Set/2019]])</f>
        <v>0</v>
      </c>
      <c r="W692" s="29">
        <f>SUM(BaseHoras[[#This Row],[Out/2019]:[Dez/2019]])</f>
        <v>10.171126525844684</v>
      </c>
    </row>
    <row r="693" spans="1:23">
      <c r="A693" t="s">
        <v>151</v>
      </c>
      <c r="B693" t="s">
        <v>168</v>
      </c>
      <c r="C693" t="s">
        <v>340</v>
      </c>
      <c r="D693" t="s">
        <v>60</v>
      </c>
      <c r="E693" t="s">
        <v>215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139.14851881716521</v>
      </c>
      <c r="M693" s="28">
        <v>2288.4965477660885</v>
      </c>
      <c r="N693" s="28">
        <v>716.30528939712838</v>
      </c>
      <c r="O693">
        <v>23778.105822435664</v>
      </c>
      <c r="P693">
        <v>19.793411328412137</v>
      </c>
      <c r="Q693">
        <v>36.579428078496214</v>
      </c>
      <c r="R693">
        <v>0</v>
      </c>
      <c r="S693" s="28">
        <v>26978.429017822957</v>
      </c>
      <c r="T693" s="29">
        <f>SUM(BaseHoras[[#This Row],[Jan/2019]:[Mar/2019]])</f>
        <v>0</v>
      </c>
      <c r="U693" s="29">
        <f>SUM(BaseHoras[[#This Row],[Abr/2019]:[Jun/2019]])</f>
        <v>0</v>
      </c>
      <c r="V693" s="29">
        <f>SUM(BaseHoras[[#This Row],[Jul/2019]:[Set/2019]])</f>
        <v>3143.950355980382</v>
      </c>
      <c r="W693" s="29">
        <f>SUM(BaseHoras[[#This Row],[Out/2019]:[Dez/2019]])</f>
        <v>23834.478661842575</v>
      </c>
    </row>
    <row r="694" spans="1:23">
      <c r="A694" t="s">
        <v>151</v>
      </c>
      <c r="B694" t="s">
        <v>168</v>
      </c>
      <c r="C694" t="s">
        <v>340</v>
      </c>
      <c r="D694" t="s">
        <v>81</v>
      </c>
      <c r="E694" t="s">
        <v>215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s="28">
        <v>0</v>
      </c>
      <c r="N694" s="28">
        <v>0</v>
      </c>
      <c r="O694">
        <v>0</v>
      </c>
      <c r="P694">
        <v>234.07357343513354</v>
      </c>
      <c r="Q694">
        <v>0</v>
      </c>
      <c r="R694">
        <v>0</v>
      </c>
      <c r="S694" s="28">
        <v>234.07357343513354</v>
      </c>
      <c r="T694" s="29">
        <f>SUM(BaseHoras[[#This Row],[Jan/2019]:[Mar/2019]])</f>
        <v>0</v>
      </c>
      <c r="U694" s="29">
        <f>SUM(BaseHoras[[#This Row],[Abr/2019]:[Jun/2019]])</f>
        <v>0</v>
      </c>
      <c r="V694" s="29">
        <f>SUM(BaseHoras[[#This Row],[Jul/2019]:[Set/2019]])</f>
        <v>0</v>
      </c>
      <c r="W694" s="29">
        <f>SUM(BaseHoras[[#This Row],[Out/2019]:[Dez/2019]])</f>
        <v>234.07357343513354</v>
      </c>
    </row>
    <row r="695" spans="1:23">
      <c r="A695" t="s">
        <v>151</v>
      </c>
      <c r="B695" t="s">
        <v>168</v>
      </c>
      <c r="C695" t="s">
        <v>340</v>
      </c>
      <c r="D695" t="s">
        <v>87</v>
      </c>
      <c r="E695" t="s">
        <v>215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s="28">
        <v>410.27487325121388</v>
      </c>
      <c r="N695" s="28">
        <v>0</v>
      </c>
      <c r="O695">
        <v>157.11000301486456</v>
      </c>
      <c r="P695">
        <v>239.18655359055117</v>
      </c>
      <c r="Q695">
        <v>0</v>
      </c>
      <c r="R695">
        <v>0</v>
      </c>
      <c r="S695" s="28">
        <v>806.57142985662961</v>
      </c>
      <c r="T695" s="29">
        <f>SUM(BaseHoras[[#This Row],[Jan/2019]:[Mar/2019]])</f>
        <v>0</v>
      </c>
      <c r="U695" s="29">
        <f>SUM(BaseHoras[[#This Row],[Abr/2019]:[Jun/2019]])</f>
        <v>0</v>
      </c>
      <c r="V695" s="29">
        <f>SUM(BaseHoras[[#This Row],[Jul/2019]:[Set/2019]])</f>
        <v>410.27487325121388</v>
      </c>
      <c r="W695" s="29">
        <f>SUM(BaseHoras[[#This Row],[Out/2019]:[Dez/2019]])</f>
        <v>396.29655660541573</v>
      </c>
    </row>
    <row r="696" spans="1:23">
      <c r="A696" t="s">
        <v>151</v>
      </c>
      <c r="B696" t="s">
        <v>168</v>
      </c>
      <c r="C696" t="s">
        <v>340</v>
      </c>
      <c r="D696" t="s">
        <v>93</v>
      </c>
      <c r="E696" t="s">
        <v>215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s="28">
        <v>0</v>
      </c>
      <c r="N696" s="28">
        <v>0</v>
      </c>
      <c r="O696">
        <v>0</v>
      </c>
      <c r="P696">
        <v>3.2902688160570599</v>
      </c>
      <c r="Q696">
        <v>0</v>
      </c>
      <c r="R696">
        <v>0</v>
      </c>
      <c r="S696" s="28">
        <v>3.2902688160570599</v>
      </c>
      <c r="T696" s="29">
        <f>SUM(BaseHoras[[#This Row],[Jan/2019]:[Mar/2019]])</f>
        <v>0</v>
      </c>
      <c r="U696" s="29">
        <f>SUM(BaseHoras[[#This Row],[Abr/2019]:[Jun/2019]])</f>
        <v>0</v>
      </c>
      <c r="V696" s="29">
        <f>SUM(BaseHoras[[#This Row],[Jul/2019]:[Set/2019]])</f>
        <v>0</v>
      </c>
      <c r="W696" s="29">
        <f>SUM(BaseHoras[[#This Row],[Out/2019]:[Dez/2019]])</f>
        <v>3.2902688160570599</v>
      </c>
    </row>
    <row r="697" spans="1:23">
      <c r="A697" t="s">
        <v>151</v>
      </c>
      <c r="B697" t="s">
        <v>168</v>
      </c>
      <c r="C697" t="s">
        <v>340</v>
      </c>
      <c r="D697" t="s">
        <v>100</v>
      </c>
      <c r="E697" t="s">
        <v>215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s="28">
        <v>0</v>
      </c>
      <c r="N697" s="28">
        <v>0</v>
      </c>
      <c r="O697">
        <v>0</v>
      </c>
      <c r="P697">
        <v>0</v>
      </c>
      <c r="Q697">
        <v>7.3360683669396582</v>
      </c>
      <c r="R697">
        <v>0</v>
      </c>
      <c r="S697" s="28">
        <v>7.3360683669396582</v>
      </c>
      <c r="T697" s="29">
        <f>SUM(BaseHoras[[#This Row],[Jan/2019]:[Mar/2019]])</f>
        <v>0</v>
      </c>
      <c r="U697" s="29">
        <f>SUM(BaseHoras[[#This Row],[Abr/2019]:[Jun/2019]])</f>
        <v>0</v>
      </c>
      <c r="V697" s="29">
        <f>SUM(BaseHoras[[#This Row],[Jul/2019]:[Set/2019]])</f>
        <v>0</v>
      </c>
      <c r="W697" s="29">
        <f>SUM(BaseHoras[[#This Row],[Out/2019]:[Dez/2019]])</f>
        <v>7.3360683669396582</v>
      </c>
    </row>
    <row r="698" spans="1:23">
      <c r="A698" t="s">
        <v>151</v>
      </c>
      <c r="B698" t="s">
        <v>168</v>
      </c>
      <c r="C698" t="s">
        <v>340</v>
      </c>
      <c r="D698" t="s">
        <v>102</v>
      </c>
      <c r="E698" t="s">
        <v>215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s="28">
        <v>0</v>
      </c>
      <c r="N698" s="28">
        <v>2.5230133084308588</v>
      </c>
      <c r="O698">
        <v>92.091454298596204</v>
      </c>
      <c r="P698">
        <v>0</v>
      </c>
      <c r="Q698">
        <v>0</v>
      </c>
      <c r="R698">
        <v>0</v>
      </c>
      <c r="S698" s="28">
        <v>94.614467607027066</v>
      </c>
      <c r="T698" s="29">
        <f>SUM(BaseHoras[[#This Row],[Jan/2019]:[Mar/2019]])</f>
        <v>0</v>
      </c>
      <c r="U698" s="29">
        <f>SUM(BaseHoras[[#This Row],[Abr/2019]:[Jun/2019]])</f>
        <v>0</v>
      </c>
      <c r="V698" s="29">
        <f>SUM(BaseHoras[[#This Row],[Jul/2019]:[Set/2019]])</f>
        <v>2.5230133084308588</v>
      </c>
      <c r="W698" s="29">
        <f>SUM(BaseHoras[[#This Row],[Out/2019]:[Dez/2019]])</f>
        <v>92.091454298596204</v>
      </c>
    </row>
    <row r="699" spans="1:23">
      <c r="A699" t="s">
        <v>151</v>
      </c>
      <c r="B699" t="s">
        <v>168</v>
      </c>
      <c r="C699" t="s">
        <v>340</v>
      </c>
      <c r="D699" t="s">
        <v>107</v>
      </c>
      <c r="E699" t="s">
        <v>215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s="28">
        <v>9446.9062171249043</v>
      </c>
      <c r="N699" s="28">
        <v>47.105758780443608</v>
      </c>
      <c r="O699">
        <v>33.424817163032699</v>
      </c>
      <c r="P699">
        <v>0</v>
      </c>
      <c r="Q699">
        <v>0</v>
      </c>
      <c r="R699">
        <v>0</v>
      </c>
      <c r="S699" s="28">
        <v>9527.436793068382</v>
      </c>
      <c r="T699" s="29">
        <f>SUM(BaseHoras[[#This Row],[Jan/2019]:[Mar/2019]])</f>
        <v>0</v>
      </c>
      <c r="U699" s="29">
        <f>SUM(BaseHoras[[#This Row],[Abr/2019]:[Jun/2019]])</f>
        <v>0</v>
      </c>
      <c r="V699" s="29">
        <f>SUM(BaseHoras[[#This Row],[Jul/2019]:[Set/2019]])</f>
        <v>9494.0119759053487</v>
      </c>
      <c r="W699" s="29">
        <f>SUM(BaseHoras[[#This Row],[Out/2019]:[Dez/2019]])</f>
        <v>33.424817163032699</v>
      </c>
    </row>
    <row r="700" spans="1:23">
      <c r="A700" t="s">
        <v>151</v>
      </c>
      <c r="B700" t="s">
        <v>168</v>
      </c>
      <c r="C700" t="s">
        <v>340</v>
      </c>
      <c r="D700" t="s">
        <v>153</v>
      </c>
      <c r="E700" t="s">
        <v>215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s="28">
        <v>0</v>
      </c>
      <c r="N700" s="28">
        <v>0</v>
      </c>
      <c r="O700">
        <v>0</v>
      </c>
      <c r="P700">
        <v>8.8383942885553246</v>
      </c>
      <c r="Q700">
        <v>323.84120193572187</v>
      </c>
      <c r="R700">
        <v>0</v>
      </c>
      <c r="S700" s="28">
        <v>332.67959622427719</v>
      </c>
      <c r="T700" s="29">
        <f>SUM(BaseHoras[[#This Row],[Jan/2019]:[Mar/2019]])</f>
        <v>0</v>
      </c>
      <c r="U700" s="29">
        <f>SUM(BaseHoras[[#This Row],[Abr/2019]:[Jun/2019]])</f>
        <v>0</v>
      </c>
      <c r="V700" s="29">
        <f>SUM(BaseHoras[[#This Row],[Jul/2019]:[Set/2019]])</f>
        <v>0</v>
      </c>
      <c r="W700" s="29">
        <f>SUM(BaseHoras[[#This Row],[Out/2019]:[Dez/2019]])</f>
        <v>332.67959622427719</v>
      </c>
    </row>
    <row r="701" spans="1:23">
      <c r="A701" t="s">
        <v>151</v>
      </c>
      <c r="B701" t="s">
        <v>168</v>
      </c>
      <c r="C701" t="s">
        <v>340</v>
      </c>
      <c r="D701" t="s">
        <v>109</v>
      </c>
      <c r="E701" t="s">
        <v>215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s="28">
        <v>0</v>
      </c>
      <c r="N701" s="28">
        <v>0</v>
      </c>
      <c r="O701">
        <v>0</v>
      </c>
      <c r="P701">
        <v>65.918869216262507</v>
      </c>
      <c r="Q701">
        <v>207.84106941214182</v>
      </c>
      <c r="R701">
        <v>0</v>
      </c>
      <c r="S701" s="28">
        <v>273.75993862840431</v>
      </c>
      <c r="T701" s="29">
        <f>SUM(BaseHoras[[#This Row],[Jan/2019]:[Mar/2019]])</f>
        <v>0</v>
      </c>
      <c r="U701" s="29">
        <f>SUM(BaseHoras[[#This Row],[Abr/2019]:[Jun/2019]])</f>
        <v>0</v>
      </c>
      <c r="V701" s="29">
        <f>SUM(BaseHoras[[#This Row],[Jul/2019]:[Set/2019]])</f>
        <v>0</v>
      </c>
      <c r="W701" s="29">
        <f>SUM(BaseHoras[[#This Row],[Out/2019]:[Dez/2019]])</f>
        <v>273.75993862840431</v>
      </c>
    </row>
    <row r="702" spans="1:23">
      <c r="A702" t="s">
        <v>151</v>
      </c>
      <c r="B702" t="s">
        <v>168</v>
      </c>
      <c r="C702" t="s">
        <v>340</v>
      </c>
      <c r="D702" t="s">
        <v>136</v>
      </c>
      <c r="E702" t="s">
        <v>215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s="28">
        <v>0</v>
      </c>
      <c r="N702" s="28">
        <v>0</v>
      </c>
      <c r="O702">
        <v>3.8736288384547537</v>
      </c>
      <c r="P702">
        <v>33.597479708180195</v>
      </c>
      <c r="Q702">
        <v>0</v>
      </c>
      <c r="R702">
        <v>0</v>
      </c>
      <c r="S702" s="28">
        <v>37.471108546634952</v>
      </c>
      <c r="T702" s="29">
        <f>SUM(BaseHoras[[#This Row],[Jan/2019]:[Mar/2019]])</f>
        <v>0</v>
      </c>
      <c r="U702" s="29">
        <f>SUM(BaseHoras[[#This Row],[Abr/2019]:[Jun/2019]])</f>
        <v>0</v>
      </c>
      <c r="V702" s="29">
        <f>SUM(BaseHoras[[#This Row],[Jul/2019]:[Set/2019]])</f>
        <v>0</v>
      </c>
      <c r="W702" s="29">
        <f>SUM(BaseHoras[[#This Row],[Out/2019]:[Dez/2019]])</f>
        <v>37.471108546634952</v>
      </c>
    </row>
    <row r="703" spans="1:23">
      <c r="A703" t="s">
        <v>151</v>
      </c>
      <c r="B703" t="s">
        <v>168</v>
      </c>
      <c r="C703" t="s">
        <v>340</v>
      </c>
      <c r="D703" t="s">
        <v>138</v>
      </c>
      <c r="E703" t="s">
        <v>215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60.139165255833518</v>
      </c>
      <c r="M703" s="28">
        <v>0</v>
      </c>
      <c r="N703" s="28">
        <v>0</v>
      </c>
      <c r="O703">
        <v>177.58799189310452</v>
      </c>
      <c r="P703">
        <v>11.128229852262278</v>
      </c>
      <c r="Q703">
        <v>0</v>
      </c>
      <c r="R703">
        <v>0</v>
      </c>
      <c r="S703" s="28">
        <v>248.85538700120031</v>
      </c>
      <c r="T703" s="29">
        <f>SUM(BaseHoras[[#This Row],[Jan/2019]:[Mar/2019]])</f>
        <v>0</v>
      </c>
      <c r="U703" s="29">
        <f>SUM(BaseHoras[[#This Row],[Abr/2019]:[Jun/2019]])</f>
        <v>0</v>
      </c>
      <c r="V703" s="29">
        <f>SUM(BaseHoras[[#This Row],[Jul/2019]:[Set/2019]])</f>
        <v>60.139165255833518</v>
      </c>
      <c r="W703" s="29">
        <f>SUM(BaseHoras[[#This Row],[Out/2019]:[Dez/2019]])</f>
        <v>188.71622174536679</v>
      </c>
    </row>
    <row r="704" spans="1:23">
      <c r="A704" t="s">
        <v>151</v>
      </c>
      <c r="B704" t="s">
        <v>168</v>
      </c>
      <c r="C704" t="s">
        <v>341</v>
      </c>
      <c r="D704" t="s">
        <v>36</v>
      </c>
      <c r="E704" t="s">
        <v>203</v>
      </c>
      <c r="F704">
        <v>14.236295587084379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s="28">
        <v>0</v>
      </c>
      <c r="N704" s="28">
        <v>0</v>
      </c>
      <c r="O704">
        <v>0</v>
      </c>
      <c r="P704">
        <v>0</v>
      </c>
      <c r="Q704">
        <v>0</v>
      </c>
      <c r="R704">
        <v>0</v>
      </c>
      <c r="S704" s="28">
        <v>14.236295587084379</v>
      </c>
      <c r="T704" s="29">
        <f>SUM(BaseHoras[[#This Row],[Jan/2019]:[Mar/2019]])</f>
        <v>14.236295587084379</v>
      </c>
      <c r="U704" s="29">
        <f>SUM(BaseHoras[[#This Row],[Abr/2019]:[Jun/2019]])</f>
        <v>0</v>
      </c>
      <c r="V704" s="29">
        <f>SUM(BaseHoras[[#This Row],[Jul/2019]:[Set/2019]])</f>
        <v>0</v>
      </c>
      <c r="W704" s="29">
        <f>SUM(BaseHoras[[#This Row],[Out/2019]:[Dez/2019]])</f>
        <v>0</v>
      </c>
    </row>
    <row r="705" spans="1:23">
      <c r="A705" t="s">
        <v>151</v>
      </c>
      <c r="B705" t="s">
        <v>168</v>
      </c>
      <c r="C705" t="s">
        <v>341</v>
      </c>
      <c r="D705" t="s">
        <v>64</v>
      </c>
      <c r="E705" t="s">
        <v>203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s="28">
        <v>0</v>
      </c>
      <c r="N705" s="28">
        <v>0</v>
      </c>
      <c r="O705">
        <v>42.285055162703756</v>
      </c>
      <c r="P705">
        <v>0</v>
      </c>
      <c r="Q705">
        <v>0</v>
      </c>
      <c r="R705">
        <v>0</v>
      </c>
      <c r="S705" s="28">
        <v>42.285055162703756</v>
      </c>
      <c r="T705" s="29">
        <f>SUM(BaseHoras[[#This Row],[Jan/2019]:[Mar/2019]])</f>
        <v>0</v>
      </c>
      <c r="U705" s="29">
        <f>SUM(BaseHoras[[#This Row],[Abr/2019]:[Jun/2019]])</f>
        <v>0</v>
      </c>
      <c r="V705" s="29">
        <f>SUM(BaseHoras[[#This Row],[Jul/2019]:[Set/2019]])</f>
        <v>0</v>
      </c>
      <c r="W705" s="29">
        <f>SUM(BaseHoras[[#This Row],[Out/2019]:[Dez/2019]])</f>
        <v>42.285055162703756</v>
      </c>
    </row>
    <row r="706" spans="1:23">
      <c r="A706" t="s">
        <v>151</v>
      </c>
      <c r="B706" t="s">
        <v>168</v>
      </c>
      <c r="C706" t="s">
        <v>341</v>
      </c>
      <c r="D706" t="s">
        <v>144</v>
      </c>
      <c r="E706" t="s">
        <v>203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14.202302200510157</v>
      </c>
      <c r="L706">
        <v>0</v>
      </c>
      <c r="M706" s="28">
        <v>0</v>
      </c>
      <c r="N706" s="28">
        <v>0</v>
      </c>
      <c r="O706">
        <v>0</v>
      </c>
      <c r="P706">
        <v>0</v>
      </c>
      <c r="Q706">
        <v>0</v>
      </c>
      <c r="R706">
        <v>0</v>
      </c>
      <c r="S706" s="28">
        <v>14.202302200510157</v>
      </c>
      <c r="T706" s="29">
        <f>SUM(BaseHoras[[#This Row],[Jan/2019]:[Mar/2019]])</f>
        <v>0</v>
      </c>
      <c r="U706" s="29">
        <f>SUM(BaseHoras[[#This Row],[Abr/2019]:[Jun/2019]])</f>
        <v>14.202302200510157</v>
      </c>
      <c r="V706" s="29">
        <f>SUM(BaseHoras[[#This Row],[Jul/2019]:[Set/2019]])</f>
        <v>0</v>
      </c>
      <c r="W706" s="29">
        <f>SUM(BaseHoras[[#This Row],[Out/2019]:[Dez/2019]])</f>
        <v>0</v>
      </c>
    </row>
    <row r="707" spans="1:23">
      <c r="A707" t="s">
        <v>151</v>
      </c>
      <c r="B707" t="s">
        <v>168</v>
      </c>
      <c r="C707" t="s">
        <v>342</v>
      </c>
      <c r="D707" t="s">
        <v>30</v>
      </c>
      <c r="E707" t="s">
        <v>203</v>
      </c>
      <c r="F707">
        <v>560.1657652215107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s="28">
        <v>0</v>
      </c>
      <c r="N707" s="28">
        <v>0</v>
      </c>
      <c r="O707">
        <v>0</v>
      </c>
      <c r="P707">
        <v>0</v>
      </c>
      <c r="Q707">
        <v>0</v>
      </c>
      <c r="R707">
        <v>0</v>
      </c>
      <c r="S707" s="28">
        <v>560.1657652215107</v>
      </c>
      <c r="T707" s="29">
        <f>SUM(BaseHoras[[#This Row],[Jan/2019]:[Mar/2019]])</f>
        <v>560.1657652215107</v>
      </c>
      <c r="U707" s="29">
        <f>SUM(BaseHoras[[#This Row],[Abr/2019]:[Jun/2019]])</f>
        <v>0</v>
      </c>
      <c r="V707" s="29">
        <f>SUM(BaseHoras[[#This Row],[Jul/2019]:[Set/2019]])</f>
        <v>0</v>
      </c>
      <c r="W707" s="29">
        <f>SUM(BaseHoras[[#This Row],[Out/2019]:[Dez/2019]])</f>
        <v>0</v>
      </c>
    </row>
    <row r="708" spans="1:23">
      <c r="A708" t="s">
        <v>151</v>
      </c>
      <c r="B708" t="s">
        <v>168</v>
      </c>
      <c r="C708" t="s">
        <v>342</v>
      </c>
      <c r="D708" t="s">
        <v>57</v>
      </c>
      <c r="E708" t="s">
        <v>203</v>
      </c>
      <c r="F708">
        <v>431.27451809498911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s="28">
        <v>0</v>
      </c>
      <c r="N708" s="28">
        <v>0</v>
      </c>
      <c r="O708">
        <v>0</v>
      </c>
      <c r="P708">
        <v>0</v>
      </c>
      <c r="Q708">
        <v>0</v>
      </c>
      <c r="R708">
        <v>0</v>
      </c>
      <c r="S708" s="28">
        <v>431.27451809498911</v>
      </c>
      <c r="T708" s="29">
        <f>SUM(BaseHoras[[#This Row],[Jan/2019]:[Mar/2019]])</f>
        <v>431.27451809498911</v>
      </c>
      <c r="U708" s="29">
        <f>SUM(BaseHoras[[#This Row],[Abr/2019]:[Jun/2019]])</f>
        <v>0</v>
      </c>
      <c r="V708" s="29">
        <f>SUM(BaseHoras[[#This Row],[Jul/2019]:[Set/2019]])</f>
        <v>0</v>
      </c>
      <c r="W708" s="29">
        <f>SUM(BaseHoras[[#This Row],[Out/2019]:[Dez/2019]])</f>
        <v>0</v>
      </c>
    </row>
    <row r="709" spans="1:23">
      <c r="A709" t="s">
        <v>151</v>
      </c>
      <c r="B709" t="s">
        <v>168</v>
      </c>
      <c r="C709" t="s">
        <v>342</v>
      </c>
      <c r="D709" t="s">
        <v>101</v>
      </c>
      <c r="E709" t="s">
        <v>203</v>
      </c>
      <c r="F709">
        <v>0</v>
      </c>
      <c r="G709">
        <v>45.392671296614026</v>
      </c>
      <c r="H709">
        <v>0</v>
      </c>
      <c r="I709">
        <v>0</v>
      </c>
      <c r="J709">
        <v>0</v>
      </c>
      <c r="K709">
        <v>0</v>
      </c>
      <c r="L709">
        <v>0</v>
      </c>
      <c r="M709" s="28">
        <v>0</v>
      </c>
      <c r="N709" s="28">
        <v>0</v>
      </c>
      <c r="O709">
        <v>0</v>
      </c>
      <c r="P709">
        <v>0</v>
      </c>
      <c r="Q709">
        <v>0</v>
      </c>
      <c r="R709">
        <v>0</v>
      </c>
      <c r="S709" s="28">
        <v>45.392671296614026</v>
      </c>
      <c r="T709" s="29">
        <f>SUM(BaseHoras[[#This Row],[Jan/2019]:[Mar/2019]])</f>
        <v>45.392671296614026</v>
      </c>
      <c r="U709" s="29">
        <f>SUM(BaseHoras[[#This Row],[Abr/2019]:[Jun/2019]])</f>
        <v>0</v>
      </c>
      <c r="V709" s="29">
        <f>SUM(BaseHoras[[#This Row],[Jul/2019]:[Set/2019]])</f>
        <v>0</v>
      </c>
      <c r="W709" s="29">
        <f>SUM(BaseHoras[[#This Row],[Out/2019]:[Dez/2019]])</f>
        <v>0</v>
      </c>
    </row>
    <row r="710" spans="1:23">
      <c r="A710" t="s">
        <v>151</v>
      </c>
      <c r="B710" t="s">
        <v>168</v>
      </c>
      <c r="C710" t="s">
        <v>343</v>
      </c>
      <c r="D710" t="s">
        <v>30</v>
      </c>
      <c r="E710" t="s">
        <v>203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s="28">
        <v>0</v>
      </c>
      <c r="N710" s="28">
        <v>0</v>
      </c>
      <c r="O710">
        <v>0</v>
      </c>
      <c r="P710">
        <v>32.179701282787981</v>
      </c>
      <c r="Q710">
        <v>31.35842100881198</v>
      </c>
      <c r="R710">
        <v>0</v>
      </c>
      <c r="S710" s="28">
        <v>63.538122291599961</v>
      </c>
      <c r="T710" s="29">
        <f>SUM(BaseHoras[[#This Row],[Jan/2019]:[Mar/2019]])</f>
        <v>0</v>
      </c>
      <c r="U710" s="29">
        <f>SUM(BaseHoras[[#This Row],[Abr/2019]:[Jun/2019]])</f>
        <v>0</v>
      </c>
      <c r="V710" s="29">
        <f>SUM(BaseHoras[[#This Row],[Jul/2019]:[Set/2019]])</f>
        <v>0</v>
      </c>
      <c r="W710" s="29">
        <f>SUM(BaseHoras[[#This Row],[Out/2019]:[Dez/2019]])</f>
        <v>63.538122291599961</v>
      </c>
    </row>
    <row r="711" spans="1:23">
      <c r="A711" t="s">
        <v>151</v>
      </c>
      <c r="B711" t="s">
        <v>168</v>
      </c>
      <c r="C711" t="s">
        <v>343</v>
      </c>
      <c r="D711" t="s">
        <v>64</v>
      </c>
      <c r="E711" t="s">
        <v>203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s="28">
        <v>0</v>
      </c>
      <c r="N711" s="28">
        <v>0</v>
      </c>
      <c r="O711">
        <v>0</v>
      </c>
      <c r="P711">
        <v>57.09003052038117</v>
      </c>
      <c r="Q711">
        <v>272.8917963617825</v>
      </c>
      <c r="R711">
        <v>0</v>
      </c>
      <c r="S711" s="28">
        <v>329.98182688216366</v>
      </c>
      <c r="T711" s="29">
        <f>SUM(BaseHoras[[#This Row],[Jan/2019]:[Mar/2019]])</f>
        <v>0</v>
      </c>
      <c r="U711" s="29">
        <f>SUM(BaseHoras[[#This Row],[Abr/2019]:[Jun/2019]])</f>
        <v>0</v>
      </c>
      <c r="V711" s="29">
        <f>SUM(BaseHoras[[#This Row],[Jul/2019]:[Set/2019]])</f>
        <v>0</v>
      </c>
      <c r="W711" s="29">
        <f>SUM(BaseHoras[[#This Row],[Out/2019]:[Dez/2019]])</f>
        <v>329.98182688216366</v>
      </c>
    </row>
    <row r="712" spans="1:23">
      <c r="A712" t="s">
        <v>151</v>
      </c>
      <c r="B712" t="s">
        <v>168</v>
      </c>
      <c r="C712" t="s">
        <v>343</v>
      </c>
      <c r="D712" t="s">
        <v>87</v>
      </c>
      <c r="E712" t="s">
        <v>203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s="28">
        <v>0</v>
      </c>
      <c r="N712" s="28">
        <v>0</v>
      </c>
      <c r="O712">
        <v>18.888076373598675</v>
      </c>
      <c r="P712">
        <v>0</v>
      </c>
      <c r="Q712">
        <v>10.529839237310211</v>
      </c>
      <c r="R712">
        <v>0</v>
      </c>
      <c r="S712" s="28">
        <v>29.417915610908885</v>
      </c>
      <c r="T712" s="29">
        <f>SUM(BaseHoras[[#This Row],[Jan/2019]:[Mar/2019]])</f>
        <v>0</v>
      </c>
      <c r="U712" s="29">
        <f>SUM(BaseHoras[[#This Row],[Abr/2019]:[Jun/2019]])</f>
        <v>0</v>
      </c>
      <c r="V712" s="29">
        <f>SUM(BaseHoras[[#This Row],[Jul/2019]:[Set/2019]])</f>
        <v>0</v>
      </c>
      <c r="W712" s="29">
        <f>SUM(BaseHoras[[#This Row],[Out/2019]:[Dez/2019]])</f>
        <v>29.417915610908885</v>
      </c>
    </row>
    <row r="713" spans="1:23">
      <c r="A713" t="s">
        <v>151</v>
      </c>
      <c r="B713" t="s">
        <v>168</v>
      </c>
      <c r="C713" t="s">
        <v>343</v>
      </c>
      <c r="D713" t="s">
        <v>101</v>
      </c>
      <c r="E713" t="s">
        <v>203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s="28">
        <v>0</v>
      </c>
      <c r="N713" s="28">
        <v>0</v>
      </c>
      <c r="O713">
        <v>0</v>
      </c>
      <c r="P713">
        <v>0</v>
      </c>
      <c r="Q713">
        <v>29.329806432776039</v>
      </c>
      <c r="R713">
        <v>0</v>
      </c>
      <c r="S713" s="28">
        <v>29.329806432776039</v>
      </c>
      <c r="T713" s="29">
        <f>SUM(BaseHoras[[#This Row],[Jan/2019]:[Mar/2019]])</f>
        <v>0</v>
      </c>
      <c r="U713" s="29">
        <f>SUM(BaseHoras[[#This Row],[Abr/2019]:[Jun/2019]])</f>
        <v>0</v>
      </c>
      <c r="V713" s="29">
        <f>SUM(BaseHoras[[#This Row],[Jul/2019]:[Set/2019]])</f>
        <v>0</v>
      </c>
      <c r="W713" s="29">
        <f>SUM(BaseHoras[[#This Row],[Out/2019]:[Dez/2019]])</f>
        <v>29.329806432776039</v>
      </c>
    </row>
    <row r="714" spans="1:23">
      <c r="A714" t="s">
        <v>151</v>
      </c>
      <c r="B714" t="s">
        <v>168</v>
      </c>
      <c r="C714" t="s">
        <v>343</v>
      </c>
      <c r="D714" t="s">
        <v>122</v>
      </c>
      <c r="E714" t="s">
        <v>203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s="28">
        <v>0</v>
      </c>
      <c r="N714" s="28">
        <v>0</v>
      </c>
      <c r="O714">
        <v>0</v>
      </c>
      <c r="P714">
        <v>216.19197504043368</v>
      </c>
      <c r="Q714">
        <v>110.39336660165087</v>
      </c>
      <c r="R714">
        <v>0</v>
      </c>
      <c r="S714" s="28">
        <v>326.58534164208453</v>
      </c>
      <c r="T714" s="29">
        <f>SUM(BaseHoras[[#This Row],[Jan/2019]:[Mar/2019]])</f>
        <v>0</v>
      </c>
      <c r="U714" s="29">
        <f>SUM(BaseHoras[[#This Row],[Abr/2019]:[Jun/2019]])</f>
        <v>0</v>
      </c>
      <c r="V714" s="29">
        <f>SUM(BaseHoras[[#This Row],[Jul/2019]:[Set/2019]])</f>
        <v>0</v>
      </c>
      <c r="W714" s="29">
        <f>SUM(BaseHoras[[#This Row],[Out/2019]:[Dez/2019]])</f>
        <v>326.58534164208453</v>
      </c>
    </row>
    <row r="715" spans="1:23">
      <c r="A715" t="s">
        <v>151</v>
      </c>
      <c r="B715" t="s">
        <v>168</v>
      </c>
      <c r="C715" t="s">
        <v>344</v>
      </c>
      <c r="D715" t="s">
        <v>19</v>
      </c>
      <c r="E715" t="s">
        <v>203</v>
      </c>
      <c r="F715">
        <v>0</v>
      </c>
      <c r="G715">
        <v>0</v>
      </c>
      <c r="H715">
        <v>0</v>
      </c>
      <c r="I715">
        <v>25.695581965877416</v>
      </c>
      <c r="J715">
        <v>0</v>
      </c>
      <c r="K715">
        <v>0</v>
      </c>
      <c r="L715">
        <v>0</v>
      </c>
      <c r="M715" s="28">
        <v>0</v>
      </c>
      <c r="N715" s="28">
        <v>0</v>
      </c>
      <c r="O715">
        <v>0</v>
      </c>
      <c r="P715">
        <v>0</v>
      </c>
      <c r="Q715">
        <v>0</v>
      </c>
      <c r="R715">
        <v>0</v>
      </c>
      <c r="S715" s="28">
        <v>25.695581965877416</v>
      </c>
      <c r="T715" s="29">
        <f>SUM(BaseHoras[[#This Row],[Jan/2019]:[Mar/2019]])</f>
        <v>0</v>
      </c>
      <c r="U715" s="29">
        <f>SUM(BaseHoras[[#This Row],[Abr/2019]:[Jun/2019]])</f>
        <v>25.695581965877416</v>
      </c>
      <c r="V715" s="29">
        <f>SUM(BaseHoras[[#This Row],[Jul/2019]:[Set/2019]])</f>
        <v>0</v>
      </c>
      <c r="W715" s="29">
        <f>SUM(BaseHoras[[#This Row],[Out/2019]:[Dez/2019]])</f>
        <v>0</v>
      </c>
    </row>
    <row r="716" spans="1:23">
      <c r="A716" t="s">
        <v>151</v>
      </c>
      <c r="B716" t="s">
        <v>168</v>
      </c>
      <c r="C716" t="s">
        <v>344</v>
      </c>
      <c r="D716" t="s">
        <v>21</v>
      </c>
      <c r="E716" t="s">
        <v>203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103.19704842797468</v>
      </c>
      <c r="L716">
        <v>56.310210901875571</v>
      </c>
      <c r="M716" s="28">
        <v>0</v>
      </c>
      <c r="N716" s="28">
        <v>0</v>
      </c>
      <c r="O716">
        <v>0</v>
      </c>
      <c r="P716">
        <v>0</v>
      </c>
      <c r="Q716">
        <v>0</v>
      </c>
      <c r="R716">
        <v>0</v>
      </c>
      <c r="S716" s="28">
        <v>159.50725932985026</v>
      </c>
      <c r="T716" s="29">
        <f>SUM(BaseHoras[[#This Row],[Jan/2019]:[Mar/2019]])</f>
        <v>0</v>
      </c>
      <c r="U716" s="29">
        <f>SUM(BaseHoras[[#This Row],[Abr/2019]:[Jun/2019]])</f>
        <v>103.19704842797468</v>
      </c>
      <c r="V716" s="29">
        <f>SUM(BaseHoras[[#This Row],[Jul/2019]:[Set/2019]])</f>
        <v>56.310210901875571</v>
      </c>
      <c r="W716" s="29">
        <f>SUM(BaseHoras[[#This Row],[Out/2019]:[Dez/2019]])</f>
        <v>0</v>
      </c>
    </row>
    <row r="717" spans="1:23">
      <c r="A717" t="s">
        <v>151</v>
      </c>
      <c r="B717" t="s">
        <v>168</v>
      </c>
      <c r="C717" t="s">
        <v>344</v>
      </c>
      <c r="D717" t="s">
        <v>23</v>
      </c>
      <c r="E717" t="s">
        <v>203</v>
      </c>
      <c r="F717">
        <v>0</v>
      </c>
      <c r="G717">
        <v>0</v>
      </c>
      <c r="H717">
        <v>0</v>
      </c>
      <c r="I717">
        <v>957.41974720769531</v>
      </c>
      <c r="J717">
        <v>128.89191363079823</v>
      </c>
      <c r="K717">
        <v>346.06878243120013</v>
      </c>
      <c r="L717">
        <v>498.41515906897422</v>
      </c>
      <c r="M717" s="28">
        <v>127.49956825155586</v>
      </c>
      <c r="N717" s="28">
        <v>0</v>
      </c>
      <c r="O717">
        <v>0</v>
      </c>
      <c r="P717">
        <v>0</v>
      </c>
      <c r="Q717">
        <v>0</v>
      </c>
      <c r="R717">
        <v>0</v>
      </c>
      <c r="S717" s="28">
        <v>2058.2951705902237</v>
      </c>
      <c r="T717" s="29">
        <f>SUM(BaseHoras[[#This Row],[Jan/2019]:[Mar/2019]])</f>
        <v>0</v>
      </c>
      <c r="U717" s="29">
        <f>SUM(BaseHoras[[#This Row],[Abr/2019]:[Jun/2019]])</f>
        <v>1432.3804432696936</v>
      </c>
      <c r="V717" s="29">
        <f>SUM(BaseHoras[[#This Row],[Jul/2019]:[Set/2019]])</f>
        <v>625.91472732053012</v>
      </c>
      <c r="W717" s="29">
        <f>SUM(BaseHoras[[#This Row],[Out/2019]:[Dez/2019]])</f>
        <v>0</v>
      </c>
    </row>
    <row r="718" spans="1:23">
      <c r="A718" t="s">
        <v>151</v>
      </c>
      <c r="B718" t="s">
        <v>168</v>
      </c>
      <c r="C718" t="s">
        <v>344</v>
      </c>
      <c r="D718" t="s">
        <v>25</v>
      </c>
      <c r="E718" t="s">
        <v>203</v>
      </c>
      <c r="F718">
        <v>0</v>
      </c>
      <c r="G718">
        <v>0</v>
      </c>
      <c r="H718">
        <v>9.1070401461305401</v>
      </c>
      <c r="I718">
        <v>422.28436679463914</v>
      </c>
      <c r="J718">
        <v>0</v>
      </c>
      <c r="K718">
        <v>6.2553935509963443</v>
      </c>
      <c r="L718">
        <v>4.4085060209733795</v>
      </c>
      <c r="M718" s="28">
        <v>0</v>
      </c>
      <c r="N718" s="28">
        <v>0</v>
      </c>
      <c r="O718">
        <v>0</v>
      </c>
      <c r="P718">
        <v>0</v>
      </c>
      <c r="Q718">
        <v>0</v>
      </c>
      <c r="R718">
        <v>0</v>
      </c>
      <c r="S718" s="28">
        <v>442.05530651273943</v>
      </c>
      <c r="T718" s="29">
        <f>SUM(BaseHoras[[#This Row],[Jan/2019]:[Mar/2019]])</f>
        <v>9.1070401461305401</v>
      </c>
      <c r="U718" s="29">
        <f>SUM(BaseHoras[[#This Row],[Abr/2019]:[Jun/2019]])</f>
        <v>428.5397603456355</v>
      </c>
      <c r="V718" s="29">
        <f>SUM(BaseHoras[[#This Row],[Jul/2019]:[Set/2019]])</f>
        <v>4.4085060209733795</v>
      </c>
      <c r="W718" s="29">
        <f>SUM(BaseHoras[[#This Row],[Out/2019]:[Dez/2019]])</f>
        <v>0</v>
      </c>
    </row>
    <row r="719" spans="1:23">
      <c r="A719" t="s">
        <v>151</v>
      </c>
      <c r="B719" t="s">
        <v>168</v>
      </c>
      <c r="C719" t="s">
        <v>344</v>
      </c>
      <c r="D719" t="s">
        <v>29</v>
      </c>
      <c r="E719" t="s">
        <v>203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170.54847294986891</v>
      </c>
      <c r="L719">
        <v>483.72369013560427</v>
      </c>
      <c r="M719" s="28">
        <v>0</v>
      </c>
      <c r="N719" s="28">
        <v>0</v>
      </c>
      <c r="O719">
        <v>0</v>
      </c>
      <c r="P719">
        <v>0</v>
      </c>
      <c r="Q719">
        <v>0</v>
      </c>
      <c r="R719">
        <v>0</v>
      </c>
      <c r="S719" s="28">
        <v>654.27216308547315</v>
      </c>
      <c r="T719" s="29">
        <f>SUM(BaseHoras[[#This Row],[Jan/2019]:[Mar/2019]])</f>
        <v>0</v>
      </c>
      <c r="U719" s="29">
        <f>SUM(BaseHoras[[#This Row],[Abr/2019]:[Jun/2019]])</f>
        <v>170.54847294986891</v>
      </c>
      <c r="V719" s="29">
        <f>SUM(BaseHoras[[#This Row],[Jul/2019]:[Set/2019]])</f>
        <v>483.72369013560427</v>
      </c>
      <c r="W719" s="29">
        <f>SUM(BaseHoras[[#This Row],[Out/2019]:[Dez/2019]])</f>
        <v>0</v>
      </c>
    </row>
    <row r="720" spans="1:23">
      <c r="A720" t="s">
        <v>151</v>
      </c>
      <c r="B720" t="s">
        <v>168</v>
      </c>
      <c r="C720" t="s">
        <v>344</v>
      </c>
      <c r="D720" t="s">
        <v>36</v>
      </c>
      <c r="E720" t="s">
        <v>203</v>
      </c>
      <c r="F720">
        <v>0</v>
      </c>
      <c r="G720">
        <v>0</v>
      </c>
      <c r="H720">
        <v>129.34322501041851</v>
      </c>
      <c r="I720">
        <v>94.953458334452009</v>
      </c>
      <c r="J720">
        <v>38.23727812053675</v>
      </c>
      <c r="K720">
        <v>173.22237539821725</v>
      </c>
      <c r="L720">
        <v>7.669040533209051</v>
      </c>
      <c r="M720" s="28">
        <v>0</v>
      </c>
      <c r="N720" s="28">
        <v>0</v>
      </c>
      <c r="O720">
        <v>0</v>
      </c>
      <c r="P720">
        <v>0</v>
      </c>
      <c r="Q720">
        <v>0</v>
      </c>
      <c r="R720">
        <v>0</v>
      </c>
      <c r="S720" s="28">
        <v>443.4253773968336</v>
      </c>
      <c r="T720" s="29">
        <f>SUM(BaseHoras[[#This Row],[Jan/2019]:[Mar/2019]])</f>
        <v>129.34322501041851</v>
      </c>
      <c r="U720" s="29">
        <f>SUM(BaseHoras[[#This Row],[Abr/2019]:[Jun/2019]])</f>
        <v>306.41311185320603</v>
      </c>
      <c r="V720" s="29">
        <f>SUM(BaseHoras[[#This Row],[Jul/2019]:[Set/2019]])</f>
        <v>7.669040533209051</v>
      </c>
      <c r="W720" s="29">
        <f>SUM(BaseHoras[[#This Row],[Out/2019]:[Dez/2019]])</f>
        <v>0</v>
      </c>
    </row>
    <row r="721" spans="1:23">
      <c r="A721" t="s">
        <v>151</v>
      </c>
      <c r="B721" t="s">
        <v>168</v>
      </c>
      <c r="C721" t="s">
        <v>344</v>
      </c>
      <c r="D721" t="s">
        <v>40</v>
      </c>
      <c r="E721" t="s">
        <v>203</v>
      </c>
      <c r="F721">
        <v>0</v>
      </c>
      <c r="G721">
        <v>0</v>
      </c>
      <c r="H721">
        <v>0</v>
      </c>
      <c r="I721">
        <v>114.1818117990323</v>
      </c>
      <c r="J721">
        <v>86.020845999205477</v>
      </c>
      <c r="K721">
        <v>0</v>
      </c>
      <c r="L721">
        <v>0</v>
      </c>
      <c r="M721" s="28">
        <v>0</v>
      </c>
      <c r="N721" s="28">
        <v>0</v>
      </c>
      <c r="O721">
        <v>0</v>
      </c>
      <c r="P721">
        <v>0</v>
      </c>
      <c r="Q721">
        <v>0</v>
      </c>
      <c r="R721">
        <v>0</v>
      </c>
      <c r="S721" s="28">
        <v>200.20265779823779</v>
      </c>
      <c r="T721" s="29">
        <f>SUM(BaseHoras[[#This Row],[Jan/2019]:[Mar/2019]])</f>
        <v>0</v>
      </c>
      <c r="U721" s="29">
        <f>SUM(BaseHoras[[#This Row],[Abr/2019]:[Jun/2019]])</f>
        <v>200.20265779823779</v>
      </c>
      <c r="V721" s="29">
        <f>SUM(BaseHoras[[#This Row],[Jul/2019]:[Set/2019]])</f>
        <v>0</v>
      </c>
      <c r="W721" s="29">
        <f>SUM(BaseHoras[[#This Row],[Out/2019]:[Dez/2019]])</f>
        <v>0</v>
      </c>
    </row>
    <row r="722" spans="1:23">
      <c r="A722" t="s">
        <v>151</v>
      </c>
      <c r="B722" t="s">
        <v>168</v>
      </c>
      <c r="C722" t="s">
        <v>344</v>
      </c>
      <c r="D722" t="s">
        <v>41</v>
      </c>
      <c r="E722" t="s">
        <v>203</v>
      </c>
      <c r="F722">
        <v>0</v>
      </c>
      <c r="G722">
        <v>0</v>
      </c>
      <c r="H722">
        <v>46.222405074438008</v>
      </c>
      <c r="I722">
        <v>0</v>
      </c>
      <c r="J722">
        <v>890.98354177710883</v>
      </c>
      <c r="K722">
        <v>2346.6780871171145</v>
      </c>
      <c r="L722">
        <v>26.442885308826042</v>
      </c>
      <c r="M722" s="28">
        <v>0</v>
      </c>
      <c r="N722" s="28">
        <v>0</v>
      </c>
      <c r="O722">
        <v>0</v>
      </c>
      <c r="P722">
        <v>0</v>
      </c>
      <c r="Q722">
        <v>0</v>
      </c>
      <c r="R722">
        <v>0</v>
      </c>
      <c r="S722" s="28">
        <v>3310.3269192774874</v>
      </c>
      <c r="T722" s="29">
        <f>SUM(BaseHoras[[#This Row],[Jan/2019]:[Mar/2019]])</f>
        <v>46.222405074438008</v>
      </c>
      <c r="U722" s="29">
        <f>SUM(BaseHoras[[#This Row],[Abr/2019]:[Jun/2019]])</f>
        <v>3237.6616288942232</v>
      </c>
      <c r="V722" s="29">
        <f>SUM(BaseHoras[[#This Row],[Jul/2019]:[Set/2019]])</f>
        <v>26.442885308826042</v>
      </c>
      <c r="W722" s="29">
        <f>SUM(BaseHoras[[#This Row],[Out/2019]:[Dez/2019]])</f>
        <v>0</v>
      </c>
    </row>
    <row r="723" spans="1:23">
      <c r="A723" t="s">
        <v>151</v>
      </c>
      <c r="B723" t="s">
        <v>168</v>
      </c>
      <c r="C723" t="s">
        <v>344</v>
      </c>
      <c r="D723" t="s">
        <v>43</v>
      </c>
      <c r="E723" t="s">
        <v>203</v>
      </c>
      <c r="F723">
        <v>0</v>
      </c>
      <c r="G723">
        <v>0</v>
      </c>
      <c r="H723">
        <v>0</v>
      </c>
      <c r="I723">
        <v>0</v>
      </c>
      <c r="J723">
        <v>2068.1040449940224</v>
      </c>
      <c r="K723">
        <v>0</v>
      </c>
      <c r="L723">
        <v>0</v>
      </c>
      <c r="M723" s="28">
        <v>0</v>
      </c>
      <c r="N723" s="28">
        <v>0</v>
      </c>
      <c r="O723">
        <v>0</v>
      </c>
      <c r="P723">
        <v>0</v>
      </c>
      <c r="Q723">
        <v>0</v>
      </c>
      <c r="R723">
        <v>0</v>
      </c>
      <c r="S723" s="28">
        <v>2068.1040449940224</v>
      </c>
      <c r="T723" s="29">
        <f>SUM(BaseHoras[[#This Row],[Jan/2019]:[Mar/2019]])</f>
        <v>0</v>
      </c>
      <c r="U723" s="29">
        <f>SUM(BaseHoras[[#This Row],[Abr/2019]:[Jun/2019]])</f>
        <v>2068.1040449940224</v>
      </c>
      <c r="V723" s="29">
        <f>SUM(BaseHoras[[#This Row],[Jul/2019]:[Set/2019]])</f>
        <v>0</v>
      </c>
      <c r="W723" s="29">
        <f>SUM(BaseHoras[[#This Row],[Out/2019]:[Dez/2019]])</f>
        <v>0</v>
      </c>
    </row>
    <row r="724" spans="1:23">
      <c r="A724" t="s">
        <v>151</v>
      </c>
      <c r="B724" t="s">
        <v>168</v>
      </c>
      <c r="C724" t="s">
        <v>344</v>
      </c>
      <c r="D724" t="s">
        <v>49</v>
      </c>
      <c r="E724" t="s">
        <v>203</v>
      </c>
      <c r="F724">
        <v>655.8422947282146</v>
      </c>
      <c r="G724">
        <v>0</v>
      </c>
      <c r="H724">
        <v>178.01181853476555</v>
      </c>
      <c r="I724">
        <v>15.087846747072561</v>
      </c>
      <c r="J724">
        <v>258.93699632096116</v>
      </c>
      <c r="K724">
        <v>151.21118302012766</v>
      </c>
      <c r="L724">
        <v>95.694111923139474</v>
      </c>
      <c r="M724" s="28">
        <v>0</v>
      </c>
      <c r="N724" s="28">
        <v>0</v>
      </c>
      <c r="O724">
        <v>0</v>
      </c>
      <c r="P724">
        <v>0</v>
      </c>
      <c r="Q724">
        <v>0</v>
      </c>
      <c r="R724">
        <v>0</v>
      </c>
      <c r="S724" s="28">
        <v>1354.7842512742809</v>
      </c>
      <c r="T724" s="29">
        <f>SUM(BaseHoras[[#This Row],[Jan/2019]:[Mar/2019]])</f>
        <v>833.85411326298015</v>
      </c>
      <c r="U724" s="29">
        <f>SUM(BaseHoras[[#This Row],[Abr/2019]:[Jun/2019]])</f>
        <v>425.23602608816134</v>
      </c>
      <c r="V724" s="29">
        <f>SUM(BaseHoras[[#This Row],[Jul/2019]:[Set/2019]])</f>
        <v>95.694111923139474</v>
      </c>
      <c r="W724" s="29">
        <f>SUM(BaseHoras[[#This Row],[Out/2019]:[Dez/2019]])</f>
        <v>0</v>
      </c>
    </row>
    <row r="725" spans="1:23">
      <c r="A725" t="s">
        <v>151</v>
      </c>
      <c r="B725" t="s">
        <v>168</v>
      </c>
      <c r="C725" t="s">
        <v>344</v>
      </c>
      <c r="D725" t="s">
        <v>51</v>
      </c>
      <c r="E725" t="s">
        <v>203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948.65424874014707</v>
      </c>
      <c r="L725">
        <v>625.80467900610483</v>
      </c>
      <c r="M725" s="28">
        <v>0</v>
      </c>
      <c r="N725" s="28">
        <v>0</v>
      </c>
      <c r="O725">
        <v>0</v>
      </c>
      <c r="P725">
        <v>0</v>
      </c>
      <c r="Q725">
        <v>0</v>
      </c>
      <c r="R725">
        <v>0</v>
      </c>
      <c r="S725" s="28">
        <v>1574.4589277462519</v>
      </c>
      <c r="T725" s="29">
        <f>SUM(BaseHoras[[#This Row],[Jan/2019]:[Mar/2019]])</f>
        <v>0</v>
      </c>
      <c r="U725" s="29">
        <f>SUM(BaseHoras[[#This Row],[Abr/2019]:[Jun/2019]])</f>
        <v>948.65424874014707</v>
      </c>
      <c r="V725" s="29">
        <f>SUM(BaseHoras[[#This Row],[Jul/2019]:[Set/2019]])</f>
        <v>625.80467900610483</v>
      </c>
      <c r="W725" s="29">
        <f>SUM(BaseHoras[[#This Row],[Out/2019]:[Dez/2019]])</f>
        <v>0</v>
      </c>
    </row>
    <row r="726" spans="1:23">
      <c r="A726" t="s">
        <v>151</v>
      </c>
      <c r="B726" t="s">
        <v>168</v>
      </c>
      <c r="C726" t="s">
        <v>344</v>
      </c>
      <c r="D726" t="s">
        <v>52</v>
      </c>
      <c r="E726" t="s">
        <v>203</v>
      </c>
      <c r="F726">
        <v>0</v>
      </c>
      <c r="G726">
        <v>0</v>
      </c>
      <c r="H726">
        <v>0</v>
      </c>
      <c r="I726">
        <v>0</v>
      </c>
      <c r="J726">
        <v>110.36237959957668</v>
      </c>
      <c r="K726">
        <v>112.0375738850984</v>
      </c>
      <c r="L726">
        <v>0</v>
      </c>
      <c r="M726" s="28">
        <v>0</v>
      </c>
      <c r="N726" s="28">
        <v>0</v>
      </c>
      <c r="O726">
        <v>0</v>
      </c>
      <c r="P726">
        <v>0</v>
      </c>
      <c r="Q726">
        <v>0</v>
      </c>
      <c r="R726">
        <v>0</v>
      </c>
      <c r="S726" s="28">
        <v>222.39995348467508</v>
      </c>
      <c r="T726" s="29">
        <f>SUM(BaseHoras[[#This Row],[Jan/2019]:[Mar/2019]])</f>
        <v>0</v>
      </c>
      <c r="U726" s="29">
        <f>SUM(BaseHoras[[#This Row],[Abr/2019]:[Jun/2019]])</f>
        <v>222.39995348467508</v>
      </c>
      <c r="V726" s="29">
        <f>SUM(BaseHoras[[#This Row],[Jul/2019]:[Set/2019]])</f>
        <v>0</v>
      </c>
      <c r="W726" s="29">
        <f>SUM(BaseHoras[[#This Row],[Out/2019]:[Dez/2019]])</f>
        <v>0</v>
      </c>
    </row>
    <row r="727" spans="1:23">
      <c r="A727" t="s">
        <v>151</v>
      </c>
      <c r="B727" t="s">
        <v>168</v>
      </c>
      <c r="C727" t="s">
        <v>344</v>
      </c>
      <c r="D727" t="s">
        <v>57</v>
      </c>
      <c r="E727" t="s">
        <v>203</v>
      </c>
      <c r="F727">
        <v>0</v>
      </c>
      <c r="G727">
        <v>0</v>
      </c>
      <c r="H727">
        <v>751.9059595201976</v>
      </c>
      <c r="I727">
        <v>125.52920497153143</v>
      </c>
      <c r="J727">
        <v>0</v>
      </c>
      <c r="K727">
        <v>0</v>
      </c>
      <c r="L727">
        <v>0</v>
      </c>
      <c r="M727" s="28">
        <v>0</v>
      </c>
      <c r="N727" s="28">
        <v>0</v>
      </c>
      <c r="O727">
        <v>0</v>
      </c>
      <c r="P727">
        <v>0</v>
      </c>
      <c r="Q727">
        <v>0</v>
      </c>
      <c r="R727">
        <v>0</v>
      </c>
      <c r="S727" s="28">
        <v>877.43516449172898</v>
      </c>
      <c r="T727" s="29">
        <f>SUM(BaseHoras[[#This Row],[Jan/2019]:[Mar/2019]])</f>
        <v>751.9059595201976</v>
      </c>
      <c r="U727" s="29">
        <f>SUM(BaseHoras[[#This Row],[Abr/2019]:[Jun/2019]])</f>
        <v>125.52920497153143</v>
      </c>
      <c r="V727" s="29">
        <f>SUM(BaseHoras[[#This Row],[Jul/2019]:[Set/2019]])</f>
        <v>0</v>
      </c>
      <c r="W727" s="29">
        <f>SUM(BaseHoras[[#This Row],[Out/2019]:[Dez/2019]])</f>
        <v>0</v>
      </c>
    </row>
    <row r="728" spans="1:23">
      <c r="A728" t="s">
        <v>151</v>
      </c>
      <c r="B728" t="s">
        <v>168</v>
      </c>
      <c r="C728" t="s">
        <v>344</v>
      </c>
      <c r="D728" t="s">
        <v>61</v>
      </c>
      <c r="E728" t="s">
        <v>203</v>
      </c>
      <c r="F728">
        <v>107.60831149061308</v>
      </c>
      <c r="G728">
        <v>0</v>
      </c>
      <c r="H728">
        <v>246.79372561325607</v>
      </c>
      <c r="I728">
        <v>7648.0168888363569</v>
      </c>
      <c r="J728">
        <v>0</v>
      </c>
      <c r="K728">
        <v>0</v>
      </c>
      <c r="L728">
        <v>0</v>
      </c>
      <c r="M728" s="28">
        <v>0</v>
      </c>
      <c r="N728" s="28">
        <v>0</v>
      </c>
      <c r="O728">
        <v>0</v>
      </c>
      <c r="P728">
        <v>0</v>
      </c>
      <c r="Q728">
        <v>0</v>
      </c>
      <c r="R728">
        <v>0</v>
      </c>
      <c r="S728" s="28">
        <v>8002.4189259402265</v>
      </c>
      <c r="T728" s="29">
        <f>SUM(BaseHoras[[#This Row],[Jan/2019]:[Mar/2019]])</f>
        <v>354.40203710386913</v>
      </c>
      <c r="U728" s="29">
        <f>SUM(BaseHoras[[#This Row],[Abr/2019]:[Jun/2019]])</f>
        <v>7648.0168888363569</v>
      </c>
      <c r="V728" s="29">
        <f>SUM(BaseHoras[[#This Row],[Jul/2019]:[Set/2019]])</f>
        <v>0</v>
      </c>
      <c r="W728" s="29">
        <f>SUM(BaseHoras[[#This Row],[Out/2019]:[Dez/2019]])</f>
        <v>0</v>
      </c>
    </row>
    <row r="729" spans="1:23">
      <c r="A729" t="s">
        <v>151</v>
      </c>
      <c r="B729" t="s">
        <v>168</v>
      </c>
      <c r="C729" t="s">
        <v>344</v>
      </c>
      <c r="D729" t="s">
        <v>62</v>
      </c>
      <c r="E729" t="s">
        <v>203</v>
      </c>
      <c r="F729">
        <v>0</v>
      </c>
      <c r="G729">
        <v>5.1963101953386541</v>
      </c>
      <c r="H729">
        <v>2276.4584412259642</v>
      </c>
      <c r="I729">
        <v>247.83277944404639</v>
      </c>
      <c r="J729">
        <v>1805.6516940393963</v>
      </c>
      <c r="K729">
        <v>144.06078901857242</v>
      </c>
      <c r="L729">
        <v>0</v>
      </c>
      <c r="M729" s="28">
        <v>0</v>
      </c>
      <c r="N729" s="28">
        <v>0</v>
      </c>
      <c r="O729">
        <v>0</v>
      </c>
      <c r="P729">
        <v>0</v>
      </c>
      <c r="Q729">
        <v>0</v>
      </c>
      <c r="R729">
        <v>0</v>
      </c>
      <c r="S729" s="28">
        <v>4479.2000139233178</v>
      </c>
      <c r="T729" s="29">
        <f>SUM(BaseHoras[[#This Row],[Jan/2019]:[Mar/2019]])</f>
        <v>2281.654751421303</v>
      </c>
      <c r="U729" s="29">
        <f>SUM(BaseHoras[[#This Row],[Abr/2019]:[Jun/2019]])</f>
        <v>2197.5452625020152</v>
      </c>
      <c r="V729" s="29">
        <f>SUM(BaseHoras[[#This Row],[Jul/2019]:[Set/2019]])</f>
        <v>0</v>
      </c>
      <c r="W729" s="29">
        <f>SUM(BaseHoras[[#This Row],[Out/2019]:[Dez/2019]])</f>
        <v>0</v>
      </c>
    </row>
    <row r="730" spans="1:23">
      <c r="A730" t="s">
        <v>151</v>
      </c>
      <c r="B730" t="s">
        <v>168</v>
      </c>
      <c r="C730" t="s">
        <v>344</v>
      </c>
      <c r="D730" t="s">
        <v>63</v>
      </c>
      <c r="E730" t="s">
        <v>203</v>
      </c>
      <c r="F730">
        <v>0</v>
      </c>
      <c r="G730">
        <v>0</v>
      </c>
      <c r="H730">
        <v>0</v>
      </c>
      <c r="I730">
        <v>150.35900763209057</v>
      </c>
      <c r="J730">
        <v>0</v>
      </c>
      <c r="K730">
        <v>0</v>
      </c>
      <c r="L730">
        <v>0</v>
      </c>
      <c r="M730" s="28">
        <v>0</v>
      </c>
      <c r="N730" s="28">
        <v>0</v>
      </c>
      <c r="O730">
        <v>0</v>
      </c>
      <c r="P730">
        <v>0</v>
      </c>
      <c r="Q730">
        <v>0</v>
      </c>
      <c r="R730">
        <v>0</v>
      </c>
      <c r="S730" s="28">
        <v>150.35900763209057</v>
      </c>
      <c r="T730" s="29">
        <f>SUM(BaseHoras[[#This Row],[Jan/2019]:[Mar/2019]])</f>
        <v>0</v>
      </c>
      <c r="U730" s="29">
        <f>SUM(BaseHoras[[#This Row],[Abr/2019]:[Jun/2019]])</f>
        <v>150.35900763209057</v>
      </c>
      <c r="V730" s="29">
        <f>SUM(BaseHoras[[#This Row],[Jul/2019]:[Set/2019]])</f>
        <v>0</v>
      </c>
      <c r="W730" s="29">
        <f>SUM(BaseHoras[[#This Row],[Out/2019]:[Dez/2019]])</f>
        <v>0</v>
      </c>
    </row>
    <row r="731" spans="1:23">
      <c r="A731" t="s">
        <v>151</v>
      </c>
      <c r="B731" t="s">
        <v>168</v>
      </c>
      <c r="C731" t="s">
        <v>344</v>
      </c>
      <c r="D731" t="s">
        <v>64</v>
      </c>
      <c r="E731" t="s">
        <v>203</v>
      </c>
      <c r="F731">
        <v>0</v>
      </c>
      <c r="G731">
        <v>237.56131427489859</v>
      </c>
      <c r="H731">
        <v>16.080769985705036</v>
      </c>
      <c r="I731">
        <v>1496.7673996877541</v>
      </c>
      <c r="J731">
        <v>0</v>
      </c>
      <c r="K731">
        <v>62.585979572934512</v>
      </c>
      <c r="L731">
        <v>0</v>
      </c>
      <c r="M731" s="28">
        <v>0</v>
      </c>
      <c r="N731" s="28">
        <v>0</v>
      </c>
      <c r="O731">
        <v>0</v>
      </c>
      <c r="P731">
        <v>0</v>
      </c>
      <c r="Q731">
        <v>0</v>
      </c>
      <c r="R731">
        <v>0</v>
      </c>
      <c r="S731" s="28">
        <v>1812.9954635212923</v>
      </c>
      <c r="T731" s="29">
        <f>SUM(BaseHoras[[#This Row],[Jan/2019]:[Mar/2019]])</f>
        <v>253.64208426060364</v>
      </c>
      <c r="U731" s="29">
        <f>SUM(BaseHoras[[#This Row],[Abr/2019]:[Jun/2019]])</f>
        <v>1559.3533792606886</v>
      </c>
      <c r="V731" s="29">
        <f>SUM(BaseHoras[[#This Row],[Jul/2019]:[Set/2019]])</f>
        <v>0</v>
      </c>
      <c r="W731" s="29">
        <f>SUM(BaseHoras[[#This Row],[Out/2019]:[Dez/2019]])</f>
        <v>0</v>
      </c>
    </row>
    <row r="732" spans="1:23">
      <c r="A732" t="s">
        <v>151</v>
      </c>
      <c r="B732" t="s">
        <v>168</v>
      </c>
      <c r="C732" t="s">
        <v>344</v>
      </c>
      <c r="D732" t="s">
        <v>66</v>
      </c>
      <c r="E732" t="s">
        <v>203</v>
      </c>
      <c r="F732">
        <v>0</v>
      </c>
      <c r="G732">
        <v>0</v>
      </c>
      <c r="H732">
        <v>0</v>
      </c>
      <c r="I732">
        <v>0</v>
      </c>
      <c r="J732">
        <v>123.66593059403222</v>
      </c>
      <c r="K732">
        <v>168.65479100456002</v>
      </c>
      <c r="L732">
        <v>0</v>
      </c>
      <c r="M732" s="28">
        <v>0</v>
      </c>
      <c r="N732" s="28">
        <v>0</v>
      </c>
      <c r="O732">
        <v>0</v>
      </c>
      <c r="P732">
        <v>0</v>
      </c>
      <c r="Q732">
        <v>0</v>
      </c>
      <c r="R732">
        <v>0</v>
      </c>
      <c r="S732" s="28">
        <v>292.32072159859223</v>
      </c>
      <c r="T732" s="29">
        <f>SUM(BaseHoras[[#This Row],[Jan/2019]:[Mar/2019]])</f>
        <v>0</v>
      </c>
      <c r="U732" s="29">
        <f>SUM(BaseHoras[[#This Row],[Abr/2019]:[Jun/2019]])</f>
        <v>292.32072159859223</v>
      </c>
      <c r="V732" s="29">
        <f>SUM(BaseHoras[[#This Row],[Jul/2019]:[Set/2019]])</f>
        <v>0</v>
      </c>
      <c r="W732" s="29">
        <f>SUM(BaseHoras[[#This Row],[Out/2019]:[Dez/2019]])</f>
        <v>0</v>
      </c>
    </row>
    <row r="733" spans="1:23">
      <c r="A733" t="s">
        <v>151</v>
      </c>
      <c r="B733" t="s">
        <v>168</v>
      </c>
      <c r="C733" t="s">
        <v>344</v>
      </c>
      <c r="D733" t="s">
        <v>74</v>
      </c>
      <c r="E733" t="s">
        <v>203</v>
      </c>
      <c r="F733">
        <v>0</v>
      </c>
      <c r="G733">
        <v>0</v>
      </c>
      <c r="H733">
        <v>0</v>
      </c>
      <c r="I733">
        <v>55.251860031299408</v>
      </c>
      <c r="J733">
        <v>0</v>
      </c>
      <c r="K733">
        <v>0</v>
      </c>
      <c r="L733">
        <v>0</v>
      </c>
      <c r="M733" s="28">
        <v>0</v>
      </c>
      <c r="N733" s="28">
        <v>0</v>
      </c>
      <c r="O733">
        <v>0</v>
      </c>
      <c r="P733">
        <v>0</v>
      </c>
      <c r="Q733">
        <v>0</v>
      </c>
      <c r="R733">
        <v>0</v>
      </c>
      <c r="S733" s="28">
        <v>55.251860031299408</v>
      </c>
      <c r="T733" s="29">
        <f>SUM(BaseHoras[[#This Row],[Jan/2019]:[Mar/2019]])</f>
        <v>0</v>
      </c>
      <c r="U733" s="29">
        <f>SUM(BaseHoras[[#This Row],[Abr/2019]:[Jun/2019]])</f>
        <v>55.251860031299408</v>
      </c>
      <c r="V733" s="29">
        <f>SUM(BaseHoras[[#This Row],[Jul/2019]:[Set/2019]])</f>
        <v>0</v>
      </c>
      <c r="W733" s="29">
        <f>SUM(BaseHoras[[#This Row],[Out/2019]:[Dez/2019]])</f>
        <v>0</v>
      </c>
    </row>
    <row r="734" spans="1:23">
      <c r="A734" t="s">
        <v>151</v>
      </c>
      <c r="B734" t="s">
        <v>168</v>
      </c>
      <c r="C734" t="s">
        <v>344</v>
      </c>
      <c r="D734" t="s">
        <v>84</v>
      </c>
      <c r="E734" t="s">
        <v>203</v>
      </c>
      <c r="F734">
        <v>0</v>
      </c>
      <c r="G734">
        <v>0</v>
      </c>
      <c r="H734">
        <v>274.19104024500643</v>
      </c>
      <c r="I734">
        <v>18.557976603880785</v>
      </c>
      <c r="J734">
        <v>0</v>
      </c>
      <c r="K734">
        <v>0</v>
      </c>
      <c r="L734">
        <v>0</v>
      </c>
      <c r="M734" s="28">
        <v>0</v>
      </c>
      <c r="N734" s="28">
        <v>0</v>
      </c>
      <c r="O734">
        <v>0</v>
      </c>
      <c r="P734">
        <v>0</v>
      </c>
      <c r="Q734">
        <v>0</v>
      </c>
      <c r="R734">
        <v>0</v>
      </c>
      <c r="S734" s="28">
        <v>292.74901684888721</v>
      </c>
      <c r="T734" s="29">
        <f>SUM(BaseHoras[[#This Row],[Jan/2019]:[Mar/2019]])</f>
        <v>274.19104024500643</v>
      </c>
      <c r="U734" s="29">
        <f>SUM(BaseHoras[[#This Row],[Abr/2019]:[Jun/2019]])</f>
        <v>18.557976603880785</v>
      </c>
      <c r="V734" s="29">
        <f>SUM(BaseHoras[[#This Row],[Jul/2019]:[Set/2019]])</f>
        <v>0</v>
      </c>
      <c r="W734" s="29">
        <f>SUM(BaseHoras[[#This Row],[Out/2019]:[Dez/2019]])</f>
        <v>0</v>
      </c>
    </row>
    <row r="735" spans="1:23">
      <c r="A735" t="s">
        <v>151</v>
      </c>
      <c r="B735" t="s">
        <v>168</v>
      </c>
      <c r="C735" t="s">
        <v>344</v>
      </c>
      <c r="D735" t="s">
        <v>87</v>
      </c>
      <c r="E735" t="s">
        <v>203</v>
      </c>
      <c r="F735">
        <v>30.522294456460521</v>
      </c>
      <c r="G735">
        <v>486.30572542934334</v>
      </c>
      <c r="H735">
        <v>80.858792778525199</v>
      </c>
      <c r="I735">
        <v>370.04579025359902</v>
      </c>
      <c r="J735">
        <v>72.685264393772101</v>
      </c>
      <c r="K735">
        <v>14287.524645822943</v>
      </c>
      <c r="L735">
        <v>0</v>
      </c>
      <c r="M735" s="28">
        <v>0</v>
      </c>
      <c r="N735" s="28">
        <v>0</v>
      </c>
      <c r="O735">
        <v>7.4211895563084065</v>
      </c>
      <c r="P735">
        <v>0</v>
      </c>
      <c r="Q735">
        <v>0</v>
      </c>
      <c r="R735">
        <v>0</v>
      </c>
      <c r="S735" s="28">
        <v>15335.363702690951</v>
      </c>
      <c r="T735" s="29">
        <f>SUM(BaseHoras[[#This Row],[Jan/2019]:[Mar/2019]])</f>
        <v>597.68681266432907</v>
      </c>
      <c r="U735" s="29">
        <f>SUM(BaseHoras[[#This Row],[Abr/2019]:[Jun/2019]])</f>
        <v>14730.255700470314</v>
      </c>
      <c r="V735" s="29">
        <f>SUM(BaseHoras[[#This Row],[Jul/2019]:[Set/2019]])</f>
        <v>0</v>
      </c>
      <c r="W735" s="29">
        <f>SUM(BaseHoras[[#This Row],[Out/2019]:[Dez/2019]])</f>
        <v>7.4211895563084065</v>
      </c>
    </row>
    <row r="736" spans="1:23">
      <c r="A736" t="s">
        <v>151</v>
      </c>
      <c r="B736" t="s">
        <v>168</v>
      </c>
      <c r="C736" t="s">
        <v>344</v>
      </c>
      <c r="D736" t="s">
        <v>98</v>
      </c>
      <c r="E736" t="s">
        <v>203</v>
      </c>
      <c r="F736">
        <v>0</v>
      </c>
      <c r="G736">
        <v>0</v>
      </c>
      <c r="H736">
        <v>0</v>
      </c>
      <c r="I736">
        <v>1439.637063091044</v>
      </c>
      <c r="J736">
        <v>13.761417200415126</v>
      </c>
      <c r="K736">
        <v>83.234608976287248</v>
      </c>
      <c r="L736">
        <v>589.12448057821246</v>
      </c>
      <c r="M736" s="28">
        <v>0</v>
      </c>
      <c r="N736" s="28">
        <v>0</v>
      </c>
      <c r="O736">
        <v>0</v>
      </c>
      <c r="P736">
        <v>0</v>
      </c>
      <c r="Q736">
        <v>0</v>
      </c>
      <c r="R736">
        <v>0</v>
      </c>
      <c r="S736" s="28">
        <v>2125.7575698459586</v>
      </c>
      <c r="T736" s="29">
        <f>SUM(BaseHoras[[#This Row],[Jan/2019]:[Mar/2019]])</f>
        <v>0</v>
      </c>
      <c r="U736" s="29">
        <f>SUM(BaseHoras[[#This Row],[Abr/2019]:[Jun/2019]])</f>
        <v>1536.6330892677463</v>
      </c>
      <c r="V736" s="29">
        <f>SUM(BaseHoras[[#This Row],[Jul/2019]:[Set/2019]])</f>
        <v>589.12448057821246</v>
      </c>
      <c r="W736" s="29">
        <f>SUM(BaseHoras[[#This Row],[Out/2019]:[Dez/2019]])</f>
        <v>0</v>
      </c>
    </row>
    <row r="737" spans="1:23">
      <c r="A737" t="s">
        <v>151</v>
      </c>
      <c r="B737" t="s">
        <v>168</v>
      </c>
      <c r="C737" t="s">
        <v>344</v>
      </c>
      <c r="D737" t="s">
        <v>101</v>
      </c>
      <c r="E737" t="s">
        <v>203</v>
      </c>
      <c r="F737">
        <v>120.403813136702</v>
      </c>
      <c r="G737">
        <v>0</v>
      </c>
      <c r="H737">
        <v>40.777655127337859</v>
      </c>
      <c r="I737">
        <v>65.595130103476023</v>
      </c>
      <c r="J737">
        <v>30.818509426321654</v>
      </c>
      <c r="K737">
        <v>0</v>
      </c>
      <c r="L737">
        <v>0</v>
      </c>
      <c r="M737" s="28">
        <v>0</v>
      </c>
      <c r="N737" s="28">
        <v>0</v>
      </c>
      <c r="O737">
        <v>0</v>
      </c>
      <c r="P737">
        <v>0</v>
      </c>
      <c r="Q737">
        <v>0</v>
      </c>
      <c r="R737">
        <v>0</v>
      </c>
      <c r="S737" s="28">
        <v>257.59510779383754</v>
      </c>
      <c r="T737" s="29">
        <f>SUM(BaseHoras[[#This Row],[Jan/2019]:[Mar/2019]])</f>
        <v>161.18146826403986</v>
      </c>
      <c r="U737" s="29">
        <f>SUM(BaseHoras[[#This Row],[Abr/2019]:[Jun/2019]])</f>
        <v>96.413639529797678</v>
      </c>
      <c r="V737" s="29">
        <f>SUM(BaseHoras[[#This Row],[Jul/2019]:[Set/2019]])</f>
        <v>0</v>
      </c>
      <c r="W737" s="29">
        <f>SUM(BaseHoras[[#This Row],[Out/2019]:[Dez/2019]])</f>
        <v>0</v>
      </c>
    </row>
    <row r="738" spans="1:23">
      <c r="A738" t="s">
        <v>151</v>
      </c>
      <c r="B738" t="s">
        <v>168</v>
      </c>
      <c r="C738" t="s">
        <v>344</v>
      </c>
      <c r="D738" t="s">
        <v>102</v>
      </c>
      <c r="E738" t="s">
        <v>203</v>
      </c>
      <c r="F738">
        <v>4.2374555112029313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s="28">
        <v>0</v>
      </c>
      <c r="N738" s="28">
        <v>0</v>
      </c>
      <c r="O738">
        <v>0</v>
      </c>
      <c r="P738">
        <v>0</v>
      </c>
      <c r="Q738">
        <v>0</v>
      </c>
      <c r="R738">
        <v>0</v>
      </c>
      <c r="S738" s="28">
        <v>4.2374555112029313</v>
      </c>
      <c r="T738" s="29">
        <f>SUM(BaseHoras[[#This Row],[Jan/2019]:[Mar/2019]])</f>
        <v>4.2374555112029313</v>
      </c>
      <c r="U738" s="29">
        <f>SUM(BaseHoras[[#This Row],[Abr/2019]:[Jun/2019]])</f>
        <v>0</v>
      </c>
      <c r="V738" s="29">
        <f>SUM(BaseHoras[[#This Row],[Jul/2019]:[Set/2019]])</f>
        <v>0</v>
      </c>
      <c r="W738" s="29">
        <f>SUM(BaseHoras[[#This Row],[Out/2019]:[Dez/2019]])</f>
        <v>0</v>
      </c>
    </row>
    <row r="739" spans="1:23">
      <c r="A739" t="s">
        <v>151</v>
      </c>
      <c r="B739" t="s">
        <v>168</v>
      </c>
      <c r="C739" t="s">
        <v>344</v>
      </c>
      <c r="D739" t="s">
        <v>105</v>
      </c>
      <c r="E739" t="s">
        <v>203</v>
      </c>
      <c r="F739">
        <v>0</v>
      </c>
      <c r="G739">
        <v>0</v>
      </c>
      <c r="H739">
        <v>0</v>
      </c>
      <c r="I739">
        <v>204.49126819558361</v>
      </c>
      <c r="J739">
        <v>365.87342587011807</v>
      </c>
      <c r="K739">
        <v>486.53134439900748</v>
      </c>
      <c r="L739">
        <v>2507.2467373552313</v>
      </c>
      <c r="M739" s="28">
        <v>90.720393716161865</v>
      </c>
      <c r="N739" s="28">
        <v>0</v>
      </c>
      <c r="O739">
        <v>0</v>
      </c>
      <c r="P739">
        <v>0</v>
      </c>
      <c r="Q739">
        <v>0</v>
      </c>
      <c r="R739">
        <v>0</v>
      </c>
      <c r="S739" s="28">
        <v>3654.8631695361023</v>
      </c>
      <c r="T739" s="29">
        <f>SUM(BaseHoras[[#This Row],[Jan/2019]:[Mar/2019]])</f>
        <v>0</v>
      </c>
      <c r="U739" s="29">
        <f>SUM(BaseHoras[[#This Row],[Abr/2019]:[Jun/2019]])</f>
        <v>1056.8960384647091</v>
      </c>
      <c r="V739" s="29">
        <f>SUM(BaseHoras[[#This Row],[Jul/2019]:[Set/2019]])</f>
        <v>2597.9671310713929</v>
      </c>
      <c r="W739" s="29">
        <f>SUM(BaseHoras[[#This Row],[Out/2019]:[Dez/2019]])</f>
        <v>0</v>
      </c>
    </row>
    <row r="740" spans="1:23">
      <c r="A740" t="s">
        <v>151</v>
      </c>
      <c r="B740" t="s">
        <v>168</v>
      </c>
      <c r="C740" t="s">
        <v>344</v>
      </c>
      <c r="D740" t="s">
        <v>113</v>
      </c>
      <c r="E740" t="s">
        <v>203</v>
      </c>
      <c r="F740">
        <v>323.2264984289618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s="28">
        <v>0</v>
      </c>
      <c r="N740" s="28">
        <v>0</v>
      </c>
      <c r="O740">
        <v>0</v>
      </c>
      <c r="P740">
        <v>0</v>
      </c>
      <c r="Q740">
        <v>0</v>
      </c>
      <c r="R740">
        <v>0</v>
      </c>
      <c r="S740" s="28">
        <v>323.2264984289618</v>
      </c>
      <c r="T740" s="29">
        <f>SUM(BaseHoras[[#This Row],[Jan/2019]:[Mar/2019]])</f>
        <v>323.2264984289618</v>
      </c>
      <c r="U740" s="29">
        <f>SUM(BaseHoras[[#This Row],[Abr/2019]:[Jun/2019]])</f>
        <v>0</v>
      </c>
      <c r="V740" s="29">
        <f>SUM(BaseHoras[[#This Row],[Jul/2019]:[Set/2019]])</f>
        <v>0</v>
      </c>
      <c r="W740" s="29">
        <f>SUM(BaseHoras[[#This Row],[Out/2019]:[Dez/2019]])</f>
        <v>0</v>
      </c>
    </row>
    <row r="741" spans="1:23">
      <c r="A741" t="s">
        <v>151</v>
      </c>
      <c r="B741" t="s">
        <v>168</v>
      </c>
      <c r="C741" t="s">
        <v>344</v>
      </c>
      <c r="D741" t="s">
        <v>118</v>
      </c>
      <c r="E741" t="s">
        <v>203</v>
      </c>
      <c r="F741">
        <v>0</v>
      </c>
      <c r="G741">
        <v>0</v>
      </c>
      <c r="H741">
        <v>0</v>
      </c>
      <c r="I741">
        <v>0</v>
      </c>
      <c r="J741">
        <v>1931.4261132895062</v>
      </c>
      <c r="K741">
        <v>1035.0219465593902</v>
      </c>
      <c r="L741">
        <v>461.1388521444315</v>
      </c>
      <c r="M741" s="28">
        <v>0</v>
      </c>
      <c r="N741" s="28">
        <v>0</v>
      </c>
      <c r="O741">
        <v>0</v>
      </c>
      <c r="P741">
        <v>0</v>
      </c>
      <c r="Q741">
        <v>0</v>
      </c>
      <c r="R741">
        <v>0</v>
      </c>
      <c r="S741" s="28">
        <v>3427.5869119933277</v>
      </c>
      <c r="T741" s="29">
        <f>SUM(BaseHoras[[#This Row],[Jan/2019]:[Mar/2019]])</f>
        <v>0</v>
      </c>
      <c r="U741" s="29">
        <f>SUM(BaseHoras[[#This Row],[Abr/2019]:[Jun/2019]])</f>
        <v>2966.4480598488963</v>
      </c>
      <c r="V741" s="29">
        <f>SUM(BaseHoras[[#This Row],[Jul/2019]:[Set/2019]])</f>
        <v>461.1388521444315</v>
      </c>
      <c r="W741" s="29">
        <f>SUM(BaseHoras[[#This Row],[Out/2019]:[Dez/2019]])</f>
        <v>0</v>
      </c>
    </row>
    <row r="742" spans="1:23">
      <c r="A742" t="s">
        <v>151</v>
      </c>
      <c r="B742" t="s">
        <v>168</v>
      </c>
      <c r="C742" t="s">
        <v>344</v>
      </c>
      <c r="D742" t="s">
        <v>122</v>
      </c>
      <c r="E742" t="s">
        <v>203</v>
      </c>
      <c r="F742">
        <v>227.73657352236214</v>
      </c>
      <c r="G742">
        <v>194.62447075149248</v>
      </c>
      <c r="H742">
        <v>0</v>
      </c>
      <c r="I742">
        <v>481.1225885343743</v>
      </c>
      <c r="J742">
        <v>0</v>
      </c>
      <c r="K742">
        <v>0</v>
      </c>
      <c r="L742">
        <v>0</v>
      </c>
      <c r="M742" s="28">
        <v>0</v>
      </c>
      <c r="N742" s="28">
        <v>0</v>
      </c>
      <c r="O742">
        <v>0</v>
      </c>
      <c r="P742">
        <v>0</v>
      </c>
      <c r="Q742">
        <v>0</v>
      </c>
      <c r="R742">
        <v>0</v>
      </c>
      <c r="S742" s="28">
        <v>903.483632808229</v>
      </c>
      <c r="T742" s="29">
        <f>SUM(BaseHoras[[#This Row],[Jan/2019]:[Mar/2019]])</f>
        <v>422.36104427385465</v>
      </c>
      <c r="U742" s="29">
        <f>SUM(BaseHoras[[#This Row],[Abr/2019]:[Jun/2019]])</f>
        <v>481.1225885343743</v>
      </c>
      <c r="V742" s="29">
        <f>SUM(BaseHoras[[#This Row],[Jul/2019]:[Set/2019]])</f>
        <v>0</v>
      </c>
      <c r="W742" s="29">
        <f>SUM(BaseHoras[[#This Row],[Out/2019]:[Dez/2019]])</f>
        <v>0</v>
      </c>
    </row>
    <row r="743" spans="1:23">
      <c r="A743" t="s">
        <v>151</v>
      </c>
      <c r="B743" t="s">
        <v>168</v>
      </c>
      <c r="C743" t="s">
        <v>344</v>
      </c>
      <c r="D743" t="s">
        <v>129</v>
      </c>
      <c r="E743" t="s">
        <v>203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s="28">
        <v>2.5349625231104325</v>
      </c>
      <c r="N743" s="28">
        <v>0</v>
      </c>
      <c r="O743">
        <v>0</v>
      </c>
      <c r="P743">
        <v>0</v>
      </c>
      <c r="Q743">
        <v>0</v>
      </c>
      <c r="R743">
        <v>0</v>
      </c>
      <c r="S743" s="28">
        <v>2.5349625231104325</v>
      </c>
      <c r="T743" s="29">
        <f>SUM(BaseHoras[[#This Row],[Jan/2019]:[Mar/2019]])</f>
        <v>0</v>
      </c>
      <c r="U743" s="29">
        <f>SUM(BaseHoras[[#This Row],[Abr/2019]:[Jun/2019]])</f>
        <v>0</v>
      </c>
      <c r="V743" s="29">
        <f>SUM(BaseHoras[[#This Row],[Jul/2019]:[Set/2019]])</f>
        <v>2.5349625231104325</v>
      </c>
      <c r="W743" s="29">
        <f>SUM(BaseHoras[[#This Row],[Out/2019]:[Dez/2019]])</f>
        <v>0</v>
      </c>
    </row>
    <row r="744" spans="1:23">
      <c r="A744" t="s">
        <v>151</v>
      </c>
      <c r="B744" t="s">
        <v>168</v>
      </c>
      <c r="C744" t="s">
        <v>344</v>
      </c>
      <c r="D744" t="s">
        <v>133</v>
      </c>
      <c r="E744" t="s">
        <v>203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143.52780694965719</v>
      </c>
      <c r="L744">
        <v>973.84726102587263</v>
      </c>
      <c r="M744" s="28">
        <v>0</v>
      </c>
      <c r="N744" s="28">
        <v>0</v>
      </c>
      <c r="O744">
        <v>0</v>
      </c>
      <c r="P744">
        <v>0</v>
      </c>
      <c r="Q744">
        <v>0</v>
      </c>
      <c r="R744">
        <v>0</v>
      </c>
      <c r="S744" s="28">
        <v>1117.3750679755299</v>
      </c>
      <c r="T744" s="29">
        <f>SUM(BaseHoras[[#This Row],[Jan/2019]:[Mar/2019]])</f>
        <v>0</v>
      </c>
      <c r="U744" s="29">
        <f>SUM(BaseHoras[[#This Row],[Abr/2019]:[Jun/2019]])</f>
        <v>143.52780694965719</v>
      </c>
      <c r="V744" s="29">
        <f>SUM(BaseHoras[[#This Row],[Jul/2019]:[Set/2019]])</f>
        <v>973.84726102587263</v>
      </c>
      <c r="W744" s="29">
        <f>SUM(BaseHoras[[#This Row],[Out/2019]:[Dez/2019]])</f>
        <v>0</v>
      </c>
    </row>
    <row r="745" spans="1:23">
      <c r="A745" t="s">
        <v>151</v>
      </c>
      <c r="B745" t="s">
        <v>168</v>
      </c>
      <c r="C745" t="s">
        <v>344</v>
      </c>
      <c r="D745" t="s">
        <v>134</v>
      </c>
      <c r="E745" t="s">
        <v>203</v>
      </c>
      <c r="F745">
        <v>0</v>
      </c>
      <c r="G745">
        <v>0</v>
      </c>
      <c r="H745">
        <v>0</v>
      </c>
      <c r="I745">
        <v>92.249780949895367</v>
      </c>
      <c r="J745">
        <v>0</v>
      </c>
      <c r="K745">
        <v>0</v>
      </c>
      <c r="L745">
        <v>0</v>
      </c>
      <c r="M745" s="28">
        <v>0</v>
      </c>
      <c r="N745" s="28">
        <v>0</v>
      </c>
      <c r="O745">
        <v>0</v>
      </c>
      <c r="P745">
        <v>0</v>
      </c>
      <c r="Q745">
        <v>0</v>
      </c>
      <c r="R745">
        <v>0</v>
      </c>
      <c r="S745" s="28">
        <v>92.249780949895367</v>
      </c>
      <c r="T745" s="29">
        <f>SUM(BaseHoras[[#This Row],[Jan/2019]:[Mar/2019]])</f>
        <v>0</v>
      </c>
      <c r="U745" s="29">
        <f>SUM(BaseHoras[[#This Row],[Abr/2019]:[Jun/2019]])</f>
        <v>92.249780949895367</v>
      </c>
      <c r="V745" s="29">
        <f>SUM(BaseHoras[[#This Row],[Jul/2019]:[Set/2019]])</f>
        <v>0</v>
      </c>
      <c r="W745" s="29">
        <f>SUM(BaseHoras[[#This Row],[Out/2019]:[Dez/2019]])</f>
        <v>0</v>
      </c>
    </row>
    <row r="746" spans="1:23">
      <c r="A746" t="s">
        <v>151</v>
      </c>
      <c r="B746" t="s">
        <v>168</v>
      </c>
      <c r="C746" t="s">
        <v>344</v>
      </c>
      <c r="D746" t="s">
        <v>137</v>
      </c>
      <c r="E746" t="s">
        <v>203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36.228545455640464</v>
      </c>
      <c r="L746">
        <v>0</v>
      </c>
      <c r="M746" s="28">
        <v>0</v>
      </c>
      <c r="N746" s="28">
        <v>0</v>
      </c>
      <c r="O746">
        <v>0</v>
      </c>
      <c r="P746">
        <v>0</v>
      </c>
      <c r="Q746">
        <v>0</v>
      </c>
      <c r="R746">
        <v>0</v>
      </c>
      <c r="S746" s="28">
        <v>36.228545455640464</v>
      </c>
      <c r="T746" s="29">
        <f>SUM(BaseHoras[[#This Row],[Jan/2019]:[Mar/2019]])</f>
        <v>0</v>
      </c>
      <c r="U746" s="29">
        <f>SUM(BaseHoras[[#This Row],[Abr/2019]:[Jun/2019]])</f>
        <v>36.228545455640464</v>
      </c>
      <c r="V746" s="29">
        <f>SUM(BaseHoras[[#This Row],[Jul/2019]:[Set/2019]])</f>
        <v>0</v>
      </c>
      <c r="W746" s="29">
        <f>SUM(BaseHoras[[#This Row],[Out/2019]:[Dez/2019]])</f>
        <v>0</v>
      </c>
    </row>
    <row r="747" spans="1:23">
      <c r="A747" t="s">
        <v>151</v>
      </c>
      <c r="B747" t="s">
        <v>168</v>
      </c>
      <c r="C747" t="s">
        <v>344</v>
      </c>
      <c r="D747" t="s">
        <v>140</v>
      </c>
      <c r="E747" t="s">
        <v>203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37.438271456200937</v>
      </c>
      <c r="L747">
        <v>0</v>
      </c>
      <c r="M747" s="28">
        <v>0</v>
      </c>
      <c r="N747" s="28">
        <v>0</v>
      </c>
      <c r="O747">
        <v>0</v>
      </c>
      <c r="P747">
        <v>0</v>
      </c>
      <c r="Q747">
        <v>0</v>
      </c>
      <c r="R747">
        <v>0</v>
      </c>
      <c r="S747" s="28">
        <v>37.438271456200937</v>
      </c>
      <c r="T747" s="29">
        <f>SUM(BaseHoras[[#This Row],[Jan/2019]:[Mar/2019]])</f>
        <v>0</v>
      </c>
      <c r="U747" s="29">
        <f>SUM(BaseHoras[[#This Row],[Abr/2019]:[Jun/2019]])</f>
        <v>37.438271456200937</v>
      </c>
      <c r="V747" s="29">
        <f>SUM(BaseHoras[[#This Row],[Jul/2019]:[Set/2019]])</f>
        <v>0</v>
      </c>
      <c r="W747" s="29">
        <f>SUM(BaseHoras[[#This Row],[Out/2019]:[Dez/2019]])</f>
        <v>0</v>
      </c>
    </row>
    <row r="748" spans="1:23">
      <c r="A748" t="s">
        <v>151</v>
      </c>
      <c r="B748" t="s">
        <v>168</v>
      </c>
      <c r="C748" t="s">
        <v>344</v>
      </c>
      <c r="D748" t="s">
        <v>147</v>
      </c>
      <c r="E748" t="s">
        <v>203</v>
      </c>
      <c r="F748">
        <v>0</v>
      </c>
      <c r="G748">
        <v>0</v>
      </c>
      <c r="H748">
        <v>0</v>
      </c>
      <c r="I748">
        <v>0</v>
      </c>
      <c r="J748">
        <v>100.07819995887193</v>
      </c>
      <c r="K748">
        <v>1631.9284260324607</v>
      </c>
      <c r="L748">
        <v>342.95939736131146</v>
      </c>
      <c r="M748" s="28">
        <v>0</v>
      </c>
      <c r="N748" s="28">
        <v>0</v>
      </c>
      <c r="O748">
        <v>0</v>
      </c>
      <c r="P748">
        <v>0</v>
      </c>
      <c r="Q748">
        <v>0</v>
      </c>
      <c r="R748">
        <v>0</v>
      </c>
      <c r="S748" s="28">
        <v>2074.9660233526442</v>
      </c>
      <c r="T748" s="29">
        <f>SUM(BaseHoras[[#This Row],[Jan/2019]:[Mar/2019]])</f>
        <v>0</v>
      </c>
      <c r="U748" s="29">
        <f>SUM(BaseHoras[[#This Row],[Abr/2019]:[Jun/2019]])</f>
        <v>1732.0066259913326</v>
      </c>
      <c r="V748" s="29">
        <f>SUM(BaseHoras[[#This Row],[Jul/2019]:[Set/2019]])</f>
        <v>342.95939736131146</v>
      </c>
      <c r="W748" s="29">
        <f>SUM(BaseHoras[[#This Row],[Out/2019]:[Dez/2019]])</f>
        <v>0</v>
      </c>
    </row>
    <row r="749" spans="1:23">
      <c r="A749" t="s">
        <v>151</v>
      </c>
      <c r="B749" t="s">
        <v>168</v>
      </c>
      <c r="C749" t="s">
        <v>345</v>
      </c>
      <c r="D749" t="s">
        <v>131</v>
      </c>
      <c r="E749" t="s">
        <v>203</v>
      </c>
      <c r="F749">
        <v>12.715865940796494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s="28">
        <v>0</v>
      </c>
      <c r="N749" s="28">
        <v>0</v>
      </c>
      <c r="O749">
        <v>0</v>
      </c>
      <c r="P749">
        <v>0</v>
      </c>
      <c r="Q749">
        <v>0</v>
      </c>
      <c r="R749">
        <v>0</v>
      </c>
      <c r="S749" s="28">
        <v>12.715865940796494</v>
      </c>
      <c r="T749" s="29">
        <f>SUM(BaseHoras[[#This Row],[Jan/2019]:[Mar/2019]])</f>
        <v>12.715865940796494</v>
      </c>
      <c r="U749" s="29">
        <f>SUM(BaseHoras[[#This Row],[Abr/2019]:[Jun/2019]])</f>
        <v>0</v>
      </c>
      <c r="V749" s="29">
        <f>SUM(BaseHoras[[#This Row],[Jul/2019]:[Set/2019]])</f>
        <v>0</v>
      </c>
      <c r="W749" s="29">
        <f>SUM(BaseHoras[[#This Row],[Out/2019]:[Dez/2019]])</f>
        <v>0</v>
      </c>
    </row>
    <row r="750" spans="1:23">
      <c r="A750" t="s">
        <v>151</v>
      </c>
      <c r="B750" t="s">
        <v>168</v>
      </c>
      <c r="C750" t="s">
        <v>346</v>
      </c>
      <c r="D750" t="s">
        <v>21</v>
      </c>
      <c r="E750" t="s">
        <v>203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s="28">
        <v>62.11669893575489</v>
      </c>
      <c r="N750" s="28">
        <v>541.726211133275</v>
      </c>
      <c r="O750">
        <v>154.01978752053628</v>
      </c>
      <c r="P750">
        <v>386664.72161614161</v>
      </c>
      <c r="Q750">
        <v>0</v>
      </c>
      <c r="R750">
        <v>0</v>
      </c>
      <c r="S750" s="28">
        <v>387422.58431373117</v>
      </c>
      <c r="T750" s="29">
        <f>SUM(BaseHoras[[#This Row],[Jan/2019]:[Mar/2019]])</f>
        <v>0</v>
      </c>
      <c r="U750" s="29">
        <f>SUM(BaseHoras[[#This Row],[Abr/2019]:[Jun/2019]])</f>
        <v>0</v>
      </c>
      <c r="V750" s="29">
        <f>SUM(BaseHoras[[#This Row],[Jul/2019]:[Set/2019]])</f>
        <v>603.84291006902993</v>
      </c>
      <c r="W750" s="29">
        <f>SUM(BaseHoras[[#This Row],[Out/2019]:[Dez/2019]])</f>
        <v>386818.74140366213</v>
      </c>
    </row>
    <row r="751" spans="1:23">
      <c r="A751" t="s">
        <v>151</v>
      </c>
      <c r="B751" t="s">
        <v>168</v>
      </c>
      <c r="C751" t="s">
        <v>346</v>
      </c>
      <c r="D751" t="s">
        <v>30</v>
      </c>
      <c r="E751" t="s">
        <v>203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s="28">
        <v>262.05260062624757</v>
      </c>
      <c r="N751" s="28">
        <v>1199.1914988469252</v>
      </c>
      <c r="O751">
        <v>105.99294811684037</v>
      </c>
      <c r="P751">
        <v>0</v>
      </c>
      <c r="Q751">
        <v>0</v>
      </c>
      <c r="R751">
        <v>0</v>
      </c>
      <c r="S751" s="28">
        <v>1567.2370475900132</v>
      </c>
      <c r="T751" s="29">
        <f>SUM(BaseHoras[[#This Row],[Jan/2019]:[Mar/2019]])</f>
        <v>0</v>
      </c>
      <c r="U751" s="29">
        <f>SUM(BaseHoras[[#This Row],[Abr/2019]:[Jun/2019]])</f>
        <v>0</v>
      </c>
      <c r="V751" s="29">
        <f>SUM(BaseHoras[[#This Row],[Jul/2019]:[Set/2019]])</f>
        <v>1461.2440994731728</v>
      </c>
      <c r="W751" s="29">
        <f>SUM(BaseHoras[[#This Row],[Out/2019]:[Dez/2019]])</f>
        <v>105.99294811684037</v>
      </c>
    </row>
    <row r="752" spans="1:23">
      <c r="A752" t="s">
        <v>151</v>
      </c>
      <c r="B752" t="s">
        <v>168</v>
      </c>
      <c r="C752" t="s">
        <v>346</v>
      </c>
      <c r="D752" t="s">
        <v>36</v>
      </c>
      <c r="E752" t="s">
        <v>203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77.598481441743914</v>
      </c>
      <c r="L752">
        <v>48.200835075475233</v>
      </c>
      <c r="M752" s="28">
        <v>802.90562835212813</v>
      </c>
      <c r="N752" s="28">
        <v>0</v>
      </c>
      <c r="O752">
        <v>0</v>
      </c>
      <c r="P752">
        <v>0</v>
      </c>
      <c r="Q752">
        <v>0</v>
      </c>
      <c r="R752">
        <v>0</v>
      </c>
      <c r="S752" s="28">
        <v>928.70494486934729</v>
      </c>
      <c r="T752" s="29">
        <f>SUM(BaseHoras[[#This Row],[Jan/2019]:[Mar/2019]])</f>
        <v>0</v>
      </c>
      <c r="U752" s="29">
        <f>SUM(BaseHoras[[#This Row],[Abr/2019]:[Jun/2019]])</f>
        <v>77.598481441743914</v>
      </c>
      <c r="V752" s="29">
        <f>SUM(BaseHoras[[#This Row],[Jul/2019]:[Set/2019]])</f>
        <v>851.10646342760333</v>
      </c>
      <c r="W752" s="29">
        <f>SUM(BaseHoras[[#This Row],[Out/2019]:[Dez/2019]])</f>
        <v>0</v>
      </c>
    </row>
    <row r="753" spans="1:23">
      <c r="A753" t="s">
        <v>151</v>
      </c>
      <c r="B753" t="s">
        <v>168</v>
      </c>
      <c r="C753" t="s">
        <v>346</v>
      </c>
      <c r="D753" t="s">
        <v>41</v>
      </c>
      <c r="E753" t="s">
        <v>203</v>
      </c>
      <c r="F753">
        <v>0</v>
      </c>
      <c r="G753">
        <v>112.58487531644896</v>
      </c>
      <c r="H753">
        <v>0</v>
      </c>
      <c r="I753">
        <v>84.768720987157153</v>
      </c>
      <c r="J753">
        <v>310.53994624836542</v>
      </c>
      <c r="K753">
        <v>401.951093328779</v>
      </c>
      <c r="L753">
        <v>326.14353744852866</v>
      </c>
      <c r="M753" s="28">
        <v>1582.8167443234879</v>
      </c>
      <c r="N753" s="28">
        <v>0</v>
      </c>
      <c r="O753">
        <v>0</v>
      </c>
      <c r="P753">
        <v>0</v>
      </c>
      <c r="Q753">
        <v>0</v>
      </c>
      <c r="R753">
        <v>0</v>
      </c>
      <c r="S753" s="28">
        <v>2818.804917652767</v>
      </c>
      <c r="T753" s="29">
        <f>SUM(BaseHoras[[#This Row],[Jan/2019]:[Mar/2019]])</f>
        <v>112.58487531644896</v>
      </c>
      <c r="U753" s="29">
        <f>SUM(BaseHoras[[#This Row],[Abr/2019]:[Jun/2019]])</f>
        <v>797.25976056430159</v>
      </c>
      <c r="V753" s="29">
        <f>SUM(BaseHoras[[#This Row],[Jul/2019]:[Set/2019]])</f>
        <v>1908.9602817720165</v>
      </c>
      <c r="W753" s="29">
        <f>SUM(BaseHoras[[#This Row],[Out/2019]:[Dez/2019]])</f>
        <v>0</v>
      </c>
    </row>
    <row r="754" spans="1:23">
      <c r="A754" t="s">
        <v>151</v>
      </c>
      <c r="B754" t="s">
        <v>168</v>
      </c>
      <c r="C754" t="s">
        <v>346</v>
      </c>
      <c r="D754" t="s">
        <v>45</v>
      </c>
      <c r="E754" t="s">
        <v>203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s="28">
        <v>0</v>
      </c>
      <c r="N754" s="28">
        <v>0</v>
      </c>
      <c r="O754">
        <v>0</v>
      </c>
      <c r="P754">
        <v>50.164777336087639</v>
      </c>
      <c r="Q754">
        <v>0</v>
      </c>
      <c r="R754">
        <v>0</v>
      </c>
      <c r="S754" s="28">
        <v>50.164777336087639</v>
      </c>
      <c r="T754" s="29">
        <f>SUM(BaseHoras[[#This Row],[Jan/2019]:[Mar/2019]])</f>
        <v>0</v>
      </c>
      <c r="U754" s="29">
        <f>SUM(BaseHoras[[#This Row],[Abr/2019]:[Jun/2019]])</f>
        <v>0</v>
      </c>
      <c r="V754" s="29">
        <f>SUM(BaseHoras[[#This Row],[Jul/2019]:[Set/2019]])</f>
        <v>0</v>
      </c>
      <c r="W754" s="29">
        <f>SUM(BaseHoras[[#This Row],[Out/2019]:[Dez/2019]])</f>
        <v>50.164777336087639</v>
      </c>
    </row>
    <row r="755" spans="1:23">
      <c r="A755" t="s">
        <v>151</v>
      </c>
      <c r="B755" t="s">
        <v>168</v>
      </c>
      <c r="C755" t="s">
        <v>346</v>
      </c>
      <c r="D755" t="s">
        <v>49</v>
      </c>
      <c r="E755" t="s">
        <v>203</v>
      </c>
      <c r="F755">
        <v>0</v>
      </c>
      <c r="G755">
        <v>0</v>
      </c>
      <c r="H755">
        <v>0</v>
      </c>
      <c r="I755">
        <v>0</v>
      </c>
      <c r="J755">
        <v>25.975928760791462</v>
      </c>
      <c r="K755">
        <v>13.211137189201194</v>
      </c>
      <c r="L755">
        <v>0</v>
      </c>
      <c r="M755" s="28">
        <v>0</v>
      </c>
      <c r="N755" s="28">
        <v>0</v>
      </c>
      <c r="O755">
        <v>0</v>
      </c>
      <c r="P755">
        <v>0</v>
      </c>
      <c r="Q755">
        <v>0</v>
      </c>
      <c r="R755">
        <v>0</v>
      </c>
      <c r="S755" s="28">
        <v>39.187065949992657</v>
      </c>
      <c r="T755" s="29">
        <f>SUM(BaseHoras[[#This Row],[Jan/2019]:[Mar/2019]])</f>
        <v>0</v>
      </c>
      <c r="U755" s="29">
        <f>SUM(BaseHoras[[#This Row],[Abr/2019]:[Jun/2019]])</f>
        <v>39.187065949992657</v>
      </c>
      <c r="V755" s="29">
        <f>SUM(BaseHoras[[#This Row],[Jul/2019]:[Set/2019]])</f>
        <v>0</v>
      </c>
      <c r="W755" s="29">
        <f>SUM(BaseHoras[[#This Row],[Out/2019]:[Dez/2019]])</f>
        <v>0</v>
      </c>
    </row>
    <row r="756" spans="1:23">
      <c r="A756" t="s">
        <v>151</v>
      </c>
      <c r="B756" t="s">
        <v>168</v>
      </c>
      <c r="C756" t="s">
        <v>346</v>
      </c>
      <c r="D756" t="s">
        <v>57</v>
      </c>
      <c r="E756" t="s">
        <v>203</v>
      </c>
      <c r="F756">
        <v>0</v>
      </c>
      <c r="G756">
        <v>29311.001660750269</v>
      </c>
      <c r="H756">
        <v>0</v>
      </c>
      <c r="I756">
        <v>116.8965969386706</v>
      </c>
      <c r="J756">
        <v>110.7312414477778</v>
      </c>
      <c r="K756">
        <v>0</v>
      </c>
      <c r="L756">
        <v>0</v>
      </c>
      <c r="M756" s="28">
        <v>0</v>
      </c>
      <c r="N756" s="28">
        <v>0</v>
      </c>
      <c r="O756">
        <v>0</v>
      </c>
      <c r="P756">
        <v>0</v>
      </c>
      <c r="Q756">
        <v>0</v>
      </c>
      <c r="R756">
        <v>0</v>
      </c>
      <c r="S756" s="28">
        <v>29538.629499136718</v>
      </c>
      <c r="T756" s="29">
        <f>SUM(BaseHoras[[#This Row],[Jan/2019]:[Mar/2019]])</f>
        <v>29311.001660750269</v>
      </c>
      <c r="U756" s="29">
        <f>SUM(BaseHoras[[#This Row],[Abr/2019]:[Jun/2019]])</f>
        <v>227.62783838644839</v>
      </c>
      <c r="V756" s="29">
        <f>SUM(BaseHoras[[#This Row],[Jul/2019]:[Set/2019]])</f>
        <v>0</v>
      </c>
      <c r="W756" s="29">
        <f>SUM(BaseHoras[[#This Row],[Out/2019]:[Dez/2019]])</f>
        <v>0</v>
      </c>
    </row>
    <row r="757" spans="1:23">
      <c r="A757" t="s">
        <v>151</v>
      </c>
      <c r="B757" t="s">
        <v>168</v>
      </c>
      <c r="C757" t="s">
        <v>346</v>
      </c>
      <c r="D757" t="s">
        <v>61</v>
      </c>
      <c r="E757" t="s">
        <v>203</v>
      </c>
      <c r="F757">
        <v>0</v>
      </c>
      <c r="G757">
        <v>0</v>
      </c>
      <c r="H757">
        <v>0</v>
      </c>
      <c r="I757">
        <v>660.9792256484709</v>
      </c>
      <c r="J757">
        <v>1229.507557083276</v>
      </c>
      <c r="K757">
        <v>1624.801059737877</v>
      </c>
      <c r="L757">
        <v>0</v>
      </c>
      <c r="M757" s="28">
        <v>0</v>
      </c>
      <c r="N757" s="28">
        <v>0</v>
      </c>
      <c r="O757">
        <v>0</v>
      </c>
      <c r="P757">
        <v>0</v>
      </c>
      <c r="Q757">
        <v>0</v>
      </c>
      <c r="R757">
        <v>0</v>
      </c>
      <c r="S757" s="28">
        <v>3515.2878424696237</v>
      </c>
      <c r="T757" s="29">
        <f>SUM(BaseHoras[[#This Row],[Jan/2019]:[Mar/2019]])</f>
        <v>0</v>
      </c>
      <c r="U757" s="29">
        <f>SUM(BaseHoras[[#This Row],[Abr/2019]:[Jun/2019]])</f>
        <v>3515.2878424696237</v>
      </c>
      <c r="V757" s="29">
        <f>SUM(BaseHoras[[#This Row],[Jul/2019]:[Set/2019]])</f>
        <v>0</v>
      </c>
      <c r="W757" s="29">
        <f>SUM(BaseHoras[[#This Row],[Out/2019]:[Dez/2019]])</f>
        <v>0</v>
      </c>
    </row>
    <row r="758" spans="1:23">
      <c r="A758" t="s">
        <v>151</v>
      </c>
      <c r="B758" t="s">
        <v>168</v>
      </c>
      <c r="C758" t="s">
        <v>346</v>
      </c>
      <c r="D758" t="s">
        <v>62</v>
      </c>
      <c r="E758" t="s">
        <v>203</v>
      </c>
      <c r="F758">
        <v>0</v>
      </c>
      <c r="G758">
        <v>13.696601793662989</v>
      </c>
      <c r="H758">
        <v>0</v>
      </c>
      <c r="I758">
        <v>0</v>
      </c>
      <c r="J758">
        <v>0</v>
      </c>
      <c r="K758">
        <v>0</v>
      </c>
      <c r="L758">
        <v>0</v>
      </c>
      <c r="M758" s="28">
        <v>0</v>
      </c>
      <c r="N758" s="28">
        <v>0</v>
      </c>
      <c r="O758">
        <v>0</v>
      </c>
      <c r="P758">
        <v>0</v>
      </c>
      <c r="Q758">
        <v>0</v>
      </c>
      <c r="R758">
        <v>0</v>
      </c>
      <c r="S758" s="28">
        <v>13.696601793662989</v>
      </c>
      <c r="T758" s="29">
        <f>SUM(BaseHoras[[#This Row],[Jan/2019]:[Mar/2019]])</f>
        <v>13.696601793662989</v>
      </c>
      <c r="U758" s="29">
        <f>SUM(BaseHoras[[#This Row],[Abr/2019]:[Jun/2019]])</f>
        <v>0</v>
      </c>
      <c r="V758" s="29">
        <f>SUM(BaseHoras[[#This Row],[Jul/2019]:[Set/2019]])</f>
        <v>0</v>
      </c>
      <c r="W758" s="29">
        <f>SUM(BaseHoras[[#This Row],[Out/2019]:[Dez/2019]])</f>
        <v>0</v>
      </c>
    </row>
    <row r="759" spans="1:23">
      <c r="A759" t="s">
        <v>151</v>
      </c>
      <c r="B759" t="s">
        <v>168</v>
      </c>
      <c r="C759" t="s">
        <v>346</v>
      </c>
      <c r="D759" t="s">
        <v>64</v>
      </c>
      <c r="E759" t="s">
        <v>203</v>
      </c>
      <c r="F759">
        <v>0</v>
      </c>
      <c r="G759">
        <v>0</v>
      </c>
      <c r="H759">
        <v>0</v>
      </c>
      <c r="I759">
        <v>642.12206397414263</v>
      </c>
      <c r="J759">
        <v>57.82878188189116</v>
      </c>
      <c r="K759">
        <v>153.1008917886013</v>
      </c>
      <c r="L759">
        <v>56.492515422561993</v>
      </c>
      <c r="M759" s="28">
        <v>0</v>
      </c>
      <c r="N759" s="28">
        <v>0</v>
      </c>
      <c r="O759">
        <v>0</v>
      </c>
      <c r="P759">
        <v>0</v>
      </c>
      <c r="Q759">
        <v>0</v>
      </c>
      <c r="R759">
        <v>0</v>
      </c>
      <c r="S759" s="28">
        <v>909.54425306719702</v>
      </c>
      <c r="T759" s="29">
        <f>SUM(BaseHoras[[#This Row],[Jan/2019]:[Mar/2019]])</f>
        <v>0</v>
      </c>
      <c r="U759" s="29">
        <f>SUM(BaseHoras[[#This Row],[Abr/2019]:[Jun/2019]])</f>
        <v>853.05173764463507</v>
      </c>
      <c r="V759" s="29">
        <f>SUM(BaseHoras[[#This Row],[Jul/2019]:[Set/2019]])</f>
        <v>56.492515422561993</v>
      </c>
      <c r="W759" s="29">
        <f>SUM(BaseHoras[[#This Row],[Out/2019]:[Dez/2019]])</f>
        <v>0</v>
      </c>
    </row>
    <row r="760" spans="1:23">
      <c r="A760" t="s">
        <v>151</v>
      </c>
      <c r="B760" t="s">
        <v>168</v>
      </c>
      <c r="C760" t="s">
        <v>346</v>
      </c>
      <c r="D760" t="s">
        <v>84</v>
      </c>
      <c r="E760" t="s">
        <v>203</v>
      </c>
      <c r="F760">
        <v>0</v>
      </c>
      <c r="G760">
        <v>0</v>
      </c>
      <c r="H760">
        <v>0</v>
      </c>
      <c r="I760">
        <v>149.02319018208252</v>
      </c>
      <c r="J760">
        <v>0</v>
      </c>
      <c r="K760">
        <v>0</v>
      </c>
      <c r="L760">
        <v>0</v>
      </c>
      <c r="M760" s="28">
        <v>0</v>
      </c>
      <c r="N760" s="28">
        <v>0</v>
      </c>
      <c r="O760">
        <v>0</v>
      </c>
      <c r="P760">
        <v>0</v>
      </c>
      <c r="Q760">
        <v>0</v>
      </c>
      <c r="R760">
        <v>0</v>
      </c>
      <c r="S760" s="28">
        <v>149.02319018208252</v>
      </c>
      <c r="T760" s="29">
        <f>SUM(BaseHoras[[#This Row],[Jan/2019]:[Mar/2019]])</f>
        <v>0</v>
      </c>
      <c r="U760" s="29">
        <f>SUM(BaseHoras[[#This Row],[Abr/2019]:[Jun/2019]])</f>
        <v>149.02319018208252</v>
      </c>
      <c r="V760" s="29">
        <f>SUM(BaseHoras[[#This Row],[Jul/2019]:[Set/2019]])</f>
        <v>0</v>
      </c>
      <c r="W760" s="29">
        <f>SUM(BaseHoras[[#This Row],[Out/2019]:[Dez/2019]])</f>
        <v>0</v>
      </c>
    </row>
    <row r="761" spans="1:23">
      <c r="A761" t="s">
        <v>151</v>
      </c>
      <c r="B761" t="s">
        <v>168</v>
      </c>
      <c r="C761" t="s">
        <v>346</v>
      </c>
      <c r="D761" t="s">
        <v>87</v>
      </c>
      <c r="E761" t="s">
        <v>203</v>
      </c>
      <c r="F761">
        <v>17.856889608744712</v>
      </c>
      <c r="G761">
        <v>0</v>
      </c>
      <c r="H761">
        <v>0</v>
      </c>
      <c r="I761">
        <v>0</v>
      </c>
      <c r="J761">
        <v>183.56495034464999</v>
      </c>
      <c r="K761">
        <v>17.63294058287315</v>
      </c>
      <c r="L761">
        <v>0</v>
      </c>
      <c r="M761" s="28">
        <v>0</v>
      </c>
      <c r="N761" s="28">
        <v>0</v>
      </c>
      <c r="O761">
        <v>0</v>
      </c>
      <c r="P761">
        <v>0</v>
      </c>
      <c r="Q761">
        <v>0</v>
      </c>
      <c r="R761">
        <v>0</v>
      </c>
      <c r="S761" s="28">
        <v>219.05478053626786</v>
      </c>
      <c r="T761" s="29">
        <f>SUM(BaseHoras[[#This Row],[Jan/2019]:[Mar/2019]])</f>
        <v>17.856889608744712</v>
      </c>
      <c r="U761" s="29">
        <f>SUM(BaseHoras[[#This Row],[Abr/2019]:[Jun/2019]])</f>
        <v>201.19789092752313</v>
      </c>
      <c r="V761" s="29">
        <f>SUM(BaseHoras[[#This Row],[Jul/2019]:[Set/2019]])</f>
        <v>0</v>
      </c>
      <c r="W761" s="29">
        <f>SUM(BaseHoras[[#This Row],[Out/2019]:[Dez/2019]])</f>
        <v>0</v>
      </c>
    </row>
    <row r="762" spans="1:23">
      <c r="A762" t="s">
        <v>151</v>
      </c>
      <c r="B762" t="s">
        <v>168</v>
      </c>
      <c r="C762" t="s">
        <v>346</v>
      </c>
      <c r="D762" t="s">
        <v>101</v>
      </c>
      <c r="E762" t="s">
        <v>203</v>
      </c>
      <c r="F762">
        <v>0</v>
      </c>
      <c r="G762">
        <v>19.294041167755605</v>
      </c>
      <c r="H762">
        <v>0</v>
      </c>
      <c r="I762">
        <v>0</v>
      </c>
      <c r="J762">
        <v>448.40821972769504</v>
      </c>
      <c r="K762">
        <v>61.0903035541278</v>
      </c>
      <c r="L762">
        <v>65.732269858348403</v>
      </c>
      <c r="M762" s="28">
        <v>0</v>
      </c>
      <c r="N762" s="28">
        <v>0</v>
      </c>
      <c r="O762">
        <v>0</v>
      </c>
      <c r="P762">
        <v>0</v>
      </c>
      <c r="Q762">
        <v>0</v>
      </c>
      <c r="R762">
        <v>0</v>
      </c>
      <c r="S762" s="28">
        <v>594.52483430792688</v>
      </c>
      <c r="T762" s="29">
        <f>SUM(BaseHoras[[#This Row],[Jan/2019]:[Mar/2019]])</f>
        <v>19.294041167755605</v>
      </c>
      <c r="U762" s="29">
        <f>SUM(BaseHoras[[#This Row],[Abr/2019]:[Jun/2019]])</f>
        <v>509.49852328182283</v>
      </c>
      <c r="V762" s="29">
        <f>SUM(BaseHoras[[#This Row],[Jul/2019]:[Set/2019]])</f>
        <v>65.732269858348403</v>
      </c>
      <c r="W762" s="29">
        <f>SUM(BaseHoras[[#This Row],[Out/2019]:[Dez/2019]])</f>
        <v>0</v>
      </c>
    </row>
    <row r="763" spans="1:23">
      <c r="A763" t="s">
        <v>151</v>
      </c>
      <c r="B763" t="s">
        <v>168</v>
      </c>
      <c r="C763" t="s">
        <v>346</v>
      </c>
      <c r="D763" t="s">
        <v>107</v>
      </c>
      <c r="E763" t="s">
        <v>203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s="28">
        <v>484.66045690439972</v>
      </c>
      <c r="N763" s="28">
        <v>0</v>
      </c>
      <c r="O763">
        <v>0</v>
      </c>
      <c r="P763">
        <v>0</v>
      </c>
      <c r="Q763">
        <v>0</v>
      </c>
      <c r="R763">
        <v>0</v>
      </c>
      <c r="S763" s="28">
        <v>484.66045690439972</v>
      </c>
      <c r="T763" s="29">
        <f>SUM(BaseHoras[[#This Row],[Jan/2019]:[Mar/2019]])</f>
        <v>0</v>
      </c>
      <c r="U763" s="29">
        <f>SUM(BaseHoras[[#This Row],[Abr/2019]:[Jun/2019]])</f>
        <v>0</v>
      </c>
      <c r="V763" s="29">
        <f>SUM(BaseHoras[[#This Row],[Jul/2019]:[Set/2019]])</f>
        <v>484.66045690439972</v>
      </c>
      <c r="W763" s="29">
        <f>SUM(BaseHoras[[#This Row],[Out/2019]:[Dez/2019]])</f>
        <v>0</v>
      </c>
    </row>
    <row r="764" spans="1:23">
      <c r="A764" t="s">
        <v>151</v>
      </c>
      <c r="B764" t="s">
        <v>168</v>
      </c>
      <c r="C764" t="s">
        <v>346</v>
      </c>
      <c r="D764" t="s">
        <v>108</v>
      </c>
      <c r="E764" t="s">
        <v>203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48.349241907144879</v>
      </c>
      <c r="M764" s="28">
        <v>40.967813226747836</v>
      </c>
      <c r="N764" s="28">
        <v>0</v>
      </c>
      <c r="O764">
        <v>0</v>
      </c>
      <c r="P764">
        <v>0</v>
      </c>
      <c r="Q764">
        <v>0</v>
      </c>
      <c r="R764">
        <v>0</v>
      </c>
      <c r="S764" s="28">
        <v>89.317055133892723</v>
      </c>
      <c r="T764" s="29">
        <f>SUM(BaseHoras[[#This Row],[Jan/2019]:[Mar/2019]])</f>
        <v>0</v>
      </c>
      <c r="U764" s="29">
        <f>SUM(BaseHoras[[#This Row],[Abr/2019]:[Jun/2019]])</f>
        <v>0</v>
      </c>
      <c r="V764" s="29">
        <f>SUM(BaseHoras[[#This Row],[Jul/2019]:[Set/2019]])</f>
        <v>89.317055133892723</v>
      </c>
      <c r="W764" s="29">
        <f>SUM(BaseHoras[[#This Row],[Out/2019]:[Dez/2019]])</f>
        <v>0</v>
      </c>
    </row>
    <row r="765" spans="1:23">
      <c r="A765" t="s">
        <v>151</v>
      </c>
      <c r="B765" t="s">
        <v>168</v>
      </c>
      <c r="C765" t="s">
        <v>346</v>
      </c>
      <c r="D765" t="s">
        <v>113</v>
      </c>
      <c r="E765" t="s">
        <v>203</v>
      </c>
      <c r="F765">
        <v>111.15506040697943</v>
      </c>
      <c r="G765">
        <v>42.934196767543114</v>
      </c>
      <c r="H765">
        <v>0</v>
      </c>
      <c r="I765">
        <v>0</v>
      </c>
      <c r="J765">
        <v>0</v>
      </c>
      <c r="K765">
        <v>0</v>
      </c>
      <c r="L765">
        <v>0</v>
      </c>
      <c r="M765" s="28">
        <v>0</v>
      </c>
      <c r="N765" s="28">
        <v>0</v>
      </c>
      <c r="O765">
        <v>0</v>
      </c>
      <c r="P765">
        <v>0</v>
      </c>
      <c r="Q765">
        <v>0</v>
      </c>
      <c r="R765">
        <v>0</v>
      </c>
      <c r="S765" s="28">
        <v>154.08925717452254</v>
      </c>
      <c r="T765" s="29">
        <f>SUM(BaseHoras[[#This Row],[Jan/2019]:[Mar/2019]])</f>
        <v>154.08925717452254</v>
      </c>
      <c r="U765" s="29">
        <f>SUM(BaseHoras[[#This Row],[Abr/2019]:[Jun/2019]])</f>
        <v>0</v>
      </c>
      <c r="V765" s="29">
        <f>SUM(BaseHoras[[#This Row],[Jul/2019]:[Set/2019]])</f>
        <v>0</v>
      </c>
      <c r="W765" s="29">
        <f>SUM(BaseHoras[[#This Row],[Out/2019]:[Dez/2019]])</f>
        <v>0</v>
      </c>
    </row>
    <row r="766" spans="1:23">
      <c r="A766" t="s">
        <v>151</v>
      </c>
      <c r="B766" t="s">
        <v>168</v>
      </c>
      <c r="C766" t="s">
        <v>346</v>
      </c>
      <c r="D766" t="s">
        <v>118</v>
      </c>
      <c r="E766" t="s">
        <v>203</v>
      </c>
      <c r="F766">
        <v>0</v>
      </c>
      <c r="G766">
        <v>0</v>
      </c>
      <c r="H766">
        <v>0</v>
      </c>
      <c r="I766">
        <v>0</v>
      </c>
      <c r="J766">
        <v>102.45929905709939</v>
      </c>
      <c r="K766">
        <v>0</v>
      </c>
      <c r="L766">
        <v>27.29028169135789</v>
      </c>
      <c r="M766" s="28">
        <v>185.83927312945269</v>
      </c>
      <c r="N766" s="28">
        <v>0</v>
      </c>
      <c r="O766">
        <v>0</v>
      </c>
      <c r="P766">
        <v>0</v>
      </c>
      <c r="Q766">
        <v>0</v>
      </c>
      <c r="R766">
        <v>0</v>
      </c>
      <c r="S766" s="28">
        <v>315.58885387790997</v>
      </c>
      <c r="T766" s="29">
        <f>SUM(BaseHoras[[#This Row],[Jan/2019]:[Mar/2019]])</f>
        <v>0</v>
      </c>
      <c r="U766" s="29">
        <f>SUM(BaseHoras[[#This Row],[Abr/2019]:[Jun/2019]])</f>
        <v>102.45929905709939</v>
      </c>
      <c r="V766" s="29">
        <f>SUM(BaseHoras[[#This Row],[Jul/2019]:[Set/2019]])</f>
        <v>213.1295548208106</v>
      </c>
      <c r="W766" s="29">
        <f>SUM(BaseHoras[[#This Row],[Out/2019]:[Dez/2019]])</f>
        <v>0</v>
      </c>
    </row>
    <row r="767" spans="1:23">
      <c r="A767" t="s">
        <v>151</v>
      </c>
      <c r="B767" t="s">
        <v>168</v>
      </c>
      <c r="C767" t="s">
        <v>346</v>
      </c>
      <c r="D767" t="s">
        <v>122</v>
      </c>
      <c r="E767" t="s">
        <v>203</v>
      </c>
      <c r="F767">
        <v>60.733825799259925</v>
      </c>
      <c r="G767">
        <v>9.344051179904719</v>
      </c>
      <c r="H767">
        <v>0</v>
      </c>
      <c r="I767">
        <v>42.883555100736913</v>
      </c>
      <c r="J767">
        <v>1677.3260670733123</v>
      </c>
      <c r="K767">
        <v>771.98444550744591</v>
      </c>
      <c r="L767">
        <v>0</v>
      </c>
      <c r="M767" s="28">
        <v>0</v>
      </c>
      <c r="N767" s="28">
        <v>0</v>
      </c>
      <c r="O767">
        <v>0</v>
      </c>
      <c r="P767">
        <v>0</v>
      </c>
      <c r="Q767">
        <v>0</v>
      </c>
      <c r="R767">
        <v>0</v>
      </c>
      <c r="S767" s="28">
        <v>2562.2719446606598</v>
      </c>
      <c r="T767" s="29">
        <f>SUM(BaseHoras[[#This Row],[Jan/2019]:[Mar/2019]])</f>
        <v>70.077876979164643</v>
      </c>
      <c r="U767" s="29">
        <f>SUM(BaseHoras[[#This Row],[Abr/2019]:[Jun/2019]])</f>
        <v>2492.1940676814952</v>
      </c>
      <c r="V767" s="29">
        <f>SUM(BaseHoras[[#This Row],[Jul/2019]:[Set/2019]])</f>
        <v>0</v>
      </c>
      <c r="W767" s="29">
        <f>SUM(BaseHoras[[#This Row],[Out/2019]:[Dez/2019]])</f>
        <v>0</v>
      </c>
    </row>
    <row r="768" spans="1:23">
      <c r="A768" t="s">
        <v>151</v>
      </c>
      <c r="B768" t="s">
        <v>168</v>
      </c>
      <c r="C768" t="s">
        <v>346</v>
      </c>
      <c r="D768" t="s">
        <v>148</v>
      </c>
      <c r="E768" t="s">
        <v>203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s="28">
        <v>39.751868815376582</v>
      </c>
      <c r="N768" s="28">
        <v>3643.8803011858035</v>
      </c>
      <c r="O768">
        <v>11.602324270271884</v>
      </c>
      <c r="P768">
        <v>0</v>
      </c>
      <c r="Q768">
        <v>0</v>
      </c>
      <c r="R768">
        <v>0</v>
      </c>
      <c r="S768" s="28">
        <v>3695.2344942714517</v>
      </c>
      <c r="T768" s="29">
        <f>SUM(BaseHoras[[#This Row],[Jan/2019]:[Mar/2019]])</f>
        <v>0</v>
      </c>
      <c r="U768" s="29">
        <f>SUM(BaseHoras[[#This Row],[Abr/2019]:[Jun/2019]])</f>
        <v>0</v>
      </c>
      <c r="V768" s="29">
        <f>SUM(BaseHoras[[#This Row],[Jul/2019]:[Set/2019]])</f>
        <v>3683.6321700011799</v>
      </c>
      <c r="W768" s="29">
        <f>SUM(BaseHoras[[#This Row],[Out/2019]:[Dez/2019]])</f>
        <v>11.602324270271884</v>
      </c>
    </row>
    <row r="769" spans="1:23">
      <c r="A769" t="s">
        <v>151</v>
      </c>
      <c r="B769" t="s">
        <v>168</v>
      </c>
      <c r="C769" t="s">
        <v>347</v>
      </c>
      <c r="D769" t="s">
        <v>110</v>
      </c>
      <c r="E769" t="s">
        <v>203</v>
      </c>
      <c r="F769">
        <v>0</v>
      </c>
      <c r="G769">
        <v>0</v>
      </c>
      <c r="H769">
        <v>60.567114677771869</v>
      </c>
      <c r="I769">
        <v>219.03314787570781</v>
      </c>
      <c r="J769">
        <v>0</v>
      </c>
      <c r="K769">
        <v>0</v>
      </c>
      <c r="L769">
        <v>0</v>
      </c>
      <c r="M769" s="28">
        <v>0</v>
      </c>
      <c r="N769" s="28">
        <v>0</v>
      </c>
      <c r="O769">
        <v>0</v>
      </c>
      <c r="P769">
        <v>0</v>
      </c>
      <c r="Q769">
        <v>0</v>
      </c>
      <c r="R769">
        <v>0</v>
      </c>
      <c r="S769" s="28">
        <v>279.60026255347969</v>
      </c>
      <c r="T769" s="29">
        <f>SUM(BaseHoras[[#This Row],[Jan/2019]:[Mar/2019]])</f>
        <v>60.567114677771869</v>
      </c>
      <c r="U769" s="29">
        <f>SUM(BaseHoras[[#This Row],[Abr/2019]:[Jun/2019]])</f>
        <v>219.03314787570781</v>
      </c>
      <c r="V769" s="29">
        <f>SUM(BaseHoras[[#This Row],[Jul/2019]:[Set/2019]])</f>
        <v>0</v>
      </c>
      <c r="W769" s="29">
        <f>SUM(BaseHoras[[#This Row],[Out/2019]:[Dez/2019]])</f>
        <v>0</v>
      </c>
    </row>
    <row r="770" spans="1:23">
      <c r="A770" t="s">
        <v>151</v>
      </c>
      <c r="B770" t="s">
        <v>168</v>
      </c>
      <c r="C770" t="s">
        <v>348</v>
      </c>
      <c r="D770" t="s">
        <v>144</v>
      </c>
      <c r="E770" t="s">
        <v>203</v>
      </c>
      <c r="F770">
        <v>0</v>
      </c>
      <c r="G770">
        <v>0</v>
      </c>
      <c r="H770">
        <v>30.631034651752117</v>
      </c>
      <c r="I770">
        <v>0</v>
      </c>
      <c r="J770">
        <v>0</v>
      </c>
      <c r="K770">
        <v>0</v>
      </c>
      <c r="L770">
        <v>0</v>
      </c>
      <c r="M770" s="28">
        <v>0</v>
      </c>
      <c r="N770" s="28">
        <v>0</v>
      </c>
      <c r="O770">
        <v>0</v>
      </c>
      <c r="P770">
        <v>0</v>
      </c>
      <c r="Q770">
        <v>0</v>
      </c>
      <c r="R770">
        <v>0</v>
      </c>
      <c r="S770" s="28">
        <v>30.631034651752117</v>
      </c>
      <c r="T770" s="29">
        <f>SUM(BaseHoras[[#This Row],[Jan/2019]:[Mar/2019]])</f>
        <v>30.631034651752117</v>
      </c>
      <c r="U770" s="29">
        <f>SUM(BaseHoras[[#This Row],[Abr/2019]:[Jun/2019]])</f>
        <v>0</v>
      </c>
      <c r="V770" s="29">
        <f>SUM(BaseHoras[[#This Row],[Jul/2019]:[Set/2019]])</f>
        <v>0</v>
      </c>
      <c r="W770" s="29">
        <f>SUM(BaseHoras[[#This Row],[Out/2019]:[Dez/2019]])</f>
        <v>0</v>
      </c>
    </row>
    <row r="771" spans="1:23">
      <c r="A771" t="s">
        <v>151</v>
      </c>
      <c r="B771" t="s">
        <v>168</v>
      </c>
      <c r="C771" t="s">
        <v>349</v>
      </c>
      <c r="D771" t="s">
        <v>23</v>
      </c>
      <c r="E771" t="s">
        <v>203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s="28">
        <v>460.24456279368491</v>
      </c>
      <c r="N771" s="28">
        <v>215.25124219070094</v>
      </c>
      <c r="O771">
        <v>0</v>
      </c>
      <c r="P771">
        <v>0</v>
      </c>
      <c r="Q771">
        <v>0</v>
      </c>
      <c r="R771">
        <v>0</v>
      </c>
      <c r="S771" s="28">
        <v>675.49580498438581</v>
      </c>
      <c r="T771" s="29">
        <f>SUM(BaseHoras[[#This Row],[Jan/2019]:[Mar/2019]])</f>
        <v>0</v>
      </c>
      <c r="U771" s="29">
        <f>SUM(BaseHoras[[#This Row],[Abr/2019]:[Jun/2019]])</f>
        <v>0</v>
      </c>
      <c r="V771" s="29">
        <f>SUM(BaseHoras[[#This Row],[Jul/2019]:[Set/2019]])</f>
        <v>675.49580498438581</v>
      </c>
      <c r="W771" s="29">
        <f>SUM(BaseHoras[[#This Row],[Out/2019]:[Dez/2019]])</f>
        <v>0</v>
      </c>
    </row>
    <row r="772" spans="1:23">
      <c r="A772" t="s">
        <v>151</v>
      </c>
      <c r="B772" t="s">
        <v>168</v>
      </c>
      <c r="C772" t="s">
        <v>349</v>
      </c>
      <c r="D772" t="s">
        <v>25</v>
      </c>
      <c r="E772" t="s">
        <v>203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395</v>
      </c>
      <c r="M772" s="28">
        <v>219.44350696210887</v>
      </c>
      <c r="N772" s="28">
        <v>3.7557133456849177</v>
      </c>
      <c r="O772">
        <v>0</v>
      </c>
      <c r="P772">
        <v>0</v>
      </c>
      <c r="Q772">
        <v>0</v>
      </c>
      <c r="R772">
        <v>0</v>
      </c>
      <c r="S772" s="28">
        <v>223.19922030779378</v>
      </c>
      <c r="T772" s="29">
        <f>SUM(BaseHoras[[#This Row],[Jan/2019]:[Mar/2019]])</f>
        <v>0</v>
      </c>
      <c r="U772" s="29">
        <f>SUM(BaseHoras[[#This Row],[Abr/2019]:[Jun/2019]])</f>
        <v>0</v>
      </c>
      <c r="V772" s="29">
        <f>SUM(BaseHoras[[#This Row],[Jul/2019]:[Set/2019]])</f>
        <v>223.19922030779378</v>
      </c>
      <c r="W772" s="29">
        <f>SUM(BaseHoras[[#This Row],[Out/2019]:[Dez/2019]])</f>
        <v>0</v>
      </c>
    </row>
    <row r="773" spans="1:23">
      <c r="A773" t="s">
        <v>151</v>
      </c>
      <c r="B773" t="s">
        <v>168</v>
      </c>
      <c r="C773" t="s">
        <v>349</v>
      </c>
      <c r="D773" t="s">
        <v>30</v>
      </c>
      <c r="E773" t="s">
        <v>203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s="28">
        <v>0</v>
      </c>
      <c r="N773" s="28">
        <v>23.975215178426033</v>
      </c>
      <c r="O773">
        <v>382.54478156454951</v>
      </c>
      <c r="P773">
        <v>214.64328216617378</v>
      </c>
      <c r="Q773">
        <v>0</v>
      </c>
      <c r="R773">
        <v>0</v>
      </c>
      <c r="S773" s="28">
        <v>621.16327890914931</v>
      </c>
      <c r="T773" s="29">
        <f>SUM(BaseHoras[[#This Row],[Jan/2019]:[Mar/2019]])</f>
        <v>0</v>
      </c>
      <c r="U773" s="29">
        <f>SUM(BaseHoras[[#This Row],[Abr/2019]:[Jun/2019]])</f>
        <v>0</v>
      </c>
      <c r="V773" s="29">
        <f>SUM(BaseHoras[[#This Row],[Jul/2019]:[Set/2019]])</f>
        <v>23.975215178426033</v>
      </c>
      <c r="W773" s="29">
        <f>SUM(BaseHoras[[#This Row],[Out/2019]:[Dez/2019]])</f>
        <v>597.18806373072334</v>
      </c>
    </row>
    <row r="774" spans="1:23">
      <c r="A774" t="s">
        <v>151</v>
      </c>
      <c r="B774" t="s">
        <v>168</v>
      </c>
      <c r="C774" t="s">
        <v>349</v>
      </c>
      <c r="D774" t="s">
        <v>34</v>
      </c>
      <c r="E774" t="s">
        <v>203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s="28">
        <v>0</v>
      </c>
      <c r="N774" s="28">
        <v>211.48563216566203</v>
      </c>
      <c r="O774">
        <v>20.840110620955578</v>
      </c>
      <c r="P774">
        <v>0</v>
      </c>
      <c r="Q774">
        <v>0</v>
      </c>
      <c r="R774">
        <v>0</v>
      </c>
      <c r="S774" s="28">
        <v>232.32574278661761</v>
      </c>
      <c r="T774" s="29">
        <f>SUM(BaseHoras[[#This Row],[Jan/2019]:[Mar/2019]])</f>
        <v>0</v>
      </c>
      <c r="U774" s="29">
        <f>SUM(BaseHoras[[#This Row],[Abr/2019]:[Jun/2019]])</f>
        <v>0</v>
      </c>
      <c r="V774" s="29">
        <f>SUM(BaseHoras[[#This Row],[Jul/2019]:[Set/2019]])</f>
        <v>211.48563216566203</v>
      </c>
      <c r="W774" s="29">
        <f>SUM(BaseHoras[[#This Row],[Out/2019]:[Dez/2019]])</f>
        <v>20.840110620955578</v>
      </c>
    </row>
    <row r="775" spans="1:23">
      <c r="A775" t="s">
        <v>151</v>
      </c>
      <c r="B775" t="s">
        <v>168</v>
      </c>
      <c r="C775" t="s">
        <v>349</v>
      </c>
      <c r="D775" t="s">
        <v>36</v>
      </c>
      <c r="E775" t="s">
        <v>203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s="28">
        <v>42.585982278409254</v>
      </c>
      <c r="N775" s="28">
        <v>109.44851772280863</v>
      </c>
      <c r="O775">
        <v>223.47152272701581</v>
      </c>
      <c r="P775">
        <v>730.47067607250983</v>
      </c>
      <c r="Q775">
        <v>0</v>
      </c>
      <c r="R775">
        <v>0</v>
      </c>
      <c r="S775" s="28">
        <v>1105.9766988007436</v>
      </c>
      <c r="T775" s="29">
        <f>SUM(BaseHoras[[#This Row],[Jan/2019]:[Mar/2019]])</f>
        <v>0</v>
      </c>
      <c r="U775" s="29">
        <f>SUM(BaseHoras[[#This Row],[Abr/2019]:[Jun/2019]])</f>
        <v>0</v>
      </c>
      <c r="V775" s="29">
        <f>SUM(BaseHoras[[#This Row],[Jul/2019]:[Set/2019]])</f>
        <v>152.03450000121788</v>
      </c>
      <c r="W775" s="29">
        <f>SUM(BaseHoras[[#This Row],[Out/2019]:[Dez/2019]])</f>
        <v>953.94219879952561</v>
      </c>
    </row>
    <row r="776" spans="1:23">
      <c r="A776" t="s">
        <v>151</v>
      </c>
      <c r="B776" t="s">
        <v>168</v>
      </c>
      <c r="C776" t="s">
        <v>349</v>
      </c>
      <c r="D776" t="s">
        <v>41</v>
      </c>
      <c r="E776" t="s">
        <v>203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s="28">
        <v>0</v>
      </c>
      <c r="N776" s="28">
        <v>31.262735090391683</v>
      </c>
      <c r="O776">
        <v>0</v>
      </c>
      <c r="P776">
        <v>0</v>
      </c>
      <c r="Q776">
        <v>0</v>
      </c>
      <c r="R776">
        <v>0</v>
      </c>
      <c r="S776" s="28">
        <v>31.262735090391683</v>
      </c>
      <c r="T776" s="29">
        <f>SUM(BaseHoras[[#This Row],[Jan/2019]:[Mar/2019]])</f>
        <v>0</v>
      </c>
      <c r="U776" s="29">
        <f>SUM(BaseHoras[[#This Row],[Abr/2019]:[Jun/2019]])</f>
        <v>0</v>
      </c>
      <c r="V776" s="29">
        <f>SUM(BaseHoras[[#This Row],[Jul/2019]:[Set/2019]])</f>
        <v>31.262735090391683</v>
      </c>
      <c r="W776" s="29">
        <f>SUM(BaseHoras[[#This Row],[Out/2019]:[Dez/2019]])</f>
        <v>0</v>
      </c>
    </row>
    <row r="777" spans="1:23">
      <c r="A777" t="s">
        <v>151</v>
      </c>
      <c r="B777" t="s">
        <v>168</v>
      </c>
      <c r="C777" t="s">
        <v>349</v>
      </c>
      <c r="D777" t="s">
        <v>49</v>
      </c>
      <c r="E777" t="s">
        <v>203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s="28">
        <v>9.9157195167343293</v>
      </c>
      <c r="N777" s="28">
        <v>43.035597004431047</v>
      </c>
      <c r="O777">
        <v>3020.4978304668225</v>
      </c>
      <c r="P777">
        <v>49.3577890138396</v>
      </c>
      <c r="Q777">
        <v>0</v>
      </c>
      <c r="R777">
        <v>0</v>
      </c>
      <c r="S777" s="28">
        <v>3122.8069360018271</v>
      </c>
      <c r="T777" s="29">
        <f>SUM(BaseHoras[[#This Row],[Jan/2019]:[Mar/2019]])</f>
        <v>0</v>
      </c>
      <c r="U777" s="29">
        <f>SUM(BaseHoras[[#This Row],[Abr/2019]:[Jun/2019]])</f>
        <v>0</v>
      </c>
      <c r="V777" s="29">
        <f>SUM(BaseHoras[[#This Row],[Jul/2019]:[Set/2019]])</f>
        <v>52.951316521165374</v>
      </c>
      <c r="W777" s="29">
        <f>SUM(BaseHoras[[#This Row],[Out/2019]:[Dez/2019]])</f>
        <v>3069.855619480662</v>
      </c>
    </row>
    <row r="778" spans="1:23">
      <c r="A778" t="s">
        <v>151</v>
      </c>
      <c r="B778" t="s">
        <v>168</v>
      </c>
      <c r="C778" t="s">
        <v>349</v>
      </c>
      <c r="D778" t="s">
        <v>52</v>
      </c>
      <c r="E778" t="s">
        <v>203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s="28">
        <v>8.0629202135810178</v>
      </c>
      <c r="N778" s="28">
        <v>26.485886446611872</v>
      </c>
      <c r="O778">
        <v>11.094327637459612</v>
      </c>
      <c r="P778">
        <v>0</v>
      </c>
      <c r="Q778">
        <v>0</v>
      </c>
      <c r="R778">
        <v>0</v>
      </c>
      <c r="S778" s="28">
        <v>45.643134297652502</v>
      </c>
      <c r="T778" s="29">
        <f>SUM(BaseHoras[[#This Row],[Jan/2019]:[Mar/2019]])</f>
        <v>0</v>
      </c>
      <c r="U778" s="29">
        <f>SUM(BaseHoras[[#This Row],[Abr/2019]:[Jun/2019]])</f>
        <v>0</v>
      </c>
      <c r="V778" s="29">
        <f>SUM(BaseHoras[[#This Row],[Jul/2019]:[Set/2019]])</f>
        <v>34.548806660192888</v>
      </c>
      <c r="W778" s="29">
        <f>SUM(BaseHoras[[#This Row],[Out/2019]:[Dez/2019]])</f>
        <v>11.094327637459612</v>
      </c>
    </row>
    <row r="779" spans="1:23">
      <c r="A779" t="s">
        <v>151</v>
      </c>
      <c r="B779" t="s">
        <v>168</v>
      </c>
      <c r="C779" t="s">
        <v>349</v>
      </c>
      <c r="D779" t="s">
        <v>55</v>
      </c>
      <c r="E779" t="s">
        <v>203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s="28">
        <v>8.7457961635616641</v>
      </c>
      <c r="N779" s="28">
        <v>6.3411867538967952</v>
      </c>
      <c r="O779">
        <v>4.7036770533524299</v>
      </c>
      <c r="P779">
        <v>0</v>
      </c>
      <c r="Q779">
        <v>0</v>
      </c>
      <c r="R779">
        <v>0</v>
      </c>
      <c r="S779" s="28">
        <v>19.790659970810889</v>
      </c>
      <c r="T779" s="29">
        <f>SUM(BaseHoras[[#This Row],[Jan/2019]:[Mar/2019]])</f>
        <v>0</v>
      </c>
      <c r="U779" s="29">
        <f>SUM(BaseHoras[[#This Row],[Abr/2019]:[Jun/2019]])</f>
        <v>0</v>
      </c>
      <c r="V779" s="29">
        <f>SUM(BaseHoras[[#This Row],[Jul/2019]:[Set/2019]])</f>
        <v>15.08698291745846</v>
      </c>
      <c r="W779" s="29">
        <f>SUM(BaseHoras[[#This Row],[Out/2019]:[Dez/2019]])</f>
        <v>4.7036770533524299</v>
      </c>
    </row>
    <row r="780" spans="1:23">
      <c r="A780" t="s">
        <v>151</v>
      </c>
      <c r="B780" t="s">
        <v>168</v>
      </c>
      <c r="C780" t="s">
        <v>349</v>
      </c>
      <c r="D780" t="s">
        <v>67</v>
      </c>
      <c r="E780" t="s">
        <v>203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s="28">
        <v>0</v>
      </c>
      <c r="N780" s="28">
        <v>0</v>
      </c>
      <c r="O780">
        <v>330.17735540241273</v>
      </c>
      <c r="P780">
        <v>0</v>
      </c>
      <c r="Q780">
        <v>0</v>
      </c>
      <c r="R780">
        <v>0</v>
      </c>
      <c r="S780" s="28">
        <v>330.17735540241273</v>
      </c>
      <c r="T780" s="29">
        <f>SUM(BaseHoras[[#This Row],[Jan/2019]:[Mar/2019]])</f>
        <v>0</v>
      </c>
      <c r="U780" s="29">
        <f>SUM(BaseHoras[[#This Row],[Abr/2019]:[Jun/2019]])</f>
        <v>0</v>
      </c>
      <c r="V780" s="29">
        <f>SUM(BaseHoras[[#This Row],[Jul/2019]:[Set/2019]])</f>
        <v>0</v>
      </c>
      <c r="W780" s="29">
        <f>SUM(BaseHoras[[#This Row],[Out/2019]:[Dez/2019]])</f>
        <v>330.17735540241273</v>
      </c>
    </row>
    <row r="781" spans="1:23">
      <c r="A781" t="s">
        <v>151</v>
      </c>
      <c r="B781" t="s">
        <v>168</v>
      </c>
      <c r="C781" t="s">
        <v>349</v>
      </c>
      <c r="D781" t="s">
        <v>77</v>
      </c>
      <c r="E781" t="s">
        <v>203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s="28">
        <v>0</v>
      </c>
      <c r="N781" s="28">
        <v>0</v>
      </c>
      <c r="O781">
        <v>8.9431887820088871</v>
      </c>
      <c r="P781">
        <v>44.89712526967358</v>
      </c>
      <c r="Q781">
        <v>0</v>
      </c>
      <c r="R781">
        <v>0</v>
      </c>
      <c r="S781" s="28">
        <v>53.840314051682469</v>
      </c>
      <c r="T781" s="29">
        <f>SUM(BaseHoras[[#This Row],[Jan/2019]:[Mar/2019]])</f>
        <v>0</v>
      </c>
      <c r="U781" s="29">
        <f>SUM(BaseHoras[[#This Row],[Abr/2019]:[Jun/2019]])</f>
        <v>0</v>
      </c>
      <c r="V781" s="29">
        <f>SUM(BaseHoras[[#This Row],[Jul/2019]:[Set/2019]])</f>
        <v>0</v>
      </c>
      <c r="W781" s="29">
        <f>SUM(BaseHoras[[#This Row],[Out/2019]:[Dez/2019]])</f>
        <v>53.840314051682469</v>
      </c>
    </row>
    <row r="782" spans="1:23">
      <c r="A782" t="s">
        <v>151</v>
      </c>
      <c r="B782" t="s">
        <v>168</v>
      </c>
      <c r="C782" t="s">
        <v>349</v>
      </c>
      <c r="D782" t="s">
        <v>81</v>
      </c>
      <c r="E782" t="s">
        <v>203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s="28">
        <v>13.426180779114832</v>
      </c>
      <c r="N782" s="28">
        <v>8.066173590904361</v>
      </c>
      <c r="O782">
        <v>0</v>
      </c>
      <c r="P782">
        <v>0</v>
      </c>
      <c r="Q782">
        <v>0</v>
      </c>
      <c r="R782">
        <v>0</v>
      </c>
      <c r="S782" s="28">
        <v>21.492354370019193</v>
      </c>
      <c r="T782" s="29">
        <f>SUM(BaseHoras[[#This Row],[Jan/2019]:[Mar/2019]])</f>
        <v>0</v>
      </c>
      <c r="U782" s="29">
        <f>SUM(BaseHoras[[#This Row],[Abr/2019]:[Jun/2019]])</f>
        <v>0</v>
      </c>
      <c r="V782" s="29">
        <f>SUM(BaseHoras[[#This Row],[Jul/2019]:[Set/2019]])</f>
        <v>21.492354370019193</v>
      </c>
      <c r="W782" s="29">
        <f>SUM(BaseHoras[[#This Row],[Out/2019]:[Dez/2019]])</f>
        <v>0</v>
      </c>
    </row>
    <row r="783" spans="1:23">
      <c r="A783" t="s">
        <v>151</v>
      </c>
      <c r="B783" t="s">
        <v>168</v>
      </c>
      <c r="C783" t="s">
        <v>349</v>
      </c>
      <c r="D783" t="s">
        <v>82</v>
      </c>
      <c r="E783" t="s">
        <v>203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s="28">
        <v>0</v>
      </c>
      <c r="N783" s="28">
        <v>0</v>
      </c>
      <c r="O783">
        <v>0</v>
      </c>
      <c r="P783">
        <v>382.63269130205288</v>
      </c>
      <c r="Q783">
        <v>0</v>
      </c>
      <c r="R783">
        <v>0</v>
      </c>
      <c r="S783" s="28">
        <v>382.63269130205288</v>
      </c>
      <c r="T783" s="29">
        <f>SUM(BaseHoras[[#This Row],[Jan/2019]:[Mar/2019]])</f>
        <v>0</v>
      </c>
      <c r="U783" s="29">
        <f>SUM(BaseHoras[[#This Row],[Abr/2019]:[Jun/2019]])</f>
        <v>0</v>
      </c>
      <c r="V783" s="29">
        <f>SUM(BaseHoras[[#This Row],[Jul/2019]:[Set/2019]])</f>
        <v>0</v>
      </c>
      <c r="W783" s="29">
        <f>SUM(BaseHoras[[#This Row],[Out/2019]:[Dez/2019]])</f>
        <v>382.63269130205288</v>
      </c>
    </row>
    <row r="784" spans="1:23">
      <c r="A784" t="s">
        <v>151</v>
      </c>
      <c r="B784" t="s">
        <v>168</v>
      </c>
      <c r="C784" t="s">
        <v>349</v>
      </c>
      <c r="D784" t="s">
        <v>95</v>
      </c>
      <c r="E784" t="s">
        <v>203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s="28">
        <v>0</v>
      </c>
      <c r="N784" s="28">
        <v>329.93440081642967</v>
      </c>
      <c r="O784">
        <v>114.99037647343901</v>
      </c>
      <c r="P784">
        <v>100.75825555173658</v>
      </c>
      <c r="Q784">
        <v>0</v>
      </c>
      <c r="R784">
        <v>0</v>
      </c>
      <c r="S784" s="28">
        <v>545.68303284160527</v>
      </c>
      <c r="T784" s="29">
        <f>SUM(BaseHoras[[#This Row],[Jan/2019]:[Mar/2019]])</f>
        <v>0</v>
      </c>
      <c r="U784" s="29">
        <f>SUM(BaseHoras[[#This Row],[Abr/2019]:[Jun/2019]])</f>
        <v>0</v>
      </c>
      <c r="V784" s="29">
        <f>SUM(BaseHoras[[#This Row],[Jul/2019]:[Set/2019]])</f>
        <v>329.93440081642967</v>
      </c>
      <c r="W784" s="29">
        <f>SUM(BaseHoras[[#This Row],[Out/2019]:[Dez/2019]])</f>
        <v>215.7486320251756</v>
      </c>
    </row>
    <row r="785" spans="1:23">
      <c r="A785" t="s">
        <v>151</v>
      </c>
      <c r="B785" t="s">
        <v>168</v>
      </c>
      <c r="C785" t="s">
        <v>349</v>
      </c>
      <c r="D785" t="s">
        <v>101</v>
      </c>
      <c r="E785" t="s">
        <v>203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s="28">
        <v>0</v>
      </c>
      <c r="N785" s="28">
        <v>141.56139927805361</v>
      </c>
      <c r="O785">
        <v>10.947668976220537</v>
      </c>
      <c r="P785">
        <v>41.386576801339331</v>
      </c>
      <c r="Q785">
        <v>0</v>
      </c>
      <c r="R785">
        <v>0</v>
      </c>
      <c r="S785" s="28">
        <v>193.8956450556135</v>
      </c>
      <c r="T785" s="29">
        <f>SUM(BaseHoras[[#This Row],[Jan/2019]:[Mar/2019]])</f>
        <v>0</v>
      </c>
      <c r="U785" s="29">
        <f>SUM(BaseHoras[[#This Row],[Abr/2019]:[Jun/2019]])</f>
        <v>0</v>
      </c>
      <c r="V785" s="29">
        <f>SUM(BaseHoras[[#This Row],[Jul/2019]:[Set/2019]])</f>
        <v>141.56139927805361</v>
      </c>
      <c r="W785" s="29">
        <f>SUM(BaseHoras[[#This Row],[Out/2019]:[Dez/2019]])</f>
        <v>52.334245777559872</v>
      </c>
    </row>
    <row r="786" spans="1:23">
      <c r="A786" t="s">
        <v>151</v>
      </c>
      <c r="B786" t="s">
        <v>168</v>
      </c>
      <c r="C786" t="s">
        <v>349</v>
      </c>
      <c r="D786" t="s">
        <v>102</v>
      </c>
      <c r="E786" t="s">
        <v>203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s="28">
        <v>35.398988601205367</v>
      </c>
      <c r="N786" s="28">
        <v>3.1832657746607471</v>
      </c>
      <c r="O786">
        <v>0</v>
      </c>
      <c r="P786">
        <v>37.625181629480764</v>
      </c>
      <c r="Q786">
        <v>0</v>
      </c>
      <c r="R786">
        <v>0</v>
      </c>
      <c r="S786" s="28">
        <v>76.207436005346878</v>
      </c>
      <c r="T786" s="29">
        <f>SUM(BaseHoras[[#This Row],[Jan/2019]:[Mar/2019]])</f>
        <v>0</v>
      </c>
      <c r="U786" s="29">
        <f>SUM(BaseHoras[[#This Row],[Abr/2019]:[Jun/2019]])</f>
        <v>0</v>
      </c>
      <c r="V786" s="29">
        <f>SUM(BaseHoras[[#This Row],[Jul/2019]:[Set/2019]])</f>
        <v>38.582254375866114</v>
      </c>
      <c r="W786" s="29">
        <f>SUM(BaseHoras[[#This Row],[Out/2019]:[Dez/2019]])</f>
        <v>37.625181629480764</v>
      </c>
    </row>
    <row r="787" spans="1:23">
      <c r="A787" t="s">
        <v>151</v>
      </c>
      <c r="B787" t="s">
        <v>168</v>
      </c>
      <c r="C787" t="s">
        <v>349</v>
      </c>
      <c r="D787" t="s">
        <v>103</v>
      </c>
      <c r="E787" t="s">
        <v>203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s="28">
        <v>0</v>
      </c>
      <c r="N787" s="28">
        <v>0</v>
      </c>
      <c r="O787">
        <v>9.3800368098430447</v>
      </c>
      <c r="P787">
        <v>61.256273264300177</v>
      </c>
      <c r="Q787">
        <v>0</v>
      </c>
      <c r="R787">
        <v>0</v>
      </c>
      <c r="S787" s="28">
        <v>70.636310074143225</v>
      </c>
      <c r="T787" s="29">
        <f>SUM(BaseHoras[[#This Row],[Jan/2019]:[Mar/2019]])</f>
        <v>0</v>
      </c>
      <c r="U787" s="29">
        <f>SUM(BaseHoras[[#This Row],[Abr/2019]:[Jun/2019]])</f>
        <v>0</v>
      </c>
      <c r="V787" s="29">
        <f>SUM(BaseHoras[[#This Row],[Jul/2019]:[Set/2019]])</f>
        <v>0</v>
      </c>
      <c r="W787" s="29">
        <f>SUM(BaseHoras[[#This Row],[Out/2019]:[Dez/2019]])</f>
        <v>70.636310074143225</v>
      </c>
    </row>
    <row r="788" spans="1:23">
      <c r="A788" t="s">
        <v>151</v>
      </c>
      <c r="B788" t="s">
        <v>168</v>
      </c>
      <c r="C788" t="s">
        <v>349</v>
      </c>
      <c r="D788" t="s">
        <v>136</v>
      </c>
      <c r="E788" t="s">
        <v>203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s="28">
        <v>29.796915402854836</v>
      </c>
      <c r="N788" s="28">
        <v>0</v>
      </c>
      <c r="O788">
        <v>0</v>
      </c>
      <c r="P788">
        <v>0</v>
      </c>
      <c r="Q788">
        <v>0</v>
      </c>
      <c r="R788">
        <v>0</v>
      </c>
      <c r="S788" s="28">
        <v>29.796915402854836</v>
      </c>
      <c r="T788" s="29">
        <f>SUM(BaseHoras[[#This Row],[Jan/2019]:[Mar/2019]])</f>
        <v>0</v>
      </c>
      <c r="U788" s="29">
        <f>SUM(BaseHoras[[#This Row],[Abr/2019]:[Jun/2019]])</f>
        <v>0</v>
      </c>
      <c r="V788" s="29">
        <f>SUM(BaseHoras[[#This Row],[Jul/2019]:[Set/2019]])</f>
        <v>29.796915402854836</v>
      </c>
      <c r="W788" s="29">
        <f>SUM(BaseHoras[[#This Row],[Out/2019]:[Dez/2019]])</f>
        <v>0</v>
      </c>
    </row>
    <row r="789" spans="1:23">
      <c r="A789" t="s">
        <v>151</v>
      </c>
      <c r="B789" t="s">
        <v>168</v>
      </c>
      <c r="C789" t="s">
        <v>349</v>
      </c>
      <c r="D789" t="s">
        <v>144</v>
      </c>
      <c r="E789" t="s">
        <v>203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s="28">
        <v>0</v>
      </c>
      <c r="N789" s="28">
        <v>0</v>
      </c>
      <c r="O789">
        <v>777.21549565603232</v>
      </c>
      <c r="P789">
        <v>49.697129731979452</v>
      </c>
      <c r="Q789">
        <v>0</v>
      </c>
      <c r="R789">
        <v>0</v>
      </c>
      <c r="S789" s="28">
        <v>826.91262538801175</v>
      </c>
      <c r="T789" s="29">
        <f>SUM(BaseHoras[[#This Row],[Jan/2019]:[Mar/2019]])</f>
        <v>0</v>
      </c>
      <c r="U789" s="29">
        <f>SUM(BaseHoras[[#This Row],[Abr/2019]:[Jun/2019]])</f>
        <v>0</v>
      </c>
      <c r="V789" s="29">
        <f>SUM(BaseHoras[[#This Row],[Jul/2019]:[Set/2019]])</f>
        <v>0</v>
      </c>
      <c r="W789" s="29">
        <f>SUM(BaseHoras[[#This Row],[Out/2019]:[Dez/2019]])</f>
        <v>826.91262538801175</v>
      </c>
    </row>
    <row r="790" spans="1:23">
      <c r="A790" t="s">
        <v>151</v>
      </c>
      <c r="B790" t="s">
        <v>168</v>
      </c>
      <c r="C790" t="s">
        <v>349</v>
      </c>
      <c r="D790" t="s">
        <v>147</v>
      </c>
      <c r="E790" t="s">
        <v>203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s="28">
        <v>469.17514461917858</v>
      </c>
      <c r="N790" s="28">
        <v>349.55561162069375</v>
      </c>
      <c r="O790">
        <v>263.16166886688882</v>
      </c>
      <c r="P790">
        <v>12.552471362575869</v>
      </c>
      <c r="Q790">
        <v>0</v>
      </c>
      <c r="R790">
        <v>0</v>
      </c>
      <c r="S790" s="28">
        <v>1094.444896469337</v>
      </c>
      <c r="T790" s="29">
        <f>SUM(BaseHoras[[#This Row],[Jan/2019]:[Mar/2019]])</f>
        <v>0</v>
      </c>
      <c r="U790" s="29">
        <f>SUM(BaseHoras[[#This Row],[Abr/2019]:[Jun/2019]])</f>
        <v>0</v>
      </c>
      <c r="V790" s="29">
        <f>SUM(BaseHoras[[#This Row],[Jul/2019]:[Set/2019]])</f>
        <v>818.73075623987233</v>
      </c>
      <c r="W790" s="29">
        <f>SUM(BaseHoras[[#This Row],[Out/2019]:[Dez/2019]])</f>
        <v>275.7141402294647</v>
      </c>
    </row>
    <row r="791" spans="1:23">
      <c r="A791" t="s">
        <v>151</v>
      </c>
      <c r="B791" t="s">
        <v>168</v>
      </c>
      <c r="C791" t="s">
        <v>349</v>
      </c>
      <c r="D791" t="s">
        <v>148</v>
      </c>
      <c r="E791" t="s">
        <v>203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s="28">
        <v>0</v>
      </c>
      <c r="N791" s="28">
        <v>0</v>
      </c>
      <c r="O791">
        <v>5.5823256077410539</v>
      </c>
      <c r="P791">
        <v>72.178523725205508</v>
      </c>
      <c r="Q791">
        <v>0</v>
      </c>
      <c r="R791">
        <v>0</v>
      </c>
      <c r="S791" s="28">
        <v>77.760849332946563</v>
      </c>
      <c r="T791" s="29">
        <f>SUM(BaseHoras[[#This Row],[Jan/2019]:[Mar/2019]])</f>
        <v>0</v>
      </c>
      <c r="U791" s="29">
        <f>SUM(BaseHoras[[#This Row],[Abr/2019]:[Jun/2019]])</f>
        <v>0</v>
      </c>
      <c r="V791" s="29">
        <f>SUM(BaseHoras[[#This Row],[Jul/2019]:[Set/2019]])</f>
        <v>0</v>
      </c>
      <c r="W791" s="29">
        <f>SUM(BaseHoras[[#This Row],[Out/2019]:[Dez/2019]])</f>
        <v>77.760849332946563</v>
      </c>
    </row>
    <row r="792" spans="1:23">
      <c r="A792" t="s">
        <v>151</v>
      </c>
      <c r="B792" t="s">
        <v>168</v>
      </c>
      <c r="C792" t="s">
        <v>349</v>
      </c>
      <c r="D792" t="s">
        <v>149</v>
      </c>
      <c r="E792" t="s">
        <v>203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s="28">
        <v>235.45763659490359</v>
      </c>
      <c r="N792" s="28">
        <v>147.20418107166984</v>
      </c>
      <c r="O792">
        <v>806.3468461668574</v>
      </c>
      <c r="P792">
        <v>0</v>
      </c>
      <c r="Q792">
        <v>0</v>
      </c>
      <c r="R792">
        <v>0</v>
      </c>
      <c r="S792" s="28">
        <v>1189.0086638334308</v>
      </c>
      <c r="T792" s="29">
        <f>SUM(BaseHoras[[#This Row],[Jan/2019]:[Mar/2019]])</f>
        <v>0</v>
      </c>
      <c r="U792" s="29">
        <f>SUM(BaseHoras[[#This Row],[Abr/2019]:[Jun/2019]])</f>
        <v>0</v>
      </c>
      <c r="V792" s="29">
        <f>SUM(BaseHoras[[#This Row],[Jul/2019]:[Set/2019]])</f>
        <v>382.66181766657343</v>
      </c>
      <c r="W792" s="29">
        <f>SUM(BaseHoras[[#This Row],[Out/2019]:[Dez/2019]])</f>
        <v>806.3468461668574</v>
      </c>
    </row>
    <row r="793" spans="1:23">
      <c r="A793" t="s">
        <v>151</v>
      </c>
      <c r="B793" t="s">
        <v>168</v>
      </c>
      <c r="C793" t="s">
        <v>350</v>
      </c>
      <c r="D793" t="s">
        <v>42</v>
      </c>
      <c r="E793" t="s">
        <v>188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147.21640209426235</v>
      </c>
      <c r="M793" s="28">
        <v>4.7173924318750684</v>
      </c>
      <c r="N793" s="28">
        <v>0</v>
      </c>
      <c r="O793">
        <v>0</v>
      </c>
      <c r="P793">
        <v>0</v>
      </c>
      <c r="Q793">
        <v>0</v>
      </c>
      <c r="R793">
        <v>0</v>
      </c>
      <c r="S793" s="28">
        <v>151.9337945261374</v>
      </c>
      <c r="T793" s="29">
        <f>SUM(BaseHoras[[#This Row],[Jan/2019]:[Mar/2019]])</f>
        <v>0</v>
      </c>
      <c r="U793" s="29">
        <f>SUM(BaseHoras[[#This Row],[Abr/2019]:[Jun/2019]])</f>
        <v>0</v>
      </c>
      <c r="V793" s="29">
        <f>SUM(BaseHoras[[#This Row],[Jul/2019]:[Set/2019]])</f>
        <v>151.9337945261374</v>
      </c>
      <c r="W793" s="29">
        <f>SUM(BaseHoras[[#This Row],[Out/2019]:[Dez/2019]])</f>
        <v>0</v>
      </c>
    </row>
    <row r="794" spans="1:23">
      <c r="A794" t="s">
        <v>151</v>
      </c>
      <c r="B794" t="s">
        <v>168</v>
      </c>
      <c r="C794" t="s">
        <v>350</v>
      </c>
      <c r="D794" t="s">
        <v>110</v>
      </c>
      <c r="E794" t="s">
        <v>188</v>
      </c>
      <c r="F794">
        <v>204.61727911956166</v>
      </c>
      <c r="G794">
        <v>125.69835574175296</v>
      </c>
      <c r="H794">
        <v>40.47883731818191</v>
      </c>
      <c r="I794">
        <v>0</v>
      </c>
      <c r="J794">
        <v>0</v>
      </c>
      <c r="K794">
        <v>0</v>
      </c>
      <c r="L794">
        <v>0</v>
      </c>
      <c r="M794" s="28">
        <v>0</v>
      </c>
      <c r="N794" s="28">
        <v>0</v>
      </c>
      <c r="O794">
        <v>0</v>
      </c>
      <c r="P794">
        <v>0</v>
      </c>
      <c r="Q794">
        <v>0</v>
      </c>
      <c r="R794">
        <v>0</v>
      </c>
      <c r="S794" s="28">
        <v>370.79447217949649</v>
      </c>
      <c r="T794" s="29">
        <f>SUM(BaseHoras[[#This Row],[Jan/2019]:[Mar/2019]])</f>
        <v>370.79447217949649</v>
      </c>
      <c r="U794" s="29">
        <f>SUM(BaseHoras[[#This Row],[Abr/2019]:[Jun/2019]])</f>
        <v>0</v>
      </c>
      <c r="V794" s="29">
        <f>SUM(BaseHoras[[#This Row],[Jul/2019]:[Set/2019]])</f>
        <v>0</v>
      </c>
      <c r="W794" s="29">
        <f>SUM(BaseHoras[[#This Row],[Out/2019]:[Dez/2019]])</f>
        <v>0</v>
      </c>
    </row>
    <row r="795" spans="1:23">
      <c r="A795" t="s">
        <v>151</v>
      </c>
      <c r="B795" t="s">
        <v>168</v>
      </c>
      <c r="C795" t="s">
        <v>350</v>
      </c>
      <c r="D795" t="s">
        <v>123</v>
      </c>
      <c r="E795" t="s">
        <v>188</v>
      </c>
      <c r="F795">
        <v>7551.0451273283943</v>
      </c>
      <c r="G795">
        <v>1571.1562575150663</v>
      </c>
      <c r="H795">
        <v>0</v>
      </c>
      <c r="I795">
        <v>0</v>
      </c>
      <c r="J795">
        <v>0</v>
      </c>
      <c r="K795">
        <v>0</v>
      </c>
      <c r="L795">
        <v>0</v>
      </c>
      <c r="M795" s="28">
        <v>0</v>
      </c>
      <c r="N795" s="28">
        <v>0</v>
      </c>
      <c r="O795">
        <v>0</v>
      </c>
      <c r="P795">
        <v>0</v>
      </c>
      <c r="Q795">
        <v>0</v>
      </c>
      <c r="R795">
        <v>0</v>
      </c>
      <c r="S795" s="28">
        <v>9122.2013848434599</v>
      </c>
      <c r="T795" s="29">
        <f>SUM(BaseHoras[[#This Row],[Jan/2019]:[Mar/2019]])</f>
        <v>9122.2013848434599</v>
      </c>
      <c r="U795" s="29">
        <f>SUM(BaseHoras[[#This Row],[Abr/2019]:[Jun/2019]])</f>
        <v>0</v>
      </c>
      <c r="V795" s="29">
        <f>SUM(BaseHoras[[#This Row],[Jul/2019]:[Set/2019]])</f>
        <v>0</v>
      </c>
      <c r="W795" s="29">
        <f>SUM(BaseHoras[[#This Row],[Out/2019]:[Dez/2019]])</f>
        <v>0</v>
      </c>
    </row>
    <row r="796" spans="1:23">
      <c r="A796" t="s">
        <v>151</v>
      </c>
      <c r="B796" t="s">
        <v>168</v>
      </c>
      <c r="C796" t="s">
        <v>351</v>
      </c>
      <c r="D796" t="s">
        <v>19</v>
      </c>
      <c r="E796" t="s">
        <v>188</v>
      </c>
      <c r="F796">
        <v>0</v>
      </c>
      <c r="G796">
        <v>0</v>
      </c>
      <c r="H796">
        <v>34.877995463083757</v>
      </c>
      <c r="I796">
        <v>0</v>
      </c>
      <c r="J796">
        <v>0</v>
      </c>
      <c r="K796">
        <v>0</v>
      </c>
      <c r="L796">
        <v>0</v>
      </c>
      <c r="M796" s="28">
        <v>0</v>
      </c>
      <c r="N796" s="28">
        <v>0</v>
      </c>
      <c r="O796">
        <v>0</v>
      </c>
      <c r="P796">
        <v>0</v>
      </c>
      <c r="Q796">
        <v>0</v>
      </c>
      <c r="R796">
        <v>0</v>
      </c>
      <c r="S796" s="28">
        <v>34.877995463083757</v>
      </c>
      <c r="T796" s="29">
        <f>SUM(BaseHoras[[#This Row],[Jan/2019]:[Mar/2019]])</f>
        <v>34.877995463083757</v>
      </c>
      <c r="U796" s="29">
        <f>SUM(BaseHoras[[#This Row],[Abr/2019]:[Jun/2019]])</f>
        <v>0</v>
      </c>
      <c r="V796" s="29">
        <f>SUM(BaseHoras[[#This Row],[Jul/2019]:[Set/2019]])</f>
        <v>0</v>
      </c>
      <c r="W796" s="29">
        <f>SUM(BaseHoras[[#This Row],[Out/2019]:[Dez/2019]])</f>
        <v>0</v>
      </c>
    </row>
    <row r="797" spans="1:23">
      <c r="A797" t="s">
        <v>151</v>
      </c>
      <c r="B797" t="s">
        <v>168</v>
      </c>
      <c r="C797" t="s">
        <v>351</v>
      </c>
      <c r="D797" t="s">
        <v>25</v>
      </c>
      <c r="E797" t="s">
        <v>188</v>
      </c>
      <c r="F797">
        <v>15.630166636824351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s="28">
        <v>0</v>
      </c>
      <c r="N797" s="28">
        <v>0</v>
      </c>
      <c r="O797">
        <v>0</v>
      </c>
      <c r="P797">
        <v>0</v>
      </c>
      <c r="Q797">
        <v>0</v>
      </c>
      <c r="R797">
        <v>0</v>
      </c>
      <c r="S797" s="28">
        <v>15.630166636824351</v>
      </c>
      <c r="T797" s="29">
        <f>SUM(BaseHoras[[#This Row],[Jan/2019]:[Mar/2019]])</f>
        <v>15.630166636824351</v>
      </c>
      <c r="U797" s="29">
        <f>SUM(BaseHoras[[#This Row],[Abr/2019]:[Jun/2019]])</f>
        <v>0</v>
      </c>
      <c r="V797" s="29">
        <f>SUM(BaseHoras[[#This Row],[Jul/2019]:[Set/2019]])</f>
        <v>0</v>
      </c>
      <c r="W797" s="29">
        <f>SUM(BaseHoras[[#This Row],[Out/2019]:[Dez/2019]])</f>
        <v>0</v>
      </c>
    </row>
    <row r="798" spans="1:23">
      <c r="A798" t="s">
        <v>151</v>
      </c>
      <c r="B798" t="s">
        <v>168</v>
      </c>
      <c r="C798" t="s">
        <v>351</v>
      </c>
      <c r="D798" t="s">
        <v>30</v>
      </c>
      <c r="E798" t="s">
        <v>188</v>
      </c>
      <c r="F798">
        <v>159.27135310750958</v>
      </c>
      <c r="G798">
        <v>0</v>
      </c>
      <c r="H798">
        <v>0</v>
      </c>
      <c r="I798">
        <v>0</v>
      </c>
      <c r="J798">
        <v>0</v>
      </c>
      <c r="K798">
        <v>149.08266520264084</v>
      </c>
      <c r="L798">
        <v>0</v>
      </c>
      <c r="M798" s="28">
        <v>0</v>
      </c>
      <c r="N798" s="28">
        <v>0</v>
      </c>
      <c r="O798">
        <v>0</v>
      </c>
      <c r="P798">
        <v>0</v>
      </c>
      <c r="Q798">
        <v>0</v>
      </c>
      <c r="R798">
        <v>0</v>
      </c>
      <c r="S798" s="28">
        <v>308.35401831015042</v>
      </c>
      <c r="T798" s="29">
        <f>SUM(BaseHoras[[#This Row],[Jan/2019]:[Mar/2019]])</f>
        <v>159.27135310750958</v>
      </c>
      <c r="U798" s="29">
        <f>SUM(BaseHoras[[#This Row],[Abr/2019]:[Jun/2019]])</f>
        <v>149.08266520264084</v>
      </c>
      <c r="V798" s="29">
        <f>SUM(BaseHoras[[#This Row],[Jul/2019]:[Set/2019]])</f>
        <v>0</v>
      </c>
      <c r="W798" s="29">
        <f>SUM(BaseHoras[[#This Row],[Out/2019]:[Dez/2019]])</f>
        <v>0</v>
      </c>
    </row>
    <row r="799" spans="1:23">
      <c r="A799" t="s">
        <v>151</v>
      </c>
      <c r="B799" t="s">
        <v>168</v>
      </c>
      <c r="C799" t="s">
        <v>351</v>
      </c>
      <c r="D799" t="s">
        <v>32</v>
      </c>
      <c r="E799" t="s">
        <v>188</v>
      </c>
      <c r="F799">
        <v>1356.2076385116816</v>
      </c>
      <c r="G799">
        <v>62.384804893479931</v>
      </c>
      <c r="H799">
        <v>0</v>
      </c>
      <c r="I799">
        <v>0</v>
      </c>
      <c r="J799">
        <v>0</v>
      </c>
      <c r="K799">
        <v>0</v>
      </c>
      <c r="L799">
        <v>0</v>
      </c>
      <c r="M799" s="28">
        <v>0</v>
      </c>
      <c r="N799" s="28">
        <v>0</v>
      </c>
      <c r="O799">
        <v>0</v>
      </c>
      <c r="P799">
        <v>0</v>
      </c>
      <c r="Q799">
        <v>0</v>
      </c>
      <c r="R799">
        <v>0</v>
      </c>
      <c r="S799" s="28">
        <v>1418.5924434051615</v>
      </c>
      <c r="T799" s="29">
        <f>SUM(BaseHoras[[#This Row],[Jan/2019]:[Mar/2019]])</f>
        <v>1418.5924434051615</v>
      </c>
      <c r="U799" s="29">
        <f>SUM(BaseHoras[[#This Row],[Abr/2019]:[Jun/2019]])</f>
        <v>0</v>
      </c>
      <c r="V799" s="29">
        <f>SUM(BaseHoras[[#This Row],[Jul/2019]:[Set/2019]])</f>
        <v>0</v>
      </c>
      <c r="W799" s="29">
        <f>SUM(BaseHoras[[#This Row],[Out/2019]:[Dez/2019]])</f>
        <v>0</v>
      </c>
    </row>
    <row r="800" spans="1:23">
      <c r="A800" t="s">
        <v>151</v>
      </c>
      <c r="B800" t="s">
        <v>168</v>
      </c>
      <c r="C800" t="s">
        <v>351</v>
      </c>
      <c r="D800" t="s">
        <v>35</v>
      </c>
      <c r="E800" t="s">
        <v>188</v>
      </c>
      <c r="F800">
        <v>0</v>
      </c>
      <c r="G800">
        <v>0</v>
      </c>
      <c r="H800">
        <v>3.30818448339086</v>
      </c>
      <c r="I800">
        <v>1648.4876522685445</v>
      </c>
      <c r="J800">
        <v>0</v>
      </c>
      <c r="K800">
        <v>0</v>
      </c>
      <c r="L800">
        <v>0</v>
      </c>
      <c r="M800" s="28">
        <v>0</v>
      </c>
      <c r="N800" s="28">
        <v>0</v>
      </c>
      <c r="O800">
        <v>0</v>
      </c>
      <c r="P800">
        <v>0</v>
      </c>
      <c r="Q800">
        <v>0</v>
      </c>
      <c r="R800">
        <v>0</v>
      </c>
      <c r="S800" s="28">
        <v>1651.7958367519354</v>
      </c>
      <c r="T800" s="29">
        <f>SUM(BaseHoras[[#This Row],[Jan/2019]:[Mar/2019]])</f>
        <v>3.30818448339086</v>
      </c>
      <c r="U800" s="29">
        <f>SUM(BaseHoras[[#This Row],[Abr/2019]:[Jun/2019]])</f>
        <v>1648.4876522685445</v>
      </c>
      <c r="V800" s="29">
        <f>SUM(BaseHoras[[#This Row],[Jul/2019]:[Set/2019]])</f>
        <v>0</v>
      </c>
      <c r="W800" s="29">
        <f>SUM(BaseHoras[[#This Row],[Out/2019]:[Dez/2019]])</f>
        <v>0</v>
      </c>
    </row>
    <row r="801" spans="1:23">
      <c r="A801" t="s">
        <v>151</v>
      </c>
      <c r="B801" t="s">
        <v>168</v>
      </c>
      <c r="C801" t="s">
        <v>351</v>
      </c>
      <c r="D801" t="s">
        <v>36</v>
      </c>
      <c r="E801" t="s">
        <v>188</v>
      </c>
      <c r="F801">
        <v>46.012368448142219</v>
      </c>
      <c r="G801">
        <v>247.73703220304054</v>
      </c>
      <c r="H801">
        <v>100.72465308274374</v>
      </c>
      <c r="I801">
        <v>0</v>
      </c>
      <c r="J801">
        <v>39.05977869992023</v>
      </c>
      <c r="K801">
        <v>11.609367263622817</v>
      </c>
      <c r="L801">
        <v>0</v>
      </c>
      <c r="M801" s="28">
        <v>0</v>
      </c>
      <c r="N801" s="28">
        <v>0</v>
      </c>
      <c r="O801">
        <v>0</v>
      </c>
      <c r="P801">
        <v>0</v>
      </c>
      <c r="Q801">
        <v>0</v>
      </c>
      <c r="R801">
        <v>0</v>
      </c>
      <c r="S801" s="28">
        <v>445.14319969746958</v>
      </c>
      <c r="T801" s="29">
        <f>SUM(BaseHoras[[#This Row],[Jan/2019]:[Mar/2019]])</f>
        <v>394.47405373392655</v>
      </c>
      <c r="U801" s="29">
        <f>SUM(BaseHoras[[#This Row],[Abr/2019]:[Jun/2019]])</f>
        <v>50.669145963543045</v>
      </c>
      <c r="V801" s="29">
        <f>SUM(BaseHoras[[#This Row],[Jul/2019]:[Set/2019]])</f>
        <v>0</v>
      </c>
      <c r="W801" s="29">
        <f>SUM(BaseHoras[[#This Row],[Out/2019]:[Dez/2019]])</f>
        <v>0</v>
      </c>
    </row>
    <row r="802" spans="1:23">
      <c r="A802" t="s">
        <v>151</v>
      </c>
      <c r="B802" t="s">
        <v>168</v>
      </c>
      <c r="C802" t="s">
        <v>351</v>
      </c>
      <c r="D802" t="s">
        <v>40</v>
      </c>
      <c r="E802" t="s">
        <v>188</v>
      </c>
      <c r="F802">
        <v>0</v>
      </c>
      <c r="G802">
        <v>19.866209907563459</v>
      </c>
      <c r="H802">
        <v>28.06912340539273</v>
      </c>
      <c r="I802">
        <v>35.480318014253768</v>
      </c>
      <c r="J802">
        <v>0</v>
      </c>
      <c r="K802">
        <v>62.592880632954383</v>
      </c>
      <c r="L802">
        <v>0</v>
      </c>
      <c r="M802" s="28">
        <v>0</v>
      </c>
      <c r="N802" s="28">
        <v>0</v>
      </c>
      <c r="O802">
        <v>0</v>
      </c>
      <c r="P802">
        <v>0</v>
      </c>
      <c r="Q802">
        <v>0</v>
      </c>
      <c r="R802">
        <v>0</v>
      </c>
      <c r="S802" s="28">
        <v>146.00853196016433</v>
      </c>
      <c r="T802" s="29">
        <f>SUM(BaseHoras[[#This Row],[Jan/2019]:[Mar/2019]])</f>
        <v>47.935333312956189</v>
      </c>
      <c r="U802" s="29">
        <f>SUM(BaseHoras[[#This Row],[Abr/2019]:[Jun/2019]])</f>
        <v>98.073198647208159</v>
      </c>
      <c r="V802" s="29">
        <f>SUM(BaseHoras[[#This Row],[Jul/2019]:[Set/2019]])</f>
        <v>0</v>
      </c>
      <c r="W802" s="29">
        <f>SUM(BaseHoras[[#This Row],[Out/2019]:[Dez/2019]])</f>
        <v>0</v>
      </c>
    </row>
    <row r="803" spans="1:23">
      <c r="A803" t="s">
        <v>151</v>
      </c>
      <c r="B803" t="s">
        <v>168</v>
      </c>
      <c r="C803" t="s">
        <v>351</v>
      </c>
      <c r="D803" t="s">
        <v>42</v>
      </c>
      <c r="E803" t="s">
        <v>188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258.1189306675069</v>
      </c>
      <c r="M803" s="28">
        <v>536.12450530291949</v>
      </c>
      <c r="N803" s="28">
        <v>103.67069521375784</v>
      </c>
      <c r="O803">
        <v>149.85034023457254</v>
      </c>
      <c r="P803">
        <v>16.837026455317218</v>
      </c>
      <c r="Q803">
        <v>0</v>
      </c>
      <c r="R803">
        <v>0</v>
      </c>
      <c r="S803" s="28">
        <v>1064.6014978740741</v>
      </c>
      <c r="T803" s="29">
        <f>SUM(BaseHoras[[#This Row],[Jan/2019]:[Mar/2019]])</f>
        <v>0</v>
      </c>
      <c r="U803" s="29">
        <f>SUM(BaseHoras[[#This Row],[Abr/2019]:[Jun/2019]])</f>
        <v>0</v>
      </c>
      <c r="V803" s="29">
        <f>SUM(BaseHoras[[#This Row],[Jul/2019]:[Set/2019]])</f>
        <v>897.91413118418427</v>
      </c>
      <c r="W803" s="29">
        <f>SUM(BaseHoras[[#This Row],[Out/2019]:[Dez/2019]])</f>
        <v>166.68736668988976</v>
      </c>
    </row>
    <row r="804" spans="1:23">
      <c r="A804" t="s">
        <v>151</v>
      </c>
      <c r="B804" t="s">
        <v>168</v>
      </c>
      <c r="C804" t="s">
        <v>351</v>
      </c>
      <c r="D804" t="s">
        <v>45</v>
      </c>
      <c r="E804" t="s">
        <v>188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s="28">
        <v>28.725425646313735</v>
      </c>
      <c r="N804" s="28">
        <v>0</v>
      </c>
      <c r="O804">
        <v>0</v>
      </c>
      <c r="P804">
        <v>0</v>
      </c>
      <c r="Q804">
        <v>0</v>
      </c>
      <c r="R804">
        <v>0</v>
      </c>
      <c r="S804" s="28">
        <v>28.725425646313735</v>
      </c>
      <c r="T804" s="29">
        <f>SUM(BaseHoras[[#This Row],[Jan/2019]:[Mar/2019]])</f>
        <v>0</v>
      </c>
      <c r="U804" s="29">
        <f>SUM(BaseHoras[[#This Row],[Abr/2019]:[Jun/2019]])</f>
        <v>0</v>
      </c>
      <c r="V804" s="29">
        <f>SUM(BaseHoras[[#This Row],[Jul/2019]:[Set/2019]])</f>
        <v>28.725425646313735</v>
      </c>
      <c r="W804" s="29">
        <f>SUM(BaseHoras[[#This Row],[Out/2019]:[Dez/2019]])</f>
        <v>0</v>
      </c>
    </row>
    <row r="805" spans="1:23">
      <c r="A805" t="s">
        <v>151</v>
      </c>
      <c r="B805" t="s">
        <v>168</v>
      </c>
      <c r="C805" t="s">
        <v>351</v>
      </c>
      <c r="D805" t="s">
        <v>49</v>
      </c>
      <c r="E805" t="s">
        <v>188</v>
      </c>
      <c r="F805">
        <v>303.6178856827899</v>
      </c>
      <c r="G805">
        <v>0</v>
      </c>
      <c r="H805">
        <v>0</v>
      </c>
      <c r="I805">
        <v>6.6411891258794666</v>
      </c>
      <c r="J805">
        <v>0</v>
      </c>
      <c r="K805">
        <v>7920.9334587233798</v>
      </c>
      <c r="L805">
        <v>174.5748264236247</v>
      </c>
      <c r="M805" s="28">
        <v>0</v>
      </c>
      <c r="N805" s="28">
        <v>12.511979394132894</v>
      </c>
      <c r="O805">
        <v>0</v>
      </c>
      <c r="P805">
        <v>0</v>
      </c>
      <c r="Q805">
        <v>0</v>
      </c>
      <c r="R805">
        <v>0</v>
      </c>
      <c r="S805" s="28">
        <v>8418.279339349805</v>
      </c>
      <c r="T805" s="29">
        <f>SUM(BaseHoras[[#This Row],[Jan/2019]:[Mar/2019]])</f>
        <v>303.6178856827899</v>
      </c>
      <c r="U805" s="29">
        <f>SUM(BaseHoras[[#This Row],[Abr/2019]:[Jun/2019]])</f>
        <v>7927.5746478492592</v>
      </c>
      <c r="V805" s="29">
        <f>SUM(BaseHoras[[#This Row],[Jul/2019]:[Set/2019]])</f>
        <v>187.08680581775758</v>
      </c>
      <c r="W805" s="29">
        <f>SUM(BaseHoras[[#This Row],[Out/2019]:[Dez/2019]])</f>
        <v>0</v>
      </c>
    </row>
    <row r="806" spans="1:23">
      <c r="A806" t="s">
        <v>151</v>
      </c>
      <c r="B806" t="s">
        <v>168</v>
      </c>
      <c r="C806" t="s">
        <v>351</v>
      </c>
      <c r="D806" t="s">
        <v>53</v>
      </c>
      <c r="E806" t="s">
        <v>188</v>
      </c>
      <c r="F806">
        <v>1322.5667523807208</v>
      </c>
      <c r="G806">
        <v>200.18257056327639</v>
      </c>
      <c r="H806">
        <v>0</v>
      </c>
      <c r="I806">
        <v>0</v>
      </c>
      <c r="J806">
        <v>0</v>
      </c>
      <c r="K806">
        <v>0</v>
      </c>
      <c r="L806">
        <v>0</v>
      </c>
      <c r="M806" s="28">
        <v>0</v>
      </c>
      <c r="N806" s="28">
        <v>0</v>
      </c>
      <c r="O806">
        <v>0</v>
      </c>
      <c r="P806">
        <v>0</v>
      </c>
      <c r="Q806">
        <v>0</v>
      </c>
      <c r="R806">
        <v>0</v>
      </c>
      <c r="S806" s="28">
        <v>1522.7493229439972</v>
      </c>
      <c r="T806" s="29">
        <f>SUM(BaseHoras[[#This Row],[Jan/2019]:[Mar/2019]])</f>
        <v>1522.7493229439972</v>
      </c>
      <c r="U806" s="29">
        <f>SUM(BaseHoras[[#This Row],[Abr/2019]:[Jun/2019]])</f>
        <v>0</v>
      </c>
      <c r="V806" s="29">
        <f>SUM(BaseHoras[[#This Row],[Jul/2019]:[Set/2019]])</f>
        <v>0</v>
      </c>
      <c r="W806" s="29">
        <f>SUM(BaseHoras[[#This Row],[Out/2019]:[Dez/2019]])</f>
        <v>0</v>
      </c>
    </row>
    <row r="807" spans="1:23">
      <c r="A807" t="s">
        <v>151</v>
      </c>
      <c r="B807" t="s">
        <v>168</v>
      </c>
      <c r="C807" t="s">
        <v>351</v>
      </c>
      <c r="D807" t="s">
        <v>58</v>
      </c>
      <c r="E807" t="s">
        <v>188</v>
      </c>
      <c r="F807">
        <v>0</v>
      </c>
      <c r="G807">
        <v>0</v>
      </c>
      <c r="H807">
        <v>0</v>
      </c>
      <c r="I807">
        <v>213.97739426191109</v>
      </c>
      <c r="J807">
        <v>0</v>
      </c>
      <c r="K807">
        <v>0</v>
      </c>
      <c r="L807">
        <v>0</v>
      </c>
      <c r="M807" s="28">
        <v>0</v>
      </c>
      <c r="N807" s="28">
        <v>0</v>
      </c>
      <c r="O807">
        <v>0</v>
      </c>
      <c r="P807">
        <v>0</v>
      </c>
      <c r="Q807">
        <v>0</v>
      </c>
      <c r="R807">
        <v>0</v>
      </c>
      <c r="S807" s="28">
        <v>213.97739426191109</v>
      </c>
      <c r="T807" s="29">
        <f>SUM(BaseHoras[[#This Row],[Jan/2019]:[Mar/2019]])</f>
        <v>0</v>
      </c>
      <c r="U807" s="29">
        <f>SUM(BaseHoras[[#This Row],[Abr/2019]:[Jun/2019]])</f>
        <v>213.97739426191109</v>
      </c>
      <c r="V807" s="29">
        <f>SUM(BaseHoras[[#This Row],[Jul/2019]:[Set/2019]])</f>
        <v>0</v>
      </c>
      <c r="W807" s="29">
        <f>SUM(BaseHoras[[#This Row],[Out/2019]:[Dez/2019]])</f>
        <v>0</v>
      </c>
    </row>
    <row r="808" spans="1:23">
      <c r="A808" t="s">
        <v>151</v>
      </c>
      <c r="B808" t="s">
        <v>168</v>
      </c>
      <c r="C808" t="s">
        <v>351</v>
      </c>
      <c r="D808" t="s">
        <v>66</v>
      </c>
      <c r="E808" t="s">
        <v>188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209.81474240873987</v>
      </c>
      <c r="L808">
        <v>5444.5923772998967</v>
      </c>
      <c r="M808" s="28">
        <v>0</v>
      </c>
      <c r="N808" s="28">
        <v>0</v>
      </c>
      <c r="O808">
        <v>0</v>
      </c>
      <c r="P808">
        <v>0</v>
      </c>
      <c r="Q808">
        <v>0</v>
      </c>
      <c r="R808">
        <v>0</v>
      </c>
      <c r="S808" s="28">
        <v>5654.4071197086369</v>
      </c>
      <c r="T808" s="29">
        <f>SUM(BaseHoras[[#This Row],[Jan/2019]:[Mar/2019]])</f>
        <v>0</v>
      </c>
      <c r="U808" s="29">
        <f>SUM(BaseHoras[[#This Row],[Abr/2019]:[Jun/2019]])</f>
        <v>209.81474240873987</v>
      </c>
      <c r="V808" s="29">
        <f>SUM(BaseHoras[[#This Row],[Jul/2019]:[Set/2019]])</f>
        <v>5444.5923772998967</v>
      </c>
      <c r="W808" s="29">
        <f>SUM(BaseHoras[[#This Row],[Out/2019]:[Dez/2019]])</f>
        <v>0</v>
      </c>
    </row>
    <row r="809" spans="1:23">
      <c r="A809" t="s">
        <v>151</v>
      </c>
      <c r="B809" t="s">
        <v>168</v>
      </c>
      <c r="C809" t="s">
        <v>351</v>
      </c>
      <c r="D809" t="s">
        <v>81</v>
      </c>
      <c r="E809" t="s">
        <v>188</v>
      </c>
      <c r="F809">
        <v>0</v>
      </c>
      <c r="G809">
        <v>5.9459544293094755</v>
      </c>
      <c r="H809">
        <v>21.988687738509114</v>
      </c>
      <c r="I809">
        <v>8.1012963649662968</v>
      </c>
      <c r="J809">
        <v>35.662379822475174</v>
      </c>
      <c r="K809">
        <v>4.5744263860666736</v>
      </c>
      <c r="L809">
        <v>0</v>
      </c>
      <c r="M809" s="28">
        <v>0</v>
      </c>
      <c r="N809" s="28">
        <v>0</v>
      </c>
      <c r="O809">
        <v>0</v>
      </c>
      <c r="P809">
        <v>0</v>
      </c>
      <c r="Q809">
        <v>0</v>
      </c>
      <c r="R809">
        <v>0</v>
      </c>
      <c r="S809" s="28">
        <v>76.272744741326733</v>
      </c>
      <c r="T809" s="29">
        <f>SUM(BaseHoras[[#This Row],[Jan/2019]:[Mar/2019]])</f>
        <v>27.934642167818588</v>
      </c>
      <c r="U809" s="29">
        <f>SUM(BaseHoras[[#This Row],[Abr/2019]:[Jun/2019]])</f>
        <v>48.338102573508145</v>
      </c>
      <c r="V809" s="29">
        <f>SUM(BaseHoras[[#This Row],[Jul/2019]:[Set/2019]])</f>
        <v>0</v>
      </c>
      <c r="W809" s="29">
        <f>SUM(BaseHoras[[#This Row],[Out/2019]:[Dez/2019]])</f>
        <v>0</v>
      </c>
    </row>
    <row r="810" spans="1:23">
      <c r="A810" t="s">
        <v>151</v>
      </c>
      <c r="B810" t="s">
        <v>168</v>
      </c>
      <c r="C810" t="s">
        <v>351</v>
      </c>
      <c r="D810" t="s">
        <v>82</v>
      </c>
      <c r="E810" t="s">
        <v>188</v>
      </c>
      <c r="F810">
        <v>0</v>
      </c>
      <c r="G810">
        <v>418.87996631836046</v>
      </c>
      <c r="H810">
        <v>16.411970570082985</v>
      </c>
      <c r="I810">
        <v>0</v>
      </c>
      <c r="J810">
        <v>0</v>
      </c>
      <c r="K810">
        <v>0</v>
      </c>
      <c r="L810">
        <v>0</v>
      </c>
      <c r="M810" s="28">
        <v>144.82358987305241</v>
      </c>
      <c r="N810" s="28">
        <v>0</v>
      </c>
      <c r="O810">
        <v>0</v>
      </c>
      <c r="P810">
        <v>0</v>
      </c>
      <c r="Q810">
        <v>0</v>
      </c>
      <c r="R810">
        <v>0</v>
      </c>
      <c r="S810" s="28">
        <v>580.11552676149586</v>
      </c>
      <c r="T810" s="29">
        <f>SUM(BaseHoras[[#This Row],[Jan/2019]:[Mar/2019]])</f>
        <v>435.29193688844344</v>
      </c>
      <c r="U810" s="29">
        <f>SUM(BaseHoras[[#This Row],[Abr/2019]:[Jun/2019]])</f>
        <v>0</v>
      </c>
      <c r="V810" s="29">
        <f>SUM(BaseHoras[[#This Row],[Jul/2019]:[Set/2019]])</f>
        <v>144.82358987305241</v>
      </c>
      <c r="W810" s="29">
        <f>SUM(BaseHoras[[#This Row],[Out/2019]:[Dez/2019]])</f>
        <v>0</v>
      </c>
    </row>
    <row r="811" spans="1:23">
      <c r="A811" t="s">
        <v>151</v>
      </c>
      <c r="B811" t="s">
        <v>168</v>
      </c>
      <c r="C811" t="s">
        <v>351</v>
      </c>
      <c r="D811" t="s">
        <v>87</v>
      </c>
      <c r="E811" t="s">
        <v>188</v>
      </c>
      <c r="F811">
        <v>0</v>
      </c>
      <c r="G811">
        <v>0</v>
      </c>
      <c r="H811">
        <v>0</v>
      </c>
      <c r="I811">
        <v>94.452141166498521</v>
      </c>
      <c r="J811">
        <v>0</v>
      </c>
      <c r="K811">
        <v>91.344607480728982</v>
      </c>
      <c r="L811">
        <v>0</v>
      </c>
      <c r="M811" s="28">
        <v>22.615614880660861</v>
      </c>
      <c r="N811" s="28">
        <v>97.347311623871988</v>
      </c>
      <c r="O811">
        <v>0</v>
      </c>
      <c r="P811">
        <v>0</v>
      </c>
      <c r="Q811">
        <v>0</v>
      </c>
      <c r="R811">
        <v>0</v>
      </c>
      <c r="S811" s="28">
        <v>305.75967515176035</v>
      </c>
      <c r="T811" s="29">
        <f>SUM(BaseHoras[[#This Row],[Jan/2019]:[Mar/2019]])</f>
        <v>0</v>
      </c>
      <c r="U811" s="29">
        <f>SUM(BaseHoras[[#This Row],[Abr/2019]:[Jun/2019]])</f>
        <v>185.7967486472275</v>
      </c>
      <c r="V811" s="29">
        <f>SUM(BaseHoras[[#This Row],[Jul/2019]:[Set/2019]])</f>
        <v>119.96292650453285</v>
      </c>
      <c r="W811" s="29">
        <f>SUM(BaseHoras[[#This Row],[Out/2019]:[Dez/2019]])</f>
        <v>0</v>
      </c>
    </row>
    <row r="812" spans="1:23">
      <c r="A812" t="s">
        <v>151</v>
      </c>
      <c r="B812" t="s">
        <v>168</v>
      </c>
      <c r="C812" t="s">
        <v>351</v>
      </c>
      <c r="D812" t="s">
        <v>98</v>
      </c>
      <c r="E812" t="s">
        <v>188</v>
      </c>
      <c r="F812">
        <v>0</v>
      </c>
      <c r="G812">
        <v>7.4846389875725281</v>
      </c>
      <c r="H812">
        <v>14.183512336527265</v>
      </c>
      <c r="I812">
        <v>3.0694248152818346</v>
      </c>
      <c r="J812">
        <v>0</v>
      </c>
      <c r="K812">
        <v>1484.9049325794751</v>
      </c>
      <c r="L812">
        <v>5.2546917112158535</v>
      </c>
      <c r="M812" s="28">
        <v>0</v>
      </c>
      <c r="N812" s="28">
        <v>0</v>
      </c>
      <c r="O812">
        <v>0</v>
      </c>
      <c r="P812">
        <v>0</v>
      </c>
      <c r="Q812">
        <v>0</v>
      </c>
      <c r="R812">
        <v>0</v>
      </c>
      <c r="S812" s="28">
        <v>1514.8972004300726</v>
      </c>
      <c r="T812" s="29">
        <f>SUM(BaseHoras[[#This Row],[Jan/2019]:[Mar/2019]])</f>
        <v>21.668151324099792</v>
      </c>
      <c r="U812" s="29">
        <f>SUM(BaseHoras[[#This Row],[Abr/2019]:[Jun/2019]])</f>
        <v>1487.9743573947569</v>
      </c>
      <c r="V812" s="29">
        <f>SUM(BaseHoras[[#This Row],[Jul/2019]:[Set/2019]])</f>
        <v>5.2546917112158535</v>
      </c>
      <c r="W812" s="29">
        <f>SUM(BaseHoras[[#This Row],[Out/2019]:[Dez/2019]])</f>
        <v>0</v>
      </c>
    </row>
    <row r="813" spans="1:23">
      <c r="A813" t="s">
        <v>151</v>
      </c>
      <c r="B813" t="s">
        <v>168</v>
      </c>
      <c r="C813" t="s">
        <v>351</v>
      </c>
      <c r="D813" t="s">
        <v>100</v>
      </c>
      <c r="E813" t="s">
        <v>188</v>
      </c>
      <c r="F813">
        <v>31.613068226297315</v>
      </c>
      <c r="G813">
        <v>121.44262783079938</v>
      </c>
      <c r="H813">
        <v>0</v>
      </c>
      <c r="I813">
        <v>0</v>
      </c>
      <c r="J813">
        <v>0</v>
      </c>
      <c r="K813">
        <v>361.26853034066488</v>
      </c>
      <c r="L813">
        <v>81.942534316481257</v>
      </c>
      <c r="M813" s="28">
        <v>0</v>
      </c>
      <c r="N813" s="28">
        <v>215.15529803695335</v>
      </c>
      <c r="O813">
        <v>75.041762657244661</v>
      </c>
      <c r="P813">
        <v>45.889138404377</v>
      </c>
      <c r="Q813">
        <v>0</v>
      </c>
      <c r="R813">
        <v>0</v>
      </c>
      <c r="S813" s="28">
        <v>932.35295981281786</v>
      </c>
      <c r="T813" s="29">
        <f>SUM(BaseHoras[[#This Row],[Jan/2019]:[Mar/2019]])</f>
        <v>153.0556960570967</v>
      </c>
      <c r="U813" s="29">
        <f>SUM(BaseHoras[[#This Row],[Abr/2019]:[Jun/2019]])</f>
        <v>361.26853034066488</v>
      </c>
      <c r="V813" s="29">
        <f>SUM(BaseHoras[[#This Row],[Jul/2019]:[Set/2019]])</f>
        <v>297.09783235343463</v>
      </c>
      <c r="W813" s="29">
        <f>SUM(BaseHoras[[#This Row],[Out/2019]:[Dez/2019]])</f>
        <v>120.93090106162165</v>
      </c>
    </row>
    <row r="814" spans="1:23">
      <c r="A814" t="s">
        <v>151</v>
      </c>
      <c r="B814" t="s">
        <v>168</v>
      </c>
      <c r="C814" t="s">
        <v>351</v>
      </c>
      <c r="D814" t="s">
        <v>102</v>
      </c>
      <c r="E814" t="s">
        <v>188</v>
      </c>
      <c r="F814">
        <v>18.04075558765151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s="28">
        <v>0</v>
      </c>
      <c r="N814" s="28">
        <v>0</v>
      </c>
      <c r="O814">
        <v>0</v>
      </c>
      <c r="P814">
        <v>0</v>
      </c>
      <c r="Q814">
        <v>0</v>
      </c>
      <c r="R814">
        <v>0</v>
      </c>
      <c r="S814" s="28">
        <v>18.04075558765151</v>
      </c>
      <c r="T814" s="29">
        <f>SUM(BaseHoras[[#This Row],[Jan/2019]:[Mar/2019]])</f>
        <v>18.04075558765151</v>
      </c>
      <c r="U814" s="29">
        <f>SUM(BaseHoras[[#This Row],[Abr/2019]:[Jun/2019]])</f>
        <v>0</v>
      </c>
      <c r="V814" s="29">
        <f>SUM(BaseHoras[[#This Row],[Jul/2019]:[Set/2019]])</f>
        <v>0</v>
      </c>
      <c r="W814" s="29">
        <f>SUM(BaseHoras[[#This Row],[Out/2019]:[Dez/2019]])</f>
        <v>0</v>
      </c>
    </row>
    <row r="815" spans="1:23">
      <c r="A815" t="s">
        <v>151</v>
      </c>
      <c r="B815" t="s">
        <v>168</v>
      </c>
      <c r="C815" t="s">
        <v>351</v>
      </c>
      <c r="D815" t="s">
        <v>106</v>
      </c>
      <c r="E815" t="s">
        <v>188</v>
      </c>
      <c r="F815">
        <v>337.06980246196849</v>
      </c>
      <c r="G815">
        <v>184.44893817313633</v>
      </c>
      <c r="H815">
        <v>114.9296773739015</v>
      </c>
      <c r="I815">
        <v>72.82622652660497</v>
      </c>
      <c r="J815">
        <v>0</v>
      </c>
      <c r="K815">
        <v>0</v>
      </c>
      <c r="L815">
        <v>0</v>
      </c>
      <c r="M815" s="28">
        <v>0</v>
      </c>
      <c r="N815" s="28">
        <v>0</v>
      </c>
      <c r="O815">
        <v>0</v>
      </c>
      <c r="P815">
        <v>0</v>
      </c>
      <c r="Q815">
        <v>0</v>
      </c>
      <c r="R815">
        <v>0</v>
      </c>
      <c r="S815" s="28">
        <v>709.27464453561129</v>
      </c>
      <c r="T815" s="29">
        <f>SUM(BaseHoras[[#This Row],[Jan/2019]:[Mar/2019]])</f>
        <v>636.44841800900633</v>
      </c>
      <c r="U815" s="29">
        <f>SUM(BaseHoras[[#This Row],[Abr/2019]:[Jun/2019]])</f>
        <v>72.82622652660497</v>
      </c>
      <c r="V815" s="29">
        <f>SUM(BaseHoras[[#This Row],[Jul/2019]:[Set/2019]])</f>
        <v>0</v>
      </c>
      <c r="W815" s="29">
        <f>SUM(BaseHoras[[#This Row],[Out/2019]:[Dez/2019]])</f>
        <v>0</v>
      </c>
    </row>
    <row r="816" spans="1:23">
      <c r="A816" t="s">
        <v>151</v>
      </c>
      <c r="B816" t="s">
        <v>168</v>
      </c>
      <c r="C816" t="s">
        <v>351</v>
      </c>
      <c r="D816" t="s">
        <v>107</v>
      </c>
      <c r="E816" t="s">
        <v>188</v>
      </c>
      <c r="F816">
        <v>73.92484070116403</v>
      </c>
      <c r="G816">
        <v>2205.7104897862168</v>
      </c>
      <c r="H816">
        <v>0</v>
      </c>
      <c r="I816">
        <v>323.82295713255417</v>
      </c>
      <c r="J816">
        <v>36.827693722087091</v>
      </c>
      <c r="K816">
        <v>164.38050795453796</v>
      </c>
      <c r="L816">
        <v>0</v>
      </c>
      <c r="M816" s="28">
        <v>0</v>
      </c>
      <c r="N816" s="28">
        <v>0</v>
      </c>
      <c r="O816">
        <v>0</v>
      </c>
      <c r="P816">
        <v>0</v>
      </c>
      <c r="Q816">
        <v>0</v>
      </c>
      <c r="R816">
        <v>0</v>
      </c>
      <c r="S816" s="28">
        <v>2804.66648929656</v>
      </c>
      <c r="T816" s="29">
        <f>SUM(BaseHoras[[#This Row],[Jan/2019]:[Mar/2019]])</f>
        <v>2279.635330487381</v>
      </c>
      <c r="U816" s="29">
        <f>SUM(BaseHoras[[#This Row],[Abr/2019]:[Jun/2019]])</f>
        <v>525.03115880917926</v>
      </c>
      <c r="V816" s="29">
        <f>SUM(BaseHoras[[#This Row],[Jul/2019]:[Set/2019]])</f>
        <v>0</v>
      </c>
      <c r="W816" s="29">
        <f>SUM(BaseHoras[[#This Row],[Out/2019]:[Dez/2019]])</f>
        <v>0</v>
      </c>
    </row>
    <row r="817" spans="1:23">
      <c r="A817" t="s">
        <v>151</v>
      </c>
      <c r="B817" t="s">
        <v>168</v>
      </c>
      <c r="C817" t="s">
        <v>351</v>
      </c>
      <c r="D817" t="s">
        <v>116</v>
      </c>
      <c r="E817" t="s">
        <v>188</v>
      </c>
      <c r="F817">
        <v>76.586698209145851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s="28">
        <v>0</v>
      </c>
      <c r="N817" s="28">
        <v>0</v>
      </c>
      <c r="O817">
        <v>0</v>
      </c>
      <c r="P817">
        <v>0</v>
      </c>
      <c r="Q817">
        <v>0</v>
      </c>
      <c r="R817">
        <v>0</v>
      </c>
      <c r="S817" s="28">
        <v>76.586698209145851</v>
      </c>
      <c r="T817" s="29">
        <f>SUM(BaseHoras[[#This Row],[Jan/2019]:[Mar/2019]])</f>
        <v>76.586698209145851</v>
      </c>
      <c r="U817" s="29">
        <f>SUM(BaseHoras[[#This Row],[Abr/2019]:[Jun/2019]])</f>
        <v>0</v>
      </c>
      <c r="V817" s="29">
        <f>SUM(BaseHoras[[#This Row],[Jul/2019]:[Set/2019]])</f>
        <v>0</v>
      </c>
      <c r="W817" s="29">
        <f>SUM(BaseHoras[[#This Row],[Out/2019]:[Dez/2019]])</f>
        <v>0</v>
      </c>
    </row>
    <row r="818" spans="1:23">
      <c r="A818" t="s">
        <v>151</v>
      </c>
      <c r="B818" t="s">
        <v>168</v>
      </c>
      <c r="C818" t="s">
        <v>351</v>
      </c>
      <c r="D818" t="s">
        <v>118</v>
      </c>
      <c r="E818" t="s">
        <v>188</v>
      </c>
      <c r="F818">
        <v>137.15058358842893</v>
      </c>
      <c r="G818">
        <v>996.46353902519434</v>
      </c>
      <c r="H818">
        <v>2397.434930846041</v>
      </c>
      <c r="I818">
        <v>630.68699627435603</v>
      </c>
      <c r="J818">
        <v>356.42479453138031</v>
      </c>
      <c r="K818">
        <v>32.005028627510491</v>
      </c>
      <c r="L818">
        <v>619.65775307187062</v>
      </c>
      <c r="M818" s="28">
        <v>46.403433703182799</v>
      </c>
      <c r="N818" s="28">
        <v>0</v>
      </c>
      <c r="O818">
        <v>0</v>
      </c>
      <c r="P818">
        <v>0</v>
      </c>
      <c r="Q818">
        <v>0</v>
      </c>
      <c r="R818">
        <v>0</v>
      </c>
      <c r="S818" s="28">
        <v>5216.2270596679646</v>
      </c>
      <c r="T818" s="29">
        <f>SUM(BaseHoras[[#This Row],[Jan/2019]:[Mar/2019]])</f>
        <v>3531.0490534596643</v>
      </c>
      <c r="U818" s="29">
        <f>SUM(BaseHoras[[#This Row],[Abr/2019]:[Jun/2019]])</f>
        <v>1019.1168194332467</v>
      </c>
      <c r="V818" s="29">
        <f>SUM(BaseHoras[[#This Row],[Jul/2019]:[Set/2019]])</f>
        <v>666.06118677505344</v>
      </c>
      <c r="W818" s="29">
        <f>SUM(BaseHoras[[#This Row],[Out/2019]:[Dez/2019]])</f>
        <v>0</v>
      </c>
    </row>
    <row r="819" spans="1:23">
      <c r="A819" t="s">
        <v>151</v>
      </c>
      <c r="B819" t="s">
        <v>168</v>
      </c>
      <c r="C819" t="s">
        <v>351</v>
      </c>
      <c r="D819" t="s">
        <v>124</v>
      </c>
      <c r="E819" t="s">
        <v>188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196.6562798279119</v>
      </c>
      <c r="M819" s="28">
        <v>299.8538155231783</v>
      </c>
      <c r="N819" s="28">
        <v>0</v>
      </c>
      <c r="O819">
        <v>0</v>
      </c>
      <c r="P819">
        <v>0</v>
      </c>
      <c r="Q819">
        <v>0</v>
      </c>
      <c r="R819">
        <v>0</v>
      </c>
      <c r="S819" s="28">
        <v>496.51009535109017</v>
      </c>
      <c r="T819" s="29">
        <f>SUM(BaseHoras[[#This Row],[Jan/2019]:[Mar/2019]])</f>
        <v>0</v>
      </c>
      <c r="U819" s="29">
        <f>SUM(BaseHoras[[#This Row],[Abr/2019]:[Jun/2019]])</f>
        <v>0</v>
      </c>
      <c r="V819" s="29">
        <f>SUM(BaseHoras[[#This Row],[Jul/2019]:[Set/2019]])</f>
        <v>496.51009535109017</v>
      </c>
      <c r="W819" s="29">
        <f>SUM(BaseHoras[[#This Row],[Out/2019]:[Dez/2019]])</f>
        <v>0</v>
      </c>
    </row>
    <row r="820" spans="1:23">
      <c r="A820" t="s">
        <v>151</v>
      </c>
      <c r="B820" t="s">
        <v>168</v>
      </c>
      <c r="C820" t="s">
        <v>351</v>
      </c>
      <c r="D820" t="s">
        <v>125</v>
      </c>
      <c r="E820" t="s">
        <v>188</v>
      </c>
      <c r="F820">
        <v>0</v>
      </c>
      <c r="G820">
        <v>52.457511725378765</v>
      </c>
      <c r="H820">
        <v>0</v>
      </c>
      <c r="I820">
        <v>0</v>
      </c>
      <c r="J820">
        <v>0</v>
      </c>
      <c r="K820">
        <v>0</v>
      </c>
      <c r="L820">
        <v>0</v>
      </c>
      <c r="M820" s="28">
        <v>26.829725822638164</v>
      </c>
      <c r="N820" s="28">
        <v>0</v>
      </c>
      <c r="O820">
        <v>0</v>
      </c>
      <c r="P820">
        <v>0</v>
      </c>
      <c r="Q820">
        <v>0</v>
      </c>
      <c r="R820">
        <v>0</v>
      </c>
      <c r="S820" s="28">
        <v>79.287237548016932</v>
      </c>
      <c r="T820" s="29">
        <f>SUM(BaseHoras[[#This Row],[Jan/2019]:[Mar/2019]])</f>
        <v>52.457511725378765</v>
      </c>
      <c r="U820" s="29">
        <f>SUM(BaseHoras[[#This Row],[Abr/2019]:[Jun/2019]])</f>
        <v>0</v>
      </c>
      <c r="V820" s="29">
        <f>SUM(BaseHoras[[#This Row],[Jul/2019]:[Set/2019]])</f>
        <v>26.829725822638164</v>
      </c>
      <c r="W820" s="29">
        <f>SUM(BaseHoras[[#This Row],[Out/2019]:[Dez/2019]])</f>
        <v>0</v>
      </c>
    </row>
    <row r="821" spans="1:23">
      <c r="A821" t="s">
        <v>151</v>
      </c>
      <c r="B821" t="s">
        <v>168</v>
      </c>
      <c r="C821" t="s">
        <v>351</v>
      </c>
      <c r="D821" t="s">
        <v>128</v>
      </c>
      <c r="E821" t="s">
        <v>188</v>
      </c>
      <c r="F821">
        <v>207.52176818107301</v>
      </c>
      <c r="G821">
        <v>16.646356033346422</v>
      </c>
      <c r="H821">
        <v>792.75705347880216</v>
      </c>
      <c r="I821">
        <v>0</v>
      </c>
      <c r="J821">
        <v>618.10485730131393</v>
      </c>
      <c r="K821">
        <v>174.58391982844964</v>
      </c>
      <c r="L821">
        <v>0</v>
      </c>
      <c r="M821" s="28">
        <v>0</v>
      </c>
      <c r="N821" s="28">
        <v>0</v>
      </c>
      <c r="O821">
        <v>0</v>
      </c>
      <c r="P821">
        <v>0</v>
      </c>
      <c r="Q821">
        <v>0</v>
      </c>
      <c r="R821">
        <v>0</v>
      </c>
      <c r="S821" s="28">
        <v>1809.6139548229851</v>
      </c>
      <c r="T821" s="29">
        <f>SUM(BaseHoras[[#This Row],[Jan/2019]:[Mar/2019]])</f>
        <v>1016.9251776932216</v>
      </c>
      <c r="U821" s="29">
        <f>SUM(BaseHoras[[#This Row],[Abr/2019]:[Jun/2019]])</f>
        <v>792.68877712976359</v>
      </c>
      <c r="V821" s="29">
        <f>SUM(BaseHoras[[#This Row],[Jul/2019]:[Set/2019]])</f>
        <v>0</v>
      </c>
      <c r="W821" s="29">
        <f>SUM(BaseHoras[[#This Row],[Out/2019]:[Dez/2019]])</f>
        <v>0</v>
      </c>
    </row>
    <row r="822" spans="1:23">
      <c r="A822" t="s">
        <v>151</v>
      </c>
      <c r="B822" t="s">
        <v>168</v>
      </c>
      <c r="C822" t="s">
        <v>351</v>
      </c>
      <c r="D822" t="s">
        <v>136</v>
      </c>
      <c r="E822" t="s">
        <v>188</v>
      </c>
      <c r="F822">
        <v>0</v>
      </c>
      <c r="G822">
        <v>0</v>
      </c>
      <c r="H822">
        <v>0</v>
      </c>
      <c r="I822">
        <v>0</v>
      </c>
      <c r="J822">
        <v>1.5048414262785228</v>
      </c>
      <c r="K822">
        <v>0</v>
      </c>
      <c r="L822">
        <v>0</v>
      </c>
      <c r="M822" s="28">
        <v>0</v>
      </c>
      <c r="N822" s="28">
        <v>0</v>
      </c>
      <c r="O822">
        <v>16.741477609256997</v>
      </c>
      <c r="P822">
        <v>0</v>
      </c>
      <c r="Q822">
        <v>0</v>
      </c>
      <c r="R822">
        <v>0</v>
      </c>
      <c r="S822" s="28">
        <v>18.246319035535521</v>
      </c>
      <c r="T822" s="29">
        <f>SUM(BaseHoras[[#This Row],[Jan/2019]:[Mar/2019]])</f>
        <v>0</v>
      </c>
      <c r="U822" s="29">
        <f>SUM(BaseHoras[[#This Row],[Abr/2019]:[Jun/2019]])</f>
        <v>1.5048414262785228</v>
      </c>
      <c r="V822" s="29">
        <f>SUM(BaseHoras[[#This Row],[Jul/2019]:[Set/2019]])</f>
        <v>0</v>
      </c>
      <c r="W822" s="29">
        <f>SUM(BaseHoras[[#This Row],[Out/2019]:[Dez/2019]])</f>
        <v>16.741477609256997</v>
      </c>
    </row>
    <row r="823" spans="1:23">
      <c r="A823" t="s">
        <v>151</v>
      </c>
      <c r="B823" t="s">
        <v>168</v>
      </c>
      <c r="C823" t="s">
        <v>351</v>
      </c>
      <c r="D823" t="s">
        <v>138</v>
      </c>
      <c r="E823" t="s">
        <v>188</v>
      </c>
      <c r="F823">
        <v>0</v>
      </c>
      <c r="G823">
        <v>73.067603169331491</v>
      </c>
      <c r="H823">
        <v>0</v>
      </c>
      <c r="I823">
        <v>28.753443428216283</v>
      </c>
      <c r="J823">
        <v>0</v>
      </c>
      <c r="K823">
        <v>3.6729831009053053</v>
      </c>
      <c r="L823">
        <v>0</v>
      </c>
      <c r="M823" s="28">
        <v>0</v>
      </c>
      <c r="N823" s="28">
        <v>0</v>
      </c>
      <c r="O823">
        <v>0</v>
      </c>
      <c r="P823">
        <v>0</v>
      </c>
      <c r="Q823">
        <v>0</v>
      </c>
      <c r="R823">
        <v>0</v>
      </c>
      <c r="S823" s="28">
        <v>105.49402969845308</v>
      </c>
      <c r="T823" s="29">
        <f>SUM(BaseHoras[[#This Row],[Jan/2019]:[Mar/2019]])</f>
        <v>73.067603169331491</v>
      </c>
      <c r="U823" s="29">
        <f>SUM(BaseHoras[[#This Row],[Abr/2019]:[Jun/2019]])</f>
        <v>32.426426529121585</v>
      </c>
      <c r="V823" s="29">
        <f>SUM(BaseHoras[[#This Row],[Jul/2019]:[Set/2019]])</f>
        <v>0</v>
      </c>
      <c r="W823" s="29">
        <f>SUM(BaseHoras[[#This Row],[Out/2019]:[Dez/2019]])</f>
        <v>0</v>
      </c>
    </row>
    <row r="824" spans="1:23">
      <c r="A824" t="s">
        <v>151</v>
      </c>
      <c r="B824" t="s">
        <v>168</v>
      </c>
      <c r="C824" t="s">
        <v>351</v>
      </c>
      <c r="D824" t="s">
        <v>143</v>
      </c>
      <c r="E824" t="s">
        <v>188</v>
      </c>
      <c r="F824">
        <v>0</v>
      </c>
      <c r="G824">
        <v>0</v>
      </c>
      <c r="H824">
        <v>886.14094636053028</v>
      </c>
      <c r="I824">
        <v>0</v>
      </c>
      <c r="J824">
        <v>0</v>
      </c>
      <c r="K824">
        <v>0</v>
      </c>
      <c r="L824">
        <v>0</v>
      </c>
      <c r="M824" s="28">
        <v>0</v>
      </c>
      <c r="N824" s="28">
        <v>0</v>
      </c>
      <c r="O824">
        <v>0</v>
      </c>
      <c r="P824">
        <v>0</v>
      </c>
      <c r="Q824">
        <v>0</v>
      </c>
      <c r="R824">
        <v>0</v>
      </c>
      <c r="S824" s="28">
        <v>886.14094636053028</v>
      </c>
      <c r="T824" s="29">
        <f>SUM(BaseHoras[[#This Row],[Jan/2019]:[Mar/2019]])</f>
        <v>886.14094636053028</v>
      </c>
      <c r="U824" s="29">
        <f>SUM(BaseHoras[[#This Row],[Abr/2019]:[Jun/2019]])</f>
        <v>0</v>
      </c>
      <c r="V824" s="29">
        <f>SUM(BaseHoras[[#This Row],[Jul/2019]:[Set/2019]])</f>
        <v>0</v>
      </c>
      <c r="W824" s="29">
        <f>SUM(BaseHoras[[#This Row],[Out/2019]:[Dez/2019]])</f>
        <v>0</v>
      </c>
    </row>
    <row r="825" spans="1:23">
      <c r="A825" t="s">
        <v>151</v>
      </c>
      <c r="B825" t="s">
        <v>168</v>
      </c>
      <c r="C825" t="s">
        <v>351</v>
      </c>
      <c r="D825" t="s">
        <v>147</v>
      </c>
      <c r="E825" t="s">
        <v>188</v>
      </c>
      <c r="F825">
        <v>0</v>
      </c>
      <c r="G825">
        <v>0</v>
      </c>
      <c r="H825">
        <v>0</v>
      </c>
      <c r="I825">
        <v>0</v>
      </c>
      <c r="J825">
        <v>248.2314982098886</v>
      </c>
      <c r="K825">
        <v>0</v>
      </c>
      <c r="L825">
        <v>0</v>
      </c>
      <c r="M825" s="28">
        <v>0</v>
      </c>
      <c r="N825" s="28">
        <v>0</v>
      </c>
      <c r="O825">
        <v>0</v>
      </c>
      <c r="P825">
        <v>0</v>
      </c>
      <c r="Q825">
        <v>0</v>
      </c>
      <c r="R825">
        <v>0</v>
      </c>
      <c r="S825" s="28">
        <v>248.2314982098886</v>
      </c>
      <c r="T825" s="29">
        <f>SUM(BaseHoras[[#This Row],[Jan/2019]:[Mar/2019]])</f>
        <v>0</v>
      </c>
      <c r="U825" s="29">
        <f>SUM(BaseHoras[[#This Row],[Abr/2019]:[Jun/2019]])</f>
        <v>248.2314982098886</v>
      </c>
      <c r="V825" s="29">
        <f>SUM(BaseHoras[[#This Row],[Jul/2019]:[Set/2019]])</f>
        <v>0</v>
      </c>
      <c r="W825" s="29">
        <f>SUM(BaseHoras[[#This Row],[Out/2019]:[Dez/2019]])</f>
        <v>0</v>
      </c>
    </row>
    <row r="826" spans="1:23">
      <c r="A826" t="s">
        <v>151</v>
      </c>
      <c r="B826" t="s">
        <v>168</v>
      </c>
      <c r="C826" t="s">
        <v>351</v>
      </c>
      <c r="D826" t="s">
        <v>149</v>
      </c>
      <c r="E826" t="s">
        <v>188</v>
      </c>
      <c r="F826">
        <v>0</v>
      </c>
      <c r="G826">
        <v>115.32163767720277</v>
      </c>
      <c r="H826">
        <v>255.67818136959104</v>
      </c>
      <c r="I826">
        <v>185.5726531419287</v>
      </c>
      <c r="J826">
        <v>13.890641502697568</v>
      </c>
      <c r="K826">
        <v>31.220987299955087</v>
      </c>
      <c r="L826">
        <v>0</v>
      </c>
      <c r="M826" s="28">
        <v>78.318565155251093</v>
      </c>
      <c r="N826" s="28">
        <v>310.07030459022531</v>
      </c>
      <c r="O826">
        <v>0</v>
      </c>
      <c r="P826">
        <v>0</v>
      </c>
      <c r="Q826">
        <v>0</v>
      </c>
      <c r="R826">
        <v>0</v>
      </c>
      <c r="S826" s="28">
        <v>990.07297073685163</v>
      </c>
      <c r="T826" s="29">
        <f>SUM(BaseHoras[[#This Row],[Jan/2019]:[Mar/2019]])</f>
        <v>370.99981904679385</v>
      </c>
      <c r="U826" s="29">
        <f>SUM(BaseHoras[[#This Row],[Abr/2019]:[Jun/2019]])</f>
        <v>230.68428194458136</v>
      </c>
      <c r="V826" s="29">
        <f>SUM(BaseHoras[[#This Row],[Jul/2019]:[Set/2019]])</f>
        <v>388.38886974547643</v>
      </c>
      <c r="W826" s="29">
        <f>SUM(BaseHoras[[#This Row],[Out/2019]:[Dez/2019]])</f>
        <v>0</v>
      </c>
    </row>
    <row r="827" spans="1:23">
      <c r="A827" t="s">
        <v>151</v>
      </c>
      <c r="B827" t="s">
        <v>168</v>
      </c>
      <c r="C827" t="s">
        <v>351</v>
      </c>
      <c r="D827" t="s">
        <v>150</v>
      </c>
      <c r="E827" t="s">
        <v>188</v>
      </c>
      <c r="F827">
        <v>13.280090748552668</v>
      </c>
      <c r="G827">
        <v>6.6059296532610388</v>
      </c>
      <c r="H827">
        <v>0</v>
      </c>
      <c r="I827">
        <v>0</v>
      </c>
      <c r="J827">
        <v>0</v>
      </c>
      <c r="K827">
        <v>0</v>
      </c>
      <c r="L827">
        <v>0</v>
      </c>
      <c r="M827" s="28">
        <v>0</v>
      </c>
      <c r="N827" s="28">
        <v>0</v>
      </c>
      <c r="O827">
        <v>0</v>
      </c>
      <c r="P827">
        <v>0</v>
      </c>
      <c r="Q827">
        <v>0</v>
      </c>
      <c r="R827">
        <v>0</v>
      </c>
      <c r="S827" s="28">
        <v>19.886020401813706</v>
      </c>
      <c r="T827" s="29">
        <f>SUM(BaseHoras[[#This Row],[Jan/2019]:[Mar/2019]])</f>
        <v>19.886020401813706</v>
      </c>
      <c r="U827" s="29">
        <f>SUM(BaseHoras[[#This Row],[Abr/2019]:[Jun/2019]])</f>
        <v>0</v>
      </c>
      <c r="V827" s="29">
        <f>SUM(BaseHoras[[#This Row],[Jul/2019]:[Set/2019]])</f>
        <v>0</v>
      </c>
      <c r="W827" s="29">
        <f>SUM(BaseHoras[[#This Row],[Out/2019]:[Dez/2019]])</f>
        <v>0</v>
      </c>
    </row>
    <row r="828" spans="1:23">
      <c r="A828" t="s">
        <v>151</v>
      </c>
      <c r="B828" t="s">
        <v>168</v>
      </c>
      <c r="C828" t="s">
        <v>352</v>
      </c>
      <c r="D828" t="s">
        <v>35</v>
      </c>
      <c r="E828" t="s">
        <v>188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18.188873784611371</v>
      </c>
      <c r="M828" s="28">
        <v>0</v>
      </c>
      <c r="N828" s="28">
        <v>29.025286862935332</v>
      </c>
      <c r="O828">
        <v>0</v>
      </c>
      <c r="P828">
        <v>0</v>
      </c>
      <c r="Q828">
        <v>0</v>
      </c>
      <c r="R828">
        <v>0</v>
      </c>
      <c r="S828" s="28">
        <v>47.214160647546706</v>
      </c>
      <c r="T828" s="29">
        <f>SUM(BaseHoras[[#This Row],[Jan/2019]:[Mar/2019]])</f>
        <v>0</v>
      </c>
      <c r="U828" s="29">
        <f>SUM(BaseHoras[[#This Row],[Abr/2019]:[Jun/2019]])</f>
        <v>0</v>
      </c>
      <c r="V828" s="29">
        <f>SUM(BaseHoras[[#This Row],[Jul/2019]:[Set/2019]])</f>
        <v>47.214160647546706</v>
      </c>
      <c r="W828" s="29">
        <f>SUM(BaseHoras[[#This Row],[Out/2019]:[Dez/2019]])</f>
        <v>0</v>
      </c>
    </row>
    <row r="829" spans="1:23">
      <c r="A829" t="s">
        <v>151</v>
      </c>
      <c r="B829" t="s">
        <v>168</v>
      </c>
      <c r="C829" t="s">
        <v>352</v>
      </c>
      <c r="D829" t="s">
        <v>40</v>
      </c>
      <c r="E829" t="s">
        <v>188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s="28">
        <v>0</v>
      </c>
      <c r="N829" s="28">
        <v>0</v>
      </c>
      <c r="O829">
        <v>0</v>
      </c>
      <c r="P829">
        <v>1214.6832827681299</v>
      </c>
      <c r="Q829">
        <v>449.92649658489916</v>
      </c>
      <c r="R829">
        <v>0</v>
      </c>
      <c r="S829" s="28">
        <v>1664.6097793530289</v>
      </c>
      <c r="T829" s="29">
        <f>SUM(BaseHoras[[#This Row],[Jan/2019]:[Mar/2019]])</f>
        <v>0</v>
      </c>
      <c r="U829" s="29">
        <f>SUM(BaseHoras[[#This Row],[Abr/2019]:[Jun/2019]])</f>
        <v>0</v>
      </c>
      <c r="V829" s="29">
        <f>SUM(BaseHoras[[#This Row],[Jul/2019]:[Set/2019]])</f>
        <v>0</v>
      </c>
      <c r="W829" s="29">
        <f>SUM(BaseHoras[[#This Row],[Out/2019]:[Dez/2019]])</f>
        <v>1664.6097793530289</v>
      </c>
    </row>
    <row r="830" spans="1:23">
      <c r="A830" t="s">
        <v>151</v>
      </c>
      <c r="B830" t="s">
        <v>168</v>
      </c>
      <c r="C830" t="s">
        <v>352</v>
      </c>
      <c r="D830" t="s">
        <v>42</v>
      </c>
      <c r="E830" t="s">
        <v>188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32.734845229457591</v>
      </c>
      <c r="M830" s="28">
        <v>0</v>
      </c>
      <c r="N830" s="28">
        <v>0</v>
      </c>
      <c r="O830">
        <v>0</v>
      </c>
      <c r="P830">
        <v>0</v>
      </c>
      <c r="Q830">
        <v>0</v>
      </c>
      <c r="R830">
        <v>0</v>
      </c>
      <c r="S830" s="28">
        <v>32.734845229457591</v>
      </c>
      <c r="T830" s="29">
        <f>SUM(BaseHoras[[#This Row],[Jan/2019]:[Mar/2019]])</f>
        <v>0</v>
      </c>
      <c r="U830" s="29">
        <f>SUM(BaseHoras[[#This Row],[Abr/2019]:[Jun/2019]])</f>
        <v>0</v>
      </c>
      <c r="V830" s="29">
        <f>SUM(BaseHoras[[#This Row],[Jul/2019]:[Set/2019]])</f>
        <v>32.734845229457591</v>
      </c>
      <c r="W830" s="29">
        <f>SUM(BaseHoras[[#This Row],[Out/2019]:[Dez/2019]])</f>
        <v>0</v>
      </c>
    </row>
    <row r="831" spans="1:23">
      <c r="A831" t="s">
        <v>151</v>
      </c>
      <c r="B831" t="s">
        <v>168</v>
      </c>
      <c r="C831" t="s">
        <v>352</v>
      </c>
      <c r="D831" t="s">
        <v>49</v>
      </c>
      <c r="E831" t="s">
        <v>188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22.344234713295226</v>
      </c>
      <c r="M831" s="28">
        <v>0</v>
      </c>
      <c r="N831" s="28">
        <v>30.78609615781097</v>
      </c>
      <c r="O831">
        <v>111.28050889046089</v>
      </c>
      <c r="P831">
        <v>0</v>
      </c>
      <c r="Q831">
        <v>0</v>
      </c>
      <c r="R831">
        <v>0</v>
      </c>
      <c r="S831" s="28">
        <v>164.4108397615671</v>
      </c>
      <c r="T831" s="29">
        <f>SUM(BaseHoras[[#This Row],[Jan/2019]:[Mar/2019]])</f>
        <v>0</v>
      </c>
      <c r="U831" s="29">
        <f>SUM(BaseHoras[[#This Row],[Abr/2019]:[Jun/2019]])</f>
        <v>0</v>
      </c>
      <c r="V831" s="29">
        <f>SUM(BaseHoras[[#This Row],[Jul/2019]:[Set/2019]])</f>
        <v>53.130330871106196</v>
      </c>
      <c r="W831" s="29">
        <f>SUM(BaseHoras[[#This Row],[Out/2019]:[Dez/2019]])</f>
        <v>111.28050889046089</v>
      </c>
    </row>
    <row r="832" spans="1:23">
      <c r="A832" t="s">
        <v>151</v>
      </c>
      <c r="B832" t="s">
        <v>168</v>
      </c>
      <c r="C832" t="s">
        <v>352</v>
      </c>
      <c r="D832" t="s">
        <v>81</v>
      </c>
      <c r="E832" t="s">
        <v>188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s="28">
        <v>0</v>
      </c>
      <c r="N832" s="28">
        <v>0</v>
      </c>
      <c r="O832">
        <v>0</v>
      </c>
      <c r="P832">
        <v>42.497757071666946</v>
      </c>
      <c r="Q832">
        <v>13.856653647325635</v>
      </c>
      <c r="R832">
        <v>0</v>
      </c>
      <c r="S832" s="28">
        <v>56.354410718992582</v>
      </c>
      <c r="T832" s="29">
        <f>SUM(BaseHoras[[#This Row],[Jan/2019]:[Mar/2019]])</f>
        <v>0</v>
      </c>
      <c r="U832" s="29">
        <f>SUM(BaseHoras[[#This Row],[Abr/2019]:[Jun/2019]])</f>
        <v>0</v>
      </c>
      <c r="V832" s="29">
        <f>SUM(BaseHoras[[#This Row],[Jul/2019]:[Set/2019]])</f>
        <v>0</v>
      </c>
      <c r="W832" s="29">
        <f>SUM(BaseHoras[[#This Row],[Out/2019]:[Dez/2019]])</f>
        <v>56.354410718992582</v>
      </c>
    </row>
    <row r="833" spans="1:23">
      <c r="A833" t="s">
        <v>151</v>
      </c>
      <c r="B833" t="s">
        <v>168</v>
      </c>
      <c r="C833" t="s">
        <v>352</v>
      </c>
      <c r="D833" t="s">
        <v>87</v>
      </c>
      <c r="E833" t="s">
        <v>188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s="28">
        <v>1033.2623969961555</v>
      </c>
      <c r="N833" s="28">
        <v>17.660716196761143</v>
      </c>
      <c r="O833">
        <v>0</v>
      </c>
      <c r="P833">
        <v>0</v>
      </c>
      <c r="Q833">
        <v>0</v>
      </c>
      <c r="R833">
        <v>0</v>
      </c>
      <c r="S833" s="28">
        <v>1050.9231131929166</v>
      </c>
      <c r="T833" s="29">
        <f>SUM(BaseHoras[[#This Row],[Jan/2019]:[Mar/2019]])</f>
        <v>0</v>
      </c>
      <c r="U833" s="29">
        <f>SUM(BaseHoras[[#This Row],[Abr/2019]:[Jun/2019]])</f>
        <v>0</v>
      </c>
      <c r="V833" s="29">
        <f>SUM(BaseHoras[[#This Row],[Jul/2019]:[Set/2019]])</f>
        <v>1050.9231131929166</v>
      </c>
      <c r="W833" s="29">
        <f>SUM(BaseHoras[[#This Row],[Out/2019]:[Dez/2019]])</f>
        <v>0</v>
      </c>
    </row>
    <row r="834" spans="1:23">
      <c r="A834" t="s">
        <v>151</v>
      </c>
      <c r="B834" t="s">
        <v>168</v>
      </c>
      <c r="C834" t="s">
        <v>352</v>
      </c>
      <c r="D834" t="s">
        <v>100</v>
      </c>
      <c r="E834" t="s">
        <v>188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s="28">
        <v>0</v>
      </c>
      <c r="N834" s="28">
        <v>9.9637392871002088</v>
      </c>
      <c r="O834">
        <v>0</v>
      </c>
      <c r="P834">
        <v>0</v>
      </c>
      <c r="Q834">
        <v>0</v>
      </c>
      <c r="R834">
        <v>0</v>
      </c>
      <c r="S834" s="28">
        <v>9.9637392871002088</v>
      </c>
      <c r="T834" s="29">
        <f>SUM(BaseHoras[[#This Row],[Jan/2019]:[Mar/2019]])</f>
        <v>0</v>
      </c>
      <c r="U834" s="29">
        <f>SUM(BaseHoras[[#This Row],[Abr/2019]:[Jun/2019]])</f>
        <v>0</v>
      </c>
      <c r="V834" s="29">
        <f>SUM(BaseHoras[[#This Row],[Jul/2019]:[Set/2019]])</f>
        <v>9.9637392871002088</v>
      </c>
      <c r="W834" s="29">
        <f>SUM(BaseHoras[[#This Row],[Out/2019]:[Dez/2019]])</f>
        <v>0</v>
      </c>
    </row>
    <row r="835" spans="1:23">
      <c r="A835" t="s">
        <v>151</v>
      </c>
      <c r="B835" t="s">
        <v>168</v>
      </c>
      <c r="C835" t="s">
        <v>352</v>
      </c>
      <c r="D835" t="s">
        <v>109</v>
      </c>
      <c r="E835" t="s">
        <v>188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s="28">
        <v>0</v>
      </c>
      <c r="N835" s="28">
        <v>0</v>
      </c>
      <c r="O835">
        <v>0</v>
      </c>
      <c r="P835">
        <v>226.29045120686359</v>
      </c>
      <c r="Q835">
        <v>16.127863840924675</v>
      </c>
      <c r="R835">
        <v>0</v>
      </c>
      <c r="S835" s="28">
        <v>242.41831504778827</v>
      </c>
      <c r="T835" s="29">
        <f>SUM(BaseHoras[[#This Row],[Jan/2019]:[Mar/2019]])</f>
        <v>0</v>
      </c>
      <c r="U835" s="29">
        <f>SUM(BaseHoras[[#This Row],[Abr/2019]:[Jun/2019]])</f>
        <v>0</v>
      </c>
      <c r="V835" s="29">
        <f>SUM(BaseHoras[[#This Row],[Jul/2019]:[Set/2019]])</f>
        <v>0</v>
      </c>
      <c r="W835" s="29">
        <f>SUM(BaseHoras[[#This Row],[Out/2019]:[Dez/2019]])</f>
        <v>242.41831504778827</v>
      </c>
    </row>
    <row r="836" spans="1:23">
      <c r="A836" t="s">
        <v>151</v>
      </c>
      <c r="B836" t="s">
        <v>168</v>
      </c>
      <c r="C836" t="s">
        <v>352</v>
      </c>
      <c r="D836" t="s">
        <v>118</v>
      </c>
      <c r="E836" t="s">
        <v>188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s="28">
        <v>229.94460517763733</v>
      </c>
      <c r="N836" s="28">
        <v>0</v>
      </c>
      <c r="O836">
        <v>0</v>
      </c>
      <c r="P836">
        <v>0</v>
      </c>
      <c r="Q836">
        <v>0</v>
      </c>
      <c r="R836">
        <v>0</v>
      </c>
      <c r="S836" s="28">
        <v>229.94460517763733</v>
      </c>
      <c r="T836" s="29">
        <f>SUM(BaseHoras[[#This Row],[Jan/2019]:[Mar/2019]])</f>
        <v>0</v>
      </c>
      <c r="U836" s="29">
        <f>SUM(BaseHoras[[#This Row],[Abr/2019]:[Jun/2019]])</f>
        <v>0</v>
      </c>
      <c r="V836" s="29">
        <f>SUM(BaseHoras[[#This Row],[Jul/2019]:[Set/2019]])</f>
        <v>229.94460517763733</v>
      </c>
      <c r="W836" s="29">
        <f>SUM(BaseHoras[[#This Row],[Out/2019]:[Dez/2019]])</f>
        <v>0</v>
      </c>
    </row>
    <row r="837" spans="1:23">
      <c r="A837" t="s">
        <v>151</v>
      </c>
      <c r="B837" t="s">
        <v>168</v>
      </c>
      <c r="C837" t="s">
        <v>352</v>
      </c>
      <c r="D837" t="s">
        <v>124</v>
      </c>
      <c r="E837" t="s">
        <v>188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s="28">
        <v>4448.4446902724712</v>
      </c>
      <c r="N837" s="28">
        <v>0</v>
      </c>
      <c r="O837">
        <v>0</v>
      </c>
      <c r="P837">
        <v>0</v>
      </c>
      <c r="Q837">
        <v>0</v>
      </c>
      <c r="R837">
        <v>0</v>
      </c>
      <c r="S837" s="28">
        <v>4448.4446902724712</v>
      </c>
      <c r="T837" s="29">
        <f>SUM(BaseHoras[[#This Row],[Jan/2019]:[Mar/2019]])</f>
        <v>0</v>
      </c>
      <c r="U837" s="29">
        <f>SUM(BaseHoras[[#This Row],[Abr/2019]:[Jun/2019]])</f>
        <v>0</v>
      </c>
      <c r="V837" s="29">
        <f>SUM(BaseHoras[[#This Row],[Jul/2019]:[Set/2019]])</f>
        <v>4448.4446902724712</v>
      </c>
      <c r="W837" s="29">
        <f>SUM(BaseHoras[[#This Row],[Out/2019]:[Dez/2019]])</f>
        <v>0</v>
      </c>
    </row>
    <row r="838" spans="1:23">
      <c r="A838" t="s">
        <v>151</v>
      </c>
      <c r="B838" t="s">
        <v>168</v>
      </c>
      <c r="C838" t="s">
        <v>352</v>
      </c>
      <c r="D838" t="s">
        <v>138</v>
      </c>
      <c r="E838" t="s">
        <v>188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28.43668537921431</v>
      </c>
      <c r="M838" s="28">
        <v>21.629904859866425</v>
      </c>
      <c r="N838" s="28">
        <v>52.506756786034579</v>
      </c>
      <c r="O838">
        <v>0</v>
      </c>
      <c r="P838">
        <v>0</v>
      </c>
      <c r="Q838">
        <v>0</v>
      </c>
      <c r="R838">
        <v>0</v>
      </c>
      <c r="S838" s="28">
        <v>102.57334702511531</v>
      </c>
      <c r="T838" s="29">
        <f>SUM(BaseHoras[[#This Row],[Jan/2019]:[Mar/2019]])</f>
        <v>0</v>
      </c>
      <c r="U838" s="29">
        <f>SUM(BaseHoras[[#This Row],[Abr/2019]:[Jun/2019]])</f>
        <v>0</v>
      </c>
      <c r="V838" s="29">
        <f>SUM(BaseHoras[[#This Row],[Jul/2019]:[Set/2019]])</f>
        <v>102.57334702511531</v>
      </c>
      <c r="W838" s="29">
        <f>SUM(BaseHoras[[#This Row],[Out/2019]:[Dez/2019]])</f>
        <v>0</v>
      </c>
    </row>
    <row r="839" spans="1:23">
      <c r="A839" t="s">
        <v>151</v>
      </c>
      <c r="B839" t="s">
        <v>168</v>
      </c>
      <c r="C839" t="s">
        <v>353</v>
      </c>
      <c r="D839" t="s">
        <v>25</v>
      </c>
      <c r="E839" t="s">
        <v>188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s="28">
        <v>0</v>
      </c>
      <c r="N839" s="28">
        <v>0</v>
      </c>
      <c r="O839">
        <v>30.35766231454669</v>
      </c>
      <c r="P839">
        <v>28.553752989557459</v>
      </c>
      <c r="Q839">
        <v>0</v>
      </c>
      <c r="R839">
        <v>0</v>
      </c>
      <c r="S839" s="28">
        <v>58.911415304104153</v>
      </c>
      <c r="T839" s="29">
        <f>SUM(BaseHoras[[#This Row],[Jan/2019]:[Mar/2019]])</f>
        <v>0</v>
      </c>
      <c r="U839" s="29">
        <f>SUM(BaseHoras[[#This Row],[Abr/2019]:[Jun/2019]])</f>
        <v>0</v>
      </c>
      <c r="V839" s="29">
        <f>SUM(BaseHoras[[#This Row],[Jul/2019]:[Set/2019]])</f>
        <v>0</v>
      </c>
      <c r="W839" s="29">
        <f>SUM(BaseHoras[[#This Row],[Out/2019]:[Dez/2019]])</f>
        <v>58.911415304104153</v>
      </c>
    </row>
    <row r="840" spans="1:23">
      <c r="A840" t="s">
        <v>151</v>
      </c>
      <c r="B840" t="s">
        <v>168</v>
      </c>
      <c r="C840" t="s">
        <v>353</v>
      </c>
      <c r="D840" t="s">
        <v>35</v>
      </c>
      <c r="E840" t="s">
        <v>188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s="28">
        <v>0</v>
      </c>
      <c r="N840" s="28">
        <v>1510.2474228186488</v>
      </c>
      <c r="O840">
        <v>18.649846175364519</v>
      </c>
      <c r="P840">
        <v>0</v>
      </c>
      <c r="Q840">
        <v>0</v>
      </c>
      <c r="R840">
        <v>0</v>
      </c>
      <c r="S840" s="28">
        <v>1528.8972689940133</v>
      </c>
      <c r="T840" s="29">
        <f>SUM(BaseHoras[[#This Row],[Jan/2019]:[Mar/2019]])</f>
        <v>0</v>
      </c>
      <c r="U840" s="29">
        <f>SUM(BaseHoras[[#This Row],[Abr/2019]:[Jun/2019]])</f>
        <v>0</v>
      </c>
      <c r="V840" s="29">
        <f>SUM(BaseHoras[[#This Row],[Jul/2019]:[Set/2019]])</f>
        <v>1510.2474228186488</v>
      </c>
      <c r="W840" s="29">
        <f>SUM(BaseHoras[[#This Row],[Out/2019]:[Dez/2019]])</f>
        <v>18.649846175364519</v>
      </c>
    </row>
    <row r="841" spans="1:23">
      <c r="A841" t="s">
        <v>151</v>
      </c>
      <c r="B841" t="s">
        <v>168</v>
      </c>
      <c r="C841" t="s">
        <v>353</v>
      </c>
      <c r="D841" t="s">
        <v>36</v>
      </c>
      <c r="E841" t="s">
        <v>188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s="28">
        <v>0</v>
      </c>
      <c r="N841" s="28">
        <v>33.529958188842329</v>
      </c>
      <c r="O841">
        <v>90.502365301356562</v>
      </c>
      <c r="P841">
        <v>149.13027406274017</v>
      </c>
      <c r="Q841">
        <v>379.57162917472135</v>
      </c>
      <c r="R841">
        <v>0</v>
      </c>
      <c r="S841" s="28">
        <v>652.73422672766037</v>
      </c>
      <c r="T841" s="29">
        <f>SUM(BaseHoras[[#This Row],[Jan/2019]:[Mar/2019]])</f>
        <v>0</v>
      </c>
      <c r="U841" s="29">
        <f>SUM(BaseHoras[[#This Row],[Abr/2019]:[Jun/2019]])</f>
        <v>0</v>
      </c>
      <c r="V841" s="29">
        <f>SUM(BaseHoras[[#This Row],[Jul/2019]:[Set/2019]])</f>
        <v>33.529958188842329</v>
      </c>
      <c r="W841" s="29">
        <f>SUM(BaseHoras[[#This Row],[Out/2019]:[Dez/2019]])</f>
        <v>619.20426853881804</v>
      </c>
    </row>
    <row r="842" spans="1:23">
      <c r="A842" t="s">
        <v>151</v>
      </c>
      <c r="B842" t="s">
        <v>168</v>
      </c>
      <c r="C842" t="s">
        <v>353</v>
      </c>
      <c r="D842" t="s">
        <v>49</v>
      </c>
      <c r="E842" t="s">
        <v>188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s="28">
        <v>0</v>
      </c>
      <c r="N842" s="28">
        <v>383.79676585024873</v>
      </c>
      <c r="O842">
        <v>0</v>
      </c>
      <c r="P842">
        <v>0</v>
      </c>
      <c r="Q842">
        <v>0</v>
      </c>
      <c r="R842">
        <v>0</v>
      </c>
      <c r="S842" s="28">
        <v>383.79676585024873</v>
      </c>
      <c r="T842" s="29">
        <f>SUM(BaseHoras[[#This Row],[Jan/2019]:[Mar/2019]])</f>
        <v>0</v>
      </c>
      <c r="U842" s="29">
        <f>SUM(BaseHoras[[#This Row],[Abr/2019]:[Jun/2019]])</f>
        <v>0</v>
      </c>
      <c r="V842" s="29">
        <f>SUM(BaseHoras[[#This Row],[Jul/2019]:[Set/2019]])</f>
        <v>383.79676585024873</v>
      </c>
      <c r="W842" s="29">
        <f>SUM(BaseHoras[[#This Row],[Out/2019]:[Dez/2019]])</f>
        <v>0</v>
      </c>
    </row>
    <row r="843" spans="1:23">
      <c r="A843" t="s">
        <v>151</v>
      </c>
      <c r="B843" t="s">
        <v>168</v>
      </c>
      <c r="C843" t="s">
        <v>353</v>
      </c>
      <c r="D843" t="s">
        <v>55</v>
      </c>
      <c r="E843" t="s">
        <v>188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s="28">
        <v>0</v>
      </c>
      <c r="N843" s="28">
        <v>0</v>
      </c>
      <c r="O843">
        <v>0</v>
      </c>
      <c r="P843" t="s">
        <v>395</v>
      </c>
      <c r="Q843">
        <v>12.838825508736956</v>
      </c>
      <c r="R843">
        <v>0</v>
      </c>
      <c r="S843" s="28">
        <v>12.838825508736956</v>
      </c>
      <c r="T843" s="29">
        <f>SUM(BaseHoras[[#This Row],[Jan/2019]:[Mar/2019]])</f>
        <v>0</v>
      </c>
      <c r="U843" s="29">
        <f>SUM(BaseHoras[[#This Row],[Abr/2019]:[Jun/2019]])</f>
        <v>0</v>
      </c>
      <c r="V843" s="29">
        <f>SUM(BaseHoras[[#This Row],[Jul/2019]:[Set/2019]])</f>
        <v>0</v>
      </c>
      <c r="W843" s="29">
        <f>SUM(BaseHoras[[#This Row],[Out/2019]:[Dez/2019]])</f>
        <v>12.838825508736956</v>
      </c>
    </row>
    <row r="844" spans="1:23">
      <c r="A844" t="s">
        <v>151</v>
      </c>
      <c r="B844" t="s">
        <v>168</v>
      </c>
      <c r="C844" t="s">
        <v>353</v>
      </c>
      <c r="D844" t="s">
        <v>56</v>
      </c>
      <c r="E844" t="s">
        <v>188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s="28">
        <v>0</v>
      </c>
      <c r="N844" s="28">
        <v>133.42176471396786</v>
      </c>
      <c r="O844">
        <v>0</v>
      </c>
      <c r="P844">
        <v>0</v>
      </c>
      <c r="Q844">
        <v>0</v>
      </c>
      <c r="R844">
        <v>0</v>
      </c>
      <c r="S844" s="28">
        <v>133.42176471396786</v>
      </c>
      <c r="T844" s="29">
        <f>SUM(BaseHoras[[#This Row],[Jan/2019]:[Mar/2019]])</f>
        <v>0</v>
      </c>
      <c r="U844" s="29">
        <f>SUM(BaseHoras[[#This Row],[Abr/2019]:[Jun/2019]])</f>
        <v>0</v>
      </c>
      <c r="V844" s="29">
        <f>SUM(BaseHoras[[#This Row],[Jul/2019]:[Set/2019]])</f>
        <v>133.42176471396786</v>
      </c>
      <c r="W844" s="29">
        <f>SUM(BaseHoras[[#This Row],[Out/2019]:[Dez/2019]])</f>
        <v>0</v>
      </c>
    </row>
    <row r="845" spans="1:23">
      <c r="A845" t="s">
        <v>151</v>
      </c>
      <c r="B845" t="s">
        <v>168</v>
      </c>
      <c r="C845" t="s">
        <v>353</v>
      </c>
      <c r="D845" t="s">
        <v>87</v>
      </c>
      <c r="E845" t="s">
        <v>188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s="28">
        <v>0</v>
      </c>
      <c r="N845" s="28">
        <v>97.950789674100889</v>
      </c>
      <c r="O845">
        <v>20.181884672978171</v>
      </c>
      <c r="P845">
        <v>0</v>
      </c>
      <c r="Q845">
        <v>0</v>
      </c>
      <c r="R845">
        <v>0</v>
      </c>
      <c r="S845" s="28">
        <v>118.13267434707906</v>
      </c>
      <c r="T845" s="29">
        <f>SUM(BaseHoras[[#This Row],[Jan/2019]:[Mar/2019]])</f>
        <v>0</v>
      </c>
      <c r="U845" s="29">
        <f>SUM(BaseHoras[[#This Row],[Abr/2019]:[Jun/2019]])</f>
        <v>0</v>
      </c>
      <c r="V845" s="29">
        <f>SUM(BaseHoras[[#This Row],[Jul/2019]:[Set/2019]])</f>
        <v>97.950789674100889</v>
      </c>
      <c r="W845" s="29">
        <f>SUM(BaseHoras[[#This Row],[Out/2019]:[Dez/2019]])</f>
        <v>20.181884672978171</v>
      </c>
    </row>
    <row r="846" spans="1:23">
      <c r="A846" t="s">
        <v>151</v>
      </c>
      <c r="B846" t="s">
        <v>168</v>
      </c>
      <c r="C846" t="s">
        <v>353</v>
      </c>
      <c r="D846" t="s">
        <v>96</v>
      </c>
      <c r="E846" t="s">
        <v>188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s="28">
        <v>0</v>
      </c>
      <c r="N846" s="28">
        <v>365.99380992829367</v>
      </c>
      <c r="O846">
        <v>959.37819129436264</v>
      </c>
      <c r="P846">
        <v>0</v>
      </c>
      <c r="Q846">
        <v>0</v>
      </c>
      <c r="R846">
        <v>0</v>
      </c>
      <c r="S846" s="28">
        <v>1325.3720012226563</v>
      </c>
      <c r="T846" s="29">
        <f>SUM(BaseHoras[[#This Row],[Jan/2019]:[Mar/2019]])</f>
        <v>0</v>
      </c>
      <c r="U846" s="29">
        <f>SUM(BaseHoras[[#This Row],[Abr/2019]:[Jun/2019]])</f>
        <v>0</v>
      </c>
      <c r="V846" s="29">
        <f>SUM(BaseHoras[[#This Row],[Jul/2019]:[Set/2019]])</f>
        <v>365.99380992829367</v>
      </c>
      <c r="W846" s="29">
        <f>SUM(BaseHoras[[#This Row],[Out/2019]:[Dez/2019]])</f>
        <v>959.37819129436264</v>
      </c>
    </row>
    <row r="847" spans="1:23">
      <c r="A847" t="s">
        <v>151</v>
      </c>
      <c r="B847" t="s">
        <v>168</v>
      </c>
      <c r="C847" t="s">
        <v>353</v>
      </c>
      <c r="D847" t="s">
        <v>107</v>
      </c>
      <c r="E847" t="s">
        <v>188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 s="28">
        <v>0</v>
      </c>
      <c r="N847" s="28">
        <v>28.181201158135345</v>
      </c>
      <c r="O847">
        <v>75.418371801258516</v>
      </c>
      <c r="P847">
        <v>0</v>
      </c>
      <c r="Q847">
        <v>0</v>
      </c>
      <c r="R847">
        <v>0</v>
      </c>
      <c r="S847" s="28">
        <v>103.59957295939387</v>
      </c>
      <c r="T847" s="29">
        <f>SUM(BaseHoras[[#This Row],[Jan/2019]:[Mar/2019]])</f>
        <v>0</v>
      </c>
      <c r="U847" s="29">
        <f>SUM(BaseHoras[[#This Row],[Abr/2019]:[Jun/2019]])</f>
        <v>0</v>
      </c>
      <c r="V847" s="29">
        <f>SUM(BaseHoras[[#This Row],[Jul/2019]:[Set/2019]])</f>
        <v>28.181201158135345</v>
      </c>
      <c r="W847" s="29">
        <f>SUM(BaseHoras[[#This Row],[Out/2019]:[Dez/2019]])</f>
        <v>75.418371801258516</v>
      </c>
    </row>
    <row r="848" spans="1:23">
      <c r="A848" t="s">
        <v>151</v>
      </c>
      <c r="B848" t="s">
        <v>168</v>
      </c>
      <c r="C848" t="s">
        <v>353</v>
      </c>
      <c r="D848" t="s">
        <v>109</v>
      </c>
      <c r="E848" t="s">
        <v>188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s="28">
        <v>0</v>
      </c>
      <c r="N848" s="28">
        <v>0</v>
      </c>
      <c r="O848">
        <v>27.554679025313593</v>
      </c>
      <c r="P848">
        <v>0</v>
      </c>
      <c r="Q848">
        <v>0</v>
      </c>
      <c r="R848">
        <v>0</v>
      </c>
      <c r="S848" s="28">
        <v>27.554679025313593</v>
      </c>
      <c r="T848" s="29">
        <f>SUM(BaseHoras[[#This Row],[Jan/2019]:[Mar/2019]])</f>
        <v>0</v>
      </c>
      <c r="U848" s="29">
        <f>SUM(BaseHoras[[#This Row],[Abr/2019]:[Jun/2019]])</f>
        <v>0</v>
      </c>
      <c r="V848" s="29">
        <f>SUM(BaseHoras[[#This Row],[Jul/2019]:[Set/2019]])</f>
        <v>0</v>
      </c>
      <c r="W848" s="29">
        <f>SUM(BaseHoras[[#This Row],[Out/2019]:[Dez/2019]])</f>
        <v>27.554679025313593</v>
      </c>
    </row>
    <row r="849" spans="1:23">
      <c r="A849" t="s">
        <v>151</v>
      </c>
      <c r="B849" t="s">
        <v>168</v>
      </c>
      <c r="C849" t="s">
        <v>353</v>
      </c>
      <c r="D849" t="s">
        <v>124</v>
      </c>
      <c r="E849" t="s">
        <v>188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s="28">
        <v>0</v>
      </c>
      <c r="N849" s="28">
        <v>2556.3611713806017</v>
      </c>
      <c r="O849">
        <v>1197.0464386330527</v>
      </c>
      <c r="P849">
        <v>0</v>
      </c>
      <c r="Q849">
        <v>0</v>
      </c>
      <c r="R849">
        <v>0</v>
      </c>
      <c r="S849" s="28">
        <v>3753.4076100136544</v>
      </c>
      <c r="T849" s="29">
        <f>SUM(BaseHoras[[#This Row],[Jan/2019]:[Mar/2019]])</f>
        <v>0</v>
      </c>
      <c r="U849" s="29">
        <f>SUM(BaseHoras[[#This Row],[Abr/2019]:[Jun/2019]])</f>
        <v>0</v>
      </c>
      <c r="V849" s="29">
        <f>SUM(BaseHoras[[#This Row],[Jul/2019]:[Set/2019]])</f>
        <v>2556.3611713806017</v>
      </c>
      <c r="W849" s="29">
        <f>SUM(BaseHoras[[#This Row],[Out/2019]:[Dez/2019]])</f>
        <v>1197.0464386330527</v>
      </c>
    </row>
    <row r="850" spans="1:23">
      <c r="A850" t="s">
        <v>151</v>
      </c>
      <c r="B850" t="s">
        <v>168</v>
      </c>
      <c r="C850" t="s">
        <v>353</v>
      </c>
      <c r="D850" t="s">
        <v>138</v>
      </c>
      <c r="E850" t="s">
        <v>188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s="28">
        <v>0</v>
      </c>
      <c r="N850" s="28">
        <v>50.491420571864317</v>
      </c>
      <c r="O850">
        <v>102.59572105892262</v>
      </c>
      <c r="P850">
        <v>0</v>
      </c>
      <c r="Q850">
        <v>0</v>
      </c>
      <c r="R850">
        <v>0</v>
      </c>
      <c r="S850" s="28">
        <v>153.08714163078693</v>
      </c>
      <c r="T850" s="29">
        <f>SUM(BaseHoras[[#This Row],[Jan/2019]:[Mar/2019]])</f>
        <v>0</v>
      </c>
      <c r="U850" s="29">
        <f>SUM(BaseHoras[[#This Row],[Abr/2019]:[Jun/2019]])</f>
        <v>0</v>
      </c>
      <c r="V850" s="29">
        <f>SUM(BaseHoras[[#This Row],[Jul/2019]:[Set/2019]])</f>
        <v>50.491420571864317</v>
      </c>
      <c r="W850" s="29">
        <f>SUM(BaseHoras[[#This Row],[Out/2019]:[Dez/2019]])</f>
        <v>102.59572105892262</v>
      </c>
    </row>
    <row r="851" spans="1:23">
      <c r="A851" t="s">
        <v>151</v>
      </c>
      <c r="B851" t="s">
        <v>168</v>
      </c>
      <c r="C851" t="s">
        <v>354</v>
      </c>
      <c r="D851" t="s">
        <v>19</v>
      </c>
      <c r="E851" t="s">
        <v>188</v>
      </c>
      <c r="F851">
        <v>99.204709703830531</v>
      </c>
      <c r="G851">
        <v>0</v>
      </c>
      <c r="H851">
        <v>38.301252499972939</v>
      </c>
      <c r="I851">
        <v>0</v>
      </c>
      <c r="J851">
        <v>0</v>
      </c>
      <c r="K851">
        <v>0</v>
      </c>
      <c r="L851">
        <v>0</v>
      </c>
      <c r="M851" s="28">
        <v>0</v>
      </c>
      <c r="N851" s="28">
        <v>0</v>
      </c>
      <c r="O851">
        <v>0</v>
      </c>
      <c r="P851">
        <v>0</v>
      </c>
      <c r="Q851">
        <v>0</v>
      </c>
      <c r="R851">
        <v>0</v>
      </c>
      <c r="S851" s="28">
        <v>137.50596220380348</v>
      </c>
      <c r="T851" s="29">
        <f>SUM(BaseHoras[[#This Row],[Jan/2019]:[Mar/2019]])</f>
        <v>137.50596220380348</v>
      </c>
      <c r="U851" s="29">
        <f>SUM(BaseHoras[[#This Row],[Abr/2019]:[Jun/2019]])</f>
        <v>0</v>
      </c>
      <c r="V851" s="29">
        <f>SUM(BaseHoras[[#This Row],[Jul/2019]:[Set/2019]])</f>
        <v>0</v>
      </c>
      <c r="W851" s="29">
        <f>SUM(BaseHoras[[#This Row],[Out/2019]:[Dez/2019]])</f>
        <v>0</v>
      </c>
    </row>
    <row r="852" spans="1:23">
      <c r="A852" t="s">
        <v>151</v>
      </c>
      <c r="B852" t="s">
        <v>168</v>
      </c>
      <c r="C852" t="s">
        <v>354</v>
      </c>
      <c r="D852" t="s">
        <v>56</v>
      </c>
      <c r="E852" t="s">
        <v>188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s="28">
        <v>0</v>
      </c>
      <c r="N852" s="28">
        <v>0</v>
      </c>
      <c r="O852">
        <v>12.473967214173728</v>
      </c>
      <c r="P852">
        <v>104.5539574852516</v>
      </c>
      <c r="Q852">
        <v>299.24369442685662</v>
      </c>
      <c r="R852">
        <v>0</v>
      </c>
      <c r="S852" s="28">
        <v>416.27161912628196</v>
      </c>
      <c r="T852" s="29">
        <f>SUM(BaseHoras[[#This Row],[Jan/2019]:[Mar/2019]])</f>
        <v>0</v>
      </c>
      <c r="U852" s="29">
        <f>SUM(BaseHoras[[#This Row],[Abr/2019]:[Jun/2019]])</f>
        <v>0</v>
      </c>
      <c r="V852" s="29">
        <f>SUM(BaseHoras[[#This Row],[Jul/2019]:[Set/2019]])</f>
        <v>0</v>
      </c>
      <c r="W852" s="29">
        <f>SUM(BaseHoras[[#This Row],[Out/2019]:[Dez/2019]])</f>
        <v>416.27161912628196</v>
      </c>
    </row>
    <row r="853" spans="1:23">
      <c r="A853" t="s">
        <v>151</v>
      </c>
      <c r="B853" t="s">
        <v>168</v>
      </c>
      <c r="C853" t="s">
        <v>354</v>
      </c>
      <c r="D853" t="s">
        <v>109</v>
      </c>
      <c r="E853" t="s">
        <v>188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34.080632153972289</v>
      </c>
      <c r="L853">
        <v>0</v>
      </c>
      <c r="M853" s="28">
        <v>0</v>
      </c>
      <c r="N853" s="28">
        <v>0</v>
      </c>
      <c r="O853">
        <v>0</v>
      </c>
      <c r="P853">
        <v>0</v>
      </c>
      <c r="Q853">
        <v>0</v>
      </c>
      <c r="R853">
        <v>0</v>
      </c>
      <c r="S853" s="28">
        <v>34.080632153972289</v>
      </c>
      <c r="T853" s="29">
        <f>SUM(BaseHoras[[#This Row],[Jan/2019]:[Mar/2019]])</f>
        <v>0</v>
      </c>
      <c r="U853" s="29">
        <f>SUM(BaseHoras[[#This Row],[Abr/2019]:[Jun/2019]])</f>
        <v>34.080632153972289</v>
      </c>
      <c r="V853" s="29">
        <f>SUM(BaseHoras[[#This Row],[Jul/2019]:[Set/2019]])</f>
        <v>0</v>
      </c>
      <c r="W853" s="29">
        <f>SUM(BaseHoras[[#This Row],[Out/2019]:[Dez/2019]])</f>
        <v>0</v>
      </c>
    </row>
    <row r="854" spans="1:23">
      <c r="A854" t="s">
        <v>151</v>
      </c>
      <c r="B854" t="s">
        <v>168</v>
      </c>
      <c r="C854" t="s">
        <v>355</v>
      </c>
      <c r="D854" t="s">
        <v>101</v>
      </c>
      <c r="E854" t="s">
        <v>192</v>
      </c>
      <c r="F854">
        <v>0</v>
      </c>
      <c r="G854">
        <v>21.164780741138447</v>
      </c>
      <c r="H854">
        <v>0</v>
      </c>
      <c r="I854">
        <v>16.816837118613464</v>
      </c>
      <c r="J854">
        <v>0</v>
      </c>
      <c r="K854">
        <v>0</v>
      </c>
      <c r="L854">
        <v>0</v>
      </c>
      <c r="M854" s="28">
        <v>0</v>
      </c>
      <c r="N854" s="28">
        <v>0</v>
      </c>
      <c r="O854">
        <v>0</v>
      </c>
      <c r="P854">
        <v>0</v>
      </c>
      <c r="Q854">
        <v>0</v>
      </c>
      <c r="R854">
        <v>0</v>
      </c>
      <c r="S854" s="28">
        <v>37.981617859751907</v>
      </c>
      <c r="T854" s="29">
        <f>SUM(BaseHoras[[#This Row],[Jan/2019]:[Mar/2019]])</f>
        <v>21.164780741138447</v>
      </c>
      <c r="U854" s="29">
        <f>SUM(BaseHoras[[#This Row],[Abr/2019]:[Jun/2019]])</f>
        <v>16.816837118613464</v>
      </c>
      <c r="V854" s="29">
        <f>SUM(BaseHoras[[#This Row],[Jul/2019]:[Set/2019]])</f>
        <v>0</v>
      </c>
      <c r="W854" s="29">
        <f>SUM(BaseHoras[[#This Row],[Out/2019]:[Dez/2019]])</f>
        <v>0</v>
      </c>
    </row>
    <row r="855" spans="1:23">
      <c r="A855" t="s">
        <v>151</v>
      </c>
      <c r="B855" t="s">
        <v>168</v>
      </c>
      <c r="C855" t="s">
        <v>356</v>
      </c>
      <c r="D855" t="s">
        <v>30</v>
      </c>
      <c r="E855" t="s">
        <v>192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s="28">
        <v>0</v>
      </c>
      <c r="N855" s="28">
        <v>87.974506334080914</v>
      </c>
      <c r="O855">
        <v>0</v>
      </c>
      <c r="P855">
        <v>158.76342836610826</v>
      </c>
      <c r="Q855">
        <v>792.5767238078688</v>
      </c>
      <c r="R855">
        <v>0</v>
      </c>
      <c r="S855" s="28">
        <v>1039.3146585080581</v>
      </c>
      <c r="T855" s="29">
        <f>SUM(BaseHoras[[#This Row],[Jan/2019]:[Mar/2019]])</f>
        <v>0</v>
      </c>
      <c r="U855" s="29">
        <f>SUM(BaseHoras[[#This Row],[Abr/2019]:[Jun/2019]])</f>
        <v>0</v>
      </c>
      <c r="V855" s="29">
        <f>SUM(BaseHoras[[#This Row],[Jul/2019]:[Set/2019]])</f>
        <v>87.974506334080914</v>
      </c>
      <c r="W855" s="29">
        <f>SUM(BaseHoras[[#This Row],[Out/2019]:[Dez/2019]])</f>
        <v>951.340152173977</v>
      </c>
    </row>
    <row r="856" spans="1:23">
      <c r="A856" t="s">
        <v>151</v>
      </c>
      <c r="B856" t="s">
        <v>168</v>
      </c>
      <c r="C856" t="s">
        <v>356</v>
      </c>
      <c r="D856" t="s">
        <v>35</v>
      </c>
      <c r="E856" t="s">
        <v>192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89.121942934425078</v>
      </c>
      <c r="M856" s="28">
        <v>113.69814061677013</v>
      </c>
      <c r="N856" s="28">
        <v>85.333426152865627</v>
      </c>
      <c r="O856">
        <v>22.629354522168047</v>
      </c>
      <c r="P856">
        <v>111.44120411914298</v>
      </c>
      <c r="Q856">
        <v>0</v>
      </c>
      <c r="R856">
        <v>0</v>
      </c>
      <c r="S856" s="28">
        <v>422.2240683453719</v>
      </c>
      <c r="T856" s="29">
        <f>SUM(BaseHoras[[#This Row],[Jan/2019]:[Mar/2019]])</f>
        <v>0</v>
      </c>
      <c r="U856" s="29">
        <f>SUM(BaseHoras[[#This Row],[Abr/2019]:[Jun/2019]])</f>
        <v>0</v>
      </c>
      <c r="V856" s="29">
        <f>SUM(BaseHoras[[#This Row],[Jul/2019]:[Set/2019]])</f>
        <v>288.15350970406087</v>
      </c>
      <c r="W856" s="29">
        <f>SUM(BaseHoras[[#This Row],[Out/2019]:[Dez/2019]])</f>
        <v>134.07055864131104</v>
      </c>
    </row>
    <row r="857" spans="1:23">
      <c r="A857" t="s">
        <v>151</v>
      </c>
      <c r="B857" t="s">
        <v>168</v>
      </c>
      <c r="C857" t="s">
        <v>356</v>
      </c>
      <c r="D857" t="s">
        <v>36</v>
      </c>
      <c r="E857" t="s">
        <v>192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s="28">
        <v>0</v>
      </c>
      <c r="N857" s="28">
        <v>0</v>
      </c>
      <c r="O857">
        <v>0</v>
      </c>
      <c r="P857">
        <v>0</v>
      </c>
      <c r="Q857">
        <v>208.30794055153416</v>
      </c>
      <c r="R857">
        <v>0</v>
      </c>
      <c r="S857" s="28">
        <v>208.30794055153416</v>
      </c>
      <c r="T857" s="29">
        <f>SUM(BaseHoras[[#This Row],[Jan/2019]:[Mar/2019]])</f>
        <v>0</v>
      </c>
      <c r="U857" s="29">
        <f>SUM(BaseHoras[[#This Row],[Abr/2019]:[Jun/2019]])</f>
        <v>0</v>
      </c>
      <c r="V857" s="29">
        <f>SUM(BaseHoras[[#This Row],[Jul/2019]:[Set/2019]])</f>
        <v>0</v>
      </c>
      <c r="W857" s="29">
        <f>SUM(BaseHoras[[#This Row],[Out/2019]:[Dez/2019]])</f>
        <v>208.30794055153416</v>
      </c>
    </row>
    <row r="858" spans="1:23">
      <c r="A858" t="s">
        <v>151</v>
      </c>
      <c r="B858" t="s">
        <v>168</v>
      </c>
      <c r="C858" t="s">
        <v>356</v>
      </c>
      <c r="D858" t="s">
        <v>277</v>
      </c>
      <c r="E858" t="s">
        <v>192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s="28">
        <v>0</v>
      </c>
      <c r="N858" s="28">
        <v>0</v>
      </c>
      <c r="O858">
        <v>0</v>
      </c>
      <c r="P858">
        <v>0</v>
      </c>
      <c r="Q858">
        <v>1367.5397504767893</v>
      </c>
      <c r="R858">
        <v>0</v>
      </c>
      <c r="S858" s="28">
        <v>1367.5397504767893</v>
      </c>
      <c r="T858" s="29">
        <f>SUM(BaseHoras[[#This Row],[Jan/2019]:[Mar/2019]])</f>
        <v>0</v>
      </c>
      <c r="U858" s="29">
        <f>SUM(BaseHoras[[#This Row],[Abr/2019]:[Jun/2019]])</f>
        <v>0</v>
      </c>
      <c r="V858" s="29">
        <f>SUM(BaseHoras[[#This Row],[Jul/2019]:[Set/2019]])</f>
        <v>0</v>
      </c>
      <c r="W858" s="29">
        <f>SUM(BaseHoras[[#This Row],[Out/2019]:[Dez/2019]])</f>
        <v>1367.5397504767893</v>
      </c>
    </row>
    <row r="859" spans="1:23">
      <c r="A859" t="s">
        <v>151</v>
      </c>
      <c r="B859" t="s">
        <v>168</v>
      </c>
      <c r="C859" t="s">
        <v>356</v>
      </c>
      <c r="D859" t="s">
        <v>49</v>
      </c>
      <c r="E859" t="s">
        <v>192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s="28">
        <v>14.78049183004404</v>
      </c>
      <c r="N859" s="28">
        <v>248.14565481265086</v>
      </c>
      <c r="O859">
        <v>11.028785877292652</v>
      </c>
      <c r="P859">
        <v>104.84578257639269</v>
      </c>
      <c r="Q859">
        <v>1017.2927876369746</v>
      </c>
      <c r="R859">
        <v>0</v>
      </c>
      <c r="S859" s="28">
        <v>1396.0935027333549</v>
      </c>
      <c r="T859" s="29">
        <f>SUM(BaseHoras[[#This Row],[Jan/2019]:[Mar/2019]])</f>
        <v>0</v>
      </c>
      <c r="U859" s="29">
        <f>SUM(BaseHoras[[#This Row],[Abr/2019]:[Jun/2019]])</f>
        <v>0</v>
      </c>
      <c r="V859" s="29">
        <f>SUM(BaseHoras[[#This Row],[Jul/2019]:[Set/2019]])</f>
        <v>262.9261466426949</v>
      </c>
      <c r="W859" s="29">
        <f>SUM(BaseHoras[[#This Row],[Out/2019]:[Dez/2019]])</f>
        <v>1133.16735609066</v>
      </c>
    </row>
    <row r="860" spans="1:23">
      <c r="A860" t="s">
        <v>151</v>
      </c>
      <c r="B860" t="s">
        <v>168</v>
      </c>
      <c r="C860" t="s">
        <v>356</v>
      </c>
      <c r="D860" t="s">
        <v>74</v>
      </c>
      <c r="E860" t="s">
        <v>192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s="28">
        <v>82.914244156218601</v>
      </c>
      <c r="N860" s="28">
        <v>97.091013472291223</v>
      </c>
      <c r="O860">
        <v>62631.839706715269</v>
      </c>
      <c r="P860">
        <v>0</v>
      </c>
      <c r="Q860">
        <v>0</v>
      </c>
      <c r="R860">
        <v>0</v>
      </c>
      <c r="S860" s="28">
        <v>62811.844964343778</v>
      </c>
      <c r="T860" s="29">
        <f>SUM(BaseHoras[[#This Row],[Jan/2019]:[Mar/2019]])</f>
        <v>0</v>
      </c>
      <c r="U860" s="29">
        <f>SUM(BaseHoras[[#This Row],[Abr/2019]:[Jun/2019]])</f>
        <v>0</v>
      </c>
      <c r="V860" s="29">
        <f>SUM(BaseHoras[[#This Row],[Jul/2019]:[Set/2019]])</f>
        <v>180.00525762850981</v>
      </c>
      <c r="W860" s="29">
        <f>SUM(BaseHoras[[#This Row],[Out/2019]:[Dez/2019]])</f>
        <v>62631.839706715269</v>
      </c>
    </row>
    <row r="861" spans="1:23">
      <c r="A861" t="s">
        <v>151</v>
      </c>
      <c r="B861" t="s">
        <v>168</v>
      </c>
      <c r="C861" t="s">
        <v>356</v>
      </c>
      <c r="D861" t="s">
        <v>87</v>
      </c>
      <c r="E861" t="s">
        <v>192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46.992272320356527</v>
      </c>
      <c r="L861">
        <v>30.526384023465553</v>
      </c>
      <c r="M861" s="28">
        <v>11.263554664088501</v>
      </c>
      <c r="N861" s="28">
        <v>0</v>
      </c>
      <c r="O861">
        <v>273.78893516035259</v>
      </c>
      <c r="P861">
        <v>677.43599995729699</v>
      </c>
      <c r="Q861">
        <v>6.8155829571028281</v>
      </c>
      <c r="R861">
        <v>0</v>
      </c>
      <c r="S861" s="28">
        <v>1046.822729082663</v>
      </c>
      <c r="T861" s="29">
        <f>SUM(BaseHoras[[#This Row],[Jan/2019]:[Mar/2019]])</f>
        <v>0</v>
      </c>
      <c r="U861" s="29">
        <f>SUM(BaseHoras[[#This Row],[Abr/2019]:[Jun/2019]])</f>
        <v>46.992272320356527</v>
      </c>
      <c r="V861" s="29">
        <f>SUM(BaseHoras[[#This Row],[Jul/2019]:[Set/2019]])</f>
        <v>41.789938687554056</v>
      </c>
      <c r="W861" s="29">
        <f>SUM(BaseHoras[[#This Row],[Out/2019]:[Dez/2019]])</f>
        <v>958.04051807475241</v>
      </c>
    </row>
    <row r="862" spans="1:23">
      <c r="A862" t="s">
        <v>151</v>
      </c>
      <c r="B862" t="s">
        <v>168</v>
      </c>
      <c r="C862" t="s">
        <v>356</v>
      </c>
      <c r="D862" t="s">
        <v>97</v>
      </c>
      <c r="E862" t="s">
        <v>192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s="28">
        <v>0</v>
      </c>
      <c r="N862" s="28">
        <v>0</v>
      </c>
      <c r="O862">
        <v>18.292902793856449</v>
      </c>
      <c r="P862">
        <v>0</v>
      </c>
      <c r="Q862">
        <v>3843.5135218065661</v>
      </c>
      <c r="R862">
        <v>0</v>
      </c>
      <c r="S862" s="28">
        <v>3861.8064246004224</v>
      </c>
      <c r="T862" s="29">
        <f>SUM(BaseHoras[[#This Row],[Jan/2019]:[Mar/2019]])</f>
        <v>0</v>
      </c>
      <c r="U862" s="29">
        <f>SUM(BaseHoras[[#This Row],[Abr/2019]:[Jun/2019]])</f>
        <v>0</v>
      </c>
      <c r="V862" s="29">
        <f>SUM(BaseHoras[[#This Row],[Jul/2019]:[Set/2019]])</f>
        <v>0</v>
      </c>
      <c r="W862" s="29">
        <f>SUM(BaseHoras[[#This Row],[Out/2019]:[Dez/2019]])</f>
        <v>3861.8064246004224</v>
      </c>
    </row>
    <row r="863" spans="1:23">
      <c r="A863" t="s">
        <v>151</v>
      </c>
      <c r="B863" t="s">
        <v>168</v>
      </c>
      <c r="C863" t="s">
        <v>356</v>
      </c>
      <c r="D863" t="s">
        <v>101</v>
      </c>
      <c r="E863" t="s">
        <v>192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s="28">
        <v>0</v>
      </c>
      <c r="N863" s="28">
        <v>0</v>
      </c>
      <c r="O863">
        <v>0</v>
      </c>
      <c r="P863">
        <v>213.99106818433737</v>
      </c>
      <c r="Q863">
        <v>0</v>
      </c>
      <c r="R863">
        <v>0</v>
      </c>
      <c r="S863" s="28">
        <v>213.99106818433737</v>
      </c>
      <c r="T863" s="29">
        <f>SUM(BaseHoras[[#This Row],[Jan/2019]:[Mar/2019]])</f>
        <v>0</v>
      </c>
      <c r="U863" s="29">
        <f>SUM(BaseHoras[[#This Row],[Abr/2019]:[Jun/2019]])</f>
        <v>0</v>
      </c>
      <c r="V863" s="29">
        <f>SUM(BaseHoras[[#This Row],[Jul/2019]:[Set/2019]])</f>
        <v>0</v>
      </c>
      <c r="W863" s="29">
        <f>SUM(BaseHoras[[#This Row],[Out/2019]:[Dez/2019]])</f>
        <v>213.99106818433737</v>
      </c>
    </row>
    <row r="864" spans="1:23">
      <c r="A864" t="s">
        <v>151</v>
      </c>
      <c r="B864" t="s">
        <v>168</v>
      </c>
      <c r="C864" t="s">
        <v>356</v>
      </c>
      <c r="D864" t="s">
        <v>107</v>
      </c>
      <c r="E864" t="s">
        <v>192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s="28">
        <v>0</v>
      </c>
      <c r="N864" s="28">
        <v>0</v>
      </c>
      <c r="O864">
        <v>0</v>
      </c>
      <c r="P864">
        <v>0</v>
      </c>
      <c r="Q864">
        <v>21.905375284762449</v>
      </c>
      <c r="R864">
        <v>0</v>
      </c>
      <c r="S864" s="28">
        <v>21.905375284762449</v>
      </c>
      <c r="T864" s="29">
        <f>SUM(BaseHoras[[#This Row],[Jan/2019]:[Mar/2019]])</f>
        <v>0</v>
      </c>
      <c r="U864" s="29">
        <f>SUM(BaseHoras[[#This Row],[Abr/2019]:[Jun/2019]])</f>
        <v>0</v>
      </c>
      <c r="V864" s="29">
        <f>SUM(BaseHoras[[#This Row],[Jul/2019]:[Set/2019]])</f>
        <v>0</v>
      </c>
      <c r="W864" s="29">
        <f>SUM(BaseHoras[[#This Row],[Out/2019]:[Dez/2019]])</f>
        <v>21.905375284762449</v>
      </c>
    </row>
    <row r="865" spans="1:23">
      <c r="A865" t="s">
        <v>151</v>
      </c>
      <c r="B865" t="s">
        <v>168</v>
      </c>
      <c r="C865" t="s">
        <v>356</v>
      </c>
      <c r="D865" t="s">
        <v>153</v>
      </c>
      <c r="E865" t="s">
        <v>192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s="28">
        <v>0</v>
      </c>
      <c r="N865" s="28">
        <v>0</v>
      </c>
      <c r="O865">
        <v>0</v>
      </c>
      <c r="P865">
        <v>0</v>
      </c>
      <c r="Q865">
        <v>8630.88271376798</v>
      </c>
      <c r="R865">
        <v>0</v>
      </c>
      <c r="S865" s="28">
        <v>8630.88271376798</v>
      </c>
      <c r="T865" s="29">
        <f>SUM(BaseHoras[[#This Row],[Jan/2019]:[Mar/2019]])</f>
        <v>0</v>
      </c>
      <c r="U865" s="29">
        <f>SUM(BaseHoras[[#This Row],[Abr/2019]:[Jun/2019]])</f>
        <v>0</v>
      </c>
      <c r="V865" s="29">
        <f>SUM(BaseHoras[[#This Row],[Jul/2019]:[Set/2019]])</f>
        <v>0</v>
      </c>
      <c r="W865" s="29">
        <f>SUM(BaseHoras[[#This Row],[Out/2019]:[Dez/2019]])</f>
        <v>8630.88271376798</v>
      </c>
    </row>
    <row r="866" spans="1:23">
      <c r="A866" t="s">
        <v>151</v>
      </c>
      <c r="B866" t="s">
        <v>168</v>
      </c>
      <c r="C866" t="s">
        <v>356</v>
      </c>
      <c r="D866" t="s">
        <v>138</v>
      </c>
      <c r="E866" t="s">
        <v>192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214.67654341796796</v>
      </c>
      <c r="L866">
        <v>202.0281438793065</v>
      </c>
      <c r="M866" s="28">
        <v>0</v>
      </c>
      <c r="N866" s="28">
        <v>0</v>
      </c>
      <c r="O866">
        <v>26.517140376424265</v>
      </c>
      <c r="P866">
        <v>92.443031712494857</v>
      </c>
      <c r="Q866">
        <v>637.57312119420681</v>
      </c>
      <c r="R866">
        <v>0</v>
      </c>
      <c r="S866" s="28">
        <v>1173.2379805804003</v>
      </c>
      <c r="T866" s="29">
        <f>SUM(BaseHoras[[#This Row],[Jan/2019]:[Mar/2019]])</f>
        <v>0</v>
      </c>
      <c r="U866" s="29">
        <f>SUM(BaseHoras[[#This Row],[Abr/2019]:[Jun/2019]])</f>
        <v>214.67654341796796</v>
      </c>
      <c r="V866" s="29">
        <f>SUM(BaseHoras[[#This Row],[Jul/2019]:[Set/2019]])</f>
        <v>202.0281438793065</v>
      </c>
      <c r="W866" s="29">
        <f>SUM(BaseHoras[[#This Row],[Out/2019]:[Dez/2019]])</f>
        <v>756.53329328312589</v>
      </c>
    </row>
    <row r="867" spans="1:23">
      <c r="A867" t="s">
        <v>151</v>
      </c>
      <c r="B867" t="s">
        <v>168</v>
      </c>
      <c r="C867" t="s">
        <v>357</v>
      </c>
      <c r="D867" t="s">
        <v>41</v>
      </c>
      <c r="E867" t="s">
        <v>358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s="28">
        <v>0</v>
      </c>
      <c r="N867" s="28">
        <v>0</v>
      </c>
      <c r="O867">
        <v>0</v>
      </c>
      <c r="P867">
        <v>0</v>
      </c>
      <c r="Q867">
        <v>7164.1633423026733</v>
      </c>
      <c r="R867">
        <v>0</v>
      </c>
      <c r="S867" s="28">
        <v>7164.1633423026733</v>
      </c>
      <c r="T867" s="29">
        <f>SUM(BaseHoras[[#This Row],[Jan/2019]:[Mar/2019]])</f>
        <v>0</v>
      </c>
      <c r="U867" s="29">
        <f>SUM(BaseHoras[[#This Row],[Abr/2019]:[Jun/2019]])</f>
        <v>0</v>
      </c>
      <c r="V867" s="29">
        <f>SUM(BaseHoras[[#This Row],[Jul/2019]:[Set/2019]])</f>
        <v>0</v>
      </c>
      <c r="W867" s="29">
        <f>SUM(BaseHoras[[#This Row],[Out/2019]:[Dez/2019]])</f>
        <v>7164.1633423026733</v>
      </c>
    </row>
    <row r="868" spans="1:23">
      <c r="A868" t="s">
        <v>151</v>
      </c>
      <c r="B868" t="s">
        <v>168</v>
      </c>
      <c r="C868" t="s">
        <v>357</v>
      </c>
      <c r="D868" t="s">
        <v>49</v>
      </c>
      <c r="E868" t="s">
        <v>358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s="28">
        <v>0</v>
      </c>
      <c r="N868" s="28">
        <v>0</v>
      </c>
      <c r="O868">
        <v>0</v>
      </c>
      <c r="P868">
        <v>0</v>
      </c>
      <c r="Q868">
        <v>14.642535571904602</v>
      </c>
      <c r="R868">
        <v>0</v>
      </c>
      <c r="S868" s="28">
        <v>14.642535571904602</v>
      </c>
      <c r="T868" s="29">
        <f>SUM(BaseHoras[[#This Row],[Jan/2019]:[Mar/2019]])</f>
        <v>0</v>
      </c>
      <c r="U868" s="29">
        <f>SUM(BaseHoras[[#This Row],[Abr/2019]:[Jun/2019]])</f>
        <v>0</v>
      </c>
      <c r="V868" s="29">
        <f>SUM(BaseHoras[[#This Row],[Jul/2019]:[Set/2019]])</f>
        <v>0</v>
      </c>
      <c r="W868" s="29">
        <f>SUM(BaseHoras[[#This Row],[Out/2019]:[Dez/2019]])</f>
        <v>14.642535571904602</v>
      </c>
    </row>
    <row r="869" spans="1:23">
      <c r="A869" t="s">
        <v>151</v>
      </c>
      <c r="B869" t="s">
        <v>168</v>
      </c>
      <c r="C869" t="s">
        <v>357</v>
      </c>
      <c r="D869" t="s">
        <v>64</v>
      </c>
      <c r="E869" t="s">
        <v>358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s="28">
        <v>0</v>
      </c>
      <c r="N869" s="28">
        <v>0</v>
      </c>
      <c r="O869">
        <v>0</v>
      </c>
      <c r="P869">
        <v>0</v>
      </c>
      <c r="Q869">
        <v>75.375800040830853</v>
      </c>
      <c r="R869">
        <v>0</v>
      </c>
      <c r="S869" s="28">
        <v>75.375800040830853</v>
      </c>
      <c r="T869" s="29">
        <f>SUM(BaseHoras[[#This Row],[Jan/2019]:[Mar/2019]])</f>
        <v>0</v>
      </c>
      <c r="U869" s="29">
        <f>SUM(BaseHoras[[#This Row],[Abr/2019]:[Jun/2019]])</f>
        <v>0</v>
      </c>
      <c r="V869" s="29">
        <f>SUM(BaseHoras[[#This Row],[Jul/2019]:[Set/2019]])</f>
        <v>0</v>
      </c>
      <c r="W869" s="29">
        <f>SUM(BaseHoras[[#This Row],[Out/2019]:[Dez/2019]])</f>
        <v>75.375800040830853</v>
      </c>
    </row>
    <row r="870" spans="1:23">
      <c r="A870" t="s">
        <v>151</v>
      </c>
      <c r="B870" t="s">
        <v>168</v>
      </c>
      <c r="C870" t="s">
        <v>357</v>
      </c>
      <c r="D870" t="s">
        <v>67</v>
      </c>
      <c r="E870" t="s">
        <v>358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s="28">
        <v>0</v>
      </c>
      <c r="N870" s="28">
        <v>0</v>
      </c>
      <c r="O870">
        <v>0</v>
      </c>
      <c r="P870">
        <v>0</v>
      </c>
      <c r="Q870">
        <v>191.20769332405254</v>
      </c>
      <c r="R870">
        <v>0</v>
      </c>
      <c r="S870" s="28">
        <v>191.20769332405254</v>
      </c>
      <c r="T870" s="29">
        <f>SUM(BaseHoras[[#This Row],[Jan/2019]:[Mar/2019]])</f>
        <v>0</v>
      </c>
      <c r="U870" s="29">
        <f>SUM(BaseHoras[[#This Row],[Abr/2019]:[Jun/2019]])</f>
        <v>0</v>
      </c>
      <c r="V870" s="29">
        <f>SUM(BaseHoras[[#This Row],[Jul/2019]:[Set/2019]])</f>
        <v>0</v>
      </c>
      <c r="W870" s="29">
        <f>SUM(BaseHoras[[#This Row],[Out/2019]:[Dez/2019]])</f>
        <v>191.20769332405254</v>
      </c>
    </row>
    <row r="871" spans="1:23">
      <c r="A871" t="s">
        <v>151</v>
      </c>
      <c r="B871" t="s">
        <v>168</v>
      </c>
      <c r="C871" t="s">
        <v>357</v>
      </c>
      <c r="D871" t="s">
        <v>87</v>
      </c>
      <c r="E871" t="s">
        <v>358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s="28">
        <v>0</v>
      </c>
      <c r="N871" s="28">
        <v>0</v>
      </c>
      <c r="O871">
        <v>0</v>
      </c>
      <c r="P871">
        <v>0</v>
      </c>
      <c r="Q871">
        <v>75.273960918683869</v>
      </c>
      <c r="R871">
        <v>0</v>
      </c>
      <c r="S871" s="28">
        <v>75.273960918683869</v>
      </c>
      <c r="T871" s="29">
        <f>SUM(BaseHoras[[#This Row],[Jan/2019]:[Mar/2019]])</f>
        <v>0</v>
      </c>
      <c r="U871" s="29">
        <f>SUM(BaseHoras[[#This Row],[Abr/2019]:[Jun/2019]])</f>
        <v>0</v>
      </c>
      <c r="V871" s="29">
        <f>SUM(BaseHoras[[#This Row],[Jul/2019]:[Set/2019]])</f>
        <v>0</v>
      </c>
      <c r="W871" s="29">
        <f>SUM(BaseHoras[[#This Row],[Out/2019]:[Dez/2019]])</f>
        <v>75.273960918683869</v>
      </c>
    </row>
    <row r="872" spans="1:23">
      <c r="A872" t="s">
        <v>151</v>
      </c>
      <c r="B872" t="s">
        <v>168</v>
      </c>
      <c r="C872" t="s">
        <v>357</v>
      </c>
      <c r="D872" t="s">
        <v>100</v>
      </c>
      <c r="E872" t="s">
        <v>358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s="28">
        <v>0</v>
      </c>
      <c r="N872" s="28">
        <v>0</v>
      </c>
      <c r="O872">
        <v>0</v>
      </c>
      <c r="P872">
        <v>0</v>
      </c>
      <c r="Q872">
        <v>31.625691630925221</v>
      </c>
      <c r="R872">
        <v>0</v>
      </c>
      <c r="S872" s="28">
        <v>31.625691630925221</v>
      </c>
      <c r="T872" s="29">
        <f>SUM(BaseHoras[[#This Row],[Jan/2019]:[Mar/2019]])</f>
        <v>0</v>
      </c>
      <c r="U872" s="29">
        <f>SUM(BaseHoras[[#This Row],[Abr/2019]:[Jun/2019]])</f>
        <v>0</v>
      </c>
      <c r="V872" s="29">
        <f>SUM(BaseHoras[[#This Row],[Jul/2019]:[Set/2019]])</f>
        <v>0</v>
      </c>
      <c r="W872" s="29">
        <f>SUM(BaseHoras[[#This Row],[Out/2019]:[Dez/2019]])</f>
        <v>31.625691630925221</v>
      </c>
    </row>
    <row r="873" spans="1:23">
      <c r="A873" t="s">
        <v>151</v>
      </c>
      <c r="B873" t="s">
        <v>168</v>
      </c>
      <c r="C873" t="s">
        <v>357</v>
      </c>
      <c r="D873" t="s">
        <v>138</v>
      </c>
      <c r="E873" t="s">
        <v>358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s="28">
        <v>0</v>
      </c>
      <c r="N873" s="28">
        <v>0</v>
      </c>
      <c r="O873">
        <v>0</v>
      </c>
      <c r="P873">
        <v>0</v>
      </c>
      <c r="Q873">
        <v>74.17709899600338</v>
      </c>
      <c r="R873">
        <v>0</v>
      </c>
      <c r="S873" s="28">
        <v>74.17709899600338</v>
      </c>
      <c r="T873" s="29">
        <f>SUM(BaseHoras[[#This Row],[Jan/2019]:[Mar/2019]])</f>
        <v>0</v>
      </c>
      <c r="U873" s="29">
        <f>SUM(BaseHoras[[#This Row],[Abr/2019]:[Jun/2019]])</f>
        <v>0</v>
      </c>
      <c r="V873" s="29">
        <f>SUM(BaseHoras[[#This Row],[Jul/2019]:[Set/2019]])</f>
        <v>0</v>
      </c>
      <c r="W873" s="29">
        <f>SUM(BaseHoras[[#This Row],[Out/2019]:[Dez/2019]])</f>
        <v>74.17709899600338</v>
      </c>
    </row>
    <row r="874" spans="1:23">
      <c r="A874" t="s">
        <v>151</v>
      </c>
      <c r="B874" t="s">
        <v>168</v>
      </c>
      <c r="C874" t="s">
        <v>357</v>
      </c>
      <c r="D874" t="s">
        <v>147</v>
      </c>
      <c r="E874" t="s">
        <v>358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s="28">
        <v>0</v>
      </c>
      <c r="N874" s="28">
        <v>0</v>
      </c>
      <c r="O874">
        <v>0</v>
      </c>
      <c r="P874">
        <v>0</v>
      </c>
      <c r="Q874">
        <v>361.89100972177636</v>
      </c>
      <c r="R874">
        <v>0</v>
      </c>
      <c r="S874" s="28">
        <v>361.89100972177636</v>
      </c>
      <c r="T874" s="29">
        <f>SUM(BaseHoras[[#This Row],[Jan/2019]:[Mar/2019]])</f>
        <v>0</v>
      </c>
      <c r="U874" s="29">
        <f>SUM(BaseHoras[[#This Row],[Abr/2019]:[Jun/2019]])</f>
        <v>0</v>
      </c>
      <c r="V874" s="29">
        <f>SUM(BaseHoras[[#This Row],[Jul/2019]:[Set/2019]])</f>
        <v>0</v>
      </c>
      <c r="W874" s="29">
        <f>SUM(BaseHoras[[#This Row],[Out/2019]:[Dez/2019]])</f>
        <v>361.89100972177636</v>
      </c>
    </row>
    <row r="875" spans="1:23">
      <c r="A875" t="s">
        <v>151</v>
      </c>
      <c r="B875" t="s">
        <v>168</v>
      </c>
      <c r="C875" t="s">
        <v>359</v>
      </c>
      <c r="D875" t="s">
        <v>30</v>
      </c>
      <c r="E875" t="s">
        <v>192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s="28">
        <v>0</v>
      </c>
      <c r="N875" s="28">
        <v>0</v>
      </c>
      <c r="O875">
        <v>0</v>
      </c>
      <c r="P875">
        <v>0</v>
      </c>
      <c r="Q875">
        <v>4685.682447468469</v>
      </c>
      <c r="R875">
        <v>0</v>
      </c>
      <c r="S875" s="28">
        <v>4685.682447468469</v>
      </c>
      <c r="T875" s="29">
        <f>SUM(BaseHoras[[#This Row],[Jan/2019]:[Mar/2019]])</f>
        <v>0</v>
      </c>
      <c r="U875" s="29">
        <f>SUM(BaseHoras[[#This Row],[Abr/2019]:[Jun/2019]])</f>
        <v>0</v>
      </c>
      <c r="V875" s="29">
        <f>SUM(BaseHoras[[#This Row],[Jul/2019]:[Set/2019]])</f>
        <v>0</v>
      </c>
      <c r="W875" s="29">
        <f>SUM(BaseHoras[[#This Row],[Out/2019]:[Dez/2019]])</f>
        <v>4685.682447468469</v>
      </c>
    </row>
    <row r="876" spans="1:23">
      <c r="A876" t="s">
        <v>151</v>
      </c>
      <c r="B876" t="s">
        <v>168</v>
      </c>
      <c r="C876" t="s">
        <v>359</v>
      </c>
      <c r="D876" t="s">
        <v>31</v>
      </c>
      <c r="E876" t="s">
        <v>192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s="28">
        <v>0</v>
      </c>
      <c r="N876" s="28">
        <v>0</v>
      </c>
      <c r="O876">
        <v>0</v>
      </c>
      <c r="P876">
        <v>91.467399992634213</v>
      </c>
      <c r="Q876">
        <v>50.933675839081914</v>
      </c>
      <c r="R876">
        <v>0</v>
      </c>
      <c r="S876" s="28">
        <v>142.40107583171613</v>
      </c>
      <c r="T876" s="29">
        <f>SUM(BaseHoras[[#This Row],[Jan/2019]:[Mar/2019]])</f>
        <v>0</v>
      </c>
      <c r="U876" s="29">
        <f>SUM(BaseHoras[[#This Row],[Abr/2019]:[Jun/2019]])</f>
        <v>0</v>
      </c>
      <c r="V876" s="29">
        <f>SUM(BaseHoras[[#This Row],[Jul/2019]:[Set/2019]])</f>
        <v>0</v>
      </c>
      <c r="W876" s="29">
        <f>SUM(BaseHoras[[#This Row],[Out/2019]:[Dez/2019]])</f>
        <v>142.40107583171613</v>
      </c>
    </row>
    <row r="877" spans="1:23">
      <c r="A877" t="s">
        <v>151</v>
      </c>
      <c r="B877" t="s">
        <v>168</v>
      </c>
      <c r="C877" t="s">
        <v>359</v>
      </c>
      <c r="D877" t="s">
        <v>35</v>
      </c>
      <c r="E877" t="s">
        <v>192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127.53767842300248</v>
      </c>
      <c r="M877" s="28">
        <v>0</v>
      </c>
      <c r="N877" s="28">
        <v>242.35209915939893</v>
      </c>
      <c r="O877">
        <v>0</v>
      </c>
      <c r="P877">
        <v>9.5870456966581177</v>
      </c>
      <c r="Q877">
        <v>27.723202199245968</v>
      </c>
      <c r="R877">
        <v>0</v>
      </c>
      <c r="S877" s="28">
        <v>407.20002547830546</v>
      </c>
      <c r="T877" s="29">
        <f>SUM(BaseHoras[[#This Row],[Jan/2019]:[Mar/2019]])</f>
        <v>0</v>
      </c>
      <c r="U877" s="29">
        <f>SUM(BaseHoras[[#This Row],[Abr/2019]:[Jun/2019]])</f>
        <v>0</v>
      </c>
      <c r="V877" s="29">
        <f>SUM(BaseHoras[[#This Row],[Jul/2019]:[Set/2019]])</f>
        <v>369.88977758240139</v>
      </c>
      <c r="W877" s="29">
        <f>SUM(BaseHoras[[#This Row],[Out/2019]:[Dez/2019]])</f>
        <v>37.310247895904084</v>
      </c>
    </row>
    <row r="878" spans="1:23">
      <c r="A878" t="s">
        <v>151</v>
      </c>
      <c r="B878" t="s">
        <v>168</v>
      </c>
      <c r="C878" t="s">
        <v>359</v>
      </c>
      <c r="D878" t="s">
        <v>277</v>
      </c>
      <c r="E878" t="s">
        <v>192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s="28">
        <v>0</v>
      </c>
      <c r="N878" s="28">
        <v>0</v>
      </c>
      <c r="O878">
        <v>0</v>
      </c>
      <c r="P878">
        <v>166.96864785227208</v>
      </c>
      <c r="Q878">
        <v>187.37678629087728</v>
      </c>
      <c r="R878">
        <v>0</v>
      </c>
      <c r="S878" s="28">
        <v>354.34543414314936</v>
      </c>
      <c r="T878" s="29">
        <f>SUM(BaseHoras[[#This Row],[Jan/2019]:[Mar/2019]])</f>
        <v>0</v>
      </c>
      <c r="U878" s="29">
        <f>SUM(BaseHoras[[#This Row],[Abr/2019]:[Jun/2019]])</f>
        <v>0</v>
      </c>
      <c r="V878" s="29">
        <f>SUM(BaseHoras[[#This Row],[Jul/2019]:[Set/2019]])</f>
        <v>0</v>
      </c>
      <c r="W878" s="29">
        <f>SUM(BaseHoras[[#This Row],[Out/2019]:[Dez/2019]])</f>
        <v>354.34543414314936</v>
      </c>
    </row>
    <row r="879" spans="1:23">
      <c r="A879" t="s">
        <v>151</v>
      </c>
      <c r="B879" t="s">
        <v>168</v>
      </c>
      <c r="C879" t="s">
        <v>359</v>
      </c>
      <c r="D879" t="s">
        <v>299</v>
      </c>
      <c r="E879" t="s">
        <v>192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s="28">
        <v>0</v>
      </c>
      <c r="N879" s="28">
        <v>0</v>
      </c>
      <c r="O879">
        <v>0</v>
      </c>
      <c r="P879">
        <v>104.66919988424895</v>
      </c>
      <c r="Q879">
        <v>75.623414135069666</v>
      </c>
      <c r="R879">
        <v>0</v>
      </c>
      <c r="S879" s="28">
        <v>180.29261401931862</v>
      </c>
      <c r="T879" s="29">
        <f>SUM(BaseHoras[[#This Row],[Jan/2019]:[Mar/2019]])</f>
        <v>0</v>
      </c>
      <c r="U879" s="29">
        <f>SUM(BaseHoras[[#This Row],[Abr/2019]:[Jun/2019]])</f>
        <v>0</v>
      </c>
      <c r="V879" s="29">
        <f>SUM(BaseHoras[[#This Row],[Jul/2019]:[Set/2019]])</f>
        <v>0</v>
      </c>
      <c r="W879" s="29">
        <f>SUM(BaseHoras[[#This Row],[Out/2019]:[Dez/2019]])</f>
        <v>180.29261401931862</v>
      </c>
    </row>
    <row r="880" spans="1:23">
      <c r="A880" t="s">
        <v>151</v>
      </c>
      <c r="B880" t="s">
        <v>168</v>
      </c>
      <c r="C880" t="s">
        <v>359</v>
      </c>
      <c r="D880" t="s">
        <v>49</v>
      </c>
      <c r="E880" t="s">
        <v>192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s="28">
        <v>110.66823446107213</v>
      </c>
      <c r="N880" s="28">
        <v>110.00124957668811</v>
      </c>
      <c r="O880">
        <v>36.633686781944149</v>
      </c>
      <c r="P880">
        <v>0</v>
      </c>
      <c r="Q880">
        <v>17.462577401202999</v>
      </c>
      <c r="R880">
        <v>0</v>
      </c>
      <c r="S880" s="28">
        <v>274.76574822090743</v>
      </c>
      <c r="T880" s="29">
        <f>SUM(BaseHoras[[#This Row],[Jan/2019]:[Mar/2019]])</f>
        <v>0</v>
      </c>
      <c r="U880" s="29">
        <f>SUM(BaseHoras[[#This Row],[Abr/2019]:[Jun/2019]])</f>
        <v>0</v>
      </c>
      <c r="V880" s="29">
        <f>SUM(BaseHoras[[#This Row],[Jul/2019]:[Set/2019]])</f>
        <v>220.66948403776024</v>
      </c>
      <c r="W880" s="29">
        <f>SUM(BaseHoras[[#This Row],[Out/2019]:[Dez/2019]])</f>
        <v>54.096264183147149</v>
      </c>
    </row>
    <row r="881" spans="1:23">
      <c r="A881" t="s">
        <v>151</v>
      </c>
      <c r="B881" t="s">
        <v>168</v>
      </c>
      <c r="C881" t="s">
        <v>359</v>
      </c>
      <c r="D881" t="s">
        <v>279</v>
      </c>
      <c r="E881" t="s">
        <v>192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s="28">
        <v>0</v>
      </c>
      <c r="N881" s="28">
        <v>0</v>
      </c>
      <c r="O881">
        <v>0</v>
      </c>
      <c r="P881">
        <v>299.228287244218</v>
      </c>
      <c r="Q881">
        <v>24.63115943675195</v>
      </c>
      <c r="R881">
        <v>0</v>
      </c>
      <c r="S881" s="28">
        <v>323.85944668096994</v>
      </c>
      <c r="T881" s="29">
        <f>SUM(BaseHoras[[#This Row],[Jan/2019]:[Mar/2019]])</f>
        <v>0</v>
      </c>
      <c r="U881" s="29">
        <f>SUM(BaseHoras[[#This Row],[Abr/2019]:[Jun/2019]])</f>
        <v>0</v>
      </c>
      <c r="V881" s="29">
        <f>SUM(BaseHoras[[#This Row],[Jul/2019]:[Set/2019]])</f>
        <v>0</v>
      </c>
      <c r="W881" s="29">
        <f>SUM(BaseHoras[[#This Row],[Out/2019]:[Dez/2019]])</f>
        <v>323.85944668096994</v>
      </c>
    </row>
    <row r="882" spans="1:23">
      <c r="A882" t="s">
        <v>151</v>
      </c>
      <c r="B882" t="s">
        <v>168</v>
      </c>
      <c r="C882" t="s">
        <v>359</v>
      </c>
      <c r="D882" t="s">
        <v>64</v>
      </c>
      <c r="E882" t="s">
        <v>192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s="28">
        <v>528.4010675936961</v>
      </c>
      <c r="N882" s="28">
        <v>0</v>
      </c>
      <c r="O882">
        <v>0</v>
      </c>
      <c r="P882">
        <v>0</v>
      </c>
      <c r="Q882">
        <v>0</v>
      </c>
      <c r="R882">
        <v>0</v>
      </c>
      <c r="S882" s="28">
        <v>528.4010675936961</v>
      </c>
      <c r="T882" s="29">
        <f>SUM(BaseHoras[[#This Row],[Jan/2019]:[Mar/2019]])</f>
        <v>0</v>
      </c>
      <c r="U882" s="29">
        <f>SUM(BaseHoras[[#This Row],[Abr/2019]:[Jun/2019]])</f>
        <v>0</v>
      </c>
      <c r="V882" s="29">
        <f>SUM(BaseHoras[[#This Row],[Jul/2019]:[Set/2019]])</f>
        <v>528.4010675936961</v>
      </c>
      <c r="W882" s="29">
        <f>SUM(BaseHoras[[#This Row],[Out/2019]:[Dez/2019]])</f>
        <v>0</v>
      </c>
    </row>
    <row r="883" spans="1:23">
      <c r="A883" t="s">
        <v>151</v>
      </c>
      <c r="B883" t="s">
        <v>168</v>
      </c>
      <c r="C883" t="s">
        <v>359</v>
      </c>
      <c r="D883" t="s">
        <v>87</v>
      </c>
      <c r="E883" t="s">
        <v>192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s="28">
        <v>72.494695935538047</v>
      </c>
      <c r="N883" s="28">
        <v>21.139673063850282</v>
      </c>
      <c r="O883">
        <v>40.345458134633532</v>
      </c>
      <c r="P883">
        <v>0</v>
      </c>
      <c r="Q883">
        <v>25.287236011282126</v>
      </c>
      <c r="R883">
        <v>0</v>
      </c>
      <c r="S883" s="28">
        <v>159.26706314530398</v>
      </c>
      <c r="T883" s="29">
        <f>SUM(BaseHoras[[#This Row],[Jan/2019]:[Mar/2019]])</f>
        <v>0</v>
      </c>
      <c r="U883" s="29">
        <f>SUM(BaseHoras[[#This Row],[Abr/2019]:[Jun/2019]])</f>
        <v>0</v>
      </c>
      <c r="V883" s="29">
        <f>SUM(BaseHoras[[#This Row],[Jul/2019]:[Set/2019]])</f>
        <v>93.634368999388329</v>
      </c>
      <c r="W883" s="29">
        <f>SUM(BaseHoras[[#This Row],[Out/2019]:[Dez/2019]])</f>
        <v>65.63269414591565</v>
      </c>
    </row>
    <row r="884" spans="1:23">
      <c r="A884" t="s">
        <v>151</v>
      </c>
      <c r="B884" t="s">
        <v>168</v>
      </c>
      <c r="C884" t="s">
        <v>359</v>
      </c>
      <c r="D884" t="s">
        <v>97</v>
      </c>
      <c r="E884" t="s">
        <v>192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s="28">
        <v>0</v>
      </c>
      <c r="N884" s="28">
        <v>0</v>
      </c>
      <c r="O884">
        <v>0</v>
      </c>
      <c r="P884">
        <v>0</v>
      </c>
      <c r="Q884">
        <v>45.613418328626466</v>
      </c>
      <c r="R884">
        <v>0</v>
      </c>
      <c r="S884" s="28">
        <v>45.613418328626466</v>
      </c>
      <c r="T884" s="29">
        <f>SUM(BaseHoras[[#This Row],[Jan/2019]:[Mar/2019]])</f>
        <v>0</v>
      </c>
      <c r="U884" s="29">
        <f>SUM(BaseHoras[[#This Row],[Abr/2019]:[Jun/2019]])</f>
        <v>0</v>
      </c>
      <c r="V884" s="29">
        <f>SUM(BaseHoras[[#This Row],[Jul/2019]:[Set/2019]])</f>
        <v>0</v>
      </c>
      <c r="W884" s="29">
        <f>SUM(BaseHoras[[#This Row],[Out/2019]:[Dez/2019]])</f>
        <v>45.613418328626466</v>
      </c>
    </row>
    <row r="885" spans="1:23">
      <c r="A885" t="s">
        <v>151</v>
      </c>
      <c r="B885" t="s">
        <v>168</v>
      </c>
      <c r="C885" t="s">
        <v>359</v>
      </c>
      <c r="D885" t="s">
        <v>101</v>
      </c>
      <c r="E885" t="s">
        <v>192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s="28">
        <v>0</v>
      </c>
      <c r="N885" s="28">
        <v>0</v>
      </c>
      <c r="O885">
        <v>10.502601324755128</v>
      </c>
      <c r="P885">
        <v>65.587461283739344</v>
      </c>
      <c r="Q885">
        <v>1110.5227145336889</v>
      </c>
      <c r="R885">
        <v>0</v>
      </c>
      <c r="S885" s="28">
        <v>1186.6127771421834</v>
      </c>
      <c r="T885" s="29">
        <f>SUM(BaseHoras[[#This Row],[Jan/2019]:[Mar/2019]])</f>
        <v>0</v>
      </c>
      <c r="U885" s="29">
        <f>SUM(BaseHoras[[#This Row],[Abr/2019]:[Jun/2019]])</f>
        <v>0</v>
      </c>
      <c r="V885" s="29">
        <f>SUM(BaseHoras[[#This Row],[Jul/2019]:[Set/2019]])</f>
        <v>0</v>
      </c>
      <c r="W885" s="29">
        <f>SUM(BaseHoras[[#This Row],[Out/2019]:[Dez/2019]])</f>
        <v>1186.6127771421834</v>
      </c>
    </row>
    <row r="886" spans="1:23">
      <c r="A886" t="s">
        <v>151</v>
      </c>
      <c r="B886" t="s">
        <v>168</v>
      </c>
      <c r="C886" t="s">
        <v>359</v>
      </c>
      <c r="D886" t="s">
        <v>138</v>
      </c>
      <c r="E886" t="s">
        <v>192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556.18709152342808</v>
      </c>
      <c r="M886" s="28">
        <v>1066.3860272826021</v>
      </c>
      <c r="N886" s="28">
        <v>59.763857922534548</v>
      </c>
      <c r="O886">
        <v>0</v>
      </c>
      <c r="P886">
        <v>0</v>
      </c>
      <c r="Q886">
        <v>0</v>
      </c>
      <c r="R886">
        <v>0</v>
      </c>
      <c r="S886" s="28">
        <v>1682.3369767285647</v>
      </c>
      <c r="T886" s="29">
        <f>SUM(BaseHoras[[#This Row],[Jan/2019]:[Mar/2019]])</f>
        <v>0</v>
      </c>
      <c r="U886" s="29">
        <f>SUM(BaseHoras[[#This Row],[Abr/2019]:[Jun/2019]])</f>
        <v>0</v>
      </c>
      <c r="V886" s="29">
        <f>SUM(BaseHoras[[#This Row],[Jul/2019]:[Set/2019]])</f>
        <v>1682.3369767285647</v>
      </c>
      <c r="W886" s="29">
        <f>SUM(BaseHoras[[#This Row],[Out/2019]:[Dez/2019]])</f>
        <v>0</v>
      </c>
    </row>
    <row r="887" spans="1:23">
      <c r="A887" t="s">
        <v>151</v>
      </c>
      <c r="B887" t="s">
        <v>168</v>
      </c>
      <c r="C887" t="s">
        <v>360</v>
      </c>
      <c r="D887" t="s">
        <v>26</v>
      </c>
      <c r="E887" t="s">
        <v>192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453.35485777587451</v>
      </c>
      <c r="L887">
        <v>11621.341577402181</v>
      </c>
      <c r="M887" s="28">
        <v>0</v>
      </c>
      <c r="N887" s="28">
        <v>0</v>
      </c>
      <c r="O887">
        <v>0</v>
      </c>
      <c r="P887">
        <v>0</v>
      </c>
      <c r="Q887">
        <v>0</v>
      </c>
      <c r="R887">
        <v>0</v>
      </c>
      <c r="S887" s="28">
        <v>12074.696435178055</v>
      </c>
      <c r="T887" s="29">
        <f>SUM(BaseHoras[[#This Row],[Jan/2019]:[Mar/2019]])</f>
        <v>0</v>
      </c>
      <c r="U887" s="29">
        <f>SUM(BaseHoras[[#This Row],[Abr/2019]:[Jun/2019]])</f>
        <v>453.35485777587451</v>
      </c>
      <c r="V887" s="29">
        <f>SUM(BaseHoras[[#This Row],[Jul/2019]:[Set/2019]])</f>
        <v>11621.341577402181</v>
      </c>
      <c r="W887" s="29">
        <f>SUM(BaseHoras[[#This Row],[Out/2019]:[Dez/2019]])</f>
        <v>0</v>
      </c>
    </row>
    <row r="888" spans="1:23">
      <c r="A888" t="s">
        <v>151</v>
      </c>
      <c r="B888" t="s">
        <v>168</v>
      </c>
      <c r="C888" t="s">
        <v>361</v>
      </c>
      <c r="D888" t="s">
        <v>80</v>
      </c>
      <c r="E888" t="s">
        <v>192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50.538889482198805</v>
      </c>
      <c r="L888">
        <v>0</v>
      </c>
      <c r="M888" s="28">
        <v>0</v>
      </c>
      <c r="N888" s="28">
        <v>0</v>
      </c>
      <c r="O888">
        <v>0</v>
      </c>
      <c r="P888">
        <v>0</v>
      </c>
      <c r="Q888">
        <v>0</v>
      </c>
      <c r="R888">
        <v>0</v>
      </c>
      <c r="S888" s="28">
        <v>50.538889482198805</v>
      </c>
      <c r="T888" s="29">
        <f>SUM(BaseHoras[[#This Row],[Jan/2019]:[Mar/2019]])</f>
        <v>0</v>
      </c>
      <c r="U888" s="29">
        <f>SUM(BaseHoras[[#This Row],[Abr/2019]:[Jun/2019]])</f>
        <v>50.538889482198805</v>
      </c>
      <c r="V888" s="29">
        <f>SUM(BaseHoras[[#This Row],[Jul/2019]:[Set/2019]])</f>
        <v>0</v>
      </c>
      <c r="W888" s="29">
        <f>SUM(BaseHoras[[#This Row],[Out/2019]:[Dez/2019]])</f>
        <v>0</v>
      </c>
    </row>
    <row r="889" spans="1:23">
      <c r="A889" t="s">
        <v>151</v>
      </c>
      <c r="B889" t="s">
        <v>168</v>
      </c>
      <c r="C889" t="s">
        <v>361</v>
      </c>
      <c r="D889" t="s">
        <v>87</v>
      </c>
      <c r="E889" t="s">
        <v>192</v>
      </c>
      <c r="F889">
        <v>0</v>
      </c>
      <c r="G889">
        <v>7.6910269960468591</v>
      </c>
      <c r="H889">
        <v>0</v>
      </c>
      <c r="I889">
        <v>0</v>
      </c>
      <c r="J889">
        <v>0</v>
      </c>
      <c r="K889">
        <v>0</v>
      </c>
      <c r="L889">
        <v>0</v>
      </c>
      <c r="M889" s="28">
        <v>0</v>
      </c>
      <c r="N889" s="28">
        <v>0</v>
      </c>
      <c r="O889">
        <v>0</v>
      </c>
      <c r="P889">
        <v>0</v>
      </c>
      <c r="Q889">
        <v>0</v>
      </c>
      <c r="R889">
        <v>0</v>
      </c>
      <c r="S889" s="28">
        <v>7.6910269960468591</v>
      </c>
      <c r="T889" s="29">
        <f>SUM(BaseHoras[[#This Row],[Jan/2019]:[Mar/2019]])</f>
        <v>7.6910269960468591</v>
      </c>
      <c r="U889" s="29">
        <f>SUM(BaseHoras[[#This Row],[Abr/2019]:[Jun/2019]])</f>
        <v>0</v>
      </c>
      <c r="V889" s="29">
        <f>SUM(BaseHoras[[#This Row],[Jul/2019]:[Set/2019]])</f>
        <v>0</v>
      </c>
      <c r="W889" s="29">
        <f>SUM(BaseHoras[[#This Row],[Out/2019]:[Dez/2019]])</f>
        <v>0</v>
      </c>
    </row>
    <row r="890" spans="1:23">
      <c r="A890" t="s">
        <v>151</v>
      </c>
      <c r="B890" t="s">
        <v>168</v>
      </c>
      <c r="C890" t="s">
        <v>361</v>
      </c>
      <c r="D890" t="s">
        <v>98</v>
      </c>
      <c r="E890" t="s">
        <v>192</v>
      </c>
      <c r="F890">
        <v>0</v>
      </c>
      <c r="G890">
        <v>3.8498117104007772</v>
      </c>
      <c r="H890">
        <v>0</v>
      </c>
      <c r="I890">
        <v>0</v>
      </c>
      <c r="J890">
        <v>0</v>
      </c>
      <c r="K890">
        <v>0</v>
      </c>
      <c r="L890">
        <v>0</v>
      </c>
      <c r="M890" s="28">
        <v>0</v>
      </c>
      <c r="N890" s="28">
        <v>0</v>
      </c>
      <c r="O890">
        <v>0</v>
      </c>
      <c r="P890">
        <v>0</v>
      </c>
      <c r="Q890">
        <v>0</v>
      </c>
      <c r="R890">
        <v>0</v>
      </c>
      <c r="S890" s="28">
        <v>3.8498117104007772</v>
      </c>
      <c r="T890" s="29">
        <f>SUM(BaseHoras[[#This Row],[Jan/2019]:[Mar/2019]])</f>
        <v>3.8498117104007772</v>
      </c>
      <c r="U890" s="29">
        <f>SUM(BaseHoras[[#This Row],[Abr/2019]:[Jun/2019]])</f>
        <v>0</v>
      </c>
      <c r="V890" s="29">
        <f>SUM(BaseHoras[[#This Row],[Jul/2019]:[Set/2019]])</f>
        <v>0</v>
      </c>
      <c r="W890" s="29">
        <f>SUM(BaseHoras[[#This Row],[Out/2019]:[Dez/2019]])</f>
        <v>0</v>
      </c>
    </row>
    <row r="891" spans="1:23">
      <c r="A891" t="s">
        <v>151</v>
      </c>
      <c r="B891" t="s">
        <v>168</v>
      </c>
      <c r="C891" t="s">
        <v>361</v>
      </c>
      <c r="D891" t="s">
        <v>125</v>
      </c>
      <c r="E891" t="s">
        <v>246</v>
      </c>
      <c r="F891">
        <v>3.7254172539999963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s="28">
        <v>0</v>
      </c>
      <c r="N891" s="28">
        <v>0</v>
      </c>
      <c r="O891">
        <v>0</v>
      </c>
      <c r="P891">
        <v>0</v>
      </c>
      <c r="Q891">
        <v>0</v>
      </c>
      <c r="R891">
        <v>0</v>
      </c>
      <c r="S891" s="28">
        <v>3.7254172539999963</v>
      </c>
      <c r="T891" s="29">
        <f>SUM(BaseHoras[[#This Row],[Jan/2019]:[Mar/2019]])</f>
        <v>3.7254172539999963</v>
      </c>
      <c r="U891" s="29">
        <f>SUM(BaseHoras[[#This Row],[Abr/2019]:[Jun/2019]])</f>
        <v>0</v>
      </c>
      <c r="V891" s="29">
        <f>SUM(BaseHoras[[#This Row],[Jul/2019]:[Set/2019]])</f>
        <v>0</v>
      </c>
      <c r="W891" s="29">
        <f>SUM(BaseHoras[[#This Row],[Out/2019]:[Dez/2019]])</f>
        <v>0</v>
      </c>
    </row>
    <row r="892" spans="1:23">
      <c r="A892" t="s">
        <v>151</v>
      </c>
      <c r="B892" t="s">
        <v>168</v>
      </c>
      <c r="C892" t="s">
        <v>361</v>
      </c>
      <c r="D892" t="s">
        <v>132</v>
      </c>
      <c r="E892" t="s">
        <v>246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s="28">
        <v>0</v>
      </c>
      <c r="N892" s="28">
        <v>0</v>
      </c>
      <c r="O892">
        <v>41.50710672375827</v>
      </c>
      <c r="P892">
        <v>0</v>
      </c>
      <c r="Q892">
        <v>0</v>
      </c>
      <c r="R892">
        <v>0</v>
      </c>
      <c r="S892" s="28">
        <v>41.50710672375827</v>
      </c>
      <c r="T892" s="29">
        <f>SUM(BaseHoras[[#This Row],[Jan/2019]:[Mar/2019]])</f>
        <v>0</v>
      </c>
      <c r="U892" s="29">
        <f>SUM(BaseHoras[[#This Row],[Abr/2019]:[Jun/2019]])</f>
        <v>0</v>
      </c>
      <c r="V892" s="29">
        <f>SUM(BaseHoras[[#This Row],[Jul/2019]:[Set/2019]])</f>
        <v>0</v>
      </c>
      <c r="W892" s="29">
        <f>SUM(BaseHoras[[#This Row],[Out/2019]:[Dez/2019]])</f>
        <v>41.50710672375827</v>
      </c>
    </row>
    <row r="893" spans="1:23">
      <c r="A893" t="s">
        <v>151</v>
      </c>
      <c r="B893" t="s">
        <v>168</v>
      </c>
      <c r="C893" t="s">
        <v>167</v>
      </c>
      <c r="D893" t="s">
        <v>19</v>
      </c>
      <c r="E893" t="s">
        <v>192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s="28">
        <v>0</v>
      </c>
      <c r="N893" s="28">
        <v>21.742835030225979</v>
      </c>
      <c r="O893">
        <v>28.212222980016808</v>
      </c>
      <c r="P893">
        <v>22.739819403658906</v>
      </c>
      <c r="Q893">
        <v>0</v>
      </c>
      <c r="R893">
        <v>0</v>
      </c>
      <c r="S893" s="28">
        <v>72.694877413901693</v>
      </c>
      <c r="T893" s="29">
        <f>SUM(BaseHoras[[#This Row],[Jan/2019]:[Mar/2019]])</f>
        <v>0</v>
      </c>
      <c r="U893" s="29">
        <f>SUM(BaseHoras[[#This Row],[Abr/2019]:[Jun/2019]])</f>
        <v>0</v>
      </c>
      <c r="V893" s="29">
        <f>SUM(BaseHoras[[#This Row],[Jul/2019]:[Set/2019]])</f>
        <v>21.742835030225979</v>
      </c>
      <c r="W893" s="29">
        <f>SUM(BaseHoras[[#This Row],[Out/2019]:[Dez/2019]])</f>
        <v>50.952042383675717</v>
      </c>
    </row>
    <row r="894" spans="1:23">
      <c r="A894" t="s">
        <v>151</v>
      </c>
      <c r="B894" t="s">
        <v>168</v>
      </c>
      <c r="C894" t="s">
        <v>167</v>
      </c>
      <c r="D894" t="s">
        <v>25</v>
      </c>
      <c r="E894" t="s">
        <v>192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s="28" t="s">
        <v>395</v>
      </c>
      <c r="N894" s="28">
        <v>3.6048405789266096</v>
      </c>
      <c r="O894">
        <v>0</v>
      </c>
      <c r="P894">
        <v>45.753205248080953</v>
      </c>
      <c r="Q894">
        <v>0</v>
      </c>
      <c r="R894">
        <v>0</v>
      </c>
      <c r="S894" s="28">
        <v>49.358045827007565</v>
      </c>
      <c r="T894" s="29">
        <f>SUM(BaseHoras[[#This Row],[Jan/2019]:[Mar/2019]])</f>
        <v>0</v>
      </c>
      <c r="U894" s="29">
        <f>SUM(BaseHoras[[#This Row],[Abr/2019]:[Jun/2019]])</f>
        <v>0</v>
      </c>
      <c r="V894" s="29">
        <f>SUM(BaseHoras[[#This Row],[Jul/2019]:[Set/2019]])</f>
        <v>3.6048405789266096</v>
      </c>
      <c r="W894" s="29">
        <f>SUM(BaseHoras[[#This Row],[Out/2019]:[Dez/2019]])</f>
        <v>45.753205248080953</v>
      </c>
    </row>
    <row r="895" spans="1:23">
      <c r="A895" t="s">
        <v>151</v>
      </c>
      <c r="B895" t="s">
        <v>168</v>
      </c>
      <c r="C895" t="s">
        <v>167</v>
      </c>
      <c r="D895" t="s">
        <v>30</v>
      </c>
      <c r="E895" t="s">
        <v>192</v>
      </c>
      <c r="F895">
        <v>0</v>
      </c>
      <c r="G895">
        <v>0</v>
      </c>
      <c r="H895">
        <v>0</v>
      </c>
      <c r="I895">
        <v>995.91939929322814</v>
      </c>
      <c r="J895">
        <v>4.8289238987684744</v>
      </c>
      <c r="K895">
        <v>51.672229732489541</v>
      </c>
      <c r="L895">
        <v>461.41987597321366</v>
      </c>
      <c r="M895" s="28">
        <v>185.48827410138895</v>
      </c>
      <c r="N895" s="28">
        <v>2245.4098254934079</v>
      </c>
      <c r="O895">
        <v>1203.8034765368004</v>
      </c>
      <c r="P895">
        <v>80.426940237483834</v>
      </c>
      <c r="Q895">
        <v>0</v>
      </c>
      <c r="R895">
        <v>0</v>
      </c>
      <c r="S895" s="28">
        <v>5228.9689452667808</v>
      </c>
      <c r="T895" s="29">
        <f>SUM(BaseHoras[[#This Row],[Jan/2019]:[Mar/2019]])</f>
        <v>0</v>
      </c>
      <c r="U895" s="29">
        <f>SUM(BaseHoras[[#This Row],[Abr/2019]:[Jun/2019]])</f>
        <v>1052.4205529244862</v>
      </c>
      <c r="V895" s="29">
        <f>SUM(BaseHoras[[#This Row],[Jul/2019]:[Set/2019]])</f>
        <v>2892.3179755680103</v>
      </c>
      <c r="W895" s="29">
        <f>SUM(BaseHoras[[#This Row],[Out/2019]:[Dez/2019]])</f>
        <v>1284.2304167742843</v>
      </c>
    </row>
    <row r="896" spans="1:23">
      <c r="A896" t="s">
        <v>151</v>
      </c>
      <c r="B896" t="s">
        <v>168</v>
      </c>
      <c r="C896" t="s">
        <v>167</v>
      </c>
      <c r="D896" t="s">
        <v>35</v>
      </c>
      <c r="E896" t="s">
        <v>192</v>
      </c>
      <c r="F896">
        <v>0</v>
      </c>
      <c r="G896">
        <v>1269.1968451195132</v>
      </c>
      <c r="H896">
        <v>1130.7679422977196</v>
      </c>
      <c r="I896">
        <v>174.96518020524985</v>
      </c>
      <c r="J896">
        <v>728.70670513622315</v>
      </c>
      <c r="K896">
        <v>355.70463176454331</v>
      </c>
      <c r="L896">
        <v>11.422221790239044</v>
      </c>
      <c r="M896" s="28">
        <v>0</v>
      </c>
      <c r="N896" s="28">
        <v>0</v>
      </c>
      <c r="O896">
        <v>0</v>
      </c>
      <c r="P896">
        <v>0</v>
      </c>
      <c r="Q896">
        <v>0</v>
      </c>
      <c r="R896">
        <v>0</v>
      </c>
      <c r="S896" s="28">
        <v>3670.763526313488</v>
      </c>
      <c r="T896" s="29">
        <f>SUM(BaseHoras[[#This Row],[Jan/2019]:[Mar/2019]])</f>
        <v>2399.9647874172329</v>
      </c>
      <c r="U896" s="29">
        <f>SUM(BaseHoras[[#This Row],[Abr/2019]:[Jun/2019]])</f>
        <v>1259.3765171060163</v>
      </c>
      <c r="V896" s="29">
        <f>SUM(BaseHoras[[#This Row],[Jul/2019]:[Set/2019]])</f>
        <v>11.422221790239044</v>
      </c>
      <c r="W896" s="29">
        <f>SUM(BaseHoras[[#This Row],[Out/2019]:[Dez/2019]])</f>
        <v>0</v>
      </c>
    </row>
    <row r="897" spans="1:23">
      <c r="A897" t="s">
        <v>151</v>
      </c>
      <c r="B897" t="s">
        <v>168</v>
      </c>
      <c r="C897" t="s">
        <v>167</v>
      </c>
      <c r="D897" t="s">
        <v>36</v>
      </c>
      <c r="E897" t="s">
        <v>192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351.21068154455236</v>
      </c>
      <c r="M897" s="28">
        <v>3320.4066535799902</v>
      </c>
      <c r="N897" s="28">
        <v>0</v>
      </c>
      <c r="O897">
        <v>0</v>
      </c>
      <c r="P897">
        <v>37.771797314194878</v>
      </c>
      <c r="Q897">
        <v>0</v>
      </c>
      <c r="R897">
        <v>0</v>
      </c>
      <c r="S897" s="28">
        <v>3709.3891324387373</v>
      </c>
      <c r="T897" s="29">
        <f>SUM(BaseHoras[[#This Row],[Jan/2019]:[Mar/2019]])</f>
        <v>0</v>
      </c>
      <c r="U897" s="29">
        <f>SUM(BaseHoras[[#This Row],[Abr/2019]:[Jun/2019]])</f>
        <v>0</v>
      </c>
      <c r="V897" s="29">
        <f>SUM(BaseHoras[[#This Row],[Jul/2019]:[Set/2019]])</f>
        <v>3671.6173351245425</v>
      </c>
      <c r="W897" s="29">
        <f>SUM(BaseHoras[[#This Row],[Out/2019]:[Dez/2019]])</f>
        <v>37.771797314194878</v>
      </c>
    </row>
    <row r="898" spans="1:23">
      <c r="A898" t="s">
        <v>151</v>
      </c>
      <c r="B898" t="s">
        <v>168</v>
      </c>
      <c r="C898" t="s">
        <v>167</v>
      </c>
      <c r="D898" t="s">
        <v>38</v>
      </c>
      <c r="E898" t="s">
        <v>192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31.413514464092959</v>
      </c>
      <c r="M898" s="28">
        <v>0</v>
      </c>
      <c r="N898" s="28">
        <v>0</v>
      </c>
      <c r="O898">
        <v>0</v>
      </c>
      <c r="P898">
        <v>0</v>
      </c>
      <c r="Q898">
        <v>0</v>
      </c>
      <c r="R898">
        <v>0</v>
      </c>
      <c r="S898" s="28">
        <v>31.413514464092959</v>
      </c>
      <c r="T898" s="29">
        <f>SUM(BaseHoras[[#This Row],[Jan/2019]:[Mar/2019]])</f>
        <v>0</v>
      </c>
      <c r="U898" s="29">
        <f>SUM(BaseHoras[[#This Row],[Abr/2019]:[Jun/2019]])</f>
        <v>0</v>
      </c>
      <c r="V898" s="29">
        <f>SUM(BaseHoras[[#This Row],[Jul/2019]:[Set/2019]])</f>
        <v>31.413514464092959</v>
      </c>
      <c r="W898" s="29">
        <f>SUM(BaseHoras[[#This Row],[Out/2019]:[Dez/2019]])</f>
        <v>0</v>
      </c>
    </row>
    <row r="899" spans="1:23">
      <c r="A899" t="s">
        <v>151</v>
      </c>
      <c r="B899" t="s">
        <v>168</v>
      </c>
      <c r="C899" t="s">
        <v>167</v>
      </c>
      <c r="D899" t="s">
        <v>40</v>
      </c>
      <c r="E899" t="s">
        <v>192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s="28">
        <v>0</v>
      </c>
      <c r="N899" s="28">
        <v>24.940308489186499</v>
      </c>
      <c r="O899">
        <v>21.437692152971312</v>
      </c>
      <c r="P899">
        <v>41.136486906196801</v>
      </c>
      <c r="Q899">
        <v>18.738510280069445</v>
      </c>
      <c r="R899">
        <v>0</v>
      </c>
      <c r="S899" s="28">
        <v>106.25299782842407</v>
      </c>
      <c r="T899" s="29">
        <f>SUM(BaseHoras[[#This Row],[Jan/2019]:[Mar/2019]])</f>
        <v>0</v>
      </c>
      <c r="U899" s="29">
        <f>SUM(BaseHoras[[#This Row],[Abr/2019]:[Jun/2019]])</f>
        <v>0</v>
      </c>
      <c r="V899" s="29">
        <f>SUM(BaseHoras[[#This Row],[Jul/2019]:[Set/2019]])</f>
        <v>24.940308489186499</v>
      </c>
      <c r="W899" s="29">
        <f>SUM(BaseHoras[[#This Row],[Out/2019]:[Dez/2019]])</f>
        <v>81.312689339237565</v>
      </c>
    </row>
    <row r="900" spans="1:23">
      <c r="A900" t="s">
        <v>151</v>
      </c>
      <c r="B900" t="s">
        <v>168</v>
      </c>
      <c r="C900" t="s">
        <v>167</v>
      </c>
      <c r="D900" t="s">
        <v>45</v>
      </c>
      <c r="E900" t="s">
        <v>192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s="28">
        <v>0</v>
      </c>
      <c r="N900" s="28">
        <v>0</v>
      </c>
      <c r="O900">
        <v>0</v>
      </c>
      <c r="P900">
        <v>21950.087290190775</v>
      </c>
      <c r="Q900">
        <v>10.301802182740184</v>
      </c>
      <c r="R900">
        <v>0</v>
      </c>
      <c r="S900" s="28">
        <v>21960.389092373516</v>
      </c>
      <c r="T900" s="29">
        <f>SUM(BaseHoras[[#This Row],[Jan/2019]:[Mar/2019]])</f>
        <v>0</v>
      </c>
      <c r="U900" s="29">
        <f>SUM(BaseHoras[[#This Row],[Abr/2019]:[Jun/2019]])</f>
        <v>0</v>
      </c>
      <c r="V900" s="29">
        <f>SUM(BaseHoras[[#This Row],[Jul/2019]:[Set/2019]])</f>
        <v>0</v>
      </c>
      <c r="W900" s="29">
        <f>SUM(BaseHoras[[#This Row],[Out/2019]:[Dez/2019]])</f>
        <v>21960.389092373516</v>
      </c>
    </row>
    <row r="901" spans="1:23">
      <c r="A901" t="s">
        <v>151</v>
      </c>
      <c r="B901" t="s">
        <v>168</v>
      </c>
      <c r="C901" t="s">
        <v>167</v>
      </c>
      <c r="D901" t="s">
        <v>49</v>
      </c>
      <c r="E901" t="s">
        <v>192</v>
      </c>
      <c r="F901">
        <v>0</v>
      </c>
      <c r="G901">
        <v>0</v>
      </c>
      <c r="H901">
        <v>37.067431708307872</v>
      </c>
      <c r="I901">
        <v>0</v>
      </c>
      <c r="J901">
        <v>26.072606430819373</v>
      </c>
      <c r="K901">
        <v>744.02974697333991</v>
      </c>
      <c r="L901">
        <v>548.96618694947904</v>
      </c>
      <c r="M901" s="28">
        <v>399.99701629362869</v>
      </c>
      <c r="N901" s="28">
        <v>0</v>
      </c>
      <c r="O901">
        <v>27.495031593310941</v>
      </c>
      <c r="P901">
        <v>0</v>
      </c>
      <c r="Q901">
        <v>0</v>
      </c>
      <c r="R901">
        <v>0</v>
      </c>
      <c r="S901" s="28">
        <v>1783.6280199488858</v>
      </c>
      <c r="T901" s="29">
        <f>SUM(BaseHoras[[#This Row],[Jan/2019]:[Mar/2019]])</f>
        <v>37.067431708307872</v>
      </c>
      <c r="U901" s="29">
        <f>SUM(BaseHoras[[#This Row],[Abr/2019]:[Jun/2019]])</f>
        <v>770.10235340415932</v>
      </c>
      <c r="V901" s="29">
        <f>SUM(BaseHoras[[#This Row],[Jul/2019]:[Set/2019]])</f>
        <v>948.96320324310773</v>
      </c>
      <c r="W901" s="29">
        <f>SUM(BaseHoras[[#This Row],[Out/2019]:[Dez/2019]])</f>
        <v>27.495031593310941</v>
      </c>
    </row>
    <row r="902" spans="1:23">
      <c r="A902" t="s">
        <v>151</v>
      </c>
      <c r="B902" t="s">
        <v>168</v>
      </c>
      <c r="C902" t="s">
        <v>167</v>
      </c>
      <c r="D902" t="s">
        <v>52</v>
      </c>
      <c r="E902" t="s">
        <v>192</v>
      </c>
      <c r="F902">
        <v>0</v>
      </c>
      <c r="G902">
        <v>0</v>
      </c>
      <c r="H902">
        <v>0</v>
      </c>
      <c r="I902">
        <v>0</v>
      </c>
      <c r="J902">
        <v>19.311311754942825</v>
      </c>
      <c r="K902">
        <v>0</v>
      </c>
      <c r="L902">
        <v>0</v>
      </c>
      <c r="M902" s="28">
        <v>0</v>
      </c>
      <c r="N902" s="28">
        <v>0</v>
      </c>
      <c r="O902">
        <v>0</v>
      </c>
      <c r="P902">
        <v>0</v>
      </c>
      <c r="Q902">
        <v>0</v>
      </c>
      <c r="R902">
        <v>0</v>
      </c>
      <c r="S902" s="28">
        <v>19.311311754942825</v>
      </c>
      <c r="T902" s="29">
        <f>SUM(BaseHoras[[#This Row],[Jan/2019]:[Mar/2019]])</f>
        <v>0</v>
      </c>
      <c r="U902" s="29">
        <f>SUM(BaseHoras[[#This Row],[Abr/2019]:[Jun/2019]])</f>
        <v>19.311311754942825</v>
      </c>
      <c r="V902" s="29">
        <f>SUM(BaseHoras[[#This Row],[Jul/2019]:[Set/2019]])</f>
        <v>0</v>
      </c>
      <c r="W902" s="29">
        <f>SUM(BaseHoras[[#This Row],[Out/2019]:[Dez/2019]])</f>
        <v>0</v>
      </c>
    </row>
    <row r="903" spans="1:23">
      <c r="A903" t="s">
        <v>151</v>
      </c>
      <c r="B903" t="s">
        <v>168</v>
      </c>
      <c r="C903" t="s">
        <v>167</v>
      </c>
      <c r="D903" t="s">
        <v>55</v>
      </c>
      <c r="E903" t="s">
        <v>192</v>
      </c>
      <c r="F903">
        <v>0</v>
      </c>
      <c r="G903">
        <v>0</v>
      </c>
      <c r="H903">
        <v>0</v>
      </c>
      <c r="I903">
        <v>0</v>
      </c>
      <c r="J903">
        <v>2.7048025870998789</v>
      </c>
      <c r="K903">
        <v>0</v>
      </c>
      <c r="L903">
        <v>0</v>
      </c>
      <c r="M903" s="28">
        <v>0</v>
      </c>
      <c r="N903" s="28">
        <v>0</v>
      </c>
      <c r="O903">
        <v>0</v>
      </c>
      <c r="P903">
        <v>5.3645534581654433</v>
      </c>
      <c r="Q903" t="s">
        <v>395</v>
      </c>
      <c r="R903">
        <v>0</v>
      </c>
      <c r="S903" s="28">
        <v>8.069356045265323</v>
      </c>
      <c r="T903" s="29">
        <f>SUM(BaseHoras[[#This Row],[Jan/2019]:[Mar/2019]])</f>
        <v>0</v>
      </c>
      <c r="U903" s="29">
        <f>SUM(BaseHoras[[#This Row],[Abr/2019]:[Jun/2019]])</f>
        <v>2.7048025870998789</v>
      </c>
      <c r="V903" s="29">
        <f>SUM(BaseHoras[[#This Row],[Jul/2019]:[Set/2019]])</f>
        <v>0</v>
      </c>
      <c r="W903" s="29">
        <f>SUM(BaseHoras[[#This Row],[Out/2019]:[Dez/2019]])</f>
        <v>5.3645534581654433</v>
      </c>
    </row>
    <row r="904" spans="1:23">
      <c r="A904" t="s">
        <v>151</v>
      </c>
      <c r="B904" t="s">
        <v>168</v>
      </c>
      <c r="C904" t="s">
        <v>167</v>
      </c>
      <c r="D904" t="s">
        <v>279</v>
      </c>
      <c r="E904" t="s">
        <v>192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s="28">
        <v>0</v>
      </c>
      <c r="N904" s="28">
        <v>0</v>
      </c>
      <c r="O904">
        <v>493.06752001684328</v>
      </c>
      <c r="P904">
        <v>0</v>
      </c>
      <c r="Q904">
        <v>0</v>
      </c>
      <c r="R904">
        <v>0</v>
      </c>
      <c r="S904" s="28">
        <v>493.06752001684328</v>
      </c>
      <c r="T904" s="29">
        <f>SUM(BaseHoras[[#This Row],[Jan/2019]:[Mar/2019]])</f>
        <v>0</v>
      </c>
      <c r="U904" s="29">
        <f>SUM(BaseHoras[[#This Row],[Abr/2019]:[Jun/2019]])</f>
        <v>0</v>
      </c>
      <c r="V904" s="29">
        <f>SUM(BaseHoras[[#This Row],[Jul/2019]:[Set/2019]])</f>
        <v>0</v>
      </c>
      <c r="W904" s="29">
        <f>SUM(BaseHoras[[#This Row],[Out/2019]:[Dez/2019]])</f>
        <v>493.06752001684328</v>
      </c>
    </row>
    <row r="905" spans="1:23">
      <c r="A905" t="s">
        <v>151</v>
      </c>
      <c r="B905" t="s">
        <v>168</v>
      </c>
      <c r="C905" t="s">
        <v>167</v>
      </c>
      <c r="D905" t="s">
        <v>64</v>
      </c>
      <c r="E905" t="s">
        <v>192</v>
      </c>
      <c r="F905">
        <v>0</v>
      </c>
      <c r="G905">
        <v>142.82489653796947</v>
      </c>
      <c r="H905">
        <v>0</v>
      </c>
      <c r="I905">
        <v>0</v>
      </c>
      <c r="J905">
        <v>0</v>
      </c>
      <c r="K905">
        <v>17.692260796470688</v>
      </c>
      <c r="L905">
        <v>0</v>
      </c>
      <c r="M905" s="28">
        <v>0</v>
      </c>
      <c r="N905" s="28">
        <v>0</v>
      </c>
      <c r="O905">
        <v>0</v>
      </c>
      <c r="P905">
        <v>0</v>
      </c>
      <c r="Q905">
        <v>288.29905726776974</v>
      </c>
      <c r="R905">
        <v>0</v>
      </c>
      <c r="S905" s="28">
        <v>448.81621460220993</v>
      </c>
      <c r="T905" s="29">
        <f>SUM(BaseHoras[[#This Row],[Jan/2019]:[Mar/2019]])</f>
        <v>142.82489653796947</v>
      </c>
      <c r="U905" s="29">
        <f>SUM(BaseHoras[[#This Row],[Abr/2019]:[Jun/2019]])</f>
        <v>17.692260796470688</v>
      </c>
      <c r="V905" s="29">
        <f>SUM(BaseHoras[[#This Row],[Jul/2019]:[Set/2019]])</f>
        <v>0</v>
      </c>
      <c r="W905" s="29">
        <f>SUM(BaseHoras[[#This Row],[Out/2019]:[Dez/2019]])</f>
        <v>288.29905726776974</v>
      </c>
    </row>
    <row r="906" spans="1:23">
      <c r="A906" t="s">
        <v>151</v>
      </c>
      <c r="B906" t="s">
        <v>168</v>
      </c>
      <c r="C906" t="s">
        <v>167</v>
      </c>
      <c r="D906" t="s">
        <v>68</v>
      </c>
      <c r="E906" t="s">
        <v>192</v>
      </c>
      <c r="F906">
        <v>0</v>
      </c>
      <c r="G906">
        <v>0</v>
      </c>
      <c r="H906">
        <v>0</v>
      </c>
      <c r="I906">
        <v>0</v>
      </c>
      <c r="J906">
        <v>3610.3072323502743</v>
      </c>
      <c r="K906">
        <v>899.45568480647091</v>
      </c>
      <c r="L906">
        <v>0</v>
      </c>
      <c r="M906" s="28">
        <v>0</v>
      </c>
      <c r="N906" s="28">
        <v>181.97020847910508</v>
      </c>
      <c r="O906">
        <v>0</v>
      </c>
      <c r="P906">
        <v>0</v>
      </c>
      <c r="Q906">
        <v>0</v>
      </c>
      <c r="R906">
        <v>0</v>
      </c>
      <c r="S906" s="28">
        <v>4691.7331256358502</v>
      </c>
      <c r="T906" s="29">
        <f>SUM(BaseHoras[[#This Row],[Jan/2019]:[Mar/2019]])</f>
        <v>0</v>
      </c>
      <c r="U906" s="29">
        <f>SUM(BaseHoras[[#This Row],[Abr/2019]:[Jun/2019]])</f>
        <v>4509.7629171567451</v>
      </c>
      <c r="V906" s="29">
        <f>SUM(BaseHoras[[#This Row],[Jul/2019]:[Set/2019]])</f>
        <v>181.97020847910508</v>
      </c>
      <c r="W906" s="29">
        <f>SUM(BaseHoras[[#This Row],[Out/2019]:[Dez/2019]])</f>
        <v>0</v>
      </c>
    </row>
    <row r="907" spans="1:23">
      <c r="A907" t="s">
        <v>151</v>
      </c>
      <c r="B907" t="s">
        <v>168</v>
      </c>
      <c r="C907" t="s">
        <v>167</v>
      </c>
      <c r="D907" t="s">
        <v>72</v>
      </c>
      <c r="E907" t="s">
        <v>192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1637.9444292843104</v>
      </c>
      <c r="L907">
        <v>0</v>
      </c>
      <c r="M907" s="28">
        <v>11.385002766006389</v>
      </c>
      <c r="N907" s="28">
        <v>13052.497492009175</v>
      </c>
      <c r="O907">
        <v>335.4711909984357</v>
      </c>
      <c r="P907">
        <v>205.75752924312241</v>
      </c>
      <c r="Q907">
        <v>0</v>
      </c>
      <c r="R907">
        <v>0</v>
      </c>
      <c r="S907" s="28">
        <v>15243.055644301052</v>
      </c>
      <c r="T907" s="29">
        <f>SUM(BaseHoras[[#This Row],[Jan/2019]:[Mar/2019]])</f>
        <v>0</v>
      </c>
      <c r="U907" s="29">
        <f>SUM(BaseHoras[[#This Row],[Abr/2019]:[Jun/2019]])</f>
        <v>1637.9444292843104</v>
      </c>
      <c r="V907" s="29">
        <f>SUM(BaseHoras[[#This Row],[Jul/2019]:[Set/2019]])</f>
        <v>13063.882494775182</v>
      </c>
      <c r="W907" s="29">
        <f>SUM(BaseHoras[[#This Row],[Out/2019]:[Dez/2019]])</f>
        <v>541.22872024155811</v>
      </c>
    </row>
    <row r="908" spans="1:23">
      <c r="A908" t="s">
        <v>151</v>
      </c>
      <c r="B908" t="s">
        <v>168</v>
      </c>
      <c r="C908" t="s">
        <v>167</v>
      </c>
      <c r="D908" t="s">
        <v>78</v>
      </c>
      <c r="E908" t="s">
        <v>192</v>
      </c>
      <c r="F908">
        <v>0</v>
      </c>
      <c r="G908">
        <v>0</v>
      </c>
      <c r="H908">
        <v>0</v>
      </c>
      <c r="I908">
        <v>0</v>
      </c>
      <c r="J908">
        <v>301.50910016495982</v>
      </c>
      <c r="K908">
        <v>6356.8736171105083</v>
      </c>
      <c r="L908">
        <v>105.55541161079017</v>
      </c>
      <c r="M908" s="28">
        <v>102.49264296004456</v>
      </c>
      <c r="N908" s="28">
        <v>143.39543720986273</v>
      </c>
      <c r="O908">
        <v>0</v>
      </c>
      <c r="P908">
        <v>0</v>
      </c>
      <c r="Q908">
        <v>0</v>
      </c>
      <c r="R908">
        <v>0</v>
      </c>
      <c r="S908" s="28">
        <v>7009.8262090561657</v>
      </c>
      <c r="T908" s="29">
        <f>SUM(BaseHoras[[#This Row],[Jan/2019]:[Mar/2019]])</f>
        <v>0</v>
      </c>
      <c r="U908" s="29">
        <f>SUM(BaseHoras[[#This Row],[Abr/2019]:[Jun/2019]])</f>
        <v>6658.3827172754682</v>
      </c>
      <c r="V908" s="29">
        <f>SUM(BaseHoras[[#This Row],[Jul/2019]:[Set/2019]])</f>
        <v>351.44349178069746</v>
      </c>
      <c r="W908" s="29">
        <f>SUM(BaseHoras[[#This Row],[Out/2019]:[Dez/2019]])</f>
        <v>0</v>
      </c>
    </row>
    <row r="909" spans="1:23">
      <c r="A909" t="s">
        <v>151</v>
      </c>
      <c r="B909" t="s">
        <v>168</v>
      </c>
      <c r="C909" t="s">
        <v>167</v>
      </c>
      <c r="D909" t="s">
        <v>81</v>
      </c>
      <c r="E909" t="s">
        <v>192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s="28">
        <v>0</v>
      </c>
      <c r="N909" s="28">
        <v>158.43953985479189</v>
      </c>
      <c r="O909">
        <v>650.81208542298907</v>
      </c>
      <c r="P909">
        <v>187.75982255583509</v>
      </c>
      <c r="Q909">
        <v>0</v>
      </c>
      <c r="R909">
        <v>0</v>
      </c>
      <c r="S909" s="28">
        <v>997.01144783361599</v>
      </c>
      <c r="T909" s="29">
        <f>SUM(BaseHoras[[#This Row],[Jan/2019]:[Mar/2019]])</f>
        <v>0</v>
      </c>
      <c r="U909" s="29">
        <f>SUM(BaseHoras[[#This Row],[Abr/2019]:[Jun/2019]])</f>
        <v>0</v>
      </c>
      <c r="V909" s="29">
        <f>SUM(BaseHoras[[#This Row],[Jul/2019]:[Set/2019]])</f>
        <v>158.43953985479189</v>
      </c>
      <c r="W909" s="29">
        <f>SUM(BaseHoras[[#This Row],[Out/2019]:[Dez/2019]])</f>
        <v>838.57190797882413</v>
      </c>
    </row>
    <row r="910" spans="1:23">
      <c r="A910" t="s">
        <v>151</v>
      </c>
      <c r="B910" t="s">
        <v>168</v>
      </c>
      <c r="C910" t="s">
        <v>167</v>
      </c>
      <c r="D910" t="s">
        <v>82</v>
      </c>
      <c r="E910" t="s">
        <v>192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s="28">
        <v>0</v>
      </c>
      <c r="N910" s="28">
        <v>0</v>
      </c>
      <c r="O910">
        <v>25.268349513328879</v>
      </c>
      <c r="P910">
        <v>233.58018183866218</v>
      </c>
      <c r="Q910">
        <v>0</v>
      </c>
      <c r="R910">
        <v>0</v>
      </c>
      <c r="S910" s="28">
        <v>258.84853135199108</v>
      </c>
      <c r="T910" s="29">
        <f>SUM(BaseHoras[[#This Row],[Jan/2019]:[Mar/2019]])</f>
        <v>0</v>
      </c>
      <c r="U910" s="29">
        <f>SUM(BaseHoras[[#This Row],[Abr/2019]:[Jun/2019]])</f>
        <v>0</v>
      </c>
      <c r="V910" s="29">
        <f>SUM(BaseHoras[[#This Row],[Jul/2019]:[Set/2019]])</f>
        <v>0</v>
      </c>
      <c r="W910" s="29">
        <f>SUM(BaseHoras[[#This Row],[Out/2019]:[Dez/2019]])</f>
        <v>258.84853135199108</v>
      </c>
    </row>
    <row r="911" spans="1:23">
      <c r="A911" t="s">
        <v>151</v>
      </c>
      <c r="B911" t="s">
        <v>168</v>
      </c>
      <c r="C911" t="s">
        <v>167</v>
      </c>
      <c r="D911" t="s">
        <v>87</v>
      </c>
      <c r="E911" t="s">
        <v>192</v>
      </c>
      <c r="F911">
        <v>0</v>
      </c>
      <c r="G911">
        <v>58.726438745240429</v>
      </c>
      <c r="H911">
        <v>80.496950764475685</v>
      </c>
      <c r="I911">
        <v>51.537188449397419</v>
      </c>
      <c r="J911">
        <v>116.67835115718583</v>
      </c>
      <c r="K911">
        <v>67.5972481423251</v>
      </c>
      <c r="L911">
        <v>0</v>
      </c>
      <c r="M911" s="28">
        <v>2327.6081915714713</v>
      </c>
      <c r="N911" s="28">
        <v>0</v>
      </c>
      <c r="O911">
        <v>0</v>
      </c>
      <c r="P911">
        <v>0</v>
      </c>
      <c r="Q911">
        <v>0</v>
      </c>
      <c r="R911">
        <v>0</v>
      </c>
      <c r="S911" s="28">
        <v>2702.6443688300956</v>
      </c>
      <c r="T911" s="29">
        <f>SUM(BaseHoras[[#This Row],[Jan/2019]:[Mar/2019]])</f>
        <v>139.22338950971613</v>
      </c>
      <c r="U911" s="29">
        <f>SUM(BaseHoras[[#This Row],[Abr/2019]:[Jun/2019]])</f>
        <v>235.81278774890836</v>
      </c>
      <c r="V911" s="29">
        <f>SUM(BaseHoras[[#This Row],[Jul/2019]:[Set/2019]])</f>
        <v>2327.6081915714713</v>
      </c>
      <c r="W911" s="29">
        <f>SUM(BaseHoras[[#This Row],[Out/2019]:[Dez/2019]])</f>
        <v>0</v>
      </c>
    </row>
    <row r="912" spans="1:23">
      <c r="A912" t="s">
        <v>151</v>
      </c>
      <c r="B912" t="s">
        <v>168</v>
      </c>
      <c r="C912" t="s">
        <v>167</v>
      </c>
      <c r="D912" t="s">
        <v>92</v>
      </c>
      <c r="E912" t="s">
        <v>192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s="28">
        <v>0</v>
      </c>
      <c r="N912" s="28">
        <v>117.87052440028579</v>
      </c>
      <c r="O912">
        <v>0</v>
      </c>
      <c r="P912">
        <v>0</v>
      </c>
      <c r="Q912">
        <v>0</v>
      </c>
      <c r="R912">
        <v>0</v>
      </c>
      <c r="S912" s="28">
        <v>117.87052440028579</v>
      </c>
      <c r="T912" s="29">
        <f>SUM(BaseHoras[[#This Row],[Jan/2019]:[Mar/2019]])</f>
        <v>0</v>
      </c>
      <c r="U912" s="29">
        <f>SUM(BaseHoras[[#This Row],[Abr/2019]:[Jun/2019]])</f>
        <v>0</v>
      </c>
      <c r="V912" s="29">
        <f>SUM(BaseHoras[[#This Row],[Jul/2019]:[Set/2019]])</f>
        <v>117.87052440028579</v>
      </c>
      <c r="W912" s="29">
        <f>SUM(BaseHoras[[#This Row],[Out/2019]:[Dez/2019]])</f>
        <v>0</v>
      </c>
    </row>
    <row r="913" spans="1:23">
      <c r="A913" t="s">
        <v>151</v>
      </c>
      <c r="B913" t="s">
        <v>168</v>
      </c>
      <c r="C913" t="s">
        <v>167</v>
      </c>
      <c r="D913" t="s">
        <v>93</v>
      </c>
      <c r="E913" t="s">
        <v>192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s="28">
        <v>0</v>
      </c>
      <c r="N913" s="28">
        <v>0</v>
      </c>
      <c r="O913">
        <v>354.96341969741837</v>
      </c>
      <c r="P913">
        <v>615.44069121887878</v>
      </c>
      <c r="Q913">
        <v>0</v>
      </c>
      <c r="R913">
        <v>0</v>
      </c>
      <c r="S913" s="28">
        <v>970.40411091629721</v>
      </c>
      <c r="T913" s="29">
        <f>SUM(BaseHoras[[#This Row],[Jan/2019]:[Mar/2019]])</f>
        <v>0</v>
      </c>
      <c r="U913" s="29">
        <f>SUM(BaseHoras[[#This Row],[Abr/2019]:[Jun/2019]])</f>
        <v>0</v>
      </c>
      <c r="V913" s="29">
        <f>SUM(BaseHoras[[#This Row],[Jul/2019]:[Set/2019]])</f>
        <v>0</v>
      </c>
      <c r="W913" s="29">
        <f>SUM(BaseHoras[[#This Row],[Out/2019]:[Dez/2019]])</f>
        <v>970.40411091629721</v>
      </c>
    </row>
    <row r="914" spans="1:23">
      <c r="A914" t="s">
        <v>151</v>
      </c>
      <c r="B914" t="s">
        <v>168</v>
      </c>
      <c r="C914" t="s">
        <v>167</v>
      </c>
      <c r="D914" t="s">
        <v>95</v>
      </c>
      <c r="E914" t="s">
        <v>192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 s="28">
        <v>17.280763303087575</v>
      </c>
      <c r="N914" s="28">
        <v>0</v>
      </c>
      <c r="O914">
        <v>0</v>
      </c>
      <c r="P914">
        <v>0</v>
      </c>
      <c r="Q914">
        <v>0</v>
      </c>
      <c r="R914">
        <v>0</v>
      </c>
      <c r="S914" s="28">
        <v>17.280763303087575</v>
      </c>
      <c r="T914" s="29">
        <f>SUM(BaseHoras[[#This Row],[Jan/2019]:[Mar/2019]])</f>
        <v>0</v>
      </c>
      <c r="U914" s="29">
        <f>SUM(BaseHoras[[#This Row],[Abr/2019]:[Jun/2019]])</f>
        <v>0</v>
      </c>
      <c r="V914" s="29">
        <f>SUM(BaseHoras[[#This Row],[Jul/2019]:[Set/2019]])</f>
        <v>17.280763303087575</v>
      </c>
      <c r="W914" s="29">
        <f>SUM(BaseHoras[[#This Row],[Out/2019]:[Dez/2019]])</f>
        <v>0</v>
      </c>
    </row>
    <row r="915" spans="1:23">
      <c r="A915" t="s">
        <v>151</v>
      </c>
      <c r="B915" t="s">
        <v>168</v>
      </c>
      <c r="C915" t="s">
        <v>167</v>
      </c>
      <c r="D915" t="s">
        <v>98</v>
      </c>
      <c r="E915" t="s">
        <v>192</v>
      </c>
      <c r="F915">
        <v>0</v>
      </c>
      <c r="G915">
        <v>0</v>
      </c>
      <c r="H915">
        <v>0</v>
      </c>
      <c r="I915">
        <v>73.763809449014616</v>
      </c>
      <c r="J915">
        <v>11.273608663227909</v>
      </c>
      <c r="K915">
        <v>181.52699041735914</v>
      </c>
      <c r="L915">
        <v>14.994112803374193</v>
      </c>
      <c r="M915" s="28">
        <v>0</v>
      </c>
      <c r="N915" s="28">
        <v>0</v>
      </c>
      <c r="O915">
        <v>0</v>
      </c>
      <c r="P915">
        <v>0</v>
      </c>
      <c r="Q915">
        <v>0</v>
      </c>
      <c r="R915">
        <v>0</v>
      </c>
      <c r="S915" s="28">
        <v>281.55852133297589</v>
      </c>
      <c r="T915" s="29">
        <f>SUM(BaseHoras[[#This Row],[Jan/2019]:[Mar/2019]])</f>
        <v>0</v>
      </c>
      <c r="U915" s="29">
        <f>SUM(BaseHoras[[#This Row],[Abr/2019]:[Jun/2019]])</f>
        <v>266.56440852960168</v>
      </c>
      <c r="V915" s="29">
        <f>SUM(BaseHoras[[#This Row],[Jul/2019]:[Set/2019]])</f>
        <v>14.994112803374193</v>
      </c>
      <c r="W915" s="29">
        <f>SUM(BaseHoras[[#This Row],[Out/2019]:[Dez/2019]])</f>
        <v>0</v>
      </c>
    </row>
    <row r="916" spans="1:23">
      <c r="A916" t="s">
        <v>151</v>
      </c>
      <c r="B916" t="s">
        <v>168</v>
      </c>
      <c r="C916" t="s">
        <v>167</v>
      </c>
      <c r="D916" t="s">
        <v>101</v>
      </c>
      <c r="E916" t="s">
        <v>192</v>
      </c>
      <c r="F916">
        <v>0</v>
      </c>
      <c r="G916">
        <v>0</v>
      </c>
      <c r="H916">
        <v>0</v>
      </c>
      <c r="I916">
        <v>19.617796845305755</v>
      </c>
      <c r="J916">
        <v>139.11633126820823</v>
      </c>
      <c r="K916">
        <v>38.095934858512479</v>
      </c>
      <c r="L916">
        <v>57.458904348676583</v>
      </c>
      <c r="M916" s="28">
        <v>151.23346510144526</v>
      </c>
      <c r="N916" s="28">
        <v>15.259975707287355</v>
      </c>
      <c r="O916">
        <v>0</v>
      </c>
      <c r="P916">
        <v>0</v>
      </c>
      <c r="Q916">
        <v>0</v>
      </c>
      <c r="R916">
        <v>0</v>
      </c>
      <c r="S916" s="28">
        <v>420.78240812943568</v>
      </c>
      <c r="T916" s="29">
        <f>SUM(BaseHoras[[#This Row],[Jan/2019]:[Mar/2019]])</f>
        <v>0</v>
      </c>
      <c r="U916" s="29">
        <f>SUM(BaseHoras[[#This Row],[Abr/2019]:[Jun/2019]])</f>
        <v>196.83006297202644</v>
      </c>
      <c r="V916" s="29">
        <f>SUM(BaseHoras[[#This Row],[Jul/2019]:[Set/2019]])</f>
        <v>223.95234515740921</v>
      </c>
      <c r="W916" s="29">
        <f>SUM(BaseHoras[[#This Row],[Out/2019]:[Dez/2019]])</f>
        <v>0</v>
      </c>
    </row>
    <row r="917" spans="1:23">
      <c r="A917" t="s">
        <v>151</v>
      </c>
      <c r="B917" t="s">
        <v>168</v>
      </c>
      <c r="C917" t="s">
        <v>167</v>
      </c>
      <c r="D917" t="s">
        <v>102</v>
      </c>
      <c r="E917" t="s">
        <v>192</v>
      </c>
      <c r="F917">
        <v>0</v>
      </c>
      <c r="G917">
        <v>0</v>
      </c>
      <c r="H917">
        <v>0</v>
      </c>
      <c r="I917">
        <v>0</v>
      </c>
      <c r="J917">
        <v>2.4090448048649034</v>
      </c>
      <c r="K917">
        <v>0</v>
      </c>
      <c r="L917">
        <v>0</v>
      </c>
      <c r="M917" s="28">
        <v>0</v>
      </c>
      <c r="N917" s="28">
        <v>0</v>
      </c>
      <c r="O917">
        <v>0</v>
      </c>
      <c r="P917">
        <v>0</v>
      </c>
      <c r="Q917">
        <v>0</v>
      </c>
      <c r="R917">
        <v>0</v>
      </c>
      <c r="S917" s="28">
        <v>2.4090448048649034</v>
      </c>
      <c r="T917" s="29">
        <f>SUM(BaseHoras[[#This Row],[Jan/2019]:[Mar/2019]])</f>
        <v>0</v>
      </c>
      <c r="U917" s="29">
        <f>SUM(BaseHoras[[#This Row],[Abr/2019]:[Jun/2019]])</f>
        <v>2.4090448048649034</v>
      </c>
      <c r="V917" s="29">
        <f>SUM(BaseHoras[[#This Row],[Jul/2019]:[Set/2019]])</f>
        <v>0</v>
      </c>
      <c r="W917" s="29">
        <f>SUM(BaseHoras[[#This Row],[Out/2019]:[Dez/2019]])</f>
        <v>0</v>
      </c>
    </row>
    <row r="918" spans="1:23">
      <c r="A918" t="s">
        <v>151</v>
      </c>
      <c r="B918" t="s">
        <v>168</v>
      </c>
      <c r="C918" t="s">
        <v>167</v>
      </c>
      <c r="D918" t="s">
        <v>105</v>
      </c>
      <c r="E918" t="s">
        <v>192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s="28">
        <v>264.47192543711071</v>
      </c>
      <c r="N918" s="28">
        <v>0</v>
      </c>
      <c r="O918">
        <v>0</v>
      </c>
      <c r="P918">
        <v>0</v>
      </c>
      <c r="Q918">
        <v>0</v>
      </c>
      <c r="R918">
        <v>0</v>
      </c>
      <c r="S918" s="28">
        <v>264.47192543711071</v>
      </c>
      <c r="T918" s="29">
        <f>SUM(BaseHoras[[#This Row],[Jan/2019]:[Mar/2019]])</f>
        <v>0</v>
      </c>
      <c r="U918" s="29">
        <f>SUM(BaseHoras[[#This Row],[Abr/2019]:[Jun/2019]])</f>
        <v>0</v>
      </c>
      <c r="V918" s="29">
        <f>SUM(BaseHoras[[#This Row],[Jul/2019]:[Set/2019]])</f>
        <v>264.47192543711071</v>
      </c>
      <c r="W918" s="29">
        <f>SUM(BaseHoras[[#This Row],[Out/2019]:[Dez/2019]])</f>
        <v>0</v>
      </c>
    </row>
    <row r="919" spans="1:23">
      <c r="A919" t="s">
        <v>151</v>
      </c>
      <c r="B919" t="s">
        <v>168</v>
      </c>
      <c r="C919" t="s">
        <v>167</v>
      </c>
      <c r="D919" t="s">
        <v>107</v>
      </c>
      <c r="E919" t="s">
        <v>192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143.01096690823437</v>
      </c>
      <c r="M919" s="28">
        <v>1258.0539123296944</v>
      </c>
      <c r="N919" s="28">
        <v>100.00941640811352</v>
      </c>
      <c r="O919">
        <v>0</v>
      </c>
      <c r="P919">
        <v>0</v>
      </c>
      <c r="Q919">
        <v>0</v>
      </c>
      <c r="R919">
        <v>0</v>
      </c>
      <c r="S919" s="28">
        <v>1501.0742956460424</v>
      </c>
      <c r="T919" s="29">
        <f>SUM(BaseHoras[[#This Row],[Jan/2019]:[Mar/2019]])</f>
        <v>0</v>
      </c>
      <c r="U919" s="29">
        <f>SUM(BaseHoras[[#This Row],[Abr/2019]:[Jun/2019]])</f>
        <v>0</v>
      </c>
      <c r="V919" s="29">
        <f>SUM(BaseHoras[[#This Row],[Jul/2019]:[Set/2019]])</f>
        <v>1501.0742956460424</v>
      </c>
      <c r="W919" s="29">
        <f>SUM(BaseHoras[[#This Row],[Out/2019]:[Dez/2019]])</f>
        <v>0</v>
      </c>
    </row>
    <row r="920" spans="1:23">
      <c r="A920" t="s">
        <v>151</v>
      </c>
      <c r="B920" t="s">
        <v>168</v>
      </c>
      <c r="C920" t="s">
        <v>167</v>
      </c>
      <c r="D920" t="s">
        <v>108</v>
      </c>
      <c r="E920" t="s">
        <v>192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117.71793328725448</v>
      </c>
      <c r="M920" s="28">
        <v>103.46565082304171</v>
      </c>
      <c r="N920" s="28">
        <v>0</v>
      </c>
      <c r="O920">
        <v>0</v>
      </c>
      <c r="P920">
        <v>0</v>
      </c>
      <c r="Q920">
        <v>0</v>
      </c>
      <c r="R920">
        <v>0</v>
      </c>
      <c r="S920" s="28">
        <v>221.18358411029618</v>
      </c>
      <c r="T920" s="29">
        <f>SUM(BaseHoras[[#This Row],[Jan/2019]:[Mar/2019]])</f>
        <v>0</v>
      </c>
      <c r="U920" s="29">
        <f>SUM(BaseHoras[[#This Row],[Abr/2019]:[Jun/2019]])</f>
        <v>0</v>
      </c>
      <c r="V920" s="29">
        <f>SUM(BaseHoras[[#This Row],[Jul/2019]:[Set/2019]])</f>
        <v>221.18358411029618</v>
      </c>
      <c r="W920" s="29">
        <f>SUM(BaseHoras[[#This Row],[Out/2019]:[Dez/2019]])</f>
        <v>0</v>
      </c>
    </row>
    <row r="921" spans="1:23">
      <c r="A921" t="s">
        <v>151</v>
      </c>
      <c r="B921" t="s">
        <v>168</v>
      </c>
      <c r="C921" t="s">
        <v>167</v>
      </c>
      <c r="D921" t="s">
        <v>109</v>
      </c>
      <c r="E921" t="s">
        <v>192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73.043316630790031</v>
      </c>
      <c r="M921" s="28">
        <v>110.63647794234333</v>
      </c>
      <c r="N921" s="28">
        <v>215.70596427081327</v>
      </c>
      <c r="O921">
        <v>356.9433956126154</v>
      </c>
      <c r="P921">
        <v>274.22832023797525</v>
      </c>
      <c r="Q921">
        <v>29.67900040320237</v>
      </c>
      <c r="R921">
        <v>0</v>
      </c>
      <c r="S921" s="28">
        <v>1060.2364750977395</v>
      </c>
      <c r="T921" s="29">
        <f>SUM(BaseHoras[[#This Row],[Jan/2019]:[Mar/2019]])</f>
        <v>0</v>
      </c>
      <c r="U921" s="29">
        <f>SUM(BaseHoras[[#This Row],[Abr/2019]:[Jun/2019]])</f>
        <v>0</v>
      </c>
      <c r="V921" s="29">
        <f>SUM(BaseHoras[[#This Row],[Jul/2019]:[Set/2019]])</f>
        <v>399.38575884394663</v>
      </c>
      <c r="W921" s="29">
        <f>SUM(BaseHoras[[#This Row],[Out/2019]:[Dez/2019]])</f>
        <v>660.85071625379305</v>
      </c>
    </row>
    <row r="922" spans="1:23">
      <c r="A922" t="s">
        <v>151</v>
      </c>
      <c r="B922" t="s">
        <v>168</v>
      </c>
      <c r="C922" t="s">
        <v>167</v>
      </c>
      <c r="D922" t="s">
        <v>118</v>
      </c>
      <c r="E922" t="s">
        <v>192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120.75046465255689</v>
      </c>
      <c r="M922" s="28">
        <v>0</v>
      </c>
      <c r="N922" s="28">
        <v>0</v>
      </c>
      <c r="O922">
        <v>0</v>
      </c>
      <c r="P922">
        <v>0</v>
      </c>
      <c r="Q922">
        <v>0</v>
      </c>
      <c r="R922">
        <v>0</v>
      </c>
      <c r="S922" s="28">
        <v>120.75046465255689</v>
      </c>
      <c r="T922" s="29">
        <f>SUM(BaseHoras[[#This Row],[Jan/2019]:[Mar/2019]])</f>
        <v>0</v>
      </c>
      <c r="U922" s="29">
        <f>SUM(BaseHoras[[#This Row],[Abr/2019]:[Jun/2019]])</f>
        <v>0</v>
      </c>
      <c r="V922" s="29">
        <f>SUM(BaseHoras[[#This Row],[Jul/2019]:[Set/2019]])</f>
        <v>120.75046465255689</v>
      </c>
      <c r="W922" s="29">
        <f>SUM(BaseHoras[[#This Row],[Out/2019]:[Dez/2019]])</f>
        <v>0</v>
      </c>
    </row>
    <row r="923" spans="1:23">
      <c r="A923" t="s">
        <v>151</v>
      </c>
      <c r="B923" t="s">
        <v>168</v>
      </c>
      <c r="C923" t="s">
        <v>167</v>
      </c>
      <c r="D923" t="s">
        <v>120</v>
      </c>
      <c r="E923" t="s">
        <v>192</v>
      </c>
      <c r="F923">
        <v>0</v>
      </c>
      <c r="G923">
        <v>0</v>
      </c>
      <c r="H923">
        <v>0</v>
      </c>
      <c r="I923">
        <v>0</v>
      </c>
      <c r="J923">
        <v>474.80606229497272</v>
      </c>
      <c r="K923">
        <v>0</v>
      </c>
      <c r="L923">
        <v>0</v>
      </c>
      <c r="M923" s="28">
        <v>0</v>
      </c>
      <c r="N923" s="28">
        <v>0</v>
      </c>
      <c r="O923">
        <v>0</v>
      </c>
      <c r="P923">
        <v>0</v>
      </c>
      <c r="Q923">
        <v>0</v>
      </c>
      <c r="R923">
        <v>0</v>
      </c>
      <c r="S923" s="28">
        <v>474.80606229497272</v>
      </c>
      <c r="T923" s="29">
        <f>SUM(BaseHoras[[#This Row],[Jan/2019]:[Mar/2019]])</f>
        <v>0</v>
      </c>
      <c r="U923" s="29">
        <f>SUM(BaseHoras[[#This Row],[Abr/2019]:[Jun/2019]])</f>
        <v>474.80606229497272</v>
      </c>
      <c r="V923" s="29">
        <f>SUM(BaseHoras[[#This Row],[Jul/2019]:[Set/2019]])</f>
        <v>0</v>
      </c>
      <c r="W923" s="29">
        <f>SUM(BaseHoras[[#This Row],[Out/2019]:[Dez/2019]])</f>
        <v>0</v>
      </c>
    </row>
    <row r="924" spans="1:23">
      <c r="A924" t="s">
        <v>151</v>
      </c>
      <c r="B924" t="s">
        <v>168</v>
      </c>
      <c r="C924" t="s">
        <v>167</v>
      </c>
      <c r="D924" t="s">
        <v>121</v>
      </c>
      <c r="E924" t="s">
        <v>192</v>
      </c>
      <c r="F924">
        <v>0</v>
      </c>
      <c r="G924">
        <v>0</v>
      </c>
      <c r="H924">
        <v>0</v>
      </c>
      <c r="I924">
        <v>0</v>
      </c>
      <c r="J924">
        <v>213.61925970009094</v>
      </c>
      <c r="K924">
        <v>0</v>
      </c>
      <c r="L924">
        <v>0</v>
      </c>
      <c r="M924" s="28">
        <v>0</v>
      </c>
      <c r="N924" s="28">
        <v>0</v>
      </c>
      <c r="O924">
        <v>0</v>
      </c>
      <c r="P924">
        <v>0</v>
      </c>
      <c r="Q924">
        <v>0</v>
      </c>
      <c r="R924">
        <v>0</v>
      </c>
      <c r="S924" s="28">
        <v>213.61925970009094</v>
      </c>
      <c r="T924" s="29">
        <f>SUM(BaseHoras[[#This Row],[Jan/2019]:[Mar/2019]])</f>
        <v>0</v>
      </c>
      <c r="U924" s="29">
        <f>SUM(BaseHoras[[#This Row],[Abr/2019]:[Jun/2019]])</f>
        <v>213.61925970009094</v>
      </c>
      <c r="V924" s="29">
        <f>SUM(BaseHoras[[#This Row],[Jul/2019]:[Set/2019]])</f>
        <v>0</v>
      </c>
      <c r="W924" s="29">
        <f>SUM(BaseHoras[[#This Row],[Out/2019]:[Dez/2019]])</f>
        <v>0</v>
      </c>
    </row>
    <row r="925" spans="1:23">
      <c r="A925" t="s">
        <v>151</v>
      </c>
      <c r="B925" t="s">
        <v>168</v>
      </c>
      <c r="C925" t="s">
        <v>167</v>
      </c>
      <c r="D925" t="s">
        <v>125</v>
      </c>
      <c r="E925" t="s">
        <v>192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s="28">
        <v>0</v>
      </c>
      <c r="N925" s="28">
        <v>0</v>
      </c>
      <c r="O925">
        <v>4.2201128093039753</v>
      </c>
      <c r="P925">
        <v>6.3756128994118964</v>
      </c>
      <c r="Q925">
        <v>5.3537177127971782</v>
      </c>
      <c r="R925">
        <v>0</v>
      </c>
      <c r="S925" s="28">
        <v>15.949443421513049</v>
      </c>
      <c r="T925" s="29">
        <f>SUM(BaseHoras[[#This Row],[Jan/2019]:[Mar/2019]])</f>
        <v>0</v>
      </c>
      <c r="U925" s="29">
        <f>SUM(BaseHoras[[#This Row],[Abr/2019]:[Jun/2019]])</f>
        <v>0</v>
      </c>
      <c r="V925" s="29">
        <f>SUM(BaseHoras[[#This Row],[Jul/2019]:[Set/2019]])</f>
        <v>0</v>
      </c>
      <c r="W925" s="29">
        <f>SUM(BaseHoras[[#This Row],[Out/2019]:[Dez/2019]])</f>
        <v>15.949443421513049</v>
      </c>
    </row>
    <row r="926" spans="1:23">
      <c r="A926" t="s">
        <v>151</v>
      </c>
      <c r="B926" t="s">
        <v>168</v>
      </c>
      <c r="C926" t="s">
        <v>167</v>
      </c>
      <c r="D926" t="s">
        <v>127</v>
      </c>
      <c r="E926" t="s">
        <v>192</v>
      </c>
      <c r="F926">
        <v>0</v>
      </c>
      <c r="G926">
        <v>0</v>
      </c>
      <c r="H926">
        <v>0</v>
      </c>
      <c r="I926">
        <v>408.25427775018767</v>
      </c>
      <c r="J926">
        <v>781.35373281092257</v>
      </c>
      <c r="K926">
        <v>65.757997736720569</v>
      </c>
      <c r="L926">
        <v>152.04411522867929</v>
      </c>
      <c r="M926" s="28">
        <v>0</v>
      </c>
      <c r="N926" s="28">
        <v>0</v>
      </c>
      <c r="O926">
        <v>0</v>
      </c>
      <c r="P926">
        <v>0</v>
      </c>
      <c r="Q926">
        <v>0</v>
      </c>
      <c r="R926">
        <v>0</v>
      </c>
      <c r="S926" s="28">
        <v>1407.4101235265102</v>
      </c>
      <c r="T926" s="29">
        <f>SUM(BaseHoras[[#This Row],[Jan/2019]:[Mar/2019]])</f>
        <v>0</v>
      </c>
      <c r="U926" s="29">
        <f>SUM(BaseHoras[[#This Row],[Abr/2019]:[Jun/2019]])</f>
        <v>1255.3660082978308</v>
      </c>
      <c r="V926" s="29">
        <f>SUM(BaseHoras[[#This Row],[Jul/2019]:[Set/2019]])</f>
        <v>152.04411522867929</v>
      </c>
      <c r="W926" s="29">
        <f>SUM(BaseHoras[[#This Row],[Out/2019]:[Dez/2019]])</f>
        <v>0</v>
      </c>
    </row>
    <row r="927" spans="1:23">
      <c r="A927" t="s">
        <v>151</v>
      </c>
      <c r="B927" t="s">
        <v>168</v>
      </c>
      <c r="C927" t="s">
        <v>167</v>
      </c>
      <c r="D927" t="s">
        <v>128</v>
      </c>
      <c r="E927" t="s">
        <v>192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72.157551899751937</v>
      </c>
      <c r="L927">
        <v>0</v>
      </c>
      <c r="M927" s="28">
        <v>0</v>
      </c>
      <c r="N927" s="28">
        <v>0</v>
      </c>
      <c r="O927">
        <v>0</v>
      </c>
      <c r="P927">
        <v>0</v>
      </c>
      <c r="Q927">
        <v>0</v>
      </c>
      <c r="R927">
        <v>0</v>
      </c>
      <c r="S927" s="28">
        <v>72.157551899751937</v>
      </c>
      <c r="T927" s="29">
        <f>SUM(BaseHoras[[#This Row],[Jan/2019]:[Mar/2019]])</f>
        <v>0</v>
      </c>
      <c r="U927" s="29">
        <f>SUM(BaseHoras[[#This Row],[Abr/2019]:[Jun/2019]])</f>
        <v>72.157551899751937</v>
      </c>
      <c r="V927" s="29">
        <f>SUM(BaseHoras[[#This Row],[Jul/2019]:[Set/2019]])</f>
        <v>0</v>
      </c>
      <c r="W927" s="29">
        <f>SUM(BaseHoras[[#This Row],[Out/2019]:[Dez/2019]])</f>
        <v>0</v>
      </c>
    </row>
    <row r="928" spans="1:23">
      <c r="A928" t="s">
        <v>151</v>
      </c>
      <c r="B928" t="s">
        <v>168</v>
      </c>
      <c r="C928" t="s">
        <v>167</v>
      </c>
      <c r="D928" t="s">
        <v>130</v>
      </c>
      <c r="E928" t="s">
        <v>192</v>
      </c>
      <c r="F928">
        <v>0</v>
      </c>
      <c r="G928">
        <v>0</v>
      </c>
      <c r="H928">
        <v>0</v>
      </c>
      <c r="I928">
        <v>536.40010938225419</v>
      </c>
      <c r="J928">
        <v>344.45498779408393</v>
      </c>
      <c r="K928">
        <v>41.114093207433925</v>
      </c>
      <c r="L928">
        <v>0</v>
      </c>
      <c r="M928" s="28">
        <v>0</v>
      </c>
      <c r="N928" s="28">
        <v>0</v>
      </c>
      <c r="O928">
        <v>0</v>
      </c>
      <c r="P928">
        <v>0</v>
      </c>
      <c r="Q928">
        <v>0</v>
      </c>
      <c r="R928">
        <v>0</v>
      </c>
      <c r="S928" s="28">
        <v>921.96919038377212</v>
      </c>
      <c r="T928" s="29">
        <f>SUM(BaseHoras[[#This Row],[Jan/2019]:[Mar/2019]])</f>
        <v>0</v>
      </c>
      <c r="U928" s="29">
        <f>SUM(BaseHoras[[#This Row],[Abr/2019]:[Jun/2019]])</f>
        <v>921.96919038377212</v>
      </c>
      <c r="V928" s="29">
        <f>SUM(BaseHoras[[#This Row],[Jul/2019]:[Set/2019]])</f>
        <v>0</v>
      </c>
      <c r="W928" s="29">
        <f>SUM(BaseHoras[[#This Row],[Out/2019]:[Dez/2019]])</f>
        <v>0</v>
      </c>
    </row>
    <row r="929" spans="1:23">
      <c r="A929" t="s">
        <v>151</v>
      </c>
      <c r="B929" t="s">
        <v>168</v>
      </c>
      <c r="C929" t="s">
        <v>167</v>
      </c>
      <c r="D929" t="s">
        <v>132</v>
      </c>
      <c r="E929" t="s">
        <v>192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s="28">
        <v>0</v>
      </c>
      <c r="N929" s="28">
        <v>0</v>
      </c>
      <c r="O929">
        <v>0</v>
      </c>
      <c r="P929">
        <v>6.3501600024998401</v>
      </c>
      <c r="Q929">
        <v>0</v>
      </c>
      <c r="R929">
        <v>0</v>
      </c>
      <c r="S929" s="28">
        <v>6.3501600024998401</v>
      </c>
      <c r="T929" s="29">
        <f>SUM(BaseHoras[[#This Row],[Jan/2019]:[Mar/2019]])</f>
        <v>0</v>
      </c>
      <c r="U929" s="29">
        <f>SUM(BaseHoras[[#This Row],[Abr/2019]:[Jun/2019]])</f>
        <v>0</v>
      </c>
      <c r="V929" s="29">
        <f>SUM(BaseHoras[[#This Row],[Jul/2019]:[Set/2019]])</f>
        <v>0</v>
      </c>
      <c r="W929" s="29">
        <f>SUM(BaseHoras[[#This Row],[Out/2019]:[Dez/2019]])</f>
        <v>6.3501600024998401</v>
      </c>
    </row>
    <row r="930" spans="1:23">
      <c r="A930" t="s">
        <v>151</v>
      </c>
      <c r="B930" t="s">
        <v>168</v>
      </c>
      <c r="C930" t="s">
        <v>167</v>
      </c>
      <c r="D930" t="s">
        <v>136</v>
      </c>
      <c r="E930" t="s">
        <v>192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28.484019321637962</v>
      </c>
      <c r="M930" s="28">
        <v>194.69770364283002</v>
      </c>
      <c r="N930" s="28">
        <v>0</v>
      </c>
      <c r="O930">
        <v>0</v>
      </c>
      <c r="P930">
        <v>0</v>
      </c>
      <c r="Q930">
        <v>0</v>
      </c>
      <c r="R930">
        <v>0</v>
      </c>
      <c r="S930" s="28">
        <v>223.18172296446798</v>
      </c>
      <c r="T930" s="29">
        <f>SUM(BaseHoras[[#This Row],[Jan/2019]:[Mar/2019]])</f>
        <v>0</v>
      </c>
      <c r="U930" s="29">
        <f>SUM(BaseHoras[[#This Row],[Abr/2019]:[Jun/2019]])</f>
        <v>0</v>
      </c>
      <c r="V930" s="29">
        <f>SUM(BaseHoras[[#This Row],[Jul/2019]:[Set/2019]])</f>
        <v>223.18172296446798</v>
      </c>
      <c r="W930" s="29">
        <f>SUM(BaseHoras[[#This Row],[Out/2019]:[Dez/2019]])</f>
        <v>0</v>
      </c>
    </row>
    <row r="931" spans="1:23">
      <c r="A931" t="s">
        <v>151</v>
      </c>
      <c r="B931" t="s">
        <v>168</v>
      </c>
      <c r="C931" t="s">
        <v>167</v>
      </c>
      <c r="D931" t="s">
        <v>138</v>
      </c>
      <c r="E931" t="s">
        <v>192</v>
      </c>
      <c r="F931">
        <v>0</v>
      </c>
      <c r="G931">
        <v>55.784600190910794</v>
      </c>
      <c r="H931">
        <v>0</v>
      </c>
      <c r="I931">
        <v>118.8062612285356</v>
      </c>
      <c r="J931">
        <v>103.11994123779668</v>
      </c>
      <c r="K931">
        <v>159.31244272010804</v>
      </c>
      <c r="L931">
        <v>0</v>
      </c>
      <c r="M931" s="28">
        <v>0</v>
      </c>
      <c r="N931" s="28">
        <v>46.218376087782275</v>
      </c>
      <c r="O931">
        <v>0</v>
      </c>
      <c r="P931">
        <v>0</v>
      </c>
      <c r="Q931">
        <v>0</v>
      </c>
      <c r="R931">
        <v>0</v>
      </c>
      <c r="S931" s="28">
        <v>483.24162146513345</v>
      </c>
      <c r="T931" s="29">
        <f>SUM(BaseHoras[[#This Row],[Jan/2019]:[Mar/2019]])</f>
        <v>55.784600190910794</v>
      </c>
      <c r="U931" s="29">
        <f>SUM(BaseHoras[[#This Row],[Abr/2019]:[Jun/2019]])</f>
        <v>381.23864518644029</v>
      </c>
      <c r="V931" s="29">
        <f>SUM(BaseHoras[[#This Row],[Jul/2019]:[Set/2019]])</f>
        <v>46.218376087782275</v>
      </c>
      <c r="W931" s="29">
        <f>SUM(BaseHoras[[#This Row],[Out/2019]:[Dez/2019]])</f>
        <v>0</v>
      </c>
    </row>
    <row r="932" spans="1:23">
      <c r="A932" t="s">
        <v>151</v>
      </c>
      <c r="B932" t="s">
        <v>168</v>
      </c>
      <c r="C932" t="s">
        <v>167</v>
      </c>
      <c r="D932" t="s">
        <v>139</v>
      </c>
      <c r="E932" t="s">
        <v>192</v>
      </c>
      <c r="F932">
        <v>0</v>
      </c>
      <c r="G932">
        <v>0</v>
      </c>
      <c r="H932">
        <v>0</v>
      </c>
      <c r="I932">
        <v>0</v>
      </c>
      <c r="J932">
        <v>509.95386667536877</v>
      </c>
      <c r="K932">
        <v>0</v>
      </c>
      <c r="L932">
        <v>0</v>
      </c>
      <c r="M932" s="28">
        <v>0</v>
      </c>
      <c r="N932" s="28">
        <v>0</v>
      </c>
      <c r="O932">
        <v>0</v>
      </c>
      <c r="P932">
        <v>0</v>
      </c>
      <c r="Q932">
        <v>0</v>
      </c>
      <c r="R932">
        <v>0</v>
      </c>
      <c r="S932" s="28">
        <v>509.95386667536877</v>
      </c>
      <c r="T932" s="29">
        <f>SUM(BaseHoras[[#This Row],[Jan/2019]:[Mar/2019]])</f>
        <v>0</v>
      </c>
      <c r="U932" s="29">
        <f>SUM(BaseHoras[[#This Row],[Abr/2019]:[Jun/2019]])</f>
        <v>509.95386667536877</v>
      </c>
      <c r="V932" s="29">
        <f>SUM(BaseHoras[[#This Row],[Jul/2019]:[Set/2019]])</f>
        <v>0</v>
      </c>
      <c r="W932" s="29">
        <f>SUM(BaseHoras[[#This Row],[Out/2019]:[Dez/2019]])</f>
        <v>0</v>
      </c>
    </row>
    <row r="933" spans="1:23">
      <c r="A933" t="s">
        <v>151</v>
      </c>
      <c r="B933" t="s">
        <v>168</v>
      </c>
      <c r="C933" t="s">
        <v>167</v>
      </c>
      <c r="D933" t="s">
        <v>144</v>
      </c>
      <c r="E933" t="s">
        <v>192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s="28">
        <v>0</v>
      </c>
      <c r="N933" s="28">
        <v>0</v>
      </c>
      <c r="O933">
        <v>0</v>
      </c>
      <c r="P933">
        <v>25.78362753673666</v>
      </c>
      <c r="Q933">
        <v>0</v>
      </c>
      <c r="R933">
        <v>0</v>
      </c>
      <c r="S933" s="28">
        <v>25.78362753673666</v>
      </c>
      <c r="T933" s="29">
        <f>SUM(BaseHoras[[#This Row],[Jan/2019]:[Mar/2019]])</f>
        <v>0</v>
      </c>
      <c r="U933" s="29">
        <f>SUM(BaseHoras[[#This Row],[Abr/2019]:[Jun/2019]])</f>
        <v>0</v>
      </c>
      <c r="V933" s="29">
        <f>SUM(BaseHoras[[#This Row],[Jul/2019]:[Set/2019]])</f>
        <v>0</v>
      </c>
      <c r="W933" s="29">
        <f>SUM(BaseHoras[[#This Row],[Out/2019]:[Dez/2019]])</f>
        <v>25.78362753673666</v>
      </c>
    </row>
    <row r="934" spans="1:23">
      <c r="A934" t="s">
        <v>151</v>
      </c>
      <c r="B934" t="s">
        <v>168</v>
      </c>
      <c r="C934" t="s">
        <v>167</v>
      </c>
      <c r="D934" t="s">
        <v>146</v>
      </c>
      <c r="E934" t="s">
        <v>192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104.55440988084263</v>
      </c>
      <c r="L934">
        <v>1882.5418761601516</v>
      </c>
      <c r="M934" s="28">
        <v>729.58799548284946</v>
      </c>
      <c r="N934" s="28">
        <v>121.39613891532883</v>
      </c>
      <c r="O934">
        <v>0</v>
      </c>
      <c r="P934">
        <v>0</v>
      </c>
      <c r="Q934">
        <v>0</v>
      </c>
      <c r="R934">
        <v>0</v>
      </c>
      <c r="S934" s="28">
        <v>2838.080420439172</v>
      </c>
      <c r="T934" s="29">
        <f>SUM(BaseHoras[[#This Row],[Jan/2019]:[Mar/2019]])</f>
        <v>0</v>
      </c>
      <c r="U934" s="29">
        <f>SUM(BaseHoras[[#This Row],[Abr/2019]:[Jun/2019]])</f>
        <v>104.55440988084263</v>
      </c>
      <c r="V934" s="29">
        <f>SUM(BaseHoras[[#This Row],[Jul/2019]:[Set/2019]])</f>
        <v>2733.5260105583297</v>
      </c>
      <c r="W934" s="29">
        <f>SUM(BaseHoras[[#This Row],[Out/2019]:[Dez/2019]])</f>
        <v>0</v>
      </c>
    </row>
    <row r="935" spans="1:23">
      <c r="A935" t="s">
        <v>151</v>
      </c>
      <c r="B935" t="s">
        <v>168</v>
      </c>
      <c r="C935" t="s">
        <v>167</v>
      </c>
      <c r="D935" t="s">
        <v>149</v>
      </c>
      <c r="E935" t="s">
        <v>192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18.476599418749398</v>
      </c>
      <c r="M935" s="28">
        <v>604.33134053466085</v>
      </c>
      <c r="N935" s="28">
        <v>18.827415828179294</v>
      </c>
      <c r="O935">
        <v>0</v>
      </c>
      <c r="P935">
        <v>0</v>
      </c>
      <c r="Q935">
        <v>0</v>
      </c>
      <c r="R935">
        <v>0</v>
      </c>
      <c r="S935" s="28">
        <v>641.63535578158951</v>
      </c>
      <c r="T935" s="29">
        <f>SUM(BaseHoras[[#This Row],[Jan/2019]:[Mar/2019]])</f>
        <v>0</v>
      </c>
      <c r="U935" s="29">
        <f>SUM(BaseHoras[[#This Row],[Abr/2019]:[Jun/2019]])</f>
        <v>0</v>
      </c>
      <c r="V935" s="29">
        <f>SUM(BaseHoras[[#This Row],[Jul/2019]:[Set/2019]])</f>
        <v>641.63535578158951</v>
      </c>
      <c r="W935" s="29">
        <f>SUM(BaseHoras[[#This Row],[Out/2019]:[Dez/2019]])</f>
        <v>0</v>
      </c>
    </row>
    <row r="936" spans="1:23">
      <c r="A936" t="s">
        <v>151</v>
      </c>
      <c r="B936" t="s">
        <v>168</v>
      </c>
      <c r="C936" t="s">
        <v>362</v>
      </c>
      <c r="D936" t="s">
        <v>29</v>
      </c>
      <c r="E936" t="s">
        <v>152</v>
      </c>
      <c r="F936">
        <v>5301.6634193232185</v>
      </c>
      <c r="G936">
        <v>107.27404241745457</v>
      </c>
      <c r="H936">
        <v>3281.0539974634307</v>
      </c>
      <c r="I936">
        <v>203.89608421761989</v>
      </c>
      <c r="J936">
        <v>259.10690687114976</v>
      </c>
      <c r="K936">
        <v>0</v>
      </c>
      <c r="L936">
        <v>55.694481920533867</v>
      </c>
      <c r="M936" s="28">
        <v>31.898202884719552</v>
      </c>
      <c r="N936" s="28">
        <v>0</v>
      </c>
      <c r="O936">
        <v>0</v>
      </c>
      <c r="P936">
        <v>0</v>
      </c>
      <c r="Q936">
        <v>0</v>
      </c>
      <c r="R936">
        <v>0</v>
      </c>
      <c r="S936" s="28">
        <v>9240.5871350981288</v>
      </c>
      <c r="T936" s="29">
        <f>SUM(BaseHoras[[#This Row],[Jan/2019]:[Mar/2019]])</f>
        <v>8689.9914592041041</v>
      </c>
      <c r="U936" s="29">
        <f>SUM(BaseHoras[[#This Row],[Abr/2019]:[Jun/2019]])</f>
        <v>463.00299108876965</v>
      </c>
      <c r="V936" s="29">
        <f>SUM(BaseHoras[[#This Row],[Jul/2019]:[Set/2019]])</f>
        <v>87.592684805253413</v>
      </c>
      <c r="W936" s="29">
        <f>SUM(BaseHoras[[#This Row],[Out/2019]:[Dez/2019]])</f>
        <v>0</v>
      </c>
    </row>
    <row r="937" spans="1:23">
      <c r="A937" t="s">
        <v>151</v>
      </c>
      <c r="B937" t="s">
        <v>168</v>
      </c>
      <c r="C937" t="s">
        <v>363</v>
      </c>
      <c r="D937" t="s">
        <v>45</v>
      </c>
      <c r="E937" t="s">
        <v>152</v>
      </c>
      <c r="F937">
        <v>0</v>
      </c>
      <c r="G937">
        <v>0</v>
      </c>
      <c r="H937">
        <v>395.85148383264965</v>
      </c>
      <c r="I937">
        <v>0</v>
      </c>
      <c r="J937">
        <v>0</v>
      </c>
      <c r="K937">
        <v>0</v>
      </c>
      <c r="L937">
        <v>0</v>
      </c>
      <c r="M937" s="28">
        <v>0</v>
      </c>
      <c r="N937" s="28">
        <v>0</v>
      </c>
      <c r="O937">
        <v>0</v>
      </c>
      <c r="P937">
        <v>0</v>
      </c>
      <c r="Q937">
        <v>0</v>
      </c>
      <c r="R937">
        <v>0</v>
      </c>
      <c r="S937" s="28">
        <v>395.85148383264965</v>
      </c>
      <c r="T937" s="29">
        <f>SUM(BaseHoras[[#This Row],[Jan/2019]:[Mar/2019]])</f>
        <v>395.85148383264965</v>
      </c>
      <c r="U937" s="29">
        <f>SUM(BaseHoras[[#This Row],[Abr/2019]:[Jun/2019]])</f>
        <v>0</v>
      </c>
      <c r="V937" s="29">
        <f>SUM(BaseHoras[[#This Row],[Jul/2019]:[Set/2019]])</f>
        <v>0</v>
      </c>
      <c r="W937" s="29">
        <f>SUM(BaseHoras[[#This Row],[Out/2019]:[Dez/2019]])</f>
        <v>0</v>
      </c>
    </row>
    <row r="938" spans="1:23">
      <c r="A938" t="s">
        <v>151</v>
      </c>
      <c r="B938" t="s">
        <v>168</v>
      </c>
      <c r="C938" t="s">
        <v>363</v>
      </c>
      <c r="D938" t="s">
        <v>52</v>
      </c>
      <c r="E938" t="s">
        <v>152</v>
      </c>
      <c r="F938">
        <v>0</v>
      </c>
      <c r="G938">
        <v>152.54704712459235</v>
      </c>
      <c r="H938">
        <v>1.3818816660057327</v>
      </c>
      <c r="I938">
        <v>0</v>
      </c>
      <c r="J938">
        <v>0</v>
      </c>
      <c r="K938">
        <v>0</v>
      </c>
      <c r="L938">
        <v>0</v>
      </c>
      <c r="M938" s="28">
        <v>0</v>
      </c>
      <c r="N938" s="28">
        <v>0</v>
      </c>
      <c r="O938">
        <v>0</v>
      </c>
      <c r="P938">
        <v>0</v>
      </c>
      <c r="Q938">
        <v>0</v>
      </c>
      <c r="R938">
        <v>0</v>
      </c>
      <c r="S938" s="28">
        <v>153.92892879059809</v>
      </c>
      <c r="T938" s="29">
        <f>SUM(BaseHoras[[#This Row],[Jan/2019]:[Mar/2019]])</f>
        <v>153.92892879059809</v>
      </c>
      <c r="U938" s="29">
        <f>SUM(BaseHoras[[#This Row],[Abr/2019]:[Jun/2019]])</f>
        <v>0</v>
      </c>
      <c r="V938" s="29">
        <f>SUM(BaseHoras[[#This Row],[Jul/2019]:[Set/2019]])</f>
        <v>0</v>
      </c>
      <c r="W938" s="29">
        <f>SUM(BaseHoras[[#This Row],[Out/2019]:[Dez/2019]])</f>
        <v>0</v>
      </c>
    </row>
    <row r="939" spans="1:23">
      <c r="A939" t="s">
        <v>151</v>
      </c>
      <c r="B939" t="s">
        <v>168</v>
      </c>
      <c r="C939" t="s">
        <v>363</v>
      </c>
      <c r="D939" t="s">
        <v>102</v>
      </c>
      <c r="E939" t="s">
        <v>152</v>
      </c>
      <c r="F939">
        <v>4.5313654187783641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s="28">
        <v>0</v>
      </c>
      <c r="N939" s="28">
        <v>0</v>
      </c>
      <c r="O939">
        <v>0</v>
      </c>
      <c r="P939">
        <v>0</v>
      </c>
      <c r="Q939">
        <v>0</v>
      </c>
      <c r="R939">
        <v>0</v>
      </c>
      <c r="S939" s="28">
        <v>4.5313654187783641</v>
      </c>
      <c r="T939" s="29">
        <f>SUM(BaseHoras[[#This Row],[Jan/2019]:[Mar/2019]])</f>
        <v>4.5313654187783641</v>
      </c>
      <c r="U939" s="29">
        <f>SUM(BaseHoras[[#This Row],[Abr/2019]:[Jun/2019]])</f>
        <v>0</v>
      </c>
      <c r="V939" s="29">
        <f>SUM(BaseHoras[[#This Row],[Jul/2019]:[Set/2019]])</f>
        <v>0</v>
      </c>
      <c r="W939" s="29">
        <f>SUM(BaseHoras[[#This Row],[Out/2019]:[Dez/2019]])</f>
        <v>0</v>
      </c>
    </row>
    <row r="940" spans="1:23">
      <c r="A940" t="s">
        <v>151</v>
      </c>
      <c r="B940" t="s">
        <v>168</v>
      </c>
      <c r="C940" t="s">
        <v>364</v>
      </c>
      <c r="D940" t="s">
        <v>29</v>
      </c>
      <c r="E940" t="s">
        <v>260</v>
      </c>
      <c r="F940">
        <v>0</v>
      </c>
      <c r="G940">
        <v>10.934505896145447</v>
      </c>
      <c r="H940">
        <v>0</v>
      </c>
      <c r="I940">
        <v>0</v>
      </c>
      <c r="J940">
        <v>0</v>
      </c>
      <c r="K940">
        <v>0</v>
      </c>
      <c r="L940">
        <v>0</v>
      </c>
      <c r="M940" s="28">
        <v>0</v>
      </c>
      <c r="N940" s="28">
        <v>0</v>
      </c>
      <c r="O940">
        <v>0</v>
      </c>
      <c r="P940">
        <v>0</v>
      </c>
      <c r="Q940">
        <v>0</v>
      </c>
      <c r="R940">
        <v>0</v>
      </c>
      <c r="S940" s="28">
        <v>10.934505896145447</v>
      </c>
      <c r="T940" s="29">
        <f>SUM(BaseHoras[[#This Row],[Jan/2019]:[Mar/2019]])</f>
        <v>10.934505896145447</v>
      </c>
      <c r="U940" s="29">
        <f>SUM(BaseHoras[[#This Row],[Abr/2019]:[Jun/2019]])</f>
        <v>0</v>
      </c>
      <c r="V940" s="29">
        <f>SUM(BaseHoras[[#This Row],[Jul/2019]:[Set/2019]])</f>
        <v>0</v>
      </c>
      <c r="W940" s="29">
        <f>SUM(BaseHoras[[#This Row],[Out/2019]:[Dez/2019]])</f>
        <v>0</v>
      </c>
    </row>
    <row r="941" spans="1:23">
      <c r="A941" t="s">
        <v>151</v>
      </c>
      <c r="B941" t="s">
        <v>168</v>
      </c>
      <c r="C941" t="s">
        <v>364</v>
      </c>
      <c r="D941" t="s">
        <v>30</v>
      </c>
      <c r="E941" t="s">
        <v>260</v>
      </c>
      <c r="F941">
        <v>0</v>
      </c>
      <c r="G941">
        <v>25.86600231275759</v>
      </c>
      <c r="H941">
        <v>65203.041283644292</v>
      </c>
      <c r="I941">
        <v>4420.6142719014915</v>
      </c>
      <c r="J941">
        <v>0</v>
      </c>
      <c r="K941">
        <v>0</v>
      </c>
      <c r="L941">
        <v>0</v>
      </c>
      <c r="M941" s="28">
        <v>0</v>
      </c>
      <c r="N941" s="28">
        <v>0</v>
      </c>
      <c r="O941">
        <v>0</v>
      </c>
      <c r="P941">
        <v>0</v>
      </c>
      <c r="Q941">
        <v>0</v>
      </c>
      <c r="R941">
        <v>0</v>
      </c>
      <c r="S941" s="28">
        <v>69649.521557858548</v>
      </c>
      <c r="T941" s="29">
        <f>SUM(BaseHoras[[#This Row],[Jan/2019]:[Mar/2019]])</f>
        <v>65228.907285957051</v>
      </c>
      <c r="U941" s="29">
        <f>SUM(BaseHoras[[#This Row],[Abr/2019]:[Jun/2019]])</f>
        <v>4420.6142719014915</v>
      </c>
      <c r="V941" s="29">
        <f>SUM(BaseHoras[[#This Row],[Jul/2019]:[Set/2019]])</f>
        <v>0</v>
      </c>
      <c r="W941" s="29">
        <f>SUM(BaseHoras[[#This Row],[Out/2019]:[Dez/2019]])</f>
        <v>0</v>
      </c>
    </row>
    <row r="942" spans="1:23">
      <c r="A942" t="s">
        <v>151</v>
      </c>
      <c r="B942" t="s">
        <v>168</v>
      </c>
      <c r="C942" t="s">
        <v>364</v>
      </c>
      <c r="D942" t="s">
        <v>36</v>
      </c>
      <c r="E942" t="s">
        <v>260</v>
      </c>
      <c r="F942">
        <v>0</v>
      </c>
      <c r="G942">
        <v>0</v>
      </c>
      <c r="H942">
        <v>0</v>
      </c>
      <c r="I942">
        <v>95.730939620776311</v>
      </c>
      <c r="J942">
        <v>52.007294565464647</v>
      </c>
      <c r="K942">
        <v>0</v>
      </c>
      <c r="L942">
        <v>0</v>
      </c>
      <c r="M942" s="28">
        <v>0</v>
      </c>
      <c r="N942" s="28">
        <v>0</v>
      </c>
      <c r="O942">
        <v>0</v>
      </c>
      <c r="P942">
        <v>0</v>
      </c>
      <c r="Q942">
        <v>0</v>
      </c>
      <c r="R942">
        <v>0</v>
      </c>
      <c r="S942" s="28">
        <v>147.73823418624096</v>
      </c>
      <c r="T942" s="29">
        <f>SUM(BaseHoras[[#This Row],[Jan/2019]:[Mar/2019]])</f>
        <v>0</v>
      </c>
      <c r="U942" s="29">
        <f>SUM(BaseHoras[[#This Row],[Abr/2019]:[Jun/2019]])</f>
        <v>147.73823418624096</v>
      </c>
      <c r="V942" s="29">
        <f>SUM(BaseHoras[[#This Row],[Jul/2019]:[Set/2019]])</f>
        <v>0</v>
      </c>
      <c r="W942" s="29">
        <f>SUM(BaseHoras[[#This Row],[Out/2019]:[Dez/2019]])</f>
        <v>0</v>
      </c>
    </row>
    <row r="943" spans="1:23">
      <c r="A943" t="s">
        <v>151</v>
      </c>
      <c r="B943" t="s">
        <v>168</v>
      </c>
      <c r="C943" t="s">
        <v>364</v>
      </c>
      <c r="D943" t="s">
        <v>48</v>
      </c>
      <c r="E943" t="s">
        <v>260</v>
      </c>
      <c r="F943">
        <v>688.98038024424318</v>
      </c>
      <c r="G943">
        <v>99.579075292194318</v>
      </c>
      <c r="H943">
        <v>0</v>
      </c>
      <c r="I943">
        <v>0</v>
      </c>
      <c r="J943">
        <v>0</v>
      </c>
      <c r="K943">
        <v>0</v>
      </c>
      <c r="L943">
        <v>0</v>
      </c>
      <c r="M943" s="28">
        <v>0</v>
      </c>
      <c r="N943" s="28">
        <v>0</v>
      </c>
      <c r="O943">
        <v>0</v>
      </c>
      <c r="P943">
        <v>0</v>
      </c>
      <c r="Q943">
        <v>0</v>
      </c>
      <c r="R943">
        <v>0</v>
      </c>
      <c r="S943" s="28">
        <v>788.55945553643755</v>
      </c>
      <c r="T943" s="29">
        <f>SUM(BaseHoras[[#This Row],[Jan/2019]:[Mar/2019]])</f>
        <v>788.55945553643755</v>
      </c>
      <c r="U943" s="29">
        <f>SUM(BaseHoras[[#This Row],[Abr/2019]:[Jun/2019]])</f>
        <v>0</v>
      </c>
      <c r="V943" s="29">
        <f>SUM(BaseHoras[[#This Row],[Jul/2019]:[Set/2019]])</f>
        <v>0</v>
      </c>
      <c r="W943" s="29">
        <f>SUM(BaseHoras[[#This Row],[Out/2019]:[Dez/2019]])</f>
        <v>0</v>
      </c>
    </row>
    <row r="944" spans="1:23">
      <c r="A944" t="s">
        <v>151</v>
      </c>
      <c r="B944" t="s">
        <v>168</v>
      </c>
      <c r="C944" t="s">
        <v>364</v>
      </c>
      <c r="D944" t="s">
        <v>49</v>
      </c>
      <c r="E944" t="s">
        <v>260</v>
      </c>
      <c r="F944">
        <v>37.406130345363266</v>
      </c>
      <c r="G944">
        <v>863.44375883354417</v>
      </c>
      <c r="H944">
        <v>401.62128374072125</v>
      </c>
      <c r="I944">
        <v>130.7594617249085</v>
      </c>
      <c r="J944">
        <v>180.80697196277924</v>
      </c>
      <c r="K944">
        <v>0</v>
      </c>
      <c r="L944">
        <v>0</v>
      </c>
      <c r="M944" s="28">
        <v>233.51618848047042</v>
      </c>
      <c r="N944" s="28">
        <v>0</v>
      </c>
      <c r="O944">
        <v>59.590485980035581</v>
      </c>
      <c r="P944">
        <v>62.281025301153775</v>
      </c>
      <c r="Q944">
        <v>0</v>
      </c>
      <c r="R944">
        <v>0</v>
      </c>
      <c r="S944" s="28">
        <v>1969.4253063689762</v>
      </c>
      <c r="T944" s="29">
        <f>SUM(BaseHoras[[#This Row],[Jan/2019]:[Mar/2019]])</f>
        <v>1302.4711729196288</v>
      </c>
      <c r="U944" s="29">
        <f>SUM(BaseHoras[[#This Row],[Abr/2019]:[Jun/2019]])</f>
        <v>311.56643368768778</v>
      </c>
      <c r="V944" s="29">
        <f>SUM(BaseHoras[[#This Row],[Jul/2019]:[Set/2019]])</f>
        <v>233.51618848047042</v>
      </c>
      <c r="W944" s="29">
        <f>SUM(BaseHoras[[#This Row],[Out/2019]:[Dez/2019]])</f>
        <v>121.87151128118936</v>
      </c>
    </row>
    <row r="945" spans="1:23">
      <c r="A945" t="s">
        <v>151</v>
      </c>
      <c r="B945" t="s">
        <v>168</v>
      </c>
      <c r="C945" t="s">
        <v>364</v>
      </c>
      <c r="D945" t="s">
        <v>57</v>
      </c>
      <c r="E945" t="s">
        <v>260</v>
      </c>
      <c r="F945">
        <v>470.708058609028</v>
      </c>
      <c r="G945">
        <v>279.76871419121824</v>
      </c>
      <c r="H945">
        <v>0</v>
      </c>
      <c r="I945">
        <v>0</v>
      </c>
      <c r="J945">
        <v>0</v>
      </c>
      <c r="K945">
        <v>0</v>
      </c>
      <c r="L945">
        <v>0</v>
      </c>
      <c r="M945" s="28">
        <v>0</v>
      </c>
      <c r="N945" s="28">
        <v>0</v>
      </c>
      <c r="O945">
        <v>0</v>
      </c>
      <c r="P945">
        <v>0</v>
      </c>
      <c r="Q945">
        <v>0</v>
      </c>
      <c r="R945">
        <v>0</v>
      </c>
      <c r="S945" s="28">
        <v>750.47677280024618</v>
      </c>
      <c r="T945" s="29">
        <f>SUM(BaseHoras[[#This Row],[Jan/2019]:[Mar/2019]])</f>
        <v>750.47677280024618</v>
      </c>
      <c r="U945" s="29">
        <f>SUM(BaseHoras[[#This Row],[Abr/2019]:[Jun/2019]])</f>
        <v>0</v>
      </c>
      <c r="V945" s="29">
        <f>SUM(BaseHoras[[#This Row],[Jul/2019]:[Set/2019]])</f>
        <v>0</v>
      </c>
      <c r="W945" s="29">
        <f>SUM(BaseHoras[[#This Row],[Out/2019]:[Dez/2019]])</f>
        <v>0</v>
      </c>
    </row>
    <row r="946" spans="1:23">
      <c r="A946" t="s">
        <v>151</v>
      </c>
      <c r="B946" t="s">
        <v>168</v>
      </c>
      <c r="C946" t="s">
        <v>364</v>
      </c>
      <c r="D946" t="s">
        <v>60</v>
      </c>
      <c r="E946" t="s">
        <v>260</v>
      </c>
      <c r="F946">
        <v>914.80684311548475</v>
      </c>
      <c r="G946">
        <v>36.62928021746653</v>
      </c>
      <c r="H946">
        <v>312.64491120202723</v>
      </c>
      <c r="I946">
        <v>171.44731519196736</v>
      </c>
      <c r="J946">
        <v>0</v>
      </c>
      <c r="K946">
        <v>0</v>
      </c>
      <c r="L946">
        <v>0</v>
      </c>
      <c r="M946" s="28">
        <v>0</v>
      </c>
      <c r="N946" s="28">
        <v>0</v>
      </c>
      <c r="O946">
        <v>0</v>
      </c>
      <c r="P946">
        <v>0</v>
      </c>
      <c r="Q946">
        <v>0</v>
      </c>
      <c r="R946">
        <v>0</v>
      </c>
      <c r="S946" s="28">
        <v>1435.5283497269459</v>
      </c>
      <c r="T946" s="29">
        <f>SUM(BaseHoras[[#This Row],[Jan/2019]:[Mar/2019]])</f>
        <v>1264.0810345349785</v>
      </c>
      <c r="U946" s="29">
        <f>SUM(BaseHoras[[#This Row],[Abr/2019]:[Jun/2019]])</f>
        <v>171.44731519196736</v>
      </c>
      <c r="V946" s="29">
        <f>SUM(BaseHoras[[#This Row],[Jul/2019]:[Set/2019]])</f>
        <v>0</v>
      </c>
      <c r="W946" s="29">
        <f>SUM(BaseHoras[[#This Row],[Out/2019]:[Dez/2019]])</f>
        <v>0</v>
      </c>
    </row>
    <row r="947" spans="1:23">
      <c r="A947" t="s">
        <v>151</v>
      </c>
      <c r="B947" t="s">
        <v>168</v>
      </c>
      <c r="C947" t="s">
        <v>364</v>
      </c>
      <c r="D947" t="s">
        <v>64</v>
      </c>
      <c r="E947" t="s">
        <v>260</v>
      </c>
      <c r="F947">
        <v>0</v>
      </c>
      <c r="G947">
        <v>99.700658620086642</v>
      </c>
      <c r="H947">
        <v>647.30966734278843</v>
      </c>
      <c r="I947">
        <v>0</v>
      </c>
      <c r="J947">
        <v>245.71242416363469</v>
      </c>
      <c r="K947">
        <v>0</v>
      </c>
      <c r="L947">
        <v>268.03020719567832</v>
      </c>
      <c r="M947" s="28">
        <v>0</v>
      </c>
      <c r="N947" s="28">
        <v>61.938579630355598</v>
      </c>
      <c r="O947">
        <v>111.72085084018164</v>
      </c>
      <c r="P947">
        <v>33.617717275039418</v>
      </c>
      <c r="Q947">
        <v>0</v>
      </c>
      <c r="R947">
        <v>0</v>
      </c>
      <c r="S947" s="28">
        <v>1468.0301050677647</v>
      </c>
      <c r="T947" s="29">
        <f>SUM(BaseHoras[[#This Row],[Jan/2019]:[Mar/2019]])</f>
        <v>747.01032596287507</v>
      </c>
      <c r="U947" s="29">
        <f>SUM(BaseHoras[[#This Row],[Abr/2019]:[Jun/2019]])</f>
        <v>245.71242416363469</v>
      </c>
      <c r="V947" s="29">
        <f>SUM(BaseHoras[[#This Row],[Jul/2019]:[Set/2019]])</f>
        <v>329.96878682603392</v>
      </c>
      <c r="W947" s="29">
        <f>SUM(BaseHoras[[#This Row],[Out/2019]:[Dez/2019]])</f>
        <v>145.33856811522105</v>
      </c>
    </row>
    <row r="948" spans="1:23">
      <c r="A948" t="s">
        <v>151</v>
      </c>
      <c r="B948" t="s">
        <v>168</v>
      </c>
      <c r="C948" t="s">
        <v>364</v>
      </c>
      <c r="D948" t="s">
        <v>65</v>
      </c>
      <c r="E948" t="s">
        <v>260</v>
      </c>
      <c r="F948">
        <v>0</v>
      </c>
      <c r="G948">
        <v>27966.840725866878</v>
      </c>
      <c r="H948">
        <v>0</v>
      </c>
      <c r="I948">
        <v>0</v>
      </c>
      <c r="J948">
        <v>0</v>
      </c>
      <c r="K948">
        <v>0</v>
      </c>
      <c r="L948">
        <v>0</v>
      </c>
      <c r="M948" s="28">
        <v>0</v>
      </c>
      <c r="N948" s="28">
        <v>0</v>
      </c>
      <c r="O948">
        <v>0</v>
      </c>
      <c r="P948">
        <v>0</v>
      </c>
      <c r="Q948">
        <v>0</v>
      </c>
      <c r="R948">
        <v>0</v>
      </c>
      <c r="S948" s="28">
        <v>27966.840725866878</v>
      </c>
      <c r="T948" s="29">
        <f>SUM(BaseHoras[[#This Row],[Jan/2019]:[Mar/2019]])</f>
        <v>27966.840725866878</v>
      </c>
      <c r="U948" s="29">
        <f>SUM(BaseHoras[[#This Row],[Abr/2019]:[Jun/2019]])</f>
        <v>0</v>
      </c>
      <c r="V948" s="29">
        <f>SUM(BaseHoras[[#This Row],[Jul/2019]:[Set/2019]])</f>
        <v>0</v>
      </c>
      <c r="W948" s="29">
        <f>SUM(BaseHoras[[#This Row],[Out/2019]:[Dez/2019]])</f>
        <v>0</v>
      </c>
    </row>
    <row r="949" spans="1:23">
      <c r="A949" t="s">
        <v>151</v>
      </c>
      <c r="B949" t="s">
        <v>168</v>
      </c>
      <c r="C949" t="s">
        <v>364</v>
      </c>
      <c r="D949" t="s">
        <v>80</v>
      </c>
      <c r="E949" t="s">
        <v>260</v>
      </c>
      <c r="F949">
        <v>0</v>
      </c>
      <c r="G949">
        <v>0</v>
      </c>
      <c r="H949">
        <v>65.107012047111027</v>
      </c>
      <c r="I949">
        <v>0</v>
      </c>
      <c r="J949">
        <v>0</v>
      </c>
      <c r="K949">
        <v>0</v>
      </c>
      <c r="L949">
        <v>0</v>
      </c>
      <c r="M949" s="28">
        <v>25.060440087105789</v>
      </c>
      <c r="N949" s="28">
        <v>0</v>
      </c>
      <c r="O949">
        <v>0</v>
      </c>
      <c r="P949">
        <v>0</v>
      </c>
      <c r="Q949">
        <v>0</v>
      </c>
      <c r="R949">
        <v>0</v>
      </c>
      <c r="S949" s="28">
        <v>90.167452134216816</v>
      </c>
      <c r="T949" s="29">
        <f>SUM(BaseHoras[[#This Row],[Jan/2019]:[Mar/2019]])</f>
        <v>65.107012047111027</v>
      </c>
      <c r="U949" s="29">
        <f>SUM(BaseHoras[[#This Row],[Abr/2019]:[Jun/2019]])</f>
        <v>0</v>
      </c>
      <c r="V949" s="29">
        <f>SUM(BaseHoras[[#This Row],[Jul/2019]:[Set/2019]])</f>
        <v>25.060440087105789</v>
      </c>
      <c r="W949" s="29">
        <f>SUM(BaseHoras[[#This Row],[Out/2019]:[Dez/2019]])</f>
        <v>0</v>
      </c>
    </row>
    <row r="950" spans="1:23">
      <c r="A950" t="s">
        <v>151</v>
      </c>
      <c r="B950" t="s">
        <v>168</v>
      </c>
      <c r="C950" t="s">
        <v>364</v>
      </c>
      <c r="D950" t="s">
        <v>82</v>
      </c>
      <c r="E950" t="s">
        <v>260</v>
      </c>
      <c r="F950">
        <v>0</v>
      </c>
      <c r="G950">
        <v>0</v>
      </c>
      <c r="H950">
        <v>0</v>
      </c>
      <c r="I950">
        <v>0</v>
      </c>
      <c r="J950">
        <v>241.3427695140719</v>
      </c>
      <c r="K950">
        <v>0</v>
      </c>
      <c r="L950">
        <v>0</v>
      </c>
      <c r="M950" s="28">
        <v>0</v>
      </c>
      <c r="N950" s="28">
        <v>0</v>
      </c>
      <c r="O950">
        <v>0</v>
      </c>
      <c r="P950">
        <v>0</v>
      </c>
      <c r="Q950">
        <v>0</v>
      </c>
      <c r="R950">
        <v>0</v>
      </c>
      <c r="S950" s="28">
        <v>241.3427695140719</v>
      </c>
      <c r="T950" s="29">
        <f>SUM(BaseHoras[[#This Row],[Jan/2019]:[Mar/2019]])</f>
        <v>0</v>
      </c>
      <c r="U950" s="29">
        <f>SUM(BaseHoras[[#This Row],[Abr/2019]:[Jun/2019]])</f>
        <v>241.3427695140719</v>
      </c>
      <c r="V950" s="29">
        <f>SUM(BaseHoras[[#This Row],[Jul/2019]:[Set/2019]])</f>
        <v>0</v>
      </c>
      <c r="W950" s="29">
        <f>SUM(BaseHoras[[#This Row],[Out/2019]:[Dez/2019]])</f>
        <v>0</v>
      </c>
    </row>
    <row r="951" spans="1:23">
      <c r="A951" t="s">
        <v>151</v>
      </c>
      <c r="B951" t="s">
        <v>168</v>
      </c>
      <c r="C951" t="s">
        <v>364</v>
      </c>
      <c r="D951" t="s">
        <v>87</v>
      </c>
      <c r="E951" t="s">
        <v>260</v>
      </c>
      <c r="F951">
        <v>63.202127478873493</v>
      </c>
      <c r="G951">
        <v>230.95015549533801</v>
      </c>
      <c r="H951">
        <v>1398.7308117050732</v>
      </c>
      <c r="I951">
        <v>57.23512523854675</v>
      </c>
      <c r="J951">
        <v>92.558474798907639</v>
      </c>
      <c r="K951">
        <v>14.616627719602228</v>
      </c>
      <c r="L951">
        <v>2745.9501811393916</v>
      </c>
      <c r="M951" s="28">
        <v>80.496131972851259</v>
      </c>
      <c r="N951" s="28">
        <v>204.28596862659279</v>
      </c>
      <c r="O951">
        <v>374.0973143902109</v>
      </c>
      <c r="P951">
        <v>410.63149518117143</v>
      </c>
      <c r="Q951">
        <v>244.1429723895599</v>
      </c>
      <c r="R951">
        <v>0</v>
      </c>
      <c r="S951" s="28">
        <v>5916.8973861361192</v>
      </c>
      <c r="T951" s="29">
        <f>SUM(BaseHoras[[#This Row],[Jan/2019]:[Mar/2019]])</f>
        <v>1692.8830946792846</v>
      </c>
      <c r="U951" s="29">
        <f>SUM(BaseHoras[[#This Row],[Abr/2019]:[Jun/2019]])</f>
        <v>164.41022775705662</v>
      </c>
      <c r="V951" s="29">
        <f>SUM(BaseHoras[[#This Row],[Jul/2019]:[Set/2019]])</f>
        <v>3030.7322817388358</v>
      </c>
      <c r="W951" s="29">
        <f>SUM(BaseHoras[[#This Row],[Out/2019]:[Dez/2019]])</f>
        <v>1028.8717819609421</v>
      </c>
    </row>
    <row r="952" spans="1:23">
      <c r="A952" t="s">
        <v>151</v>
      </c>
      <c r="B952" t="s">
        <v>168</v>
      </c>
      <c r="C952" t="s">
        <v>364</v>
      </c>
      <c r="D952" t="s">
        <v>98</v>
      </c>
      <c r="E952" t="s">
        <v>260</v>
      </c>
      <c r="F952">
        <v>0</v>
      </c>
      <c r="G952">
        <v>1056.0709857227976</v>
      </c>
      <c r="H952">
        <v>145.22297625588428</v>
      </c>
      <c r="I952">
        <v>59.332393563375177</v>
      </c>
      <c r="J952">
        <v>0</v>
      </c>
      <c r="K952">
        <v>0</v>
      </c>
      <c r="L952">
        <v>0</v>
      </c>
      <c r="M952" s="28">
        <v>0</v>
      </c>
      <c r="N952" s="28">
        <v>0</v>
      </c>
      <c r="O952">
        <v>0</v>
      </c>
      <c r="P952">
        <v>0</v>
      </c>
      <c r="Q952">
        <v>0</v>
      </c>
      <c r="R952">
        <v>0</v>
      </c>
      <c r="S952" s="28">
        <v>1260.6263555420571</v>
      </c>
      <c r="T952" s="29">
        <f>SUM(BaseHoras[[#This Row],[Jan/2019]:[Mar/2019]])</f>
        <v>1201.2939619786819</v>
      </c>
      <c r="U952" s="29">
        <f>SUM(BaseHoras[[#This Row],[Abr/2019]:[Jun/2019]])</f>
        <v>59.332393563375177</v>
      </c>
      <c r="V952" s="29">
        <f>SUM(BaseHoras[[#This Row],[Jul/2019]:[Set/2019]])</f>
        <v>0</v>
      </c>
      <c r="W952" s="29">
        <f>SUM(BaseHoras[[#This Row],[Out/2019]:[Dez/2019]])</f>
        <v>0</v>
      </c>
    </row>
    <row r="953" spans="1:23">
      <c r="A953" t="s">
        <v>151</v>
      </c>
      <c r="B953" t="s">
        <v>168</v>
      </c>
      <c r="C953" t="s">
        <v>364</v>
      </c>
      <c r="D953" t="s">
        <v>107</v>
      </c>
      <c r="E953" t="s">
        <v>260</v>
      </c>
      <c r="F953">
        <v>0</v>
      </c>
      <c r="G953">
        <v>0</v>
      </c>
      <c r="H953">
        <v>0</v>
      </c>
      <c r="I953">
        <v>41.096015320138164</v>
      </c>
      <c r="J953">
        <v>0</v>
      </c>
      <c r="K953">
        <v>0</v>
      </c>
      <c r="L953">
        <v>0</v>
      </c>
      <c r="M953" s="28">
        <v>0</v>
      </c>
      <c r="N953" s="28">
        <v>0</v>
      </c>
      <c r="O953">
        <v>0</v>
      </c>
      <c r="P953">
        <v>0</v>
      </c>
      <c r="Q953">
        <v>0</v>
      </c>
      <c r="R953">
        <v>0</v>
      </c>
      <c r="S953" s="28">
        <v>41.096015320138164</v>
      </c>
      <c r="T953" s="29">
        <f>SUM(BaseHoras[[#This Row],[Jan/2019]:[Mar/2019]])</f>
        <v>0</v>
      </c>
      <c r="U953" s="29">
        <f>SUM(BaseHoras[[#This Row],[Abr/2019]:[Jun/2019]])</f>
        <v>41.096015320138164</v>
      </c>
      <c r="V953" s="29">
        <f>SUM(BaseHoras[[#This Row],[Jul/2019]:[Set/2019]])</f>
        <v>0</v>
      </c>
      <c r="W953" s="29">
        <f>SUM(BaseHoras[[#This Row],[Out/2019]:[Dez/2019]])</f>
        <v>0</v>
      </c>
    </row>
    <row r="954" spans="1:23">
      <c r="A954" t="s">
        <v>151</v>
      </c>
      <c r="B954" t="s">
        <v>168</v>
      </c>
      <c r="C954" t="s">
        <v>364</v>
      </c>
      <c r="D954" t="s">
        <v>122</v>
      </c>
      <c r="E954" t="s">
        <v>260</v>
      </c>
      <c r="F954">
        <v>6804.4291145870848</v>
      </c>
      <c r="G954">
        <v>1114.9397557680015</v>
      </c>
      <c r="H954">
        <v>4436.1041580465599</v>
      </c>
      <c r="I954">
        <v>544.44662412480136</v>
      </c>
      <c r="J954">
        <v>159.93737365672911</v>
      </c>
      <c r="K954">
        <v>0</v>
      </c>
      <c r="L954">
        <v>25.059780730917758</v>
      </c>
      <c r="M954" s="28">
        <v>359.97320066364932</v>
      </c>
      <c r="N954" s="28">
        <v>236.72161467289678</v>
      </c>
      <c r="O954">
        <v>285.30744587664833</v>
      </c>
      <c r="P954">
        <v>1481.937143312151</v>
      </c>
      <c r="Q954">
        <v>0</v>
      </c>
      <c r="R954">
        <v>0</v>
      </c>
      <c r="S954" s="28">
        <v>15448.856211439439</v>
      </c>
      <c r="T954" s="29">
        <f>SUM(BaseHoras[[#This Row],[Jan/2019]:[Mar/2019]])</f>
        <v>12355.473028401646</v>
      </c>
      <c r="U954" s="29">
        <f>SUM(BaseHoras[[#This Row],[Abr/2019]:[Jun/2019]])</f>
        <v>704.38399778153052</v>
      </c>
      <c r="V954" s="29">
        <f>SUM(BaseHoras[[#This Row],[Jul/2019]:[Set/2019]])</f>
        <v>621.75459606746381</v>
      </c>
      <c r="W954" s="29">
        <f>SUM(BaseHoras[[#This Row],[Out/2019]:[Dez/2019]])</f>
        <v>1767.2445891887992</v>
      </c>
    </row>
    <row r="955" spans="1:23">
      <c r="A955" t="s">
        <v>151</v>
      </c>
      <c r="B955" t="s">
        <v>168</v>
      </c>
      <c r="C955" t="s">
        <v>365</v>
      </c>
      <c r="D955" t="s">
        <v>44</v>
      </c>
      <c r="E955" t="s">
        <v>260</v>
      </c>
      <c r="F955">
        <v>364.7016110645128</v>
      </c>
      <c r="G955">
        <v>0</v>
      </c>
      <c r="H955">
        <v>0</v>
      </c>
      <c r="I955">
        <v>5814.7322140684528</v>
      </c>
      <c r="J955">
        <v>6168.0157265557809</v>
      </c>
      <c r="K955">
        <v>0</v>
      </c>
      <c r="L955">
        <v>0</v>
      </c>
      <c r="M955" s="28">
        <v>0</v>
      </c>
      <c r="N955" s="28">
        <v>0</v>
      </c>
      <c r="O955">
        <v>0</v>
      </c>
      <c r="P955">
        <v>0</v>
      </c>
      <c r="Q955">
        <v>0</v>
      </c>
      <c r="R955">
        <v>0</v>
      </c>
      <c r="S955" s="28">
        <v>12347.449551688747</v>
      </c>
      <c r="T955" s="29">
        <f>SUM(BaseHoras[[#This Row],[Jan/2019]:[Mar/2019]])</f>
        <v>364.7016110645128</v>
      </c>
      <c r="U955" s="29">
        <f>SUM(BaseHoras[[#This Row],[Abr/2019]:[Jun/2019]])</f>
        <v>11982.747940624235</v>
      </c>
      <c r="V955" s="29">
        <f>SUM(BaseHoras[[#This Row],[Jul/2019]:[Set/2019]])</f>
        <v>0</v>
      </c>
      <c r="W955" s="29">
        <f>SUM(BaseHoras[[#This Row],[Out/2019]:[Dez/2019]])</f>
        <v>0</v>
      </c>
    </row>
    <row r="956" spans="1:23">
      <c r="A956" t="s">
        <v>151</v>
      </c>
      <c r="B956" t="s">
        <v>168</v>
      </c>
      <c r="C956" t="s">
        <v>365</v>
      </c>
      <c r="D956" t="s">
        <v>49</v>
      </c>
      <c r="E956" t="s">
        <v>260</v>
      </c>
      <c r="F956">
        <v>0</v>
      </c>
      <c r="G956">
        <v>0</v>
      </c>
      <c r="H956">
        <v>0</v>
      </c>
      <c r="I956">
        <v>41.910744128057686</v>
      </c>
      <c r="J956">
        <v>0</v>
      </c>
      <c r="K956">
        <v>0</v>
      </c>
      <c r="L956">
        <v>0</v>
      </c>
      <c r="M956" s="28">
        <v>0</v>
      </c>
      <c r="N956" s="28">
        <v>0</v>
      </c>
      <c r="O956">
        <v>0</v>
      </c>
      <c r="P956">
        <v>0</v>
      </c>
      <c r="Q956">
        <v>0</v>
      </c>
      <c r="R956">
        <v>0</v>
      </c>
      <c r="S956" s="28">
        <v>41.910744128057686</v>
      </c>
      <c r="T956" s="29">
        <f>SUM(BaseHoras[[#This Row],[Jan/2019]:[Mar/2019]])</f>
        <v>0</v>
      </c>
      <c r="U956" s="29">
        <f>SUM(BaseHoras[[#This Row],[Abr/2019]:[Jun/2019]])</f>
        <v>41.910744128057686</v>
      </c>
      <c r="V956" s="29">
        <f>SUM(BaseHoras[[#This Row],[Jul/2019]:[Set/2019]])</f>
        <v>0</v>
      </c>
      <c r="W956" s="29">
        <f>SUM(BaseHoras[[#This Row],[Out/2019]:[Dez/2019]])</f>
        <v>0</v>
      </c>
    </row>
    <row r="957" spans="1:23">
      <c r="A957" t="s">
        <v>151</v>
      </c>
      <c r="B957" t="s">
        <v>168</v>
      </c>
      <c r="C957" t="s">
        <v>365</v>
      </c>
      <c r="D957" t="s">
        <v>64</v>
      </c>
      <c r="E957" t="s">
        <v>260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16.896209258932462</v>
      </c>
      <c r="L957">
        <v>0</v>
      </c>
      <c r="M957" s="28">
        <v>0</v>
      </c>
      <c r="N957" s="28">
        <v>0</v>
      </c>
      <c r="O957">
        <v>0</v>
      </c>
      <c r="P957">
        <v>0</v>
      </c>
      <c r="Q957">
        <v>0</v>
      </c>
      <c r="R957">
        <v>0</v>
      </c>
      <c r="S957" s="28">
        <v>16.896209258932462</v>
      </c>
      <c r="T957" s="29">
        <f>SUM(BaseHoras[[#This Row],[Jan/2019]:[Mar/2019]])</f>
        <v>0</v>
      </c>
      <c r="U957" s="29">
        <f>SUM(BaseHoras[[#This Row],[Abr/2019]:[Jun/2019]])</f>
        <v>16.896209258932462</v>
      </c>
      <c r="V957" s="29">
        <f>SUM(BaseHoras[[#This Row],[Jul/2019]:[Set/2019]])</f>
        <v>0</v>
      </c>
      <c r="W957" s="29">
        <f>SUM(BaseHoras[[#This Row],[Out/2019]:[Dez/2019]])</f>
        <v>0</v>
      </c>
    </row>
    <row r="958" spans="1:23">
      <c r="A958" t="s">
        <v>151</v>
      </c>
      <c r="B958" t="s">
        <v>168</v>
      </c>
      <c r="C958" t="s">
        <v>365</v>
      </c>
      <c r="D958" t="s">
        <v>87</v>
      </c>
      <c r="E958" t="s">
        <v>260</v>
      </c>
      <c r="F958">
        <v>0</v>
      </c>
      <c r="G958">
        <v>59.430694058625278</v>
      </c>
      <c r="H958">
        <v>21.137320676532141</v>
      </c>
      <c r="I958">
        <v>0</v>
      </c>
      <c r="J958">
        <v>0</v>
      </c>
      <c r="K958">
        <v>0</v>
      </c>
      <c r="L958">
        <v>0</v>
      </c>
      <c r="M958" s="28">
        <v>0</v>
      </c>
      <c r="N958" s="28">
        <v>0</v>
      </c>
      <c r="O958">
        <v>5.7499311656763785</v>
      </c>
      <c r="P958">
        <v>0</v>
      </c>
      <c r="Q958">
        <v>0</v>
      </c>
      <c r="R958">
        <v>0</v>
      </c>
      <c r="S958" s="28">
        <v>86.317945900833791</v>
      </c>
      <c r="T958" s="29">
        <f>SUM(BaseHoras[[#This Row],[Jan/2019]:[Mar/2019]])</f>
        <v>80.568014735157419</v>
      </c>
      <c r="U958" s="29">
        <f>SUM(BaseHoras[[#This Row],[Abr/2019]:[Jun/2019]])</f>
        <v>0</v>
      </c>
      <c r="V958" s="29">
        <f>SUM(BaseHoras[[#This Row],[Jul/2019]:[Set/2019]])</f>
        <v>0</v>
      </c>
      <c r="W958" s="29">
        <f>SUM(BaseHoras[[#This Row],[Out/2019]:[Dez/2019]])</f>
        <v>5.7499311656763785</v>
      </c>
    </row>
    <row r="959" spans="1:23">
      <c r="A959" t="s">
        <v>151</v>
      </c>
      <c r="B959" t="s">
        <v>168</v>
      </c>
      <c r="C959" t="s">
        <v>365</v>
      </c>
      <c r="D959" t="s">
        <v>129</v>
      </c>
      <c r="E959" t="s">
        <v>260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14.484309952944381</v>
      </c>
      <c r="L959">
        <v>0</v>
      </c>
      <c r="M959" s="28">
        <v>0</v>
      </c>
      <c r="N959" s="28">
        <v>0</v>
      </c>
      <c r="O959">
        <v>9.3629743627912134</v>
      </c>
      <c r="P959">
        <v>0</v>
      </c>
      <c r="Q959">
        <v>0</v>
      </c>
      <c r="R959">
        <v>0</v>
      </c>
      <c r="S959" s="28">
        <v>23.847284315735592</v>
      </c>
      <c r="T959" s="29">
        <f>SUM(BaseHoras[[#This Row],[Jan/2019]:[Mar/2019]])</f>
        <v>0</v>
      </c>
      <c r="U959" s="29">
        <f>SUM(BaseHoras[[#This Row],[Abr/2019]:[Jun/2019]])</f>
        <v>14.484309952944381</v>
      </c>
      <c r="V959" s="29">
        <f>SUM(BaseHoras[[#This Row],[Jul/2019]:[Set/2019]])</f>
        <v>0</v>
      </c>
      <c r="W959" s="29">
        <f>SUM(BaseHoras[[#This Row],[Out/2019]:[Dez/2019]])</f>
        <v>9.3629743627912134</v>
      </c>
    </row>
    <row r="960" spans="1:23">
      <c r="A960" t="s">
        <v>151</v>
      </c>
      <c r="B960" t="s">
        <v>168</v>
      </c>
      <c r="C960" t="s">
        <v>161</v>
      </c>
      <c r="D960" t="s">
        <v>35</v>
      </c>
      <c r="E960" t="s">
        <v>152</v>
      </c>
      <c r="F960">
        <v>0</v>
      </c>
      <c r="G960">
        <v>0</v>
      </c>
      <c r="H960">
        <v>89.809518276739695</v>
      </c>
      <c r="I960">
        <v>906.29788930838868</v>
      </c>
      <c r="J960">
        <v>0</v>
      </c>
      <c r="K960">
        <v>0</v>
      </c>
      <c r="L960">
        <v>0</v>
      </c>
      <c r="M960" s="28">
        <v>0</v>
      </c>
      <c r="N960" s="28">
        <v>0</v>
      </c>
      <c r="O960">
        <v>103.89013061532778</v>
      </c>
      <c r="P960">
        <v>0</v>
      </c>
      <c r="Q960">
        <v>0</v>
      </c>
      <c r="R960">
        <v>0</v>
      </c>
      <c r="S960" s="28">
        <v>1099.9975382004561</v>
      </c>
      <c r="T960" s="29">
        <f>SUM(BaseHoras[[#This Row],[Jan/2019]:[Mar/2019]])</f>
        <v>89.809518276739695</v>
      </c>
      <c r="U960" s="29">
        <f>SUM(BaseHoras[[#This Row],[Abr/2019]:[Jun/2019]])</f>
        <v>906.29788930838868</v>
      </c>
      <c r="V960" s="29">
        <f>SUM(BaseHoras[[#This Row],[Jul/2019]:[Set/2019]])</f>
        <v>0</v>
      </c>
      <c r="W960" s="29">
        <f>SUM(BaseHoras[[#This Row],[Out/2019]:[Dez/2019]])</f>
        <v>103.89013061532778</v>
      </c>
    </row>
    <row r="961" spans="1:23">
      <c r="A961" t="s">
        <v>151</v>
      </c>
      <c r="B961" t="s">
        <v>168</v>
      </c>
      <c r="C961" t="s">
        <v>161</v>
      </c>
      <c r="D961" t="s">
        <v>54</v>
      </c>
      <c r="E961" t="s">
        <v>152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s="28">
        <v>164.87985502442521</v>
      </c>
      <c r="N961" s="28">
        <v>0</v>
      </c>
      <c r="O961">
        <v>0</v>
      </c>
      <c r="P961">
        <v>0</v>
      </c>
      <c r="Q961">
        <v>912.66933692622308</v>
      </c>
      <c r="R961">
        <v>0</v>
      </c>
      <c r="S961" s="28">
        <v>1077.5491919506483</v>
      </c>
      <c r="T961" s="29">
        <f>SUM(BaseHoras[[#This Row],[Jan/2019]:[Mar/2019]])</f>
        <v>0</v>
      </c>
      <c r="U961" s="29">
        <f>SUM(BaseHoras[[#This Row],[Abr/2019]:[Jun/2019]])</f>
        <v>0</v>
      </c>
      <c r="V961" s="29">
        <f>SUM(BaseHoras[[#This Row],[Jul/2019]:[Set/2019]])</f>
        <v>164.87985502442521</v>
      </c>
      <c r="W961" s="29">
        <f>SUM(BaseHoras[[#This Row],[Out/2019]:[Dez/2019]])</f>
        <v>912.66933692622308</v>
      </c>
    </row>
    <row r="962" spans="1:23">
      <c r="A962" t="s">
        <v>151</v>
      </c>
      <c r="B962" t="s">
        <v>168</v>
      </c>
      <c r="C962" t="s">
        <v>161</v>
      </c>
      <c r="D962" t="s">
        <v>64</v>
      </c>
      <c r="E962" t="s">
        <v>152</v>
      </c>
      <c r="F962">
        <v>0</v>
      </c>
      <c r="G962">
        <v>0</v>
      </c>
      <c r="H962">
        <v>74.254527531694592</v>
      </c>
      <c r="I962">
        <v>0</v>
      </c>
      <c r="J962">
        <v>0</v>
      </c>
      <c r="K962">
        <v>64.483051900613788</v>
      </c>
      <c r="L962">
        <v>0</v>
      </c>
      <c r="M962" s="28">
        <v>0</v>
      </c>
      <c r="N962" s="28">
        <v>0</v>
      </c>
      <c r="O962">
        <v>57.893924729260469</v>
      </c>
      <c r="P962">
        <v>0</v>
      </c>
      <c r="Q962">
        <v>0</v>
      </c>
      <c r="R962">
        <v>0</v>
      </c>
      <c r="S962" s="28">
        <v>196.63150416156887</v>
      </c>
      <c r="T962" s="29">
        <f>SUM(BaseHoras[[#This Row],[Jan/2019]:[Mar/2019]])</f>
        <v>74.254527531694592</v>
      </c>
      <c r="U962" s="29">
        <f>SUM(BaseHoras[[#This Row],[Abr/2019]:[Jun/2019]])</f>
        <v>64.483051900613788</v>
      </c>
      <c r="V962" s="29">
        <f>SUM(BaseHoras[[#This Row],[Jul/2019]:[Set/2019]])</f>
        <v>0</v>
      </c>
      <c r="W962" s="29">
        <f>SUM(BaseHoras[[#This Row],[Out/2019]:[Dez/2019]])</f>
        <v>57.893924729260469</v>
      </c>
    </row>
    <row r="963" spans="1:23">
      <c r="A963" t="s">
        <v>151</v>
      </c>
      <c r="B963" t="s">
        <v>168</v>
      </c>
      <c r="C963" t="s">
        <v>161</v>
      </c>
      <c r="D963" t="s">
        <v>69</v>
      </c>
      <c r="E963" t="s">
        <v>152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s="28">
        <v>0</v>
      </c>
      <c r="N963" s="28">
        <v>6409.2499218304138</v>
      </c>
      <c r="O963">
        <v>0</v>
      </c>
      <c r="P963">
        <v>0</v>
      </c>
      <c r="Q963">
        <v>0</v>
      </c>
      <c r="R963">
        <v>0</v>
      </c>
      <c r="S963" s="28">
        <v>6409.2499218304138</v>
      </c>
      <c r="T963" s="29">
        <f>SUM(BaseHoras[[#This Row],[Jan/2019]:[Mar/2019]])</f>
        <v>0</v>
      </c>
      <c r="U963" s="29">
        <f>SUM(BaseHoras[[#This Row],[Abr/2019]:[Jun/2019]])</f>
        <v>0</v>
      </c>
      <c r="V963" s="29">
        <f>SUM(BaseHoras[[#This Row],[Jul/2019]:[Set/2019]])</f>
        <v>6409.2499218304138</v>
      </c>
      <c r="W963" s="29">
        <f>SUM(BaseHoras[[#This Row],[Out/2019]:[Dez/2019]])</f>
        <v>0</v>
      </c>
    </row>
    <row r="964" spans="1:23">
      <c r="A964" t="s">
        <v>151</v>
      </c>
      <c r="B964" t="s">
        <v>168</v>
      </c>
      <c r="C964" t="s">
        <v>161</v>
      </c>
      <c r="D964" t="s">
        <v>87</v>
      </c>
      <c r="E964" t="s">
        <v>152</v>
      </c>
      <c r="F964">
        <v>0</v>
      </c>
      <c r="G964">
        <v>0</v>
      </c>
      <c r="H964">
        <v>0</v>
      </c>
      <c r="I964">
        <v>2348.270450792018</v>
      </c>
      <c r="J964">
        <v>0</v>
      </c>
      <c r="K964">
        <v>0</v>
      </c>
      <c r="L964">
        <v>0</v>
      </c>
      <c r="M964" s="28">
        <v>0</v>
      </c>
      <c r="N964" s="28">
        <v>6.2404151495658891</v>
      </c>
      <c r="O964">
        <v>4.6271921350489595</v>
      </c>
      <c r="P964">
        <v>0</v>
      </c>
      <c r="Q964">
        <v>0</v>
      </c>
      <c r="R964">
        <v>0</v>
      </c>
      <c r="S964" s="28">
        <v>2359.1380580766327</v>
      </c>
      <c r="T964" s="29">
        <f>SUM(BaseHoras[[#This Row],[Jan/2019]:[Mar/2019]])</f>
        <v>0</v>
      </c>
      <c r="U964" s="29">
        <f>SUM(BaseHoras[[#This Row],[Abr/2019]:[Jun/2019]])</f>
        <v>2348.270450792018</v>
      </c>
      <c r="V964" s="29">
        <f>SUM(BaseHoras[[#This Row],[Jul/2019]:[Set/2019]])</f>
        <v>6.2404151495658891</v>
      </c>
      <c r="W964" s="29">
        <f>SUM(BaseHoras[[#This Row],[Out/2019]:[Dez/2019]])</f>
        <v>4.6271921350489595</v>
      </c>
    </row>
    <row r="965" spans="1:23">
      <c r="A965" t="s">
        <v>151</v>
      </c>
      <c r="B965" t="s">
        <v>168</v>
      </c>
      <c r="C965" t="s">
        <v>161</v>
      </c>
      <c r="D965" t="s">
        <v>94</v>
      </c>
      <c r="E965" t="s">
        <v>152</v>
      </c>
      <c r="F965">
        <v>10.205023737858154</v>
      </c>
      <c r="G965">
        <v>0</v>
      </c>
      <c r="H965">
        <v>0</v>
      </c>
      <c r="I965">
        <v>0</v>
      </c>
      <c r="J965">
        <v>27.811481802361982</v>
      </c>
      <c r="K965">
        <v>0</v>
      </c>
      <c r="L965">
        <v>257.95530833721142</v>
      </c>
      <c r="M965" s="28">
        <v>0</v>
      </c>
      <c r="N965" s="28">
        <v>0</v>
      </c>
      <c r="O965">
        <v>119.65756558225024</v>
      </c>
      <c r="P965">
        <v>2779.2626930567867</v>
      </c>
      <c r="Q965">
        <v>140.326452504614</v>
      </c>
      <c r="R965">
        <v>0</v>
      </c>
      <c r="S965" s="28">
        <v>3335.2185250210823</v>
      </c>
      <c r="T965" s="29">
        <f>SUM(BaseHoras[[#This Row],[Jan/2019]:[Mar/2019]])</f>
        <v>10.205023737858154</v>
      </c>
      <c r="U965" s="29">
        <f>SUM(BaseHoras[[#This Row],[Abr/2019]:[Jun/2019]])</f>
        <v>27.811481802361982</v>
      </c>
      <c r="V965" s="29">
        <f>SUM(BaseHoras[[#This Row],[Jul/2019]:[Set/2019]])</f>
        <v>257.95530833721142</v>
      </c>
      <c r="W965" s="29">
        <f>SUM(BaseHoras[[#This Row],[Out/2019]:[Dez/2019]])</f>
        <v>3039.2467111436508</v>
      </c>
    </row>
    <row r="966" spans="1:23">
      <c r="A966" t="s">
        <v>151</v>
      </c>
      <c r="B966" t="s">
        <v>168</v>
      </c>
      <c r="C966" t="s">
        <v>161</v>
      </c>
      <c r="D966" t="s">
        <v>99</v>
      </c>
      <c r="E966" t="s">
        <v>152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s="28">
        <v>0</v>
      </c>
      <c r="N966" s="28">
        <v>0</v>
      </c>
      <c r="O966">
        <v>4.396831811263648</v>
      </c>
      <c r="P966">
        <v>7.6396996087720019</v>
      </c>
      <c r="Q966">
        <v>17.579948482170419</v>
      </c>
      <c r="R966">
        <v>0</v>
      </c>
      <c r="S966" s="28">
        <v>29.61647990220607</v>
      </c>
      <c r="T966" s="29">
        <f>SUM(BaseHoras[[#This Row],[Jan/2019]:[Mar/2019]])</f>
        <v>0</v>
      </c>
      <c r="U966" s="29">
        <f>SUM(BaseHoras[[#This Row],[Abr/2019]:[Jun/2019]])</f>
        <v>0</v>
      </c>
      <c r="V966" s="29">
        <f>SUM(BaseHoras[[#This Row],[Jul/2019]:[Set/2019]])</f>
        <v>0</v>
      </c>
      <c r="W966" s="29">
        <f>SUM(BaseHoras[[#This Row],[Out/2019]:[Dez/2019]])</f>
        <v>29.61647990220607</v>
      </c>
    </row>
    <row r="967" spans="1:23">
      <c r="A967" t="s">
        <v>151</v>
      </c>
      <c r="B967" t="s">
        <v>168</v>
      </c>
      <c r="C967" t="s">
        <v>161</v>
      </c>
      <c r="D967" t="s">
        <v>114</v>
      </c>
      <c r="E967" t="s">
        <v>152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s="28">
        <v>0</v>
      </c>
      <c r="N967" s="28">
        <v>0</v>
      </c>
      <c r="O967">
        <v>0</v>
      </c>
      <c r="P967">
        <v>0</v>
      </c>
      <c r="Q967">
        <v>3282.8532380511201</v>
      </c>
      <c r="R967">
        <v>0</v>
      </c>
      <c r="S967" s="28">
        <v>3282.8532380511201</v>
      </c>
      <c r="T967" s="29">
        <f>SUM(BaseHoras[[#This Row],[Jan/2019]:[Mar/2019]])</f>
        <v>0</v>
      </c>
      <c r="U967" s="29">
        <f>SUM(BaseHoras[[#This Row],[Abr/2019]:[Jun/2019]])</f>
        <v>0</v>
      </c>
      <c r="V967" s="29">
        <f>SUM(BaseHoras[[#This Row],[Jul/2019]:[Set/2019]])</f>
        <v>0</v>
      </c>
      <c r="W967" s="29">
        <f>SUM(BaseHoras[[#This Row],[Out/2019]:[Dez/2019]])</f>
        <v>3282.8532380511201</v>
      </c>
    </row>
    <row r="968" spans="1:23">
      <c r="A968" t="s">
        <v>151</v>
      </c>
      <c r="B968" t="s">
        <v>168</v>
      </c>
      <c r="C968" t="s">
        <v>161</v>
      </c>
      <c r="D968" t="s">
        <v>126</v>
      </c>
      <c r="E968" t="s">
        <v>152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s="28">
        <v>0</v>
      </c>
      <c r="N968" s="28">
        <v>0</v>
      </c>
      <c r="O968">
        <v>921.3951884628766</v>
      </c>
      <c r="P968">
        <v>59.753162123452768</v>
      </c>
      <c r="Q968">
        <v>49.556442013589574</v>
      </c>
      <c r="R968">
        <v>0</v>
      </c>
      <c r="S968" s="28">
        <v>1030.7047925999188</v>
      </c>
      <c r="T968" s="29">
        <f>SUM(BaseHoras[[#This Row],[Jan/2019]:[Mar/2019]])</f>
        <v>0</v>
      </c>
      <c r="U968" s="29">
        <f>SUM(BaseHoras[[#This Row],[Abr/2019]:[Jun/2019]])</f>
        <v>0</v>
      </c>
      <c r="V968" s="29">
        <f>SUM(BaseHoras[[#This Row],[Jul/2019]:[Set/2019]])</f>
        <v>0</v>
      </c>
      <c r="W968" s="29">
        <f>SUM(BaseHoras[[#This Row],[Out/2019]:[Dez/2019]])</f>
        <v>1030.7047925999188</v>
      </c>
    </row>
    <row r="969" spans="1:23">
      <c r="A969" t="s">
        <v>151</v>
      </c>
      <c r="B969" t="s">
        <v>168</v>
      </c>
      <c r="C969" t="s">
        <v>161</v>
      </c>
      <c r="D969" t="s">
        <v>128</v>
      </c>
      <c r="E969" t="s">
        <v>152</v>
      </c>
      <c r="F969">
        <v>0</v>
      </c>
      <c r="G969">
        <v>0</v>
      </c>
      <c r="H969">
        <v>0</v>
      </c>
      <c r="I969">
        <v>0</v>
      </c>
      <c r="J969">
        <v>470.06451413508006</v>
      </c>
      <c r="K969">
        <v>0</v>
      </c>
      <c r="L969">
        <v>0</v>
      </c>
      <c r="M969" s="28">
        <v>0</v>
      </c>
      <c r="N969" s="28">
        <v>0</v>
      </c>
      <c r="O969">
        <v>0</v>
      </c>
      <c r="P969">
        <v>0</v>
      </c>
      <c r="Q969">
        <v>0</v>
      </c>
      <c r="R969">
        <v>0</v>
      </c>
      <c r="S969" s="28">
        <v>470.06451413508006</v>
      </c>
      <c r="T969" s="29">
        <f>SUM(BaseHoras[[#This Row],[Jan/2019]:[Mar/2019]])</f>
        <v>0</v>
      </c>
      <c r="U969" s="29">
        <f>SUM(BaseHoras[[#This Row],[Abr/2019]:[Jun/2019]])</f>
        <v>470.06451413508006</v>
      </c>
      <c r="V969" s="29">
        <f>SUM(BaseHoras[[#This Row],[Jul/2019]:[Set/2019]])</f>
        <v>0</v>
      </c>
      <c r="W969" s="29">
        <f>SUM(BaseHoras[[#This Row],[Out/2019]:[Dez/2019]])</f>
        <v>0</v>
      </c>
    </row>
    <row r="970" spans="1:23">
      <c r="A970" t="s">
        <v>151</v>
      </c>
      <c r="B970" t="s">
        <v>168</v>
      </c>
      <c r="C970" t="s">
        <v>366</v>
      </c>
      <c r="D970" t="s">
        <v>35</v>
      </c>
      <c r="E970" t="s">
        <v>152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s="28">
        <v>0</v>
      </c>
      <c r="N970" s="28">
        <v>35.378768533129573</v>
      </c>
      <c r="O970">
        <v>48.694759586823196</v>
      </c>
      <c r="P970">
        <v>5.0043290625579013</v>
      </c>
      <c r="Q970">
        <v>33.272936133586938</v>
      </c>
      <c r="R970">
        <v>0</v>
      </c>
      <c r="S970" s="28">
        <v>122.35079331609761</v>
      </c>
      <c r="T970" s="29">
        <f>SUM(BaseHoras[[#This Row],[Jan/2019]:[Mar/2019]])</f>
        <v>0</v>
      </c>
      <c r="U970" s="29">
        <f>SUM(BaseHoras[[#This Row],[Abr/2019]:[Jun/2019]])</f>
        <v>0</v>
      </c>
      <c r="V970" s="29">
        <f>SUM(BaseHoras[[#This Row],[Jul/2019]:[Set/2019]])</f>
        <v>35.378768533129573</v>
      </c>
      <c r="W970" s="29">
        <f>SUM(BaseHoras[[#This Row],[Out/2019]:[Dez/2019]])</f>
        <v>86.972024782968035</v>
      </c>
    </row>
    <row r="971" spans="1:23">
      <c r="A971" t="s">
        <v>151</v>
      </c>
      <c r="B971" t="s">
        <v>168</v>
      </c>
      <c r="C971" t="s">
        <v>366</v>
      </c>
      <c r="D971" t="s">
        <v>64</v>
      </c>
      <c r="E971" t="s">
        <v>152</v>
      </c>
      <c r="F971">
        <v>244.33025984465465</v>
      </c>
      <c r="G971">
        <v>262.86040344546228</v>
      </c>
      <c r="H971">
        <v>46.485896414608106</v>
      </c>
      <c r="I971">
        <v>97.698725973827536</v>
      </c>
      <c r="J971">
        <v>43.635970393143047</v>
      </c>
      <c r="K971">
        <v>55.25099651459206</v>
      </c>
      <c r="L971">
        <v>0</v>
      </c>
      <c r="M971" s="28">
        <v>0</v>
      </c>
      <c r="N971" s="28">
        <v>0</v>
      </c>
      <c r="O971">
        <v>0</v>
      </c>
      <c r="P971">
        <v>0</v>
      </c>
      <c r="Q971">
        <v>0</v>
      </c>
      <c r="R971">
        <v>0</v>
      </c>
      <c r="S971" s="28">
        <v>750.26225258628767</v>
      </c>
      <c r="T971" s="29">
        <f>SUM(BaseHoras[[#This Row],[Jan/2019]:[Mar/2019]])</f>
        <v>553.67655970472504</v>
      </c>
      <c r="U971" s="29">
        <f>SUM(BaseHoras[[#This Row],[Abr/2019]:[Jun/2019]])</f>
        <v>196.58569288156264</v>
      </c>
      <c r="V971" s="29">
        <f>SUM(BaseHoras[[#This Row],[Jul/2019]:[Set/2019]])</f>
        <v>0</v>
      </c>
      <c r="W971" s="29">
        <f>SUM(BaseHoras[[#This Row],[Out/2019]:[Dez/2019]])</f>
        <v>0</v>
      </c>
    </row>
    <row r="972" spans="1:23">
      <c r="A972" t="s">
        <v>151</v>
      </c>
      <c r="B972" t="s">
        <v>168</v>
      </c>
      <c r="C972" t="s">
        <v>366</v>
      </c>
      <c r="D972" t="s">
        <v>87</v>
      </c>
      <c r="E972" t="s">
        <v>152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s="28">
        <v>101.9492351653638</v>
      </c>
      <c r="N972" s="28">
        <v>14.763707007326289</v>
      </c>
      <c r="O972">
        <v>0</v>
      </c>
      <c r="P972">
        <v>0</v>
      </c>
      <c r="Q972">
        <v>0</v>
      </c>
      <c r="R972">
        <v>0</v>
      </c>
      <c r="S972" s="28">
        <v>116.71294217269009</v>
      </c>
      <c r="T972" s="29">
        <f>SUM(BaseHoras[[#This Row],[Jan/2019]:[Mar/2019]])</f>
        <v>0</v>
      </c>
      <c r="U972" s="29">
        <f>SUM(BaseHoras[[#This Row],[Abr/2019]:[Jun/2019]])</f>
        <v>0</v>
      </c>
      <c r="V972" s="29">
        <f>SUM(BaseHoras[[#This Row],[Jul/2019]:[Set/2019]])</f>
        <v>116.71294217269009</v>
      </c>
      <c r="W972" s="29">
        <f>SUM(BaseHoras[[#This Row],[Out/2019]:[Dez/2019]])</f>
        <v>0</v>
      </c>
    </row>
    <row r="973" spans="1:23">
      <c r="A973" t="s">
        <v>151</v>
      </c>
      <c r="B973" t="s">
        <v>168</v>
      </c>
      <c r="C973" t="s">
        <v>367</v>
      </c>
      <c r="D973" t="s">
        <v>35</v>
      </c>
      <c r="E973" t="s">
        <v>152</v>
      </c>
      <c r="F973">
        <v>0</v>
      </c>
      <c r="G973">
        <v>134.17544277988534</v>
      </c>
      <c r="H973">
        <v>0</v>
      </c>
      <c r="I973">
        <v>0</v>
      </c>
      <c r="J973">
        <v>0</v>
      </c>
      <c r="K973">
        <v>0</v>
      </c>
      <c r="L973">
        <v>0</v>
      </c>
      <c r="M973" s="28">
        <v>0</v>
      </c>
      <c r="N973" s="28">
        <v>0</v>
      </c>
      <c r="O973">
        <v>0</v>
      </c>
      <c r="P973">
        <v>0</v>
      </c>
      <c r="Q973">
        <v>0</v>
      </c>
      <c r="R973">
        <v>0</v>
      </c>
      <c r="S973" s="28">
        <v>134.17544277988534</v>
      </c>
      <c r="T973" s="29">
        <f>SUM(BaseHoras[[#This Row],[Jan/2019]:[Mar/2019]])</f>
        <v>134.17544277988534</v>
      </c>
      <c r="U973" s="29">
        <f>SUM(BaseHoras[[#This Row],[Abr/2019]:[Jun/2019]])</f>
        <v>0</v>
      </c>
      <c r="V973" s="29">
        <f>SUM(BaseHoras[[#This Row],[Jul/2019]:[Set/2019]])</f>
        <v>0</v>
      </c>
      <c r="W973" s="29">
        <f>SUM(BaseHoras[[#This Row],[Out/2019]:[Dez/2019]])</f>
        <v>0</v>
      </c>
    </row>
    <row r="974" spans="1:23">
      <c r="A974" t="s">
        <v>151</v>
      </c>
      <c r="B974" t="s">
        <v>168</v>
      </c>
      <c r="C974" t="s">
        <v>367</v>
      </c>
      <c r="D974" t="s">
        <v>37</v>
      </c>
      <c r="E974" t="s">
        <v>152</v>
      </c>
      <c r="F974">
        <v>241.78700641399581</v>
      </c>
      <c r="G974">
        <v>1160.05032300318</v>
      </c>
      <c r="H974">
        <v>1079.4170437770358</v>
      </c>
      <c r="I974">
        <v>559.20168193646441</v>
      </c>
      <c r="J974">
        <v>3631.7822116299099</v>
      </c>
      <c r="K974">
        <v>115.85739480487727</v>
      </c>
      <c r="L974">
        <v>630.48096451905053</v>
      </c>
      <c r="M974" s="28">
        <v>296.22285351587345</v>
      </c>
      <c r="N974" s="28">
        <v>0</v>
      </c>
      <c r="O974">
        <v>0</v>
      </c>
      <c r="P974">
        <v>0</v>
      </c>
      <c r="Q974">
        <v>0</v>
      </c>
      <c r="R974">
        <v>0</v>
      </c>
      <c r="S974" s="28">
        <v>7714.7994796003868</v>
      </c>
      <c r="T974" s="29">
        <f>SUM(BaseHoras[[#This Row],[Jan/2019]:[Mar/2019]])</f>
        <v>2481.2543731942114</v>
      </c>
      <c r="U974" s="29">
        <f>SUM(BaseHoras[[#This Row],[Abr/2019]:[Jun/2019]])</f>
        <v>4306.8412883712508</v>
      </c>
      <c r="V974" s="29">
        <f>SUM(BaseHoras[[#This Row],[Jul/2019]:[Set/2019]])</f>
        <v>926.70381803492398</v>
      </c>
      <c r="W974" s="29">
        <f>SUM(BaseHoras[[#This Row],[Out/2019]:[Dez/2019]])</f>
        <v>0</v>
      </c>
    </row>
    <row r="975" spans="1:23">
      <c r="A975" t="s">
        <v>151</v>
      </c>
      <c r="B975" t="s">
        <v>168</v>
      </c>
      <c r="C975" t="s">
        <v>367</v>
      </c>
      <c r="D975" t="s">
        <v>277</v>
      </c>
      <c r="E975" t="s">
        <v>152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s="28">
        <v>0</v>
      </c>
      <c r="N975" s="28">
        <v>0</v>
      </c>
      <c r="O975">
        <v>0</v>
      </c>
      <c r="P975">
        <v>155.77384203342837</v>
      </c>
      <c r="Q975">
        <v>692.50498043793573</v>
      </c>
      <c r="R975">
        <v>0</v>
      </c>
      <c r="S975" s="28">
        <v>848.27882247136404</v>
      </c>
      <c r="T975" s="29">
        <f>SUM(BaseHoras[[#This Row],[Jan/2019]:[Mar/2019]])</f>
        <v>0</v>
      </c>
      <c r="U975" s="29">
        <f>SUM(BaseHoras[[#This Row],[Abr/2019]:[Jun/2019]])</f>
        <v>0</v>
      </c>
      <c r="V975" s="29">
        <f>SUM(BaseHoras[[#This Row],[Jul/2019]:[Set/2019]])</f>
        <v>0</v>
      </c>
      <c r="W975" s="29">
        <f>SUM(BaseHoras[[#This Row],[Out/2019]:[Dez/2019]])</f>
        <v>848.27882247136404</v>
      </c>
    </row>
    <row r="976" spans="1:23">
      <c r="A976" t="s">
        <v>151</v>
      </c>
      <c r="B976" t="s">
        <v>168</v>
      </c>
      <c r="C976" t="s">
        <v>367</v>
      </c>
      <c r="D976" t="s">
        <v>47</v>
      </c>
      <c r="E976" t="s">
        <v>152</v>
      </c>
      <c r="F976">
        <v>1877.6095634219039</v>
      </c>
      <c r="G976">
        <v>423.96723809322532</v>
      </c>
      <c r="H976">
        <v>19989.33683561092</v>
      </c>
      <c r="I976">
        <v>686.29463530778366</v>
      </c>
      <c r="J976">
        <v>438.76501873696924</v>
      </c>
      <c r="K976">
        <v>327.70578331398985</v>
      </c>
      <c r="L976">
        <v>925.80293255633831</v>
      </c>
      <c r="M976" s="28">
        <v>2105.0036378942286</v>
      </c>
      <c r="N976" s="28">
        <v>175.76098058808915</v>
      </c>
      <c r="O976">
        <v>415.639731543187</v>
      </c>
      <c r="P976">
        <v>325.04649382014782</v>
      </c>
      <c r="Q976">
        <v>356.17801764002638</v>
      </c>
      <c r="R976">
        <v>0</v>
      </c>
      <c r="S976" s="28">
        <v>28047.110868526808</v>
      </c>
      <c r="T976" s="29">
        <f>SUM(BaseHoras[[#This Row],[Jan/2019]:[Mar/2019]])</f>
        <v>22290.91363712605</v>
      </c>
      <c r="U976" s="29">
        <f>SUM(BaseHoras[[#This Row],[Abr/2019]:[Jun/2019]])</f>
        <v>1452.7654373587429</v>
      </c>
      <c r="V976" s="29">
        <f>SUM(BaseHoras[[#This Row],[Jul/2019]:[Set/2019]])</f>
        <v>3206.5675510386563</v>
      </c>
      <c r="W976" s="29">
        <f>SUM(BaseHoras[[#This Row],[Out/2019]:[Dez/2019]])</f>
        <v>1096.8642430033613</v>
      </c>
    </row>
    <row r="977" spans="1:23">
      <c r="A977" t="s">
        <v>151</v>
      </c>
      <c r="B977" t="s">
        <v>168</v>
      </c>
      <c r="C977" t="s">
        <v>367</v>
      </c>
      <c r="D977" t="s">
        <v>49</v>
      </c>
      <c r="E977" t="s">
        <v>152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157.01122206163112</v>
      </c>
      <c r="L977">
        <v>0</v>
      </c>
      <c r="M977" s="28">
        <v>0</v>
      </c>
      <c r="N977" s="28">
        <v>0</v>
      </c>
      <c r="O977">
        <v>0</v>
      </c>
      <c r="P977">
        <v>0</v>
      </c>
      <c r="Q977">
        <v>0</v>
      </c>
      <c r="R977">
        <v>0</v>
      </c>
      <c r="S977" s="28">
        <v>157.01122206163112</v>
      </c>
      <c r="T977" s="29">
        <f>SUM(BaseHoras[[#This Row],[Jan/2019]:[Mar/2019]])</f>
        <v>0</v>
      </c>
      <c r="U977" s="29">
        <f>SUM(BaseHoras[[#This Row],[Abr/2019]:[Jun/2019]])</f>
        <v>157.01122206163112</v>
      </c>
      <c r="V977" s="29">
        <f>SUM(BaseHoras[[#This Row],[Jul/2019]:[Set/2019]])</f>
        <v>0</v>
      </c>
      <c r="W977" s="29">
        <f>SUM(BaseHoras[[#This Row],[Out/2019]:[Dez/2019]])</f>
        <v>0</v>
      </c>
    </row>
    <row r="978" spans="1:23">
      <c r="A978" t="s">
        <v>151</v>
      </c>
      <c r="B978" t="s">
        <v>168</v>
      </c>
      <c r="C978" t="s">
        <v>367</v>
      </c>
      <c r="D978" t="s">
        <v>59</v>
      </c>
      <c r="E978" t="s">
        <v>152</v>
      </c>
      <c r="F978">
        <v>208.11206224725117</v>
      </c>
      <c r="G978">
        <v>79.373399479837317</v>
      </c>
      <c r="H978">
        <v>0</v>
      </c>
      <c r="I978">
        <v>0</v>
      </c>
      <c r="J978">
        <v>0</v>
      </c>
      <c r="K978">
        <v>0</v>
      </c>
      <c r="L978">
        <v>0</v>
      </c>
      <c r="M978" s="28">
        <v>0</v>
      </c>
      <c r="N978" s="28">
        <v>0</v>
      </c>
      <c r="O978">
        <v>0</v>
      </c>
      <c r="P978">
        <v>0</v>
      </c>
      <c r="Q978">
        <v>0</v>
      </c>
      <c r="R978">
        <v>0</v>
      </c>
      <c r="S978" s="28">
        <v>287.48546172708848</v>
      </c>
      <c r="T978" s="29">
        <f>SUM(BaseHoras[[#This Row],[Jan/2019]:[Mar/2019]])</f>
        <v>287.48546172708848</v>
      </c>
      <c r="U978" s="29">
        <f>SUM(BaseHoras[[#This Row],[Abr/2019]:[Jun/2019]])</f>
        <v>0</v>
      </c>
      <c r="V978" s="29">
        <f>SUM(BaseHoras[[#This Row],[Jul/2019]:[Set/2019]])</f>
        <v>0</v>
      </c>
      <c r="W978" s="29">
        <f>SUM(BaseHoras[[#This Row],[Out/2019]:[Dez/2019]])</f>
        <v>0</v>
      </c>
    </row>
    <row r="979" spans="1:23">
      <c r="A979" t="s">
        <v>151</v>
      </c>
      <c r="B979" t="s">
        <v>168</v>
      </c>
      <c r="C979" t="s">
        <v>367</v>
      </c>
      <c r="D979" t="s">
        <v>64</v>
      </c>
      <c r="E979" t="s">
        <v>152</v>
      </c>
      <c r="F979">
        <v>258.01849810461999</v>
      </c>
      <c r="G979">
        <v>0</v>
      </c>
      <c r="H979">
        <v>693.62344017093426</v>
      </c>
      <c r="I979">
        <v>0</v>
      </c>
      <c r="J979">
        <v>0</v>
      </c>
      <c r="K979">
        <v>0</v>
      </c>
      <c r="L979">
        <v>0</v>
      </c>
      <c r="M979" s="28">
        <v>0</v>
      </c>
      <c r="N979" s="28">
        <v>0</v>
      </c>
      <c r="O979">
        <v>0</v>
      </c>
      <c r="P979">
        <v>0</v>
      </c>
      <c r="Q979">
        <v>0</v>
      </c>
      <c r="R979">
        <v>0</v>
      </c>
      <c r="S979" s="28">
        <v>951.64193827555425</v>
      </c>
      <c r="T979" s="29">
        <f>SUM(BaseHoras[[#This Row],[Jan/2019]:[Mar/2019]])</f>
        <v>951.64193827555425</v>
      </c>
      <c r="U979" s="29">
        <f>SUM(BaseHoras[[#This Row],[Abr/2019]:[Jun/2019]])</f>
        <v>0</v>
      </c>
      <c r="V979" s="29">
        <f>SUM(BaseHoras[[#This Row],[Jul/2019]:[Set/2019]])</f>
        <v>0</v>
      </c>
      <c r="W979" s="29">
        <f>SUM(BaseHoras[[#This Row],[Out/2019]:[Dez/2019]])</f>
        <v>0</v>
      </c>
    </row>
    <row r="980" spans="1:23">
      <c r="A980" t="s">
        <v>151</v>
      </c>
      <c r="B980" t="s">
        <v>168</v>
      </c>
      <c r="C980" t="s">
        <v>367</v>
      </c>
      <c r="D980" t="s">
        <v>98</v>
      </c>
      <c r="E980" t="s">
        <v>152</v>
      </c>
      <c r="F980">
        <v>36349.771725493221</v>
      </c>
      <c r="G980">
        <v>944.83358157016391</v>
      </c>
      <c r="H980">
        <v>870.96911591937624</v>
      </c>
      <c r="I980">
        <v>380.96196535337555</v>
      </c>
      <c r="J980">
        <v>241.17603260280697</v>
      </c>
      <c r="K980">
        <v>330.42865331746901</v>
      </c>
      <c r="L980">
        <v>357.22232449003218</v>
      </c>
      <c r="M980" s="28">
        <v>0</v>
      </c>
      <c r="N980" s="28">
        <v>0</v>
      </c>
      <c r="O980">
        <v>0</v>
      </c>
      <c r="P980">
        <v>0</v>
      </c>
      <c r="Q980">
        <v>0</v>
      </c>
      <c r="R980">
        <v>0</v>
      </c>
      <c r="S980" s="28">
        <v>39475.363398746442</v>
      </c>
      <c r="T980" s="29">
        <f>SUM(BaseHoras[[#This Row],[Jan/2019]:[Mar/2019]])</f>
        <v>38165.574422982761</v>
      </c>
      <c r="U980" s="29">
        <f>SUM(BaseHoras[[#This Row],[Abr/2019]:[Jun/2019]])</f>
        <v>952.56665127365159</v>
      </c>
      <c r="V980" s="29">
        <f>SUM(BaseHoras[[#This Row],[Jul/2019]:[Set/2019]])</f>
        <v>357.22232449003218</v>
      </c>
      <c r="W980" s="29">
        <f>SUM(BaseHoras[[#This Row],[Out/2019]:[Dez/2019]])</f>
        <v>0</v>
      </c>
    </row>
    <row r="981" spans="1:23">
      <c r="A981" t="s">
        <v>151</v>
      </c>
      <c r="B981" t="s">
        <v>168</v>
      </c>
      <c r="C981" t="s">
        <v>367</v>
      </c>
      <c r="D981" t="s">
        <v>157</v>
      </c>
      <c r="E981" t="s">
        <v>152</v>
      </c>
      <c r="F981">
        <v>0</v>
      </c>
      <c r="G981">
        <v>0</v>
      </c>
      <c r="H981">
        <v>70.390496628607536</v>
      </c>
      <c r="I981">
        <v>0</v>
      </c>
      <c r="J981">
        <v>0</v>
      </c>
      <c r="K981">
        <v>0</v>
      </c>
      <c r="L981">
        <v>0</v>
      </c>
      <c r="M981" s="28">
        <v>0</v>
      </c>
      <c r="N981" s="28">
        <v>68.952120945493249</v>
      </c>
      <c r="O981">
        <v>28.478619967774758</v>
      </c>
      <c r="P981">
        <v>0</v>
      </c>
      <c r="Q981">
        <v>0</v>
      </c>
      <c r="R981">
        <v>0</v>
      </c>
      <c r="S981" s="28">
        <v>167.82123754187555</v>
      </c>
      <c r="T981" s="29">
        <f>SUM(BaseHoras[[#This Row],[Jan/2019]:[Mar/2019]])</f>
        <v>70.390496628607536</v>
      </c>
      <c r="U981" s="29">
        <f>SUM(BaseHoras[[#This Row],[Abr/2019]:[Jun/2019]])</f>
        <v>0</v>
      </c>
      <c r="V981" s="29">
        <f>SUM(BaseHoras[[#This Row],[Jul/2019]:[Set/2019]])</f>
        <v>68.952120945493249</v>
      </c>
      <c r="W981" s="29">
        <f>SUM(BaseHoras[[#This Row],[Out/2019]:[Dez/2019]])</f>
        <v>28.478619967774758</v>
      </c>
    </row>
    <row r="982" spans="1:23">
      <c r="A982" t="s">
        <v>151</v>
      </c>
      <c r="B982" t="s">
        <v>168</v>
      </c>
      <c r="C982" t="s">
        <v>367</v>
      </c>
      <c r="D982" t="s">
        <v>122</v>
      </c>
      <c r="E982" t="s">
        <v>152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s="28">
        <v>0</v>
      </c>
      <c r="N982" s="28">
        <v>0</v>
      </c>
      <c r="O982">
        <v>0</v>
      </c>
      <c r="P982">
        <v>47.458331008055957</v>
      </c>
      <c r="Q982">
        <v>0</v>
      </c>
      <c r="R982">
        <v>0</v>
      </c>
      <c r="S982" s="28">
        <v>47.458331008055957</v>
      </c>
      <c r="T982" s="29">
        <f>SUM(BaseHoras[[#This Row],[Jan/2019]:[Mar/2019]])</f>
        <v>0</v>
      </c>
      <c r="U982" s="29">
        <f>SUM(BaseHoras[[#This Row],[Abr/2019]:[Jun/2019]])</f>
        <v>0</v>
      </c>
      <c r="V982" s="29">
        <f>SUM(BaseHoras[[#This Row],[Jul/2019]:[Set/2019]])</f>
        <v>0</v>
      </c>
      <c r="W982" s="29">
        <f>SUM(BaseHoras[[#This Row],[Out/2019]:[Dez/2019]])</f>
        <v>47.458331008055957</v>
      </c>
    </row>
    <row r="983" spans="1:23">
      <c r="A983" t="s">
        <v>151</v>
      </c>
      <c r="B983" t="s">
        <v>168</v>
      </c>
      <c r="C983" t="s">
        <v>367</v>
      </c>
      <c r="D983" t="s">
        <v>128</v>
      </c>
      <c r="E983" t="s">
        <v>152</v>
      </c>
      <c r="F983">
        <v>245.85304479107981</v>
      </c>
      <c r="G983">
        <v>1032.9699950336756</v>
      </c>
      <c r="H983">
        <v>136.11230453848279</v>
      </c>
      <c r="I983">
        <v>0</v>
      </c>
      <c r="J983">
        <v>0</v>
      </c>
      <c r="K983">
        <v>0</v>
      </c>
      <c r="L983">
        <v>55.316609337690629</v>
      </c>
      <c r="M983" s="28">
        <v>0</v>
      </c>
      <c r="N983" s="28">
        <v>0</v>
      </c>
      <c r="O983">
        <v>0</v>
      </c>
      <c r="P983">
        <v>0</v>
      </c>
      <c r="Q983">
        <v>0</v>
      </c>
      <c r="R983">
        <v>0</v>
      </c>
      <c r="S983" s="28">
        <v>1470.2519537009287</v>
      </c>
      <c r="T983" s="29">
        <f>SUM(BaseHoras[[#This Row],[Jan/2019]:[Mar/2019]])</f>
        <v>1414.9353443632381</v>
      </c>
      <c r="U983" s="29">
        <f>SUM(BaseHoras[[#This Row],[Abr/2019]:[Jun/2019]])</f>
        <v>0</v>
      </c>
      <c r="V983" s="29">
        <f>SUM(BaseHoras[[#This Row],[Jul/2019]:[Set/2019]])</f>
        <v>55.316609337690629</v>
      </c>
      <c r="W983" s="29">
        <f>SUM(BaseHoras[[#This Row],[Out/2019]:[Dez/2019]])</f>
        <v>0</v>
      </c>
    </row>
    <row r="984" spans="1:23">
      <c r="A984" t="s">
        <v>151</v>
      </c>
      <c r="B984" t="s">
        <v>168</v>
      </c>
      <c r="C984" t="s">
        <v>367</v>
      </c>
      <c r="D984" t="s">
        <v>129</v>
      </c>
      <c r="E984" t="s">
        <v>152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s="28">
        <v>0</v>
      </c>
      <c r="N984" s="28">
        <v>0</v>
      </c>
      <c r="O984">
        <v>0</v>
      </c>
      <c r="P984">
        <v>282.49450320376457</v>
      </c>
      <c r="Q984">
        <v>0</v>
      </c>
      <c r="R984">
        <v>0</v>
      </c>
      <c r="S984" s="28">
        <v>282.49450320376457</v>
      </c>
      <c r="T984" s="29">
        <f>SUM(BaseHoras[[#This Row],[Jan/2019]:[Mar/2019]])</f>
        <v>0</v>
      </c>
      <c r="U984" s="29">
        <f>SUM(BaseHoras[[#This Row],[Abr/2019]:[Jun/2019]])</f>
        <v>0</v>
      </c>
      <c r="V984" s="29">
        <f>SUM(BaseHoras[[#This Row],[Jul/2019]:[Set/2019]])</f>
        <v>0</v>
      </c>
      <c r="W984" s="29">
        <f>SUM(BaseHoras[[#This Row],[Out/2019]:[Dez/2019]])</f>
        <v>282.49450320376457</v>
      </c>
    </row>
    <row r="985" spans="1:23">
      <c r="A985" t="s">
        <v>151</v>
      </c>
      <c r="B985" t="s">
        <v>168</v>
      </c>
      <c r="C985" t="s">
        <v>367</v>
      </c>
      <c r="D985" t="s">
        <v>138</v>
      </c>
      <c r="E985" t="s">
        <v>152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31.67927006939917</v>
      </c>
      <c r="M985" s="28">
        <v>0</v>
      </c>
      <c r="N985" s="28">
        <v>0</v>
      </c>
      <c r="O985">
        <v>16.263798432201625</v>
      </c>
      <c r="P985">
        <v>0</v>
      </c>
      <c r="Q985">
        <v>0</v>
      </c>
      <c r="R985">
        <v>0</v>
      </c>
      <c r="S985" s="28">
        <v>47.943068501600791</v>
      </c>
      <c r="T985" s="29">
        <f>SUM(BaseHoras[[#This Row],[Jan/2019]:[Mar/2019]])</f>
        <v>0</v>
      </c>
      <c r="U985" s="29">
        <f>SUM(BaseHoras[[#This Row],[Abr/2019]:[Jun/2019]])</f>
        <v>0</v>
      </c>
      <c r="V985" s="29">
        <f>SUM(BaseHoras[[#This Row],[Jul/2019]:[Set/2019]])</f>
        <v>31.67927006939917</v>
      </c>
      <c r="W985" s="29">
        <f>SUM(BaseHoras[[#This Row],[Out/2019]:[Dez/2019]])</f>
        <v>16.263798432201625</v>
      </c>
    </row>
    <row r="986" spans="1:23">
      <c r="A986" t="s">
        <v>151</v>
      </c>
      <c r="B986" t="s">
        <v>168</v>
      </c>
      <c r="C986" t="s">
        <v>368</v>
      </c>
      <c r="D986" t="s">
        <v>23</v>
      </c>
      <c r="E986" t="s">
        <v>152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s="28">
        <v>42713.072841018431</v>
      </c>
      <c r="N986" s="28">
        <v>0</v>
      </c>
      <c r="O986">
        <v>0</v>
      </c>
      <c r="P986">
        <v>0</v>
      </c>
      <c r="Q986">
        <v>0</v>
      </c>
      <c r="R986">
        <v>0</v>
      </c>
      <c r="S986" s="28">
        <v>42713.072841018431</v>
      </c>
      <c r="T986" s="29">
        <f>SUM(BaseHoras[[#This Row],[Jan/2019]:[Mar/2019]])</f>
        <v>0</v>
      </c>
      <c r="U986" s="29">
        <f>SUM(BaseHoras[[#This Row],[Abr/2019]:[Jun/2019]])</f>
        <v>0</v>
      </c>
      <c r="V986" s="29">
        <f>SUM(BaseHoras[[#This Row],[Jul/2019]:[Set/2019]])</f>
        <v>42713.072841018431</v>
      </c>
      <c r="W986" s="29">
        <f>SUM(BaseHoras[[#This Row],[Out/2019]:[Dez/2019]])</f>
        <v>0</v>
      </c>
    </row>
    <row r="987" spans="1:23">
      <c r="A987" t="s">
        <v>151</v>
      </c>
      <c r="B987" t="s">
        <v>168</v>
      </c>
      <c r="C987" t="s">
        <v>368</v>
      </c>
      <c r="D987" t="s">
        <v>24</v>
      </c>
      <c r="E987" t="s">
        <v>152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138.32219435509774</v>
      </c>
      <c r="M987" s="28">
        <v>531.47847497495684</v>
      </c>
      <c r="N987" s="28">
        <v>0</v>
      </c>
      <c r="O987">
        <v>0</v>
      </c>
      <c r="P987">
        <v>0</v>
      </c>
      <c r="Q987">
        <v>0</v>
      </c>
      <c r="R987">
        <v>0</v>
      </c>
      <c r="S987" s="28">
        <v>669.80066933005457</v>
      </c>
      <c r="T987" s="29">
        <f>SUM(BaseHoras[[#This Row],[Jan/2019]:[Mar/2019]])</f>
        <v>0</v>
      </c>
      <c r="U987" s="29">
        <f>SUM(BaseHoras[[#This Row],[Abr/2019]:[Jun/2019]])</f>
        <v>0</v>
      </c>
      <c r="V987" s="29">
        <f>SUM(BaseHoras[[#This Row],[Jul/2019]:[Set/2019]])</f>
        <v>669.80066933005457</v>
      </c>
      <c r="W987" s="29">
        <f>SUM(BaseHoras[[#This Row],[Out/2019]:[Dez/2019]])</f>
        <v>0</v>
      </c>
    </row>
    <row r="988" spans="1:23">
      <c r="A988" t="s">
        <v>151</v>
      </c>
      <c r="B988" t="s">
        <v>168</v>
      </c>
      <c r="C988" t="s">
        <v>368</v>
      </c>
      <c r="D988" t="s">
        <v>29</v>
      </c>
      <c r="E988" t="s">
        <v>152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1100.4105670710383</v>
      </c>
      <c r="M988" s="28">
        <v>349.36477398968594</v>
      </c>
      <c r="N988" s="28">
        <v>0</v>
      </c>
      <c r="O988">
        <v>0</v>
      </c>
      <c r="P988">
        <v>0</v>
      </c>
      <c r="Q988">
        <v>0</v>
      </c>
      <c r="R988">
        <v>0</v>
      </c>
      <c r="S988" s="28">
        <v>1449.7753410607243</v>
      </c>
      <c r="T988" s="29">
        <f>SUM(BaseHoras[[#This Row],[Jan/2019]:[Mar/2019]])</f>
        <v>0</v>
      </c>
      <c r="U988" s="29">
        <f>SUM(BaseHoras[[#This Row],[Abr/2019]:[Jun/2019]])</f>
        <v>0</v>
      </c>
      <c r="V988" s="29">
        <f>SUM(BaseHoras[[#This Row],[Jul/2019]:[Set/2019]])</f>
        <v>1449.7753410607243</v>
      </c>
      <c r="W988" s="29">
        <f>SUM(BaseHoras[[#This Row],[Out/2019]:[Dez/2019]])</f>
        <v>0</v>
      </c>
    </row>
    <row r="989" spans="1:23">
      <c r="A989" t="s">
        <v>151</v>
      </c>
      <c r="B989" t="s">
        <v>168</v>
      </c>
      <c r="C989" t="s">
        <v>368</v>
      </c>
      <c r="D989" t="s">
        <v>35</v>
      </c>
      <c r="E989" t="s">
        <v>152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s="28">
        <v>712.24470495281696</v>
      </c>
      <c r="N989" s="28">
        <v>356.25609333153164</v>
      </c>
      <c r="O989">
        <v>0</v>
      </c>
      <c r="P989">
        <v>33124.925492746173</v>
      </c>
      <c r="Q989">
        <v>273.89722181807895</v>
      </c>
      <c r="R989">
        <v>0</v>
      </c>
      <c r="S989" s="28">
        <v>34467.323512848598</v>
      </c>
      <c r="T989" s="29">
        <f>SUM(BaseHoras[[#This Row],[Jan/2019]:[Mar/2019]])</f>
        <v>0</v>
      </c>
      <c r="U989" s="29">
        <f>SUM(BaseHoras[[#This Row],[Abr/2019]:[Jun/2019]])</f>
        <v>0</v>
      </c>
      <c r="V989" s="29">
        <f>SUM(BaseHoras[[#This Row],[Jul/2019]:[Set/2019]])</f>
        <v>1068.5007982843485</v>
      </c>
      <c r="W989" s="29">
        <f>SUM(BaseHoras[[#This Row],[Out/2019]:[Dez/2019]])</f>
        <v>33398.822714564252</v>
      </c>
    </row>
    <row r="990" spans="1:23">
      <c r="A990" t="s">
        <v>151</v>
      </c>
      <c r="B990" t="s">
        <v>168</v>
      </c>
      <c r="C990" t="s">
        <v>368</v>
      </c>
      <c r="D990" t="s">
        <v>37</v>
      </c>
      <c r="E990" t="s">
        <v>152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s="28">
        <v>0</v>
      </c>
      <c r="N990" s="28">
        <v>819.15438519073723</v>
      </c>
      <c r="O990">
        <v>1002.9400743056316</v>
      </c>
      <c r="P990">
        <v>338.49236312781306</v>
      </c>
      <c r="Q990">
        <v>23206.795674665522</v>
      </c>
      <c r="R990">
        <v>0</v>
      </c>
      <c r="S990" s="28">
        <v>25367.382497289705</v>
      </c>
      <c r="T990" s="29">
        <f>SUM(BaseHoras[[#This Row],[Jan/2019]:[Mar/2019]])</f>
        <v>0</v>
      </c>
      <c r="U990" s="29">
        <f>SUM(BaseHoras[[#This Row],[Abr/2019]:[Jun/2019]])</f>
        <v>0</v>
      </c>
      <c r="V990" s="29">
        <f>SUM(BaseHoras[[#This Row],[Jul/2019]:[Set/2019]])</f>
        <v>819.15438519073723</v>
      </c>
      <c r="W990" s="29">
        <f>SUM(BaseHoras[[#This Row],[Out/2019]:[Dez/2019]])</f>
        <v>24548.228112098965</v>
      </c>
    </row>
    <row r="991" spans="1:23">
      <c r="A991" t="s">
        <v>151</v>
      </c>
      <c r="B991" t="s">
        <v>168</v>
      </c>
      <c r="C991" t="s">
        <v>368</v>
      </c>
      <c r="D991" t="s">
        <v>277</v>
      </c>
      <c r="E991" t="s">
        <v>152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s="28">
        <v>0</v>
      </c>
      <c r="N991" s="28">
        <v>0</v>
      </c>
      <c r="O991">
        <v>0</v>
      </c>
      <c r="P991">
        <v>10217.757449369974</v>
      </c>
      <c r="Q991">
        <v>237.32341155486873</v>
      </c>
      <c r="R991">
        <v>0</v>
      </c>
      <c r="S991" s="28">
        <v>10455.080860924843</v>
      </c>
      <c r="T991" s="29">
        <f>SUM(BaseHoras[[#This Row],[Jan/2019]:[Mar/2019]])</f>
        <v>0</v>
      </c>
      <c r="U991" s="29">
        <f>SUM(BaseHoras[[#This Row],[Abr/2019]:[Jun/2019]])</f>
        <v>0</v>
      </c>
      <c r="V991" s="29">
        <f>SUM(BaseHoras[[#This Row],[Jul/2019]:[Set/2019]])</f>
        <v>0</v>
      </c>
      <c r="W991" s="29">
        <f>SUM(BaseHoras[[#This Row],[Out/2019]:[Dez/2019]])</f>
        <v>10455.080860924843</v>
      </c>
    </row>
    <row r="992" spans="1:23">
      <c r="A992" t="s">
        <v>151</v>
      </c>
      <c r="B992" t="s">
        <v>168</v>
      </c>
      <c r="C992" t="s">
        <v>368</v>
      </c>
      <c r="D992" t="s">
        <v>49</v>
      </c>
      <c r="E992" t="s">
        <v>152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s="28">
        <v>477.24384761409453</v>
      </c>
      <c r="N992" s="28">
        <v>1331.2451716514197</v>
      </c>
      <c r="O992">
        <v>95.048854462551787</v>
      </c>
      <c r="P992">
        <v>0</v>
      </c>
      <c r="Q992">
        <v>0</v>
      </c>
      <c r="R992">
        <v>0</v>
      </c>
      <c r="S992" s="28">
        <v>1903.5378737280662</v>
      </c>
      <c r="T992" s="29">
        <f>SUM(BaseHoras[[#This Row],[Jan/2019]:[Mar/2019]])</f>
        <v>0</v>
      </c>
      <c r="U992" s="29">
        <f>SUM(BaseHoras[[#This Row],[Abr/2019]:[Jun/2019]])</f>
        <v>0</v>
      </c>
      <c r="V992" s="29">
        <f>SUM(BaseHoras[[#This Row],[Jul/2019]:[Set/2019]])</f>
        <v>1808.4890192655143</v>
      </c>
      <c r="W992" s="29">
        <f>SUM(BaseHoras[[#This Row],[Out/2019]:[Dez/2019]])</f>
        <v>95.048854462551787</v>
      </c>
    </row>
    <row r="993" spans="1:23">
      <c r="A993" t="s">
        <v>151</v>
      </c>
      <c r="B993" t="s">
        <v>168</v>
      </c>
      <c r="C993" t="s">
        <v>368</v>
      </c>
      <c r="D993" t="s">
        <v>64</v>
      </c>
      <c r="E993" t="s">
        <v>152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s="28">
        <v>830.04683710856671</v>
      </c>
      <c r="N993" s="28">
        <v>386.80279095049195</v>
      </c>
      <c r="O993">
        <v>0</v>
      </c>
      <c r="P993">
        <v>0</v>
      </c>
      <c r="Q993">
        <v>0</v>
      </c>
      <c r="R993">
        <v>0</v>
      </c>
      <c r="S993" s="28">
        <v>1216.8496280590587</v>
      </c>
      <c r="T993" s="29">
        <f>SUM(BaseHoras[[#This Row],[Jan/2019]:[Mar/2019]])</f>
        <v>0</v>
      </c>
      <c r="U993" s="29">
        <f>SUM(BaseHoras[[#This Row],[Abr/2019]:[Jun/2019]])</f>
        <v>0</v>
      </c>
      <c r="V993" s="29">
        <f>SUM(BaseHoras[[#This Row],[Jul/2019]:[Set/2019]])</f>
        <v>1216.8496280590587</v>
      </c>
      <c r="W993" s="29">
        <f>SUM(BaseHoras[[#This Row],[Out/2019]:[Dez/2019]])</f>
        <v>0</v>
      </c>
    </row>
    <row r="994" spans="1:23">
      <c r="A994" t="s">
        <v>151</v>
      </c>
      <c r="B994" t="s">
        <v>168</v>
      </c>
      <c r="C994" t="s">
        <v>368</v>
      </c>
      <c r="D994" t="s">
        <v>73</v>
      </c>
      <c r="E994" t="s">
        <v>152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s="28">
        <v>0</v>
      </c>
      <c r="N994" s="28">
        <v>0</v>
      </c>
      <c r="O994">
        <v>0</v>
      </c>
      <c r="P994">
        <v>6.3232634437875319</v>
      </c>
      <c r="Q994">
        <v>0</v>
      </c>
      <c r="R994">
        <v>0</v>
      </c>
      <c r="S994" s="28">
        <v>6.3232634437875319</v>
      </c>
      <c r="T994" s="29">
        <f>SUM(BaseHoras[[#This Row],[Jan/2019]:[Mar/2019]])</f>
        <v>0</v>
      </c>
      <c r="U994" s="29">
        <f>SUM(BaseHoras[[#This Row],[Abr/2019]:[Jun/2019]])</f>
        <v>0</v>
      </c>
      <c r="V994" s="29">
        <f>SUM(BaseHoras[[#This Row],[Jul/2019]:[Set/2019]])</f>
        <v>0</v>
      </c>
      <c r="W994" s="29">
        <f>SUM(BaseHoras[[#This Row],[Out/2019]:[Dez/2019]])</f>
        <v>6.3232634437875319</v>
      </c>
    </row>
    <row r="995" spans="1:23">
      <c r="A995" t="s">
        <v>151</v>
      </c>
      <c r="B995" t="s">
        <v>168</v>
      </c>
      <c r="C995" t="s">
        <v>368</v>
      </c>
      <c r="D995" t="s">
        <v>87</v>
      </c>
      <c r="E995" t="s">
        <v>152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s="28">
        <v>16.235867120391045</v>
      </c>
      <c r="N995" s="28">
        <v>0</v>
      </c>
      <c r="O995">
        <v>65.184088722863379</v>
      </c>
      <c r="P995">
        <v>83.147487350650465</v>
      </c>
      <c r="Q995">
        <v>864.66411135795101</v>
      </c>
      <c r="R995">
        <v>0</v>
      </c>
      <c r="S995" s="28">
        <v>1029.2315545518559</v>
      </c>
      <c r="T995" s="29">
        <f>SUM(BaseHoras[[#This Row],[Jan/2019]:[Mar/2019]])</f>
        <v>0</v>
      </c>
      <c r="U995" s="29">
        <f>SUM(BaseHoras[[#This Row],[Abr/2019]:[Jun/2019]])</f>
        <v>0</v>
      </c>
      <c r="V995" s="29">
        <f>SUM(BaseHoras[[#This Row],[Jul/2019]:[Set/2019]])</f>
        <v>16.235867120391045</v>
      </c>
      <c r="W995" s="29">
        <f>SUM(BaseHoras[[#This Row],[Out/2019]:[Dez/2019]])</f>
        <v>1012.9956874314648</v>
      </c>
    </row>
    <row r="996" spans="1:23">
      <c r="A996" t="s">
        <v>151</v>
      </c>
      <c r="B996" t="s">
        <v>168</v>
      </c>
      <c r="C996" t="s">
        <v>368</v>
      </c>
      <c r="D996" t="s">
        <v>98</v>
      </c>
      <c r="E996" t="s">
        <v>152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71.075173267200967</v>
      </c>
      <c r="M996" s="28">
        <v>18965.12275142024</v>
      </c>
      <c r="N996" s="28">
        <v>0</v>
      </c>
      <c r="O996">
        <v>0</v>
      </c>
      <c r="P996">
        <v>0</v>
      </c>
      <c r="Q996">
        <v>0</v>
      </c>
      <c r="R996">
        <v>0</v>
      </c>
      <c r="S996" s="28">
        <v>19036.19792468744</v>
      </c>
      <c r="T996" s="29">
        <f>SUM(BaseHoras[[#This Row],[Jan/2019]:[Mar/2019]])</f>
        <v>0</v>
      </c>
      <c r="U996" s="29">
        <f>SUM(BaseHoras[[#This Row],[Abr/2019]:[Jun/2019]])</f>
        <v>0</v>
      </c>
      <c r="V996" s="29">
        <f>SUM(BaseHoras[[#This Row],[Jul/2019]:[Set/2019]])</f>
        <v>19036.19792468744</v>
      </c>
      <c r="W996" s="29">
        <f>SUM(BaseHoras[[#This Row],[Out/2019]:[Dez/2019]])</f>
        <v>0</v>
      </c>
    </row>
    <row r="997" spans="1:23">
      <c r="A997" t="s">
        <v>151</v>
      </c>
      <c r="B997" t="s">
        <v>168</v>
      </c>
      <c r="C997" t="s">
        <v>368</v>
      </c>
      <c r="D997" t="s">
        <v>103</v>
      </c>
      <c r="E997" t="s">
        <v>152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s="28">
        <v>0</v>
      </c>
      <c r="N997" s="28">
        <v>0</v>
      </c>
      <c r="O997">
        <v>0</v>
      </c>
      <c r="P997">
        <v>62.486042776897762</v>
      </c>
      <c r="Q997">
        <v>0</v>
      </c>
      <c r="R997">
        <v>0</v>
      </c>
      <c r="S997" s="28">
        <v>62.486042776897762</v>
      </c>
      <c r="T997" s="29">
        <f>SUM(BaseHoras[[#This Row],[Jan/2019]:[Mar/2019]])</f>
        <v>0</v>
      </c>
      <c r="U997" s="29">
        <f>SUM(BaseHoras[[#This Row],[Abr/2019]:[Jun/2019]])</f>
        <v>0</v>
      </c>
      <c r="V997" s="29">
        <f>SUM(BaseHoras[[#This Row],[Jul/2019]:[Set/2019]])</f>
        <v>0</v>
      </c>
      <c r="W997" s="29">
        <f>SUM(BaseHoras[[#This Row],[Out/2019]:[Dez/2019]])</f>
        <v>62.486042776897762</v>
      </c>
    </row>
    <row r="998" spans="1:23">
      <c r="A998" t="s">
        <v>151</v>
      </c>
      <c r="B998" t="s">
        <v>168</v>
      </c>
      <c r="C998" t="s">
        <v>368</v>
      </c>
      <c r="D998" t="s">
        <v>105</v>
      </c>
      <c r="E998" t="s">
        <v>152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s="28">
        <v>436.706507828209</v>
      </c>
      <c r="N998" s="28">
        <v>44.503902520013298</v>
      </c>
      <c r="O998">
        <v>0</v>
      </c>
      <c r="P998">
        <v>0</v>
      </c>
      <c r="Q998">
        <v>0</v>
      </c>
      <c r="R998">
        <v>0</v>
      </c>
      <c r="S998" s="28">
        <v>481.2104103482223</v>
      </c>
      <c r="T998" s="29">
        <f>SUM(BaseHoras[[#This Row],[Jan/2019]:[Mar/2019]])</f>
        <v>0</v>
      </c>
      <c r="U998" s="29">
        <f>SUM(BaseHoras[[#This Row],[Abr/2019]:[Jun/2019]])</f>
        <v>0</v>
      </c>
      <c r="V998" s="29">
        <f>SUM(BaseHoras[[#This Row],[Jul/2019]:[Set/2019]])</f>
        <v>481.2104103482223</v>
      </c>
      <c r="W998" s="29">
        <f>SUM(BaseHoras[[#This Row],[Out/2019]:[Dez/2019]])</f>
        <v>0</v>
      </c>
    </row>
    <row r="999" spans="1:23">
      <c r="A999" t="s">
        <v>151</v>
      </c>
      <c r="B999" t="s">
        <v>168</v>
      </c>
      <c r="C999" t="s">
        <v>368</v>
      </c>
      <c r="D999" t="s">
        <v>157</v>
      </c>
      <c r="E999" t="s">
        <v>152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s="28">
        <v>0</v>
      </c>
      <c r="N999" s="28">
        <v>0</v>
      </c>
      <c r="O999">
        <v>0</v>
      </c>
      <c r="P999">
        <v>0</v>
      </c>
      <c r="Q999">
        <v>9.4202521262784256</v>
      </c>
      <c r="R999">
        <v>0</v>
      </c>
      <c r="S999" s="28">
        <v>9.4202521262784256</v>
      </c>
      <c r="T999" s="29">
        <f>SUM(BaseHoras[[#This Row],[Jan/2019]:[Mar/2019]])</f>
        <v>0</v>
      </c>
      <c r="U999" s="29">
        <f>SUM(BaseHoras[[#This Row],[Abr/2019]:[Jun/2019]])</f>
        <v>0</v>
      </c>
      <c r="V999" s="29">
        <f>SUM(BaseHoras[[#This Row],[Jul/2019]:[Set/2019]])</f>
        <v>0</v>
      </c>
      <c r="W999" s="29">
        <f>SUM(BaseHoras[[#This Row],[Out/2019]:[Dez/2019]])</f>
        <v>9.4202521262784256</v>
      </c>
    </row>
    <row r="1000" spans="1:23">
      <c r="A1000" t="s">
        <v>151</v>
      </c>
      <c r="B1000" t="s">
        <v>168</v>
      </c>
      <c r="C1000" t="s">
        <v>368</v>
      </c>
      <c r="D1000" t="s">
        <v>128</v>
      </c>
      <c r="E1000" t="s">
        <v>152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152.58800890356412</v>
      </c>
      <c r="M1000" s="28">
        <v>0</v>
      </c>
      <c r="N1000" s="28">
        <v>0</v>
      </c>
      <c r="O1000">
        <v>0</v>
      </c>
      <c r="P1000">
        <v>0</v>
      </c>
      <c r="Q1000">
        <v>0</v>
      </c>
      <c r="R1000">
        <v>0</v>
      </c>
      <c r="S1000" s="28">
        <v>152.58800890356412</v>
      </c>
      <c r="T1000" s="29">
        <f>SUM(BaseHoras[[#This Row],[Jan/2019]:[Mar/2019]])</f>
        <v>0</v>
      </c>
      <c r="U1000" s="29">
        <f>SUM(BaseHoras[[#This Row],[Abr/2019]:[Jun/2019]])</f>
        <v>0</v>
      </c>
      <c r="V1000" s="29">
        <f>SUM(BaseHoras[[#This Row],[Jul/2019]:[Set/2019]])</f>
        <v>152.58800890356412</v>
      </c>
      <c r="W1000" s="29">
        <f>SUM(BaseHoras[[#This Row],[Out/2019]:[Dez/2019]])</f>
        <v>0</v>
      </c>
    </row>
    <row r="1001" spans="1:23">
      <c r="A1001" t="s">
        <v>151</v>
      </c>
      <c r="B1001" t="s">
        <v>168</v>
      </c>
      <c r="C1001" t="s">
        <v>368</v>
      </c>
      <c r="D1001" t="s">
        <v>129</v>
      </c>
      <c r="E1001" t="s">
        <v>152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s="28">
        <v>0</v>
      </c>
      <c r="N1001" s="28">
        <v>0</v>
      </c>
      <c r="O1001">
        <v>17.552038561791129</v>
      </c>
      <c r="P1001">
        <v>16.352373056419847</v>
      </c>
      <c r="Q1001">
        <v>0</v>
      </c>
      <c r="R1001">
        <v>0</v>
      </c>
      <c r="S1001" s="28">
        <v>33.904411618210972</v>
      </c>
      <c r="T1001" s="29">
        <f>SUM(BaseHoras[[#This Row],[Jan/2019]:[Mar/2019]])</f>
        <v>0</v>
      </c>
      <c r="U1001" s="29">
        <f>SUM(BaseHoras[[#This Row],[Abr/2019]:[Jun/2019]])</f>
        <v>0</v>
      </c>
      <c r="V1001" s="29">
        <f>SUM(BaseHoras[[#This Row],[Jul/2019]:[Set/2019]])</f>
        <v>0</v>
      </c>
      <c r="W1001" s="29">
        <f>SUM(BaseHoras[[#This Row],[Out/2019]:[Dez/2019]])</f>
        <v>33.904411618210972</v>
      </c>
    </row>
    <row r="1002" spans="1:23">
      <c r="A1002" t="s">
        <v>151</v>
      </c>
      <c r="B1002" t="s">
        <v>168</v>
      </c>
      <c r="C1002" t="s">
        <v>368</v>
      </c>
      <c r="D1002" t="s">
        <v>138</v>
      </c>
      <c r="E1002" t="s">
        <v>152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s="28">
        <v>0</v>
      </c>
      <c r="N1002" s="28">
        <v>0</v>
      </c>
      <c r="O1002">
        <v>16.565568125017105</v>
      </c>
      <c r="P1002">
        <v>0</v>
      </c>
      <c r="Q1002">
        <v>0</v>
      </c>
      <c r="R1002">
        <v>0</v>
      </c>
      <c r="S1002" s="28">
        <v>16.565568125017105</v>
      </c>
      <c r="T1002" s="29">
        <f>SUM(BaseHoras[[#This Row],[Jan/2019]:[Mar/2019]])</f>
        <v>0</v>
      </c>
      <c r="U1002" s="29">
        <f>SUM(BaseHoras[[#This Row],[Abr/2019]:[Jun/2019]])</f>
        <v>0</v>
      </c>
      <c r="V1002" s="29">
        <f>SUM(BaseHoras[[#This Row],[Jul/2019]:[Set/2019]])</f>
        <v>0</v>
      </c>
      <c r="W1002" s="29">
        <f>SUM(BaseHoras[[#This Row],[Out/2019]:[Dez/2019]])</f>
        <v>16.565568125017105</v>
      </c>
    </row>
    <row r="1003" spans="1:23">
      <c r="A1003" t="s">
        <v>151</v>
      </c>
      <c r="B1003" t="s">
        <v>168</v>
      </c>
      <c r="C1003" t="s">
        <v>368</v>
      </c>
      <c r="D1003" t="s">
        <v>144</v>
      </c>
      <c r="E1003" t="s">
        <v>152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s="28">
        <v>239.66035734453317</v>
      </c>
      <c r="N1003" s="28">
        <v>0</v>
      </c>
      <c r="O1003">
        <v>0</v>
      </c>
      <c r="P1003">
        <v>0</v>
      </c>
      <c r="Q1003">
        <v>0</v>
      </c>
      <c r="R1003">
        <v>0</v>
      </c>
      <c r="S1003" s="28">
        <v>239.66035734453317</v>
      </c>
      <c r="T1003" s="29">
        <f>SUM(BaseHoras[[#This Row],[Jan/2019]:[Mar/2019]])</f>
        <v>0</v>
      </c>
      <c r="U1003" s="29">
        <f>SUM(BaseHoras[[#This Row],[Abr/2019]:[Jun/2019]])</f>
        <v>0</v>
      </c>
      <c r="V1003" s="29">
        <f>SUM(BaseHoras[[#This Row],[Jul/2019]:[Set/2019]])</f>
        <v>239.66035734453317</v>
      </c>
      <c r="W1003" s="29">
        <f>SUM(BaseHoras[[#This Row],[Out/2019]:[Dez/2019]])</f>
        <v>0</v>
      </c>
    </row>
    <row r="1004" spans="1:23">
      <c r="A1004" t="s">
        <v>151</v>
      </c>
      <c r="B1004" t="s">
        <v>168</v>
      </c>
      <c r="C1004" t="s">
        <v>368</v>
      </c>
      <c r="D1004" t="s">
        <v>149</v>
      </c>
      <c r="E1004" t="s">
        <v>152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1165.5443817923206</v>
      </c>
      <c r="M1004" s="28">
        <v>327.69042463775025</v>
      </c>
      <c r="N1004" s="28">
        <v>67.485274037269676</v>
      </c>
      <c r="O1004">
        <v>0</v>
      </c>
      <c r="P1004">
        <v>0</v>
      </c>
      <c r="Q1004">
        <v>0</v>
      </c>
      <c r="R1004">
        <v>0</v>
      </c>
      <c r="S1004" s="28">
        <v>1560.7200804673405</v>
      </c>
      <c r="T1004" s="29">
        <f>SUM(BaseHoras[[#This Row],[Jan/2019]:[Mar/2019]])</f>
        <v>0</v>
      </c>
      <c r="U1004" s="29">
        <f>SUM(BaseHoras[[#This Row],[Abr/2019]:[Jun/2019]])</f>
        <v>0</v>
      </c>
      <c r="V1004" s="29">
        <f>SUM(BaseHoras[[#This Row],[Jul/2019]:[Set/2019]])</f>
        <v>1560.7200804673405</v>
      </c>
      <c r="W1004" s="29">
        <f>SUM(BaseHoras[[#This Row],[Out/2019]:[Dez/2019]])</f>
        <v>0</v>
      </c>
    </row>
    <row r="1005" spans="1:23">
      <c r="A1005" t="s">
        <v>151</v>
      </c>
      <c r="B1005" t="s">
        <v>168</v>
      </c>
      <c r="C1005" t="s">
        <v>369</v>
      </c>
      <c r="D1005" t="s">
        <v>29</v>
      </c>
      <c r="E1005" t="s">
        <v>370</v>
      </c>
      <c r="F1005">
        <v>0</v>
      </c>
      <c r="G1005">
        <v>97.83368997235084</v>
      </c>
      <c r="H1005">
        <v>0</v>
      </c>
      <c r="I1005">
        <v>0</v>
      </c>
      <c r="J1005">
        <v>0</v>
      </c>
      <c r="K1005">
        <v>0</v>
      </c>
      <c r="L1005">
        <v>0</v>
      </c>
      <c r="M1005" s="28">
        <v>0</v>
      </c>
      <c r="N1005" s="28">
        <v>0</v>
      </c>
      <c r="O1005">
        <v>0</v>
      </c>
      <c r="P1005">
        <v>0</v>
      </c>
      <c r="Q1005">
        <v>0</v>
      </c>
      <c r="R1005">
        <v>0</v>
      </c>
      <c r="S1005" s="28">
        <v>97.83368997235084</v>
      </c>
      <c r="T1005" s="29">
        <f>SUM(BaseHoras[[#This Row],[Jan/2019]:[Mar/2019]])</f>
        <v>97.83368997235084</v>
      </c>
      <c r="U1005" s="29">
        <f>SUM(BaseHoras[[#This Row],[Abr/2019]:[Jun/2019]])</f>
        <v>0</v>
      </c>
      <c r="V1005" s="29">
        <f>SUM(BaseHoras[[#This Row],[Jul/2019]:[Set/2019]])</f>
        <v>0</v>
      </c>
      <c r="W1005" s="29">
        <f>SUM(BaseHoras[[#This Row],[Out/2019]:[Dez/2019]])</f>
        <v>0</v>
      </c>
    </row>
    <row r="1006" spans="1:23">
      <c r="A1006" t="s">
        <v>151</v>
      </c>
      <c r="B1006" t="s">
        <v>168</v>
      </c>
      <c r="C1006" t="s">
        <v>369</v>
      </c>
      <c r="D1006" t="s">
        <v>29</v>
      </c>
      <c r="E1006" t="s">
        <v>371</v>
      </c>
      <c r="F1006">
        <v>0</v>
      </c>
      <c r="G1006">
        <v>0</v>
      </c>
      <c r="H1006">
        <v>15.253870521599913</v>
      </c>
      <c r="I1006">
        <v>0</v>
      </c>
      <c r="J1006">
        <v>0</v>
      </c>
      <c r="K1006">
        <v>0</v>
      </c>
      <c r="L1006">
        <v>0</v>
      </c>
      <c r="M1006" s="28">
        <v>0</v>
      </c>
      <c r="N1006" s="28">
        <v>0</v>
      </c>
      <c r="O1006">
        <v>0</v>
      </c>
      <c r="P1006">
        <v>0</v>
      </c>
      <c r="Q1006">
        <v>0</v>
      </c>
      <c r="R1006">
        <v>0</v>
      </c>
      <c r="S1006" s="28">
        <v>15.253870521599913</v>
      </c>
      <c r="T1006" s="29">
        <f>SUM(BaseHoras[[#This Row],[Jan/2019]:[Mar/2019]])</f>
        <v>15.253870521599913</v>
      </c>
      <c r="U1006" s="29">
        <f>SUM(BaseHoras[[#This Row],[Abr/2019]:[Jun/2019]])</f>
        <v>0</v>
      </c>
      <c r="V1006" s="29">
        <f>SUM(BaseHoras[[#This Row],[Jul/2019]:[Set/2019]])</f>
        <v>0</v>
      </c>
      <c r="W1006" s="29">
        <f>SUM(BaseHoras[[#This Row],[Out/2019]:[Dez/2019]])</f>
        <v>0</v>
      </c>
    </row>
    <row r="1007" spans="1:23">
      <c r="A1007" t="s">
        <v>151</v>
      </c>
      <c r="B1007" t="s">
        <v>168</v>
      </c>
      <c r="C1007" t="s">
        <v>369</v>
      </c>
      <c r="D1007" t="s">
        <v>164</v>
      </c>
      <c r="E1007" t="s">
        <v>371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s="28">
        <v>0</v>
      </c>
      <c r="N1007" s="28">
        <v>0</v>
      </c>
      <c r="O1007">
        <v>0</v>
      </c>
      <c r="P1007">
        <v>0</v>
      </c>
      <c r="Q1007">
        <v>7668.8263923718496</v>
      </c>
      <c r="R1007">
        <v>0</v>
      </c>
      <c r="S1007" s="28">
        <v>7668.8263923718496</v>
      </c>
      <c r="T1007" s="29">
        <f>SUM(BaseHoras[[#This Row],[Jan/2019]:[Mar/2019]])</f>
        <v>0</v>
      </c>
      <c r="U1007" s="29">
        <f>SUM(BaseHoras[[#This Row],[Abr/2019]:[Jun/2019]])</f>
        <v>0</v>
      </c>
      <c r="V1007" s="29">
        <f>SUM(BaseHoras[[#This Row],[Jul/2019]:[Set/2019]])</f>
        <v>0</v>
      </c>
      <c r="W1007" s="29">
        <f>SUM(BaseHoras[[#This Row],[Out/2019]:[Dez/2019]])</f>
        <v>7668.8263923718496</v>
      </c>
    </row>
    <row r="1008" spans="1:23">
      <c r="A1008" t="s">
        <v>151</v>
      </c>
      <c r="B1008" t="s">
        <v>168</v>
      </c>
      <c r="C1008" t="s">
        <v>372</v>
      </c>
      <c r="D1008" t="s">
        <v>87</v>
      </c>
      <c r="E1008" t="s">
        <v>152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s="28">
        <v>0</v>
      </c>
      <c r="N1008" s="28">
        <v>77.215844771696794</v>
      </c>
      <c r="O1008">
        <v>0</v>
      </c>
      <c r="P1008">
        <v>90.856005010789005</v>
      </c>
      <c r="Q1008">
        <v>0</v>
      </c>
      <c r="R1008">
        <v>0</v>
      </c>
      <c r="S1008" s="28">
        <v>168.0718497824858</v>
      </c>
      <c r="T1008" s="29">
        <f>SUM(BaseHoras[[#This Row],[Jan/2019]:[Mar/2019]])</f>
        <v>0</v>
      </c>
      <c r="U1008" s="29">
        <f>SUM(BaseHoras[[#This Row],[Abr/2019]:[Jun/2019]])</f>
        <v>0</v>
      </c>
      <c r="V1008" s="29">
        <f>SUM(BaseHoras[[#This Row],[Jul/2019]:[Set/2019]])</f>
        <v>77.215844771696794</v>
      </c>
      <c r="W1008" s="29">
        <f>SUM(BaseHoras[[#This Row],[Out/2019]:[Dez/2019]])</f>
        <v>90.856005010789005</v>
      </c>
    </row>
    <row r="1009" spans="1:23">
      <c r="A1009" t="s">
        <v>151</v>
      </c>
      <c r="B1009" t="s">
        <v>168</v>
      </c>
      <c r="C1009" t="s">
        <v>373</v>
      </c>
      <c r="D1009" t="s">
        <v>131</v>
      </c>
      <c r="E1009" t="s">
        <v>152</v>
      </c>
      <c r="F1009">
        <v>0</v>
      </c>
      <c r="G1009">
        <v>0</v>
      </c>
      <c r="H1009">
        <v>21.522578467035636</v>
      </c>
      <c r="I1009">
        <v>0</v>
      </c>
      <c r="J1009">
        <v>0</v>
      </c>
      <c r="K1009">
        <v>0</v>
      </c>
      <c r="L1009">
        <v>0</v>
      </c>
      <c r="M1009" s="28">
        <v>0</v>
      </c>
      <c r="N1009" s="28">
        <v>0</v>
      </c>
      <c r="O1009">
        <v>0</v>
      </c>
      <c r="P1009">
        <v>0</v>
      </c>
      <c r="Q1009">
        <v>0</v>
      </c>
      <c r="R1009">
        <v>0</v>
      </c>
      <c r="S1009" s="28">
        <v>21.522578467035636</v>
      </c>
      <c r="T1009" s="29">
        <f>SUM(BaseHoras[[#This Row],[Jan/2019]:[Mar/2019]])</f>
        <v>21.522578467035636</v>
      </c>
      <c r="U1009" s="29">
        <f>SUM(BaseHoras[[#This Row],[Abr/2019]:[Jun/2019]])</f>
        <v>0</v>
      </c>
      <c r="V1009" s="29">
        <f>SUM(BaseHoras[[#This Row],[Jul/2019]:[Set/2019]])</f>
        <v>0</v>
      </c>
      <c r="W1009" s="29">
        <f>SUM(BaseHoras[[#This Row],[Out/2019]:[Dez/2019]])</f>
        <v>0</v>
      </c>
    </row>
    <row r="1010" spans="1:23">
      <c r="A1010" t="s">
        <v>151</v>
      </c>
      <c r="B1010" t="s">
        <v>168</v>
      </c>
      <c r="C1010" t="s">
        <v>374</v>
      </c>
      <c r="D1010" t="s">
        <v>40</v>
      </c>
      <c r="E1010" t="s">
        <v>375</v>
      </c>
      <c r="F1010">
        <v>0</v>
      </c>
      <c r="G1010">
        <v>0</v>
      </c>
      <c r="H1010">
        <v>32.707719564601824</v>
      </c>
      <c r="I1010">
        <v>73.630613139173036</v>
      </c>
      <c r="J1010">
        <v>0</v>
      </c>
      <c r="K1010">
        <v>0</v>
      </c>
      <c r="L1010">
        <v>0</v>
      </c>
      <c r="M1010" s="28">
        <v>0</v>
      </c>
      <c r="N1010" s="28">
        <v>0</v>
      </c>
      <c r="O1010">
        <v>0</v>
      </c>
      <c r="P1010">
        <v>0</v>
      </c>
      <c r="Q1010">
        <v>0</v>
      </c>
      <c r="R1010">
        <v>0</v>
      </c>
      <c r="S1010" s="28">
        <v>106.33833270377485</v>
      </c>
      <c r="T1010" s="29">
        <f>SUM(BaseHoras[[#This Row],[Jan/2019]:[Mar/2019]])</f>
        <v>32.707719564601824</v>
      </c>
      <c r="U1010" s="29">
        <f>SUM(BaseHoras[[#This Row],[Abr/2019]:[Jun/2019]])</f>
        <v>73.630613139173036</v>
      </c>
      <c r="V1010" s="29">
        <f>SUM(BaseHoras[[#This Row],[Jul/2019]:[Set/2019]])</f>
        <v>0</v>
      </c>
      <c r="W1010" s="29">
        <f>SUM(BaseHoras[[#This Row],[Out/2019]:[Dez/2019]])</f>
        <v>0</v>
      </c>
    </row>
    <row r="1011" spans="1:23">
      <c r="A1011" t="s">
        <v>151</v>
      </c>
      <c r="B1011" t="s">
        <v>168</v>
      </c>
      <c r="C1011" t="s">
        <v>374</v>
      </c>
      <c r="D1011" t="s">
        <v>64</v>
      </c>
      <c r="E1011" t="s">
        <v>375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s="28">
        <v>0</v>
      </c>
      <c r="N1011" s="28">
        <v>0</v>
      </c>
      <c r="O1011">
        <v>0</v>
      </c>
      <c r="P1011">
        <v>139.64286027452687</v>
      </c>
      <c r="Q1011">
        <v>168.49617267431327</v>
      </c>
      <c r="R1011">
        <v>0</v>
      </c>
      <c r="S1011" s="28">
        <v>308.13903294884017</v>
      </c>
      <c r="T1011" s="29">
        <f>SUM(BaseHoras[[#This Row],[Jan/2019]:[Mar/2019]])</f>
        <v>0</v>
      </c>
      <c r="U1011" s="29">
        <f>SUM(BaseHoras[[#This Row],[Abr/2019]:[Jun/2019]])</f>
        <v>0</v>
      </c>
      <c r="V1011" s="29">
        <f>SUM(BaseHoras[[#This Row],[Jul/2019]:[Set/2019]])</f>
        <v>0</v>
      </c>
      <c r="W1011" s="29">
        <f>SUM(BaseHoras[[#This Row],[Out/2019]:[Dez/2019]])</f>
        <v>308.13903294884017</v>
      </c>
    </row>
    <row r="1012" spans="1:23">
      <c r="A1012" t="s">
        <v>151</v>
      </c>
      <c r="B1012" t="s">
        <v>168</v>
      </c>
      <c r="C1012" t="s">
        <v>374</v>
      </c>
      <c r="D1012" t="s">
        <v>101</v>
      </c>
      <c r="E1012" t="s">
        <v>375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s="28">
        <v>0</v>
      </c>
      <c r="N1012" s="28">
        <v>0</v>
      </c>
      <c r="O1012">
        <v>0</v>
      </c>
      <c r="P1012">
        <v>51.066865595441591</v>
      </c>
      <c r="Q1012">
        <v>0</v>
      </c>
      <c r="R1012">
        <v>0</v>
      </c>
      <c r="S1012" s="28">
        <v>51.066865595441591</v>
      </c>
      <c r="T1012" s="29">
        <f>SUM(BaseHoras[[#This Row],[Jan/2019]:[Mar/2019]])</f>
        <v>0</v>
      </c>
      <c r="U1012" s="29">
        <f>SUM(BaseHoras[[#This Row],[Abr/2019]:[Jun/2019]])</f>
        <v>0</v>
      </c>
      <c r="V1012" s="29">
        <f>SUM(BaseHoras[[#This Row],[Jul/2019]:[Set/2019]])</f>
        <v>0</v>
      </c>
      <c r="W1012" s="29">
        <f>SUM(BaseHoras[[#This Row],[Out/2019]:[Dez/2019]])</f>
        <v>51.066865595441591</v>
      </c>
    </row>
    <row r="1013" spans="1:23">
      <c r="A1013" t="s">
        <v>151</v>
      </c>
      <c r="B1013" t="s">
        <v>168</v>
      </c>
      <c r="C1013" t="s">
        <v>374</v>
      </c>
      <c r="D1013" t="s">
        <v>114</v>
      </c>
      <c r="E1013" t="s">
        <v>375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s="28">
        <v>0</v>
      </c>
      <c r="N1013" s="28">
        <v>0</v>
      </c>
      <c r="O1013">
        <v>0</v>
      </c>
      <c r="P1013">
        <v>8.5859111177588012</v>
      </c>
      <c r="Q1013">
        <v>0</v>
      </c>
      <c r="R1013">
        <v>0</v>
      </c>
      <c r="S1013" s="28">
        <v>8.5859111177588012</v>
      </c>
      <c r="T1013" s="29">
        <f>SUM(BaseHoras[[#This Row],[Jan/2019]:[Mar/2019]])</f>
        <v>0</v>
      </c>
      <c r="U1013" s="29">
        <f>SUM(BaseHoras[[#This Row],[Abr/2019]:[Jun/2019]])</f>
        <v>0</v>
      </c>
      <c r="V1013" s="29">
        <f>SUM(BaseHoras[[#This Row],[Jul/2019]:[Set/2019]])</f>
        <v>0</v>
      </c>
      <c r="W1013" s="29">
        <f>SUM(BaseHoras[[#This Row],[Out/2019]:[Dez/2019]])</f>
        <v>8.5859111177588012</v>
      </c>
    </row>
    <row r="1014" spans="1:23">
      <c r="A1014" t="s">
        <v>151</v>
      </c>
      <c r="B1014" t="s">
        <v>168</v>
      </c>
      <c r="C1014" t="s">
        <v>374</v>
      </c>
      <c r="D1014" t="s">
        <v>142</v>
      </c>
      <c r="E1014" t="s">
        <v>375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s="28">
        <v>0</v>
      </c>
      <c r="N1014" s="28">
        <v>0</v>
      </c>
      <c r="O1014">
        <v>0</v>
      </c>
      <c r="P1014">
        <v>155.8986736994643</v>
      </c>
      <c r="Q1014">
        <v>598.16959165844389</v>
      </c>
      <c r="R1014">
        <v>0</v>
      </c>
      <c r="S1014" s="28">
        <v>754.06826535790822</v>
      </c>
      <c r="T1014" s="29">
        <f>SUM(BaseHoras[[#This Row],[Jan/2019]:[Mar/2019]])</f>
        <v>0</v>
      </c>
      <c r="U1014" s="29">
        <f>SUM(BaseHoras[[#This Row],[Abr/2019]:[Jun/2019]])</f>
        <v>0</v>
      </c>
      <c r="V1014" s="29">
        <f>SUM(BaseHoras[[#This Row],[Jul/2019]:[Set/2019]])</f>
        <v>0</v>
      </c>
      <c r="W1014" s="29">
        <f>SUM(BaseHoras[[#This Row],[Out/2019]:[Dez/2019]])</f>
        <v>754.06826535790822</v>
      </c>
    </row>
    <row r="1015" spans="1:23">
      <c r="A1015" t="s">
        <v>151</v>
      </c>
      <c r="B1015" t="s">
        <v>168</v>
      </c>
      <c r="C1015" t="s">
        <v>374</v>
      </c>
      <c r="D1015" t="s">
        <v>164</v>
      </c>
      <c r="E1015" t="s">
        <v>375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s="28">
        <v>0</v>
      </c>
      <c r="N1015" s="28">
        <v>0</v>
      </c>
      <c r="O1015">
        <v>0</v>
      </c>
      <c r="P1015">
        <v>0</v>
      </c>
      <c r="Q1015">
        <v>118.82058536120691</v>
      </c>
      <c r="R1015">
        <v>0</v>
      </c>
      <c r="S1015" s="28">
        <v>118.82058536120691</v>
      </c>
      <c r="T1015" s="29">
        <f>SUM(BaseHoras[[#This Row],[Jan/2019]:[Mar/2019]])</f>
        <v>0</v>
      </c>
      <c r="U1015" s="29">
        <f>SUM(BaseHoras[[#This Row],[Abr/2019]:[Jun/2019]])</f>
        <v>0</v>
      </c>
      <c r="V1015" s="29">
        <f>SUM(BaseHoras[[#This Row],[Jul/2019]:[Set/2019]])</f>
        <v>0</v>
      </c>
      <c r="W1015" s="29">
        <f>SUM(BaseHoras[[#This Row],[Out/2019]:[Dez/2019]])</f>
        <v>118.82058536120691</v>
      </c>
    </row>
    <row r="1016" spans="1:23">
      <c r="A1016" t="s">
        <v>151</v>
      </c>
      <c r="B1016" t="s">
        <v>168</v>
      </c>
      <c r="C1016" t="s">
        <v>376</v>
      </c>
      <c r="D1016" t="s">
        <v>30</v>
      </c>
      <c r="E1016" t="s">
        <v>375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s="28">
        <v>0</v>
      </c>
      <c r="N1016" s="28">
        <v>0</v>
      </c>
      <c r="O1016">
        <v>0</v>
      </c>
      <c r="P1016">
        <v>0</v>
      </c>
      <c r="Q1016">
        <v>3018.6884248832048</v>
      </c>
      <c r="R1016">
        <v>0</v>
      </c>
      <c r="S1016" s="28">
        <v>3018.6884248832048</v>
      </c>
      <c r="T1016" s="29">
        <f>SUM(BaseHoras[[#This Row],[Jan/2019]:[Mar/2019]])</f>
        <v>0</v>
      </c>
      <c r="U1016" s="29">
        <f>SUM(BaseHoras[[#This Row],[Abr/2019]:[Jun/2019]])</f>
        <v>0</v>
      </c>
      <c r="V1016" s="29">
        <f>SUM(BaseHoras[[#This Row],[Jul/2019]:[Set/2019]])</f>
        <v>0</v>
      </c>
      <c r="W1016" s="29">
        <f>SUM(BaseHoras[[#This Row],[Out/2019]:[Dez/2019]])</f>
        <v>3018.6884248832048</v>
      </c>
    </row>
    <row r="1017" spans="1:23">
      <c r="A1017" t="s">
        <v>151</v>
      </c>
      <c r="B1017" t="s">
        <v>168</v>
      </c>
      <c r="C1017" t="s">
        <v>376</v>
      </c>
      <c r="D1017" t="s">
        <v>122</v>
      </c>
      <c r="E1017" t="s">
        <v>375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s="28">
        <v>0</v>
      </c>
      <c r="N1017" s="28">
        <v>0</v>
      </c>
      <c r="O1017">
        <v>0</v>
      </c>
      <c r="P1017">
        <v>0</v>
      </c>
      <c r="Q1017">
        <v>13.711095453518885</v>
      </c>
      <c r="R1017">
        <v>0</v>
      </c>
      <c r="S1017" s="28">
        <v>13.711095453518885</v>
      </c>
      <c r="T1017" s="29">
        <f>SUM(BaseHoras[[#This Row],[Jan/2019]:[Mar/2019]])</f>
        <v>0</v>
      </c>
      <c r="U1017" s="29">
        <f>SUM(BaseHoras[[#This Row],[Abr/2019]:[Jun/2019]])</f>
        <v>0</v>
      </c>
      <c r="V1017" s="29">
        <f>SUM(BaseHoras[[#This Row],[Jul/2019]:[Set/2019]])</f>
        <v>0</v>
      </c>
      <c r="W1017" s="29">
        <f>SUM(BaseHoras[[#This Row],[Out/2019]:[Dez/2019]])</f>
        <v>13.711095453518885</v>
      </c>
    </row>
    <row r="1018" spans="1:23">
      <c r="A1018" t="s">
        <v>151</v>
      </c>
      <c r="B1018" t="s">
        <v>168</v>
      </c>
      <c r="C1018" t="s">
        <v>377</v>
      </c>
      <c r="D1018" t="s">
        <v>40</v>
      </c>
      <c r="E1018" t="s">
        <v>188</v>
      </c>
      <c r="F1018">
        <v>65.8210314050839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s="28">
        <v>0</v>
      </c>
      <c r="N1018" s="28">
        <v>0</v>
      </c>
      <c r="O1018">
        <v>0</v>
      </c>
      <c r="P1018">
        <v>0</v>
      </c>
      <c r="Q1018">
        <v>0</v>
      </c>
      <c r="R1018">
        <v>0</v>
      </c>
      <c r="S1018" s="28">
        <v>65.8210314050839</v>
      </c>
      <c r="T1018" s="29">
        <f>SUM(BaseHoras[[#This Row],[Jan/2019]:[Mar/2019]])</f>
        <v>65.8210314050839</v>
      </c>
      <c r="U1018" s="29">
        <f>SUM(BaseHoras[[#This Row],[Abr/2019]:[Jun/2019]])</f>
        <v>0</v>
      </c>
      <c r="V1018" s="29">
        <f>SUM(BaseHoras[[#This Row],[Jul/2019]:[Set/2019]])</f>
        <v>0</v>
      </c>
      <c r="W1018" s="29">
        <f>SUM(BaseHoras[[#This Row],[Out/2019]:[Dez/2019]])</f>
        <v>0</v>
      </c>
    </row>
    <row r="1019" spans="1:23">
      <c r="A1019" t="s">
        <v>151</v>
      </c>
      <c r="B1019" t="s">
        <v>168</v>
      </c>
      <c r="C1019" t="s">
        <v>377</v>
      </c>
      <c r="D1019" t="s">
        <v>123</v>
      </c>
      <c r="E1019" t="s">
        <v>188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216.62015630698573</v>
      </c>
      <c r="L1019">
        <v>367.35938073336365</v>
      </c>
      <c r="M1019" s="28">
        <v>3327.8530516329142</v>
      </c>
      <c r="N1019" s="28">
        <v>0</v>
      </c>
      <c r="O1019">
        <v>0</v>
      </c>
      <c r="P1019">
        <v>0</v>
      </c>
      <c r="Q1019">
        <v>0</v>
      </c>
      <c r="R1019">
        <v>0</v>
      </c>
      <c r="S1019" s="28">
        <v>3911.8325886732637</v>
      </c>
      <c r="T1019" s="29">
        <f>SUM(BaseHoras[[#This Row],[Jan/2019]:[Mar/2019]])</f>
        <v>0</v>
      </c>
      <c r="U1019" s="29">
        <f>SUM(BaseHoras[[#This Row],[Abr/2019]:[Jun/2019]])</f>
        <v>216.62015630698573</v>
      </c>
      <c r="V1019" s="29">
        <f>SUM(BaseHoras[[#This Row],[Jul/2019]:[Set/2019]])</f>
        <v>3695.2124323662779</v>
      </c>
      <c r="W1019" s="29">
        <f>SUM(BaseHoras[[#This Row],[Out/2019]:[Dez/2019]])</f>
        <v>0</v>
      </c>
    </row>
    <row r="1020" spans="1:23">
      <c r="A1020" t="s">
        <v>151</v>
      </c>
      <c r="B1020" t="s">
        <v>168</v>
      </c>
      <c r="C1020" t="s">
        <v>378</v>
      </c>
      <c r="D1020" t="s">
        <v>20</v>
      </c>
      <c r="E1020" t="s">
        <v>152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s="28">
        <v>0</v>
      </c>
      <c r="N1020" s="28">
        <v>0</v>
      </c>
      <c r="O1020">
        <v>63.700401460239476</v>
      </c>
      <c r="P1020">
        <v>0</v>
      </c>
      <c r="Q1020">
        <v>0</v>
      </c>
      <c r="R1020">
        <v>0</v>
      </c>
      <c r="S1020" s="28">
        <v>63.700401460239476</v>
      </c>
      <c r="T1020" s="29">
        <f>SUM(BaseHoras[[#This Row],[Jan/2019]:[Mar/2019]])</f>
        <v>0</v>
      </c>
      <c r="U1020" s="29">
        <f>SUM(BaseHoras[[#This Row],[Abr/2019]:[Jun/2019]])</f>
        <v>0</v>
      </c>
      <c r="V1020" s="29">
        <f>SUM(BaseHoras[[#This Row],[Jul/2019]:[Set/2019]])</f>
        <v>0</v>
      </c>
      <c r="W1020" s="29">
        <f>SUM(BaseHoras[[#This Row],[Out/2019]:[Dez/2019]])</f>
        <v>63.700401460239476</v>
      </c>
    </row>
    <row r="1021" spans="1:23">
      <c r="A1021" t="s">
        <v>151</v>
      </c>
      <c r="B1021" t="s">
        <v>168</v>
      </c>
      <c r="C1021" t="s">
        <v>378</v>
      </c>
      <c r="D1021" t="s">
        <v>29</v>
      </c>
      <c r="E1021" t="s">
        <v>152</v>
      </c>
      <c r="F1021">
        <v>91.456782511583697</v>
      </c>
      <c r="G1021">
        <v>22.489574307121867</v>
      </c>
      <c r="H1021">
        <v>139.16845506863368</v>
      </c>
      <c r="I1021">
        <v>100.83742501126032</v>
      </c>
      <c r="J1021">
        <v>155.19488267358943</v>
      </c>
      <c r="K1021">
        <v>110.48077591147435</v>
      </c>
      <c r="L1021">
        <v>318.51080238733454</v>
      </c>
      <c r="M1021" s="28">
        <v>0</v>
      </c>
      <c r="N1021" s="28">
        <v>0</v>
      </c>
      <c r="O1021">
        <v>0</v>
      </c>
      <c r="P1021">
        <v>0</v>
      </c>
      <c r="Q1021">
        <v>0</v>
      </c>
      <c r="R1021">
        <v>0</v>
      </c>
      <c r="S1021" s="28">
        <v>938.13869787099793</v>
      </c>
      <c r="T1021" s="29">
        <f>SUM(BaseHoras[[#This Row],[Jan/2019]:[Mar/2019]])</f>
        <v>253.11481188733924</v>
      </c>
      <c r="U1021" s="29">
        <f>SUM(BaseHoras[[#This Row],[Abr/2019]:[Jun/2019]])</f>
        <v>366.51308359632412</v>
      </c>
      <c r="V1021" s="29">
        <f>SUM(BaseHoras[[#This Row],[Jul/2019]:[Set/2019]])</f>
        <v>318.51080238733454</v>
      </c>
      <c r="W1021" s="29">
        <f>SUM(BaseHoras[[#This Row],[Out/2019]:[Dez/2019]])</f>
        <v>0</v>
      </c>
    </row>
    <row r="1022" spans="1:23">
      <c r="A1022" t="s">
        <v>151</v>
      </c>
      <c r="B1022" t="s">
        <v>168</v>
      </c>
      <c r="C1022" t="s">
        <v>378</v>
      </c>
      <c r="D1022" t="s">
        <v>59</v>
      </c>
      <c r="E1022" t="s">
        <v>152</v>
      </c>
      <c r="F1022">
        <v>235.21780414781276</v>
      </c>
      <c r="G1022">
        <v>51.716584528510346</v>
      </c>
      <c r="H1022">
        <v>0</v>
      </c>
      <c r="I1022">
        <v>0</v>
      </c>
      <c r="J1022">
        <v>0</v>
      </c>
      <c r="K1022">
        <v>0</v>
      </c>
      <c r="L1022">
        <v>0</v>
      </c>
      <c r="M1022" s="28">
        <v>0</v>
      </c>
      <c r="N1022" s="28">
        <v>0</v>
      </c>
      <c r="O1022">
        <v>0</v>
      </c>
      <c r="P1022">
        <v>0</v>
      </c>
      <c r="Q1022">
        <v>0</v>
      </c>
      <c r="R1022">
        <v>0</v>
      </c>
      <c r="S1022" s="28">
        <v>286.93438867632312</v>
      </c>
      <c r="T1022" s="29">
        <f>SUM(BaseHoras[[#This Row],[Jan/2019]:[Mar/2019]])</f>
        <v>286.93438867632312</v>
      </c>
      <c r="U1022" s="29">
        <f>SUM(BaseHoras[[#This Row],[Abr/2019]:[Jun/2019]])</f>
        <v>0</v>
      </c>
      <c r="V1022" s="29">
        <f>SUM(BaseHoras[[#This Row],[Jul/2019]:[Set/2019]])</f>
        <v>0</v>
      </c>
      <c r="W1022" s="29">
        <f>SUM(BaseHoras[[#This Row],[Out/2019]:[Dez/2019]])</f>
        <v>0</v>
      </c>
    </row>
    <row r="1023" spans="1:23">
      <c r="A1023" t="s">
        <v>151</v>
      </c>
      <c r="B1023" t="s">
        <v>168</v>
      </c>
      <c r="C1023" t="s">
        <v>378</v>
      </c>
      <c r="D1023" t="s">
        <v>279</v>
      </c>
      <c r="E1023" t="s">
        <v>152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s="28">
        <v>0</v>
      </c>
      <c r="N1023" s="28">
        <v>0</v>
      </c>
      <c r="O1023">
        <v>0</v>
      </c>
      <c r="P1023">
        <v>312.39580639883241</v>
      </c>
      <c r="Q1023">
        <v>1334.9701352622385</v>
      </c>
      <c r="R1023">
        <v>0</v>
      </c>
      <c r="S1023" s="28">
        <v>1647.3659416610708</v>
      </c>
      <c r="T1023" s="29">
        <f>SUM(BaseHoras[[#This Row],[Jan/2019]:[Mar/2019]])</f>
        <v>0</v>
      </c>
      <c r="U1023" s="29">
        <f>SUM(BaseHoras[[#This Row],[Abr/2019]:[Jun/2019]])</f>
        <v>0</v>
      </c>
      <c r="V1023" s="29">
        <f>SUM(BaseHoras[[#This Row],[Jul/2019]:[Set/2019]])</f>
        <v>0</v>
      </c>
      <c r="W1023" s="29">
        <f>SUM(BaseHoras[[#This Row],[Out/2019]:[Dez/2019]])</f>
        <v>1647.3659416610708</v>
      </c>
    </row>
    <row r="1024" spans="1:23">
      <c r="A1024" t="s">
        <v>151</v>
      </c>
      <c r="B1024" t="s">
        <v>168</v>
      </c>
      <c r="C1024" t="s">
        <v>378</v>
      </c>
      <c r="D1024" t="s">
        <v>105</v>
      </c>
      <c r="E1024" t="s">
        <v>152</v>
      </c>
      <c r="F1024">
        <v>0</v>
      </c>
      <c r="G1024">
        <v>0</v>
      </c>
      <c r="H1024">
        <v>144.60119129115262</v>
      </c>
      <c r="I1024">
        <v>0</v>
      </c>
      <c r="J1024">
        <v>0</v>
      </c>
      <c r="K1024">
        <v>0</v>
      </c>
      <c r="L1024">
        <v>0</v>
      </c>
      <c r="M1024" s="28">
        <v>0</v>
      </c>
      <c r="N1024" s="28">
        <v>0</v>
      </c>
      <c r="O1024">
        <v>0</v>
      </c>
      <c r="P1024">
        <v>0</v>
      </c>
      <c r="Q1024">
        <v>0</v>
      </c>
      <c r="R1024">
        <v>0</v>
      </c>
      <c r="S1024" s="28">
        <v>144.60119129115262</v>
      </c>
      <c r="T1024" s="29">
        <f>SUM(BaseHoras[[#This Row],[Jan/2019]:[Mar/2019]])</f>
        <v>144.60119129115262</v>
      </c>
      <c r="U1024" s="29">
        <f>SUM(BaseHoras[[#This Row],[Abr/2019]:[Jun/2019]])</f>
        <v>0</v>
      </c>
      <c r="V1024" s="29">
        <f>SUM(BaseHoras[[#This Row],[Jul/2019]:[Set/2019]])</f>
        <v>0</v>
      </c>
      <c r="W1024" s="29">
        <f>SUM(BaseHoras[[#This Row],[Out/2019]:[Dez/2019]])</f>
        <v>0</v>
      </c>
    </row>
    <row r="1025" spans="1:23">
      <c r="A1025" t="s">
        <v>151</v>
      </c>
      <c r="B1025" t="s">
        <v>168</v>
      </c>
      <c r="C1025" t="s">
        <v>378</v>
      </c>
      <c r="D1025" t="s">
        <v>153</v>
      </c>
      <c r="E1025" t="s">
        <v>152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s="28">
        <v>0</v>
      </c>
      <c r="N1025" s="28">
        <v>0</v>
      </c>
      <c r="O1025">
        <v>0</v>
      </c>
      <c r="P1025">
        <v>21.961153755920712</v>
      </c>
      <c r="Q1025">
        <v>0</v>
      </c>
      <c r="R1025">
        <v>0</v>
      </c>
      <c r="S1025" s="28">
        <v>21.961153755920712</v>
      </c>
      <c r="T1025" s="29">
        <f>SUM(BaseHoras[[#This Row],[Jan/2019]:[Mar/2019]])</f>
        <v>0</v>
      </c>
      <c r="U1025" s="29">
        <f>SUM(BaseHoras[[#This Row],[Abr/2019]:[Jun/2019]])</f>
        <v>0</v>
      </c>
      <c r="V1025" s="29">
        <f>SUM(BaseHoras[[#This Row],[Jul/2019]:[Set/2019]])</f>
        <v>0</v>
      </c>
      <c r="W1025" s="29">
        <f>SUM(BaseHoras[[#This Row],[Out/2019]:[Dez/2019]])</f>
        <v>21.961153755920712</v>
      </c>
    </row>
    <row r="1026" spans="1:23">
      <c r="A1026" t="s">
        <v>151</v>
      </c>
      <c r="B1026" t="s">
        <v>168</v>
      </c>
      <c r="C1026" t="s">
        <v>378</v>
      </c>
      <c r="D1026" t="s">
        <v>144</v>
      </c>
      <c r="E1026" t="s">
        <v>152</v>
      </c>
      <c r="F1026">
        <v>0</v>
      </c>
      <c r="G1026">
        <v>0</v>
      </c>
      <c r="H1026">
        <v>0</v>
      </c>
      <c r="I1026">
        <v>0</v>
      </c>
      <c r="J1026">
        <v>462.70052062969376</v>
      </c>
      <c r="K1026">
        <v>132.42932671732027</v>
      </c>
      <c r="L1026">
        <v>249.53195009247327</v>
      </c>
      <c r="M1026" s="28">
        <v>336.15231193628443</v>
      </c>
      <c r="N1026" s="28">
        <v>441.22769464141197</v>
      </c>
      <c r="O1026">
        <v>279.47149042391175</v>
      </c>
      <c r="P1026">
        <v>626.98345034508918</v>
      </c>
      <c r="Q1026">
        <v>527.6093847603222</v>
      </c>
      <c r="R1026">
        <v>0</v>
      </c>
      <c r="S1026" s="28">
        <v>3056.106129546507</v>
      </c>
      <c r="T1026" s="29">
        <f>SUM(BaseHoras[[#This Row],[Jan/2019]:[Mar/2019]])</f>
        <v>0</v>
      </c>
      <c r="U1026" s="29">
        <f>SUM(BaseHoras[[#This Row],[Abr/2019]:[Jun/2019]])</f>
        <v>595.12984734701399</v>
      </c>
      <c r="V1026" s="29">
        <f>SUM(BaseHoras[[#This Row],[Jul/2019]:[Set/2019]])</f>
        <v>1026.9119566701697</v>
      </c>
      <c r="W1026" s="29">
        <f>SUM(BaseHoras[[#This Row],[Out/2019]:[Dez/2019]])</f>
        <v>1434.064325529323</v>
      </c>
    </row>
    <row r="1027" spans="1:23">
      <c r="A1027" t="s">
        <v>151</v>
      </c>
      <c r="B1027" t="s">
        <v>168</v>
      </c>
      <c r="C1027" t="s">
        <v>166</v>
      </c>
      <c r="D1027" t="s">
        <v>35</v>
      </c>
      <c r="E1027" t="s">
        <v>152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2.4043848805387484</v>
      </c>
      <c r="L1027">
        <v>0</v>
      </c>
      <c r="M1027" s="28">
        <v>0</v>
      </c>
      <c r="N1027" s="28">
        <v>0</v>
      </c>
      <c r="O1027">
        <v>0</v>
      </c>
      <c r="P1027">
        <v>0</v>
      </c>
      <c r="Q1027">
        <v>0</v>
      </c>
      <c r="R1027">
        <v>0</v>
      </c>
      <c r="S1027" s="28">
        <v>2.4043848805387484</v>
      </c>
      <c r="T1027" s="29">
        <f>SUM(BaseHoras[[#This Row],[Jan/2019]:[Mar/2019]])</f>
        <v>0</v>
      </c>
      <c r="U1027" s="29">
        <f>SUM(BaseHoras[[#This Row],[Abr/2019]:[Jun/2019]])</f>
        <v>2.4043848805387484</v>
      </c>
      <c r="V1027" s="29">
        <f>SUM(BaseHoras[[#This Row],[Jul/2019]:[Set/2019]])</f>
        <v>0</v>
      </c>
      <c r="W1027" s="29">
        <f>SUM(BaseHoras[[#This Row],[Out/2019]:[Dez/2019]])</f>
        <v>0</v>
      </c>
    </row>
    <row r="1028" spans="1:23">
      <c r="A1028" t="s">
        <v>151</v>
      </c>
      <c r="B1028" t="s">
        <v>168</v>
      </c>
      <c r="C1028" t="s">
        <v>166</v>
      </c>
      <c r="D1028" t="s">
        <v>49</v>
      </c>
      <c r="E1028" t="s">
        <v>152</v>
      </c>
      <c r="F1028">
        <v>0</v>
      </c>
      <c r="G1028">
        <v>0</v>
      </c>
      <c r="H1028">
        <v>95.403635805493707</v>
      </c>
      <c r="I1028">
        <v>0</v>
      </c>
      <c r="J1028">
        <v>0</v>
      </c>
      <c r="K1028">
        <v>0</v>
      </c>
      <c r="L1028">
        <v>0</v>
      </c>
      <c r="M1028" s="28">
        <v>0</v>
      </c>
      <c r="N1028" s="28">
        <v>0</v>
      </c>
      <c r="O1028">
        <v>0</v>
      </c>
      <c r="P1028">
        <v>0</v>
      </c>
      <c r="Q1028">
        <v>25.121841612452432</v>
      </c>
      <c r="R1028">
        <v>0</v>
      </c>
      <c r="S1028" s="28">
        <v>120.52547741794614</v>
      </c>
      <c r="T1028" s="29">
        <f>SUM(BaseHoras[[#This Row],[Jan/2019]:[Mar/2019]])</f>
        <v>95.403635805493707</v>
      </c>
      <c r="U1028" s="29">
        <f>SUM(BaseHoras[[#This Row],[Abr/2019]:[Jun/2019]])</f>
        <v>0</v>
      </c>
      <c r="V1028" s="29">
        <f>SUM(BaseHoras[[#This Row],[Jul/2019]:[Set/2019]])</f>
        <v>0</v>
      </c>
      <c r="W1028" s="29">
        <f>SUM(BaseHoras[[#This Row],[Out/2019]:[Dez/2019]])</f>
        <v>25.121841612452432</v>
      </c>
    </row>
    <row r="1029" spans="1:23">
      <c r="A1029" t="s">
        <v>151</v>
      </c>
      <c r="B1029" t="s">
        <v>168</v>
      </c>
      <c r="C1029" t="s">
        <v>166</v>
      </c>
      <c r="D1029" t="s">
        <v>87</v>
      </c>
      <c r="E1029" t="s">
        <v>152</v>
      </c>
      <c r="F1029">
        <v>0</v>
      </c>
      <c r="G1029">
        <v>0</v>
      </c>
      <c r="H1029">
        <v>0</v>
      </c>
      <c r="I1029">
        <v>7.1469563586085947</v>
      </c>
      <c r="J1029">
        <v>0</v>
      </c>
      <c r="K1029">
        <v>0</v>
      </c>
      <c r="L1029">
        <v>0</v>
      </c>
      <c r="M1029" s="28">
        <v>0</v>
      </c>
      <c r="N1029" s="28">
        <v>0</v>
      </c>
      <c r="O1029">
        <v>0</v>
      </c>
      <c r="P1029">
        <v>0</v>
      </c>
      <c r="Q1029">
        <v>0</v>
      </c>
      <c r="R1029">
        <v>0</v>
      </c>
      <c r="S1029" s="28">
        <v>7.1469563586085947</v>
      </c>
      <c r="T1029" s="29">
        <f>SUM(BaseHoras[[#This Row],[Jan/2019]:[Mar/2019]])</f>
        <v>0</v>
      </c>
      <c r="U1029" s="29">
        <f>SUM(BaseHoras[[#This Row],[Abr/2019]:[Jun/2019]])</f>
        <v>7.1469563586085947</v>
      </c>
      <c r="V1029" s="29">
        <f>SUM(BaseHoras[[#This Row],[Jul/2019]:[Set/2019]])</f>
        <v>0</v>
      </c>
      <c r="W1029" s="29">
        <f>SUM(BaseHoras[[#This Row],[Out/2019]:[Dez/2019]])</f>
        <v>0</v>
      </c>
    </row>
    <row r="1030" spans="1:23">
      <c r="A1030" t="s">
        <v>151</v>
      </c>
      <c r="B1030" t="s">
        <v>168</v>
      </c>
      <c r="C1030" t="s">
        <v>379</v>
      </c>
      <c r="D1030" t="s">
        <v>30</v>
      </c>
      <c r="E1030" t="s">
        <v>260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29.338904363824213</v>
      </c>
      <c r="L1030">
        <v>0</v>
      </c>
      <c r="M1030" s="28">
        <v>0</v>
      </c>
      <c r="N1030" s="28">
        <v>0</v>
      </c>
      <c r="O1030">
        <v>0</v>
      </c>
      <c r="P1030">
        <v>0</v>
      </c>
      <c r="Q1030">
        <v>0</v>
      </c>
      <c r="R1030">
        <v>0</v>
      </c>
      <c r="S1030" s="28">
        <v>29.338904363824213</v>
      </c>
      <c r="T1030" s="29">
        <f>SUM(BaseHoras[[#This Row],[Jan/2019]:[Mar/2019]])</f>
        <v>0</v>
      </c>
      <c r="U1030" s="29">
        <f>SUM(BaseHoras[[#This Row],[Abr/2019]:[Jun/2019]])</f>
        <v>29.338904363824213</v>
      </c>
      <c r="V1030" s="29">
        <f>SUM(BaseHoras[[#This Row],[Jul/2019]:[Set/2019]])</f>
        <v>0</v>
      </c>
      <c r="W1030" s="29">
        <f>SUM(BaseHoras[[#This Row],[Out/2019]:[Dez/2019]])</f>
        <v>0</v>
      </c>
    </row>
    <row r="1031" spans="1:23">
      <c r="A1031" t="s">
        <v>151</v>
      </c>
      <c r="B1031" t="s">
        <v>168</v>
      </c>
      <c r="C1031" t="s">
        <v>379</v>
      </c>
      <c r="D1031" t="s">
        <v>45</v>
      </c>
      <c r="E1031" t="s">
        <v>152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145.87970228098976</v>
      </c>
      <c r="M1031" s="28">
        <v>0</v>
      </c>
      <c r="N1031" s="28">
        <v>0</v>
      </c>
      <c r="O1031">
        <v>0</v>
      </c>
      <c r="P1031">
        <v>0</v>
      </c>
      <c r="Q1031">
        <v>0</v>
      </c>
      <c r="R1031">
        <v>0</v>
      </c>
      <c r="S1031" s="28">
        <v>145.87970228098976</v>
      </c>
      <c r="T1031" s="29">
        <f>SUM(BaseHoras[[#This Row],[Jan/2019]:[Mar/2019]])</f>
        <v>0</v>
      </c>
      <c r="U1031" s="29">
        <f>SUM(BaseHoras[[#This Row],[Abr/2019]:[Jun/2019]])</f>
        <v>0</v>
      </c>
      <c r="V1031" s="29">
        <f>SUM(BaseHoras[[#This Row],[Jul/2019]:[Set/2019]])</f>
        <v>145.87970228098976</v>
      </c>
      <c r="W1031" s="29">
        <f>SUM(BaseHoras[[#This Row],[Out/2019]:[Dez/2019]])</f>
        <v>0</v>
      </c>
    </row>
    <row r="1032" spans="1:23">
      <c r="A1032" t="s">
        <v>151</v>
      </c>
      <c r="B1032" t="s">
        <v>168</v>
      </c>
      <c r="C1032" t="s">
        <v>379</v>
      </c>
      <c r="D1032" t="s">
        <v>45</v>
      </c>
      <c r="E1032" t="s">
        <v>260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11.967749951639036</v>
      </c>
      <c r="M1032" s="28">
        <v>0</v>
      </c>
      <c r="N1032" s="28">
        <v>0</v>
      </c>
      <c r="O1032">
        <v>0</v>
      </c>
      <c r="P1032">
        <v>0</v>
      </c>
      <c r="Q1032">
        <v>0</v>
      </c>
      <c r="R1032">
        <v>0</v>
      </c>
      <c r="S1032" s="28">
        <v>11.967749951639036</v>
      </c>
      <c r="T1032" s="29">
        <f>SUM(BaseHoras[[#This Row],[Jan/2019]:[Mar/2019]])</f>
        <v>0</v>
      </c>
      <c r="U1032" s="29">
        <f>SUM(BaseHoras[[#This Row],[Abr/2019]:[Jun/2019]])</f>
        <v>0</v>
      </c>
      <c r="V1032" s="29">
        <f>SUM(BaseHoras[[#This Row],[Jul/2019]:[Set/2019]])</f>
        <v>11.967749951639036</v>
      </c>
      <c r="W1032" s="29">
        <f>SUM(BaseHoras[[#This Row],[Out/2019]:[Dez/2019]])</f>
        <v>0</v>
      </c>
    </row>
    <row r="1033" spans="1:23">
      <c r="A1033" t="s">
        <v>151</v>
      </c>
      <c r="B1033" t="s">
        <v>168</v>
      </c>
      <c r="C1033" t="s">
        <v>379</v>
      </c>
      <c r="D1033" t="s">
        <v>49</v>
      </c>
      <c r="E1033" t="s">
        <v>260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35.467070588330465</v>
      </c>
      <c r="M1033" s="28">
        <v>0</v>
      </c>
      <c r="N1033" s="28">
        <v>0</v>
      </c>
      <c r="O1033">
        <v>0</v>
      </c>
      <c r="P1033">
        <v>0</v>
      </c>
      <c r="Q1033">
        <v>0</v>
      </c>
      <c r="R1033">
        <v>0</v>
      </c>
      <c r="S1033" s="28">
        <v>35.467070588330465</v>
      </c>
      <c r="T1033" s="29">
        <f>SUM(BaseHoras[[#This Row],[Jan/2019]:[Mar/2019]])</f>
        <v>0</v>
      </c>
      <c r="U1033" s="29">
        <f>SUM(BaseHoras[[#This Row],[Abr/2019]:[Jun/2019]])</f>
        <v>0</v>
      </c>
      <c r="V1033" s="29">
        <f>SUM(BaseHoras[[#This Row],[Jul/2019]:[Set/2019]])</f>
        <v>35.467070588330465</v>
      </c>
      <c r="W1033" s="29">
        <f>SUM(BaseHoras[[#This Row],[Out/2019]:[Dez/2019]])</f>
        <v>0</v>
      </c>
    </row>
    <row r="1034" spans="1:23">
      <c r="A1034" t="s">
        <v>151</v>
      </c>
      <c r="B1034" t="s">
        <v>168</v>
      </c>
      <c r="C1034" t="s">
        <v>379</v>
      </c>
      <c r="D1034" t="s">
        <v>107</v>
      </c>
      <c r="E1034" t="s">
        <v>260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316.2680118093956</v>
      </c>
      <c r="M1034" s="28">
        <v>0</v>
      </c>
      <c r="N1034" s="28">
        <v>0</v>
      </c>
      <c r="O1034">
        <v>0</v>
      </c>
      <c r="P1034">
        <v>0</v>
      </c>
      <c r="Q1034">
        <v>0</v>
      </c>
      <c r="R1034">
        <v>0</v>
      </c>
      <c r="S1034" s="28">
        <v>316.2680118093956</v>
      </c>
      <c r="T1034" s="29">
        <f>SUM(BaseHoras[[#This Row],[Jan/2019]:[Mar/2019]])</f>
        <v>0</v>
      </c>
      <c r="U1034" s="29">
        <f>SUM(BaseHoras[[#This Row],[Abr/2019]:[Jun/2019]])</f>
        <v>0</v>
      </c>
      <c r="V1034" s="29">
        <f>SUM(BaseHoras[[#This Row],[Jul/2019]:[Set/2019]])</f>
        <v>316.2680118093956</v>
      </c>
      <c r="W1034" s="29">
        <f>SUM(BaseHoras[[#This Row],[Out/2019]:[Dez/2019]])</f>
        <v>0</v>
      </c>
    </row>
    <row r="1035" spans="1:23">
      <c r="A1035" t="s">
        <v>151</v>
      </c>
      <c r="B1035" t="s">
        <v>168</v>
      </c>
      <c r="C1035" t="s">
        <v>379</v>
      </c>
      <c r="D1035" t="s">
        <v>108</v>
      </c>
      <c r="E1035" t="s">
        <v>260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23.494397032643331</v>
      </c>
      <c r="M1035" s="28">
        <v>0</v>
      </c>
      <c r="N1035" s="28">
        <v>0</v>
      </c>
      <c r="O1035">
        <v>0</v>
      </c>
      <c r="P1035">
        <v>0</v>
      </c>
      <c r="Q1035">
        <v>0</v>
      </c>
      <c r="R1035">
        <v>0</v>
      </c>
      <c r="S1035" s="28">
        <v>23.494397032643331</v>
      </c>
      <c r="T1035" s="29">
        <f>SUM(BaseHoras[[#This Row],[Jan/2019]:[Mar/2019]])</f>
        <v>0</v>
      </c>
      <c r="U1035" s="29">
        <f>SUM(BaseHoras[[#This Row],[Abr/2019]:[Jun/2019]])</f>
        <v>0</v>
      </c>
      <c r="V1035" s="29">
        <f>SUM(BaseHoras[[#This Row],[Jul/2019]:[Set/2019]])</f>
        <v>23.494397032643331</v>
      </c>
      <c r="W1035" s="29">
        <f>SUM(BaseHoras[[#This Row],[Out/2019]:[Dez/2019]])</f>
        <v>0</v>
      </c>
    </row>
    <row r="1036" spans="1:23">
      <c r="A1036" t="s">
        <v>151</v>
      </c>
      <c r="B1036" t="s">
        <v>168</v>
      </c>
      <c r="C1036" t="s">
        <v>379</v>
      </c>
      <c r="D1036" t="s">
        <v>131</v>
      </c>
      <c r="E1036" t="s">
        <v>152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154.84446567333069</v>
      </c>
      <c r="L1036">
        <v>0</v>
      </c>
      <c r="M1036" s="28">
        <v>0</v>
      </c>
      <c r="N1036" s="28">
        <v>0</v>
      </c>
      <c r="O1036">
        <v>0</v>
      </c>
      <c r="P1036">
        <v>0</v>
      </c>
      <c r="Q1036">
        <v>0</v>
      </c>
      <c r="R1036">
        <v>0</v>
      </c>
      <c r="S1036" s="28">
        <v>154.84446567333069</v>
      </c>
      <c r="T1036" s="29">
        <f>SUM(BaseHoras[[#This Row],[Jan/2019]:[Mar/2019]])</f>
        <v>0</v>
      </c>
      <c r="U1036" s="29">
        <f>SUM(BaseHoras[[#This Row],[Abr/2019]:[Jun/2019]])</f>
        <v>154.84446567333069</v>
      </c>
      <c r="V1036" s="29">
        <f>SUM(BaseHoras[[#This Row],[Jul/2019]:[Set/2019]])</f>
        <v>0</v>
      </c>
      <c r="W1036" s="29">
        <f>SUM(BaseHoras[[#This Row],[Out/2019]:[Dez/2019]])</f>
        <v>0</v>
      </c>
    </row>
    <row r="1037" spans="1:23">
      <c r="A1037" t="s">
        <v>151</v>
      </c>
      <c r="B1037" t="s">
        <v>168</v>
      </c>
      <c r="C1037" t="s">
        <v>379</v>
      </c>
      <c r="D1037" t="s">
        <v>132</v>
      </c>
      <c r="E1037" t="s">
        <v>260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15.021015562010225</v>
      </c>
      <c r="M1037" s="28">
        <v>0</v>
      </c>
      <c r="N1037" s="28">
        <v>0</v>
      </c>
      <c r="O1037">
        <v>0</v>
      </c>
      <c r="P1037">
        <v>0</v>
      </c>
      <c r="Q1037">
        <v>0</v>
      </c>
      <c r="R1037">
        <v>0</v>
      </c>
      <c r="S1037" s="28">
        <v>15.021015562010225</v>
      </c>
      <c r="T1037" s="29">
        <f>SUM(BaseHoras[[#This Row],[Jan/2019]:[Mar/2019]])</f>
        <v>0</v>
      </c>
      <c r="U1037" s="29">
        <f>SUM(BaseHoras[[#This Row],[Abr/2019]:[Jun/2019]])</f>
        <v>0</v>
      </c>
      <c r="V1037" s="29">
        <f>SUM(BaseHoras[[#This Row],[Jul/2019]:[Set/2019]])</f>
        <v>15.021015562010225</v>
      </c>
      <c r="W1037" s="29">
        <f>SUM(BaseHoras[[#This Row],[Out/2019]:[Dez/2019]])</f>
        <v>0</v>
      </c>
    </row>
    <row r="1038" spans="1:23">
      <c r="A1038" t="s">
        <v>151</v>
      </c>
      <c r="B1038" t="s">
        <v>168</v>
      </c>
      <c r="C1038" t="s">
        <v>380</v>
      </c>
      <c r="D1038" t="s">
        <v>36</v>
      </c>
      <c r="E1038" t="s">
        <v>205</v>
      </c>
      <c r="F1038">
        <v>0</v>
      </c>
      <c r="G1038">
        <v>15.647361059090176</v>
      </c>
      <c r="H1038">
        <v>3236.1395889812757</v>
      </c>
      <c r="I1038">
        <v>0</v>
      </c>
      <c r="J1038">
        <v>0</v>
      </c>
      <c r="K1038">
        <v>0</v>
      </c>
      <c r="L1038">
        <v>0</v>
      </c>
      <c r="M1038" s="28">
        <v>0</v>
      </c>
      <c r="N1038" s="28">
        <v>0</v>
      </c>
      <c r="O1038">
        <v>0</v>
      </c>
      <c r="P1038">
        <v>0</v>
      </c>
      <c r="Q1038">
        <v>0</v>
      </c>
      <c r="R1038">
        <v>0</v>
      </c>
      <c r="S1038" s="28">
        <v>3251.7869500403658</v>
      </c>
      <c r="T1038" s="29">
        <f>SUM(BaseHoras[[#This Row],[Jan/2019]:[Mar/2019]])</f>
        <v>3251.7869500403658</v>
      </c>
      <c r="U1038" s="29">
        <f>SUM(BaseHoras[[#This Row],[Abr/2019]:[Jun/2019]])</f>
        <v>0</v>
      </c>
      <c r="V1038" s="29">
        <f>SUM(BaseHoras[[#This Row],[Jul/2019]:[Set/2019]])</f>
        <v>0</v>
      </c>
      <c r="W1038" s="29">
        <f>SUM(BaseHoras[[#This Row],[Out/2019]:[Dez/2019]])</f>
        <v>0</v>
      </c>
    </row>
    <row r="1039" spans="1:23">
      <c r="A1039" t="s">
        <v>151</v>
      </c>
      <c r="B1039" t="s">
        <v>168</v>
      </c>
      <c r="C1039" t="s">
        <v>380</v>
      </c>
      <c r="D1039" t="s">
        <v>62</v>
      </c>
      <c r="E1039" t="s">
        <v>205</v>
      </c>
      <c r="F1039">
        <v>0</v>
      </c>
      <c r="G1039">
        <v>0</v>
      </c>
      <c r="H1039">
        <v>0</v>
      </c>
      <c r="I1039">
        <v>203.73967873663148</v>
      </c>
      <c r="J1039">
        <v>3.0160225451358467</v>
      </c>
      <c r="K1039">
        <v>0</v>
      </c>
      <c r="L1039">
        <v>0</v>
      </c>
      <c r="M1039" s="28">
        <v>0</v>
      </c>
      <c r="N1039" s="28">
        <v>0</v>
      </c>
      <c r="O1039">
        <v>0</v>
      </c>
      <c r="P1039">
        <v>0</v>
      </c>
      <c r="Q1039">
        <v>0</v>
      </c>
      <c r="R1039">
        <v>0</v>
      </c>
      <c r="S1039" s="28">
        <v>206.75570128176733</v>
      </c>
      <c r="T1039" s="29">
        <f>SUM(BaseHoras[[#This Row],[Jan/2019]:[Mar/2019]])</f>
        <v>0</v>
      </c>
      <c r="U1039" s="29">
        <f>SUM(BaseHoras[[#This Row],[Abr/2019]:[Jun/2019]])</f>
        <v>206.75570128176733</v>
      </c>
      <c r="V1039" s="29">
        <f>SUM(BaseHoras[[#This Row],[Jul/2019]:[Set/2019]])</f>
        <v>0</v>
      </c>
      <c r="W1039" s="29">
        <f>SUM(BaseHoras[[#This Row],[Out/2019]:[Dez/2019]])</f>
        <v>0</v>
      </c>
    </row>
    <row r="1040" spans="1:23">
      <c r="A1040" t="s">
        <v>151</v>
      </c>
      <c r="B1040" t="s">
        <v>168</v>
      </c>
      <c r="C1040" t="s">
        <v>380</v>
      </c>
      <c r="D1040" t="s">
        <v>123</v>
      </c>
      <c r="E1040" t="s">
        <v>205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48.829246350116485</v>
      </c>
      <c r="M1040" s="28">
        <v>0</v>
      </c>
      <c r="N1040" s="28">
        <v>0</v>
      </c>
      <c r="O1040">
        <v>0</v>
      </c>
      <c r="P1040">
        <v>0</v>
      </c>
      <c r="Q1040">
        <v>0</v>
      </c>
      <c r="R1040">
        <v>0</v>
      </c>
      <c r="S1040" s="28">
        <v>48.829246350116485</v>
      </c>
      <c r="T1040" s="29">
        <f>SUM(BaseHoras[[#This Row],[Jan/2019]:[Mar/2019]])</f>
        <v>0</v>
      </c>
      <c r="U1040" s="29">
        <f>SUM(BaseHoras[[#This Row],[Abr/2019]:[Jun/2019]])</f>
        <v>0</v>
      </c>
      <c r="V1040" s="29">
        <f>SUM(BaseHoras[[#This Row],[Jul/2019]:[Set/2019]])</f>
        <v>48.829246350116485</v>
      </c>
      <c r="W1040" s="29">
        <f>SUM(BaseHoras[[#This Row],[Out/2019]:[Dez/2019]])</f>
        <v>0</v>
      </c>
    </row>
    <row r="1041" spans="1:23">
      <c r="A1041" t="s">
        <v>151</v>
      </c>
      <c r="B1041" t="s">
        <v>168</v>
      </c>
      <c r="C1041" t="s">
        <v>381</v>
      </c>
      <c r="D1041" t="s">
        <v>23</v>
      </c>
      <c r="E1041" t="s">
        <v>205</v>
      </c>
      <c r="F1041">
        <v>0</v>
      </c>
      <c r="G1041">
        <v>0</v>
      </c>
      <c r="H1041">
        <v>0</v>
      </c>
      <c r="I1041">
        <v>625.43255090060677</v>
      </c>
      <c r="J1041">
        <v>5919.5409952546106</v>
      </c>
      <c r="K1041">
        <v>81.120446754740641</v>
      </c>
      <c r="L1041">
        <v>0</v>
      </c>
      <c r="M1041" s="28">
        <v>0</v>
      </c>
      <c r="N1041" s="28">
        <v>0</v>
      </c>
      <c r="O1041">
        <v>0</v>
      </c>
      <c r="P1041">
        <v>0</v>
      </c>
      <c r="Q1041">
        <v>0</v>
      </c>
      <c r="R1041">
        <v>0</v>
      </c>
      <c r="S1041" s="28">
        <v>6626.0939929099577</v>
      </c>
      <c r="T1041" s="29">
        <f>SUM(BaseHoras[[#This Row],[Jan/2019]:[Mar/2019]])</f>
        <v>0</v>
      </c>
      <c r="U1041" s="29">
        <f>SUM(BaseHoras[[#This Row],[Abr/2019]:[Jun/2019]])</f>
        <v>6626.0939929099577</v>
      </c>
      <c r="V1041" s="29">
        <f>SUM(BaseHoras[[#This Row],[Jul/2019]:[Set/2019]])</f>
        <v>0</v>
      </c>
      <c r="W1041" s="29">
        <f>SUM(BaseHoras[[#This Row],[Out/2019]:[Dez/2019]])</f>
        <v>0</v>
      </c>
    </row>
    <row r="1042" spans="1:23">
      <c r="A1042" t="s">
        <v>151</v>
      </c>
      <c r="B1042" t="s">
        <v>168</v>
      </c>
      <c r="C1042" t="s">
        <v>381</v>
      </c>
      <c r="D1042" t="s">
        <v>25</v>
      </c>
      <c r="E1042" t="s">
        <v>205</v>
      </c>
      <c r="F1042">
        <v>0</v>
      </c>
      <c r="G1042">
        <v>0</v>
      </c>
      <c r="H1042">
        <v>0</v>
      </c>
      <c r="I1042">
        <v>0</v>
      </c>
      <c r="J1042">
        <v>9.2203731360546808</v>
      </c>
      <c r="K1042">
        <v>0</v>
      </c>
      <c r="L1042">
        <v>0</v>
      </c>
      <c r="M1042" s="28">
        <v>0</v>
      </c>
      <c r="N1042" s="28">
        <v>0</v>
      </c>
      <c r="O1042">
        <v>0</v>
      </c>
      <c r="P1042">
        <v>0</v>
      </c>
      <c r="Q1042">
        <v>0</v>
      </c>
      <c r="R1042">
        <v>0</v>
      </c>
      <c r="S1042" s="28">
        <v>9.2203731360546808</v>
      </c>
      <c r="T1042" s="29">
        <f>SUM(BaseHoras[[#This Row],[Jan/2019]:[Mar/2019]])</f>
        <v>0</v>
      </c>
      <c r="U1042" s="29">
        <f>SUM(BaseHoras[[#This Row],[Abr/2019]:[Jun/2019]])</f>
        <v>9.2203731360546808</v>
      </c>
      <c r="V1042" s="29">
        <f>SUM(BaseHoras[[#This Row],[Jul/2019]:[Set/2019]])</f>
        <v>0</v>
      </c>
      <c r="W1042" s="29">
        <f>SUM(BaseHoras[[#This Row],[Out/2019]:[Dez/2019]])</f>
        <v>0</v>
      </c>
    </row>
    <row r="1043" spans="1:23">
      <c r="A1043" t="s">
        <v>151</v>
      </c>
      <c r="B1043" t="s">
        <v>168</v>
      </c>
      <c r="C1043" t="s">
        <v>381</v>
      </c>
      <c r="D1043" t="s">
        <v>30</v>
      </c>
      <c r="E1043" t="s">
        <v>205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43.919817786593768</v>
      </c>
      <c r="L1043">
        <v>124.99103183874891</v>
      </c>
      <c r="M1043" s="28">
        <v>0</v>
      </c>
      <c r="N1043" s="28">
        <v>0</v>
      </c>
      <c r="O1043">
        <v>0</v>
      </c>
      <c r="P1043">
        <v>0</v>
      </c>
      <c r="Q1043">
        <v>0</v>
      </c>
      <c r="R1043">
        <v>0</v>
      </c>
      <c r="S1043" s="28">
        <v>168.91084962534268</v>
      </c>
      <c r="T1043" s="29">
        <f>SUM(BaseHoras[[#This Row],[Jan/2019]:[Mar/2019]])</f>
        <v>0</v>
      </c>
      <c r="U1043" s="29">
        <f>SUM(BaseHoras[[#This Row],[Abr/2019]:[Jun/2019]])</f>
        <v>43.919817786593768</v>
      </c>
      <c r="V1043" s="29">
        <f>SUM(BaseHoras[[#This Row],[Jul/2019]:[Set/2019]])</f>
        <v>124.99103183874891</v>
      </c>
      <c r="W1043" s="29">
        <f>SUM(BaseHoras[[#This Row],[Out/2019]:[Dez/2019]])</f>
        <v>0</v>
      </c>
    </row>
    <row r="1044" spans="1:23">
      <c r="A1044" t="s">
        <v>151</v>
      </c>
      <c r="B1044" t="s">
        <v>168</v>
      </c>
      <c r="C1044" t="s">
        <v>381</v>
      </c>
      <c r="D1044" t="s">
        <v>36</v>
      </c>
      <c r="E1044" t="s">
        <v>205</v>
      </c>
      <c r="F1044">
        <v>117.083988300938</v>
      </c>
      <c r="G1044">
        <v>300.48562797882551</v>
      </c>
      <c r="H1044">
        <v>0</v>
      </c>
      <c r="I1044">
        <v>108.72559136880643</v>
      </c>
      <c r="J1044">
        <v>124.00051020459112</v>
      </c>
      <c r="K1044">
        <v>1170.2812730839371</v>
      </c>
      <c r="L1044">
        <v>73.849217799909425</v>
      </c>
      <c r="M1044" s="28">
        <v>0</v>
      </c>
      <c r="N1044" s="28">
        <v>0</v>
      </c>
      <c r="O1044">
        <v>0</v>
      </c>
      <c r="P1044">
        <v>0</v>
      </c>
      <c r="Q1044">
        <v>0</v>
      </c>
      <c r="R1044">
        <v>0</v>
      </c>
      <c r="S1044" s="28">
        <v>1894.4262087370078</v>
      </c>
      <c r="T1044" s="29">
        <f>SUM(BaseHoras[[#This Row],[Jan/2019]:[Mar/2019]])</f>
        <v>417.56961627976352</v>
      </c>
      <c r="U1044" s="29">
        <f>SUM(BaseHoras[[#This Row],[Abr/2019]:[Jun/2019]])</f>
        <v>1403.0073746573346</v>
      </c>
      <c r="V1044" s="29">
        <f>SUM(BaseHoras[[#This Row],[Jul/2019]:[Set/2019]])</f>
        <v>73.849217799909425</v>
      </c>
      <c r="W1044" s="29">
        <f>SUM(BaseHoras[[#This Row],[Out/2019]:[Dez/2019]])</f>
        <v>0</v>
      </c>
    </row>
    <row r="1045" spans="1:23">
      <c r="A1045" t="s">
        <v>151</v>
      </c>
      <c r="B1045" t="s">
        <v>168</v>
      </c>
      <c r="C1045" t="s">
        <v>381</v>
      </c>
      <c r="D1045" t="s">
        <v>40</v>
      </c>
      <c r="E1045" t="s">
        <v>205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15.970802034050527</v>
      </c>
      <c r="L1045">
        <v>453.45532346731443</v>
      </c>
      <c r="M1045" s="28">
        <v>0</v>
      </c>
      <c r="N1045" s="28">
        <v>0</v>
      </c>
      <c r="O1045">
        <v>0</v>
      </c>
      <c r="P1045">
        <v>0</v>
      </c>
      <c r="Q1045">
        <v>0</v>
      </c>
      <c r="R1045">
        <v>0</v>
      </c>
      <c r="S1045" s="28">
        <v>469.42612550136494</v>
      </c>
      <c r="T1045" s="29">
        <f>SUM(BaseHoras[[#This Row],[Jan/2019]:[Mar/2019]])</f>
        <v>0</v>
      </c>
      <c r="U1045" s="29">
        <f>SUM(BaseHoras[[#This Row],[Abr/2019]:[Jun/2019]])</f>
        <v>15.970802034050527</v>
      </c>
      <c r="V1045" s="29">
        <f>SUM(BaseHoras[[#This Row],[Jul/2019]:[Set/2019]])</f>
        <v>453.45532346731443</v>
      </c>
      <c r="W1045" s="29">
        <f>SUM(BaseHoras[[#This Row],[Out/2019]:[Dez/2019]])</f>
        <v>0</v>
      </c>
    </row>
    <row r="1046" spans="1:23">
      <c r="A1046" t="s">
        <v>151</v>
      </c>
      <c r="B1046" t="s">
        <v>168</v>
      </c>
      <c r="C1046" t="s">
        <v>381</v>
      </c>
      <c r="D1046" t="s">
        <v>45</v>
      </c>
      <c r="E1046" t="s">
        <v>205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39.182628061086973</v>
      </c>
      <c r="M1046" s="28">
        <v>0</v>
      </c>
      <c r="N1046" s="28">
        <v>0</v>
      </c>
      <c r="O1046">
        <v>0</v>
      </c>
      <c r="P1046">
        <v>0</v>
      </c>
      <c r="Q1046">
        <v>0</v>
      </c>
      <c r="R1046">
        <v>0</v>
      </c>
      <c r="S1046" s="28">
        <v>39.182628061086973</v>
      </c>
      <c r="T1046" s="29">
        <f>SUM(BaseHoras[[#This Row],[Jan/2019]:[Mar/2019]])</f>
        <v>0</v>
      </c>
      <c r="U1046" s="29">
        <f>SUM(BaseHoras[[#This Row],[Abr/2019]:[Jun/2019]])</f>
        <v>0</v>
      </c>
      <c r="V1046" s="29">
        <f>SUM(BaseHoras[[#This Row],[Jul/2019]:[Set/2019]])</f>
        <v>39.182628061086973</v>
      </c>
      <c r="W1046" s="29">
        <f>SUM(BaseHoras[[#This Row],[Out/2019]:[Dez/2019]])</f>
        <v>0</v>
      </c>
    </row>
    <row r="1047" spans="1:23">
      <c r="A1047" t="s">
        <v>151</v>
      </c>
      <c r="B1047" t="s">
        <v>168</v>
      </c>
      <c r="C1047" t="s">
        <v>381</v>
      </c>
      <c r="D1047" t="s">
        <v>49</v>
      </c>
      <c r="E1047" t="s">
        <v>205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18.817138109555138</v>
      </c>
      <c r="M1047" s="28">
        <v>0</v>
      </c>
      <c r="N1047" s="28">
        <v>0</v>
      </c>
      <c r="O1047">
        <v>0</v>
      </c>
      <c r="P1047">
        <v>0</v>
      </c>
      <c r="Q1047">
        <v>0</v>
      </c>
      <c r="R1047">
        <v>0</v>
      </c>
      <c r="S1047" s="28">
        <v>18.817138109555138</v>
      </c>
      <c r="T1047" s="29">
        <f>SUM(BaseHoras[[#This Row],[Jan/2019]:[Mar/2019]])</f>
        <v>0</v>
      </c>
      <c r="U1047" s="29">
        <f>SUM(BaseHoras[[#This Row],[Abr/2019]:[Jun/2019]])</f>
        <v>0</v>
      </c>
      <c r="V1047" s="29">
        <f>SUM(BaseHoras[[#This Row],[Jul/2019]:[Set/2019]])</f>
        <v>18.817138109555138</v>
      </c>
      <c r="W1047" s="29">
        <f>SUM(BaseHoras[[#This Row],[Out/2019]:[Dez/2019]])</f>
        <v>0</v>
      </c>
    </row>
    <row r="1048" spans="1:23">
      <c r="A1048" t="s">
        <v>151</v>
      </c>
      <c r="B1048" t="s">
        <v>168</v>
      </c>
      <c r="C1048" t="s">
        <v>381</v>
      </c>
      <c r="D1048" t="s">
        <v>51</v>
      </c>
      <c r="E1048" t="s">
        <v>205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490.24921109676274</v>
      </c>
      <c r="M1048" s="28">
        <v>0</v>
      </c>
      <c r="N1048" s="28">
        <v>0</v>
      </c>
      <c r="O1048">
        <v>0</v>
      </c>
      <c r="P1048">
        <v>0</v>
      </c>
      <c r="Q1048">
        <v>0</v>
      </c>
      <c r="R1048">
        <v>0</v>
      </c>
      <c r="S1048" s="28">
        <v>490.24921109676274</v>
      </c>
      <c r="T1048" s="29">
        <f>SUM(BaseHoras[[#This Row],[Jan/2019]:[Mar/2019]])</f>
        <v>0</v>
      </c>
      <c r="U1048" s="29">
        <f>SUM(BaseHoras[[#This Row],[Abr/2019]:[Jun/2019]])</f>
        <v>0</v>
      </c>
      <c r="V1048" s="29">
        <f>SUM(BaseHoras[[#This Row],[Jul/2019]:[Set/2019]])</f>
        <v>490.24921109676274</v>
      </c>
      <c r="W1048" s="29">
        <f>SUM(BaseHoras[[#This Row],[Out/2019]:[Dez/2019]])</f>
        <v>0</v>
      </c>
    </row>
    <row r="1049" spans="1:23">
      <c r="A1049" t="s">
        <v>151</v>
      </c>
      <c r="B1049" t="s">
        <v>168</v>
      </c>
      <c r="C1049" t="s">
        <v>381</v>
      </c>
      <c r="D1049" t="s">
        <v>55</v>
      </c>
      <c r="E1049" t="s">
        <v>205</v>
      </c>
      <c r="F1049">
        <v>0</v>
      </c>
      <c r="G1049">
        <v>0</v>
      </c>
      <c r="H1049">
        <v>0</v>
      </c>
      <c r="I1049">
        <v>0</v>
      </c>
      <c r="J1049">
        <v>0</v>
      </c>
      <c r="K1049" t="s">
        <v>395</v>
      </c>
      <c r="L1049" t="s">
        <v>395</v>
      </c>
      <c r="M1049" s="28">
        <v>0</v>
      </c>
      <c r="N1049" s="28">
        <v>0</v>
      </c>
      <c r="O1049">
        <v>0</v>
      </c>
      <c r="P1049">
        <v>0</v>
      </c>
      <c r="Q1049">
        <v>0</v>
      </c>
      <c r="R1049">
        <v>0</v>
      </c>
      <c r="S1049" s="28">
        <v>0</v>
      </c>
      <c r="T1049" s="29">
        <f>SUM(BaseHoras[[#This Row],[Jan/2019]:[Mar/2019]])</f>
        <v>0</v>
      </c>
      <c r="U1049" s="29">
        <f>SUM(BaseHoras[[#This Row],[Abr/2019]:[Jun/2019]])</f>
        <v>0</v>
      </c>
      <c r="V1049" s="29">
        <f>SUM(BaseHoras[[#This Row],[Jul/2019]:[Set/2019]])</f>
        <v>0</v>
      </c>
      <c r="W1049" s="29">
        <f>SUM(BaseHoras[[#This Row],[Out/2019]:[Dez/2019]])</f>
        <v>0</v>
      </c>
    </row>
    <row r="1050" spans="1:23">
      <c r="A1050" t="s">
        <v>151</v>
      </c>
      <c r="B1050" t="s">
        <v>168</v>
      </c>
      <c r="C1050" t="s">
        <v>381</v>
      </c>
      <c r="D1050" t="s">
        <v>60</v>
      </c>
      <c r="E1050" t="s">
        <v>205</v>
      </c>
      <c r="F1050">
        <v>0</v>
      </c>
      <c r="G1050">
        <v>0</v>
      </c>
      <c r="H1050">
        <v>0</v>
      </c>
      <c r="I1050">
        <v>54.19456875869497</v>
      </c>
      <c r="J1050">
        <v>1063.4620012036833</v>
      </c>
      <c r="K1050">
        <v>271.72166793660654</v>
      </c>
      <c r="L1050">
        <v>0</v>
      </c>
      <c r="M1050" s="28">
        <v>0</v>
      </c>
      <c r="N1050" s="28">
        <v>0</v>
      </c>
      <c r="O1050">
        <v>0</v>
      </c>
      <c r="P1050">
        <v>0</v>
      </c>
      <c r="Q1050">
        <v>0</v>
      </c>
      <c r="R1050">
        <v>0</v>
      </c>
      <c r="S1050" s="28">
        <v>1389.3782378989847</v>
      </c>
      <c r="T1050" s="29">
        <f>SUM(BaseHoras[[#This Row],[Jan/2019]:[Mar/2019]])</f>
        <v>0</v>
      </c>
      <c r="U1050" s="29">
        <f>SUM(BaseHoras[[#This Row],[Abr/2019]:[Jun/2019]])</f>
        <v>1389.3782378989847</v>
      </c>
      <c r="V1050" s="29">
        <f>SUM(BaseHoras[[#This Row],[Jul/2019]:[Set/2019]])</f>
        <v>0</v>
      </c>
      <c r="W1050" s="29">
        <f>SUM(BaseHoras[[#This Row],[Out/2019]:[Dez/2019]])</f>
        <v>0</v>
      </c>
    </row>
    <row r="1051" spans="1:23">
      <c r="A1051" t="s">
        <v>151</v>
      </c>
      <c r="B1051" t="s">
        <v>168</v>
      </c>
      <c r="C1051" t="s">
        <v>381</v>
      </c>
      <c r="D1051" t="s">
        <v>62</v>
      </c>
      <c r="E1051" t="s">
        <v>205</v>
      </c>
      <c r="F1051">
        <v>0</v>
      </c>
      <c r="G1051">
        <v>0</v>
      </c>
      <c r="H1051">
        <v>0</v>
      </c>
      <c r="I1051">
        <v>0</v>
      </c>
      <c r="J1051">
        <v>31.379320875253761</v>
      </c>
      <c r="K1051">
        <v>272.42337918659786</v>
      </c>
      <c r="L1051">
        <v>0</v>
      </c>
      <c r="M1051" s="28">
        <v>0</v>
      </c>
      <c r="N1051" s="28">
        <v>0</v>
      </c>
      <c r="O1051">
        <v>0</v>
      </c>
      <c r="P1051">
        <v>0</v>
      </c>
      <c r="Q1051">
        <v>0</v>
      </c>
      <c r="R1051">
        <v>0</v>
      </c>
      <c r="S1051" s="28">
        <v>303.80270006185162</v>
      </c>
      <c r="T1051" s="29">
        <f>SUM(BaseHoras[[#This Row],[Jan/2019]:[Mar/2019]])</f>
        <v>0</v>
      </c>
      <c r="U1051" s="29">
        <f>SUM(BaseHoras[[#This Row],[Abr/2019]:[Jun/2019]])</f>
        <v>303.80270006185162</v>
      </c>
      <c r="V1051" s="29">
        <f>SUM(BaseHoras[[#This Row],[Jul/2019]:[Set/2019]])</f>
        <v>0</v>
      </c>
      <c r="W1051" s="29">
        <f>SUM(BaseHoras[[#This Row],[Out/2019]:[Dez/2019]])</f>
        <v>0</v>
      </c>
    </row>
    <row r="1052" spans="1:23">
      <c r="A1052" t="s">
        <v>151</v>
      </c>
      <c r="B1052" t="s">
        <v>168</v>
      </c>
      <c r="C1052" t="s">
        <v>381</v>
      </c>
      <c r="D1052" t="s">
        <v>66</v>
      </c>
      <c r="E1052" t="s">
        <v>205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111.19547786511968</v>
      </c>
      <c r="M1052" s="28">
        <v>0</v>
      </c>
      <c r="N1052" s="28">
        <v>0</v>
      </c>
      <c r="O1052">
        <v>0</v>
      </c>
      <c r="P1052">
        <v>0</v>
      </c>
      <c r="Q1052">
        <v>0</v>
      </c>
      <c r="R1052">
        <v>0</v>
      </c>
      <c r="S1052" s="28">
        <v>111.19547786511968</v>
      </c>
      <c r="T1052" s="29">
        <f>SUM(BaseHoras[[#This Row],[Jan/2019]:[Mar/2019]])</f>
        <v>0</v>
      </c>
      <c r="U1052" s="29">
        <f>SUM(BaseHoras[[#This Row],[Abr/2019]:[Jun/2019]])</f>
        <v>0</v>
      </c>
      <c r="V1052" s="29">
        <f>SUM(BaseHoras[[#This Row],[Jul/2019]:[Set/2019]])</f>
        <v>111.19547786511968</v>
      </c>
      <c r="W1052" s="29">
        <f>SUM(BaseHoras[[#This Row],[Out/2019]:[Dez/2019]])</f>
        <v>0</v>
      </c>
    </row>
    <row r="1053" spans="1:23">
      <c r="A1053" t="s">
        <v>151</v>
      </c>
      <c r="B1053" t="s">
        <v>168</v>
      </c>
      <c r="C1053" t="s">
        <v>381</v>
      </c>
      <c r="D1053" t="s">
        <v>81</v>
      </c>
      <c r="E1053" t="s">
        <v>205</v>
      </c>
      <c r="F1053">
        <v>0</v>
      </c>
      <c r="G1053">
        <v>0</v>
      </c>
      <c r="H1053" t="s">
        <v>395</v>
      </c>
      <c r="I1053">
        <v>0</v>
      </c>
      <c r="J1053">
        <v>2366.7060614246434</v>
      </c>
      <c r="K1053">
        <v>3.5511077430180475</v>
      </c>
      <c r="L1053">
        <v>0</v>
      </c>
      <c r="M1053" s="28">
        <v>0</v>
      </c>
      <c r="N1053" s="28">
        <v>0</v>
      </c>
      <c r="O1053">
        <v>0</v>
      </c>
      <c r="P1053">
        <v>0</v>
      </c>
      <c r="Q1053">
        <v>0</v>
      </c>
      <c r="R1053">
        <v>0</v>
      </c>
      <c r="S1053" s="28">
        <v>2370.2571691676612</v>
      </c>
      <c r="T1053" s="29">
        <f>SUM(BaseHoras[[#This Row],[Jan/2019]:[Mar/2019]])</f>
        <v>0</v>
      </c>
      <c r="U1053" s="29">
        <f>SUM(BaseHoras[[#This Row],[Abr/2019]:[Jun/2019]])</f>
        <v>2370.2571691676612</v>
      </c>
      <c r="V1053" s="29">
        <f>SUM(BaseHoras[[#This Row],[Jul/2019]:[Set/2019]])</f>
        <v>0</v>
      </c>
      <c r="W1053" s="29">
        <f>SUM(BaseHoras[[#This Row],[Out/2019]:[Dez/2019]])</f>
        <v>0</v>
      </c>
    </row>
    <row r="1054" spans="1:23">
      <c r="A1054" t="s">
        <v>151</v>
      </c>
      <c r="B1054" t="s">
        <v>168</v>
      </c>
      <c r="C1054" t="s">
        <v>381</v>
      </c>
      <c r="D1054" t="s">
        <v>82</v>
      </c>
      <c r="E1054" t="s">
        <v>205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14.131866846358596</v>
      </c>
      <c r="M1054" s="28">
        <v>0</v>
      </c>
      <c r="N1054" s="28">
        <v>0</v>
      </c>
      <c r="O1054">
        <v>0</v>
      </c>
      <c r="P1054">
        <v>0</v>
      </c>
      <c r="Q1054">
        <v>0</v>
      </c>
      <c r="R1054">
        <v>0</v>
      </c>
      <c r="S1054" s="28">
        <v>14.131866846358596</v>
      </c>
      <c r="T1054" s="29">
        <f>SUM(BaseHoras[[#This Row],[Jan/2019]:[Mar/2019]])</f>
        <v>0</v>
      </c>
      <c r="U1054" s="29">
        <f>SUM(BaseHoras[[#This Row],[Abr/2019]:[Jun/2019]])</f>
        <v>0</v>
      </c>
      <c r="V1054" s="29">
        <f>SUM(BaseHoras[[#This Row],[Jul/2019]:[Set/2019]])</f>
        <v>14.131866846358596</v>
      </c>
      <c r="W1054" s="29">
        <f>SUM(BaseHoras[[#This Row],[Out/2019]:[Dez/2019]])</f>
        <v>0</v>
      </c>
    </row>
    <row r="1055" spans="1:23">
      <c r="A1055" t="s">
        <v>151</v>
      </c>
      <c r="B1055" t="s">
        <v>168</v>
      </c>
      <c r="C1055" t="s">
        <v>381</v>
      </c>
      <c r="D1055" t="s">
        <v>95</v>
      </c>
      <c r="E1055" t="s">
        <v>205</v>
      </c>
      <c r="F1055">
        <v>0</v>
      </c>
      <c r="G1055">
        <v>0</v>
      </c>
      <c r="H1055">
        <v>0</v>
      </c>
      <c r="I1055">
        <v>0</v>
      </c>
      <c r="J1055">
        <v>656.84788033907216</v>
      </c>
      <c r="K1055">
        <v>582.75125551629822</v>
      </c>
      <c r="L1055">
        <v>183.20966817787021</v>
      </c>
      <c r="M1055" s="28">
        <v>0</v>
      </c>
      <c r="N1055" s="28">
        <v>0</v>
      </c>
      <c r="O1055">
        <v>0</v>
      </c>
      <c r="P1055">
        <v>0</v>
      </c>
      <c r="Q1055">
        <v>0</v>
      </c>
      <c r="R1055">
        <v>0</v>
      </c>
      <c r="S1055" s="28">
        <v>1422.8088040332407</v>
      </c>
      <c r="T1055" s="29">
        <f>SUM(BaseHoras[[#This Row],[Jan/2019]:[Mar/2019]])</f>
        <v>0</v>
      </c>
      <c r="U1055" s="29">
        <f>SUM(BaseHoras[[#This Row],[Abr/2019]:[Jun/2019]])</f>
        <v>1239.5991358553704</v>
      </c>
      <c r="V1055" s="29">
        <f>SUM(BaseHoras[[#This Row],[Jul/2019]:[Set/2019]])</f>
        <v>183.20966817787021</v>
      </c>
      <c r="W1055" s="29">
        <f>SUM(BaseHoras[[#This Row],[Out/2019]:[Dez/2019]])</f>
        <v>0</v>
      </c>
    </row>
    <row r="1056" spans="1:23">
      <c r="A1056" t="s">
        <v>151</v>
      </c>
      <c r="B1056" t="s">
        <v>168</v>
      </c>
      <c r="C1056" t="s">
        <v>381</v>
      </c>
      <c r="D1056" t="s">
        <v>98</v>
      </c>
      <c r="E1056" t="s">
        <v>205</v>
      </c>
      <c r="F1056">
        <v>0</v>
      </c>
      <c r="G1056">
        <v>7.2861394159096244</v>
      </c>
      <c r="H1056">
        <v>45.142737187897858</v>
      </c>
      <c r="I1056">
        <v>4.6578664869706268</v>
      </c>
      <c r="J1056">
        <v>45.976366204115187</v>
      </c>
      <c r="K1056">
        <v>0</v>
      </c>
      <c r="L1056">
        <v>616.17924143248297</v>
      </c>
      <c r="M1056" s="28">
        <v>0</v>
      </c>
      <c r="N1056" s="28">
        <v>0</v>
      </c>
      <c r="O1056">
        <v>0</v>
      </c>
      <c r="P1056">
        <v>0</v>
      </c>
      <c r="Q1056">
        <v>0</v>
      </c>
      <c r="R1056">
        <v>0</v>
      </c>
      <c r="S1056" s="28">
        <v>719.24235072737622</v>
      </c>
      <c r="T1056" s="29">
        <f>SUM(BaseHoras[[#This Row],[Jan/2019]:[Mar/2019]])</f>
        <v>52.428876603807481</v>
      </c>
      <c r="U1056" s="29">
        <f>SUM(BaseHoras[[#This Row],[Abr/2019]:[Jun/2019]])</f>
        <v>50.634232691085813</v>
      </c>
      <c r="V1056" s="29">
        <f>SUM(BaseHoras[[#This Row],[Jul/2019]:[Set/2019]])</f>
        <v>616.17924143248297</v>
      </c>
      <c r="W1056" s="29">
        <f>SUM(BaseHoras[[#This Row],[Out/2019]:[Dez/2019]])</f>
        <v>0</v>
      </c>
    </row>
    <row r="1057" spans="1:23">
      <c r="A1057" t="s">
        <v>151</v>
      </c>
      <c r="B1057" t="s">
        <v>168</v>
      </c>
      <c r="C1057" t="s">
        <v>381</v>
      </c>
      <c r="D1057" t="s">
        <v>109</v>
      </c>
      <c r="E1057" t="s">
        <v>205</v>
      </c>
      <c r="F1057">
        <v>0</v>
      </c>
      <c r="G1057">
        <v>360.56576998310442</v>
      </c>
      <c r="H1057">
        <v>50.848161757134193</v>
      </c>
      <c r="I1057">
        <v>0</v>
      </c>
      <c r="J1057">
        <v>0</v>
      </c>
      <c r="K1057">
        <v>10.261824972605249</v>
      </c>
      <c r="L1057">
        <v>0</v>
      </c>
      <c r="M1057" s="28">
        <v>0</v>
      </c>
      <c r="N1057" s="28">
        <v>0</v>
      </c>
      <c r="O1057">
        <v>0</v>
      </c>
      <c r="P1057">
        <v>0</v>
      </c>
      <c r="Q1057">
        <v>0</v>
      </c>
      <c r="R1057">
        <v>0</v>
      </c>
      <c r="S1057" s="28">
        <v>421.67575671284385</v>
      </c>
      <c r="T1057" s="29">
        <f>SUM(BaseHoras[[#This Row],[Jan/2019]:[Mar/2019]])</f>
        <v>411.41393174023858</v>
      </c>
      <c r="U1057" s="29">
        <f>SUM(BaseHoras[[#This Row],[Abr/2019]:[Jun/2019]])</f>
        <v>10.261824972605249</v>
      </c>
      <c r="V1057" s="29">
        <f>SUM(BaseHoras[[#This Row],[Jul/2019]:[Set/2019]])</f>
        <v>0</v>
      </c>
      <c r="W1057" s="29">
        <f>SUM(BaseHoras[[#This Row],[Out/2019]:[Dez/2019]])</f>
        <v>0</v>
      </c>
    </row>
    <row r="1058" spans="1:23">
      <c r="A1058" t="s">
        <v>151</v>
      </c>
      <c r="B1058" t="s">
        <v>168</v>
      </c>
      <c r="C1058" t="s">
        <v>381</v>
      </c>
      <c r="D1058" t="s">
        <v>118</v>
      </c>
      <c r="E1058" t="s">
        <v>205</v>
      </c>
      <c r="F1058">
        <v>0</v>
      </c>
      <c r="G1058">
        <v>0</v>
      </c>
      <c r="H1058">
        <v>0</v>
      </c>
      <c r="I1058">
        <v>0</v>
      </c>
      <c r="J1058">
        <v>57.10973373019268</v>
      </c>
      <c r="K1058">
        <v>0</v>
      </c>
      <c r="L1058">
        <v>197.15563173122243</v>
      </c>
      <c r="M1058" s="28">
        <v>250.27331478364295</v>
      </c>
      <c r="N1058" s="28">
        <v>0</v>
      </c>
      <c r="O1058">
        <v>0</v>
      </c>
      <c r="P1058">
        <v>0</v>
      </c>
      <c r="Q1058">
        <v>0</v>
      </c>
      <c r="R1058">
        <v>0</v>
      </c>
      <c r="S1058" s="28">
        <v>504.53868024505806</v>
      </c>
      <c r="T1058" s="29">
        <f>SUM(BaseHoras[[#This Row],[Jan/2019]:[Mar/2019]])</f>
        <v>0</v>
      </c>
      <c r="U1058" s="29">
        <f>SUM(BaseHoras[[#This Row],[Abr/2019]:[Jun/2019]])</f>
        <v>57.10973373019268</v>
      </c>
      <c r="V1058" s="29">
        <f>SUM(BaseHoras[[#This Row],[Jul/2019]:[Set/2019]])</f>
        <v>447.4289465148654</v>
      </c>
      <c r="W1058" s="29">
        <f>SUM(BaseHoras[[#This Row],[Out/2019]:[Dez/2019]])</f>
        <v>0</v>
      </c>
    </row>
    <row r="1059" spans="1:23">
      <c r="A1059" t="s">
        <v>151</v>
      </c>
      <c r="B1059" t="s">
        <v>168</v>
      </c>
      <c r="C1059" t="s">
        <v>381</v>
      </c>
      <c r="D1059" t="s">
        <v>128</v>
      </c>
      <c r="E1059" t="s">
        <v>205</v>
      </c>
      <c r="F1059">
        <v>0</v>
      </c>
      <c r="G1059">
        <v>0</v>
      </c>
      <c r="H1059">
        <v>428.17961373961305</v>
      </c>
      <c r="I1059">
        <v>0</v>
      </c>
      <c r="J1059">
        <v>376.41223230537867</v>
      </c>
      <c r="K1059">
        <v>105.09204742277963</v>
      </c>
      <c r="L1059">
        <v>45.032201468482597</v>
      </c>
      <c r="M1059" s="28">
        <v>0</v>
      </c>
      <c r="N1059" s="28">
        <v>0</v>
      </c>
      <c r="O1059">
        <v>0</v>
      </c>
      <c r="P1059">
        <v>0</v>
      </c>
      <c r="Q1059">
        <v>0</v>
      </c>
      <c r="R1059">
        <v>0</v>
      </c>
      <c r="S1059" s="28">
        <v>954.71609493625397</v>
      </c>
      <c r="T1059" s="29">
        <f>SUM(BaseHoras[[#This Row],[Jan/2019]:[Mar/2019]])</f>
        <v>428.17961373961305</v>
      </c>
      <c r="U1059" s="29">
        <f>SUM(BaseHoras[[#This Row],[Abr/2019]:[Jun/2019]])</f>
        <v>481.50427972815828</v>
      </c>
      <c r="V1059" s="29">
        <f>SUM(BaseHoras[[#This Row],[Jul/2019]:[Set/2019]])</f>
        <v>45.032201468482597</v>
      </c>
      <c r="W1059" s="29">
        <f>SUM(BaseHoras[[#This Row],[Out/2019]:[Dez/2019]])</f>
        <v>0</v>
      </c>
    </row>
    <row r="1060" spans="1:23">
      <c r="A1060" t="s">
        <v>151</v>
      </c>
      <c r="B1060" t="s">
        <v>168</v>
      </c>
      <c r="C1060" t="s">
        <v>381</v>
      </c>
      <c r="D1060" t="s">
        <v>129</v>
      </c>
      <c r="E1060" t="s">
        <v>205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s="28">
        <v>83.699397570348467</v>
      </c>
      <c r="N1060" s="28">
        <v>0</v>
      </c>
      <c r="O1060">
        <v>0</v>
      </c>
      <c r="P1060">
        <v>0</v>
      </c>
      <c r="Q1060">
        <v>0</v>
      </c>
      <c r="R1060">
        <v>0</v>
      </c>
      <c r="S1060" s="28">
        <v>83.699397570348467</v>
      </c>
      <c r="T1060" s="29">
        <f>SUM(BaseHoras[[#This Row],[Jan/2019]:[Mar/2019]])</f>
        <v>0</v>
      </c>
      <c r="U1060" s="29">
        <f>SUM(BaseHoras[[#This Row],[Abr/2019]:[Jun/2019]])</f>
        <v>0</v>
      </c>
      <c r="V1060" s="29">
        <f>SUM(BaseHoras[[#This Row],[Jul/2019]:[Set/2019]])</f>
        <v>83.699397570348467</v>
      </c>
      <c r="W1060" s="29">
        <f>SUM(BaseHoras[[#This Row],[Out/2019]:[Dez/2019]])</f>
        <v>0</v>
      </c>
    </row>
    <row r="1061" spans="1:23">
      <c r="A1061" t="s">
        <v>151</v>
      </c>
      <c r="B1061" t="s">
        <v>168</v>
      </c>
      <c r="C1061" t="s">
        <v>381</v>
      </c>
      <c r="D1061" t="s">
        <v>133</v>
      </c>
      <c r="E1061" t="s">
        <v>205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960.42653751612409</v>
      </c>
      <c r="M1061" s="28">
        <v>1354.0882240994674</v>
      </c>
      <c r="N1061" s="28">
        <v>0</v>
      </c>
      <c r="O1061">
        <v>0</v>
      </c>
      <c r="P1061">
        <v>0</v>
      </c>
      <c r="Q1061">
        <v>0</v>
      </c>
      <c r="R1061">
        <v>0</v>
      </c>
      <c r="S1061" s="28">
        <v>2314.5147616155914</v>
      </c>
      <c r="T1061" s="29">
        <f>SUM(BaseHoras[[#This Row],[Jan/2019]:[Mar/2019]])</f>
        <v>0</v>
      </c>
      <c r="U1061" s="29">
        <f>SUM(BaseHoras[[#This Row],[Abr/2019]:[Jun/2019]])</f>
        <v>0</v>
      </c>
      <c r="V1061" s="29">
        <f>SUM(BaseHoras[[#This Row],[Jul/2019]:[Set/2019]])</f>
        <v>2314.5147616155914</v>
      </c>
      <c r="W1061" s="29">
        <f>SUM(BaseHoras[[#This Row],[Out/2019]:[Dez/2019]])</f>
        <v>0</v>
      </c>
    </row>
    <row r="1062" spans="1:23">
      <c r="A1062" t="s">
        <v>151</v>
      </c>
      <c r="B1062" t="s">
        <v>168</v>
      </c>
      <c r="C1062" t="s">
        <v>381</v>
      </c>
      <c r="D1062" t="s">
        <v>136</v>
      </c>
      <c r="E1062" t="s">
        <v>205</v>
      </c>
      <c r="F1062">
        <v>0</v>
      </c>
      <c r="G1062">
        <v>524.0891944745814</v>
      </c>
      <c r="H1062">
        <v>25.924393524703511</v>
      </c>
      <c r="I1062">
        <v>0</v>
      </c>
      <c r="J1062">
        <v>125.44423624413803</v>
      </c>
      <c r="K1062">
        <v>0</v>
      </c>
      <c r="L1062">
        <v>0</v>
      </c>
      <c r="M1062" s="28">
        <v>0</v>
      </c>
      <c r="N1062" s="28">
        <v>0</v>
      </c>
      <c r="O1062">
        <v>0</v>
      </c>
      <c r="P1062">
        <v>0</v>
      </c>
      <c r="Q1062">
        <v>0</v>
      </c>
      <c r="R1062">
        <v>0</v>
      </c>
      <c r="S1062" s="28">
        <v>675.45782424342292</v>
      </c>
      <c r="T1062" s="29">
        <f>SUM(BaseHoras[[#This Row],[Jan/2019]:[Mar/2019]])</f>
        <v>550.01358799928494</v>
      </c>
      <c r="U1062" s="29">
        <f>SUM(BaseHoras[[#This Row],[Abr/2019]:[Jun/2019]])</f>
        <v>125.44423624413803</v>
      </c>
      <c r="V1062" s="29">
        <f>SUM(BaseHoras[[#This Row],[Jul/2019]:[Set/2019]])</f>
        <v>0</v>
      </c>
      <c r="W1062" s="29">
        <f>SUM(BaseHoras[[#This Row],[Out/2019]:[Dez/2019]])</f>
        <v>0</v>
      </c>
    </row>
    <row r="1063" spans="1:23">
      <c r="A1063" t="s">
        <v>151</v>
      </c>
      <c r="B1063" t="s">
        <v>168</v>
      </c>
      <c r="C1063" t="s">
        <v>381</v>
      </c>
      <c r="D1063" t="s">
        <v>382</v>
      </c>
      <c r="E1063" t="s">
        <v>205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2148.2175447736286</v>
      </c>
      <c r="M1063" s="28">
        <v>308.0479738136753</v>
      </c>
      <c r="N1063" s="28">
        <v>0</v>
      </c>
      <c r="O1063">
        <v>0</v>
      </c>
      <c r="P1063">
        <v>0</v>
      </c>
      <c r="Q1063">
        <v>0</v>
      </c>
      <c r="R1063">
        <v>0</v>
      </c>
      <c r="S1063" s="28">
        <v>2456.2655185873036</v>
      </c>
      <c r="T1063" s="29">
        <f>SUM(BaseHoras[[#This Row],[Jan/2019]:[Mar/2019]])</f>
        <v>0</v>
      </c>
      <c r="U1063" s="29">
        <f>SUM(BaseHoras[[#This Row],[Abr/2019]:[Jun/2019]])</f>
        <v>0</v>
      </c>
      <c r="V1063" s="29">
        <f>SUM(BaseHoras[[#This Row],[Jul/2019]:[Set/2019]])</f>
        <v>2456.2655185873036</v>
      </c>
      <c r="W1063" s="29">
        <f>SUM(BaseHoras[[#This Row],[Out/2019]:[Dez/2019]])</f>
        <v>0</v>
      </c>
    </row>
    <row r="1064" spans="1:23">
      <c r="A1064" t="s">
        <v>151</v>
      </c>
      <c r="B1064" t="s">
        <v>168</v>
      </c>
      <c r="C1064" t="s">
        <v>381</v>
      </c>
      <c r="D1064" t="s">
        <v>147</v>
      </c>
      <c r="E1064" t="s">
        <v>205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1144.5023340914202</v>
      </c>
      <c r="M1064" s="28">
        <v>653.98216746288836</v>
      </c>
      <c r="N1064" s="28">
        <v>0</v>
      </c>
      <c r="O1064">
        <v>0</v>
      </c>
      <c r="P1064">
        <v>0</v>
      </c>
      <c r="Q1064">
        <v>0</v>
      </c>
      <c r="R1064">
        <v>0</v>
      </c>
      <c r="S1064" s="28">
        <v>1798.4845015543085</v>
      </c>
      <c r="T1064" s="29">
        <f>SUM(BaseHoras[[#This Row],[Jan/2019]:[Mar/2019]])</f>
        <v>0</v>
      </c>
      <c r="U1064" s="29">
        <f>SUM(BaseHoras[[#This Row],[Abr/2019]:[Jun/2019]])</f>
        <v>0</v>
      </c>
      <c r="V1064" s="29">
        <f>SUM(BaseHoras[[#This Row],[Jul/2019]:[Set/2019]])</f>
        <v>1798.4845015543085</v>
      </c>
      <c r="W1064" s="29">
        <f>SUM(BaseHoras[[#This Row],[Out/2019]:[Dez/2019]])</f>
        <v>0</v>
      </c>
    </row>
    <row r="1065" spans="1:23">
      <c r="A1065" t="s">
        <v>151</v>
      </c>
      <c r="B1065" t="s">
        <v>168</v>
      </c>
      <c r="C1065" t="s">
        <v>381</v>
      </c>
      <c r="D1065" t="s">
        <v>149</v>
      </c>
      <c r="E1065" t="s">
        <v>205</v>
      </c>
      <c r="F1065">
        <v>0</v>
      </c>
      <c r="G1065">
        <v>0</v>
      </c>
      <c r="H1065">
        <v>13.051312478929439</v>
      </c>
      <c r="I1065">
        <v>511.5872918639169</v>
      </c>
      <c r="J1065">
        <v>811.57182782085135</v>
      </c>
      <c r="K1065">
        <v>382.48148804540841</v>
      </c>
      <c r="L1065">
        <v>651.61183079844932</v>
      </c>
      <c r="M1065" s="28">
        <v>173.71993903417982</v>
      </c>
      <c r="N1065" s="28">
        <v>23.127031479830055</v>
      </c>
      <c r="O1065">
        <v>3494.1328587520534</v>
      </c>
      <c r="P1065">
        <v>0</v>
      </c>
      <c r="Q1065">
        <v>0</v>
      </c>
      <c r="R1065">
        <v>0</v>
      </c>
      <c r="S1065" s="28">
        <v>6061.283580273619</v>
      </c>
      <c r="T1065" s="29">
        <f>SUM(BaseHoras[[#This Row],[Jan/2019]:[Mar/2019]])</f>
        <v>13.051312478929439</v>
      </c>
      <c r="U1065" s="29">
        <f>SUM(BaseHoras[[#This Row],[Abr/2019]:[Jun/2019]])</f>
        <v>1705.6406077301767</v>
      </c>
      <c r="V1065" s="29">
        <f>SUM(BaseHoras[[#This Row],[Jul/2019]:[Set/2019]])</f>
        <v>848.45880131245917</v>
      </c>
      <c r="W1065" s="29">
        <f>SUM(BaseHoras[[#This Row],[Out/2019]:[Dez/2019]])</f>
        <v>3494.1328587520534</v>
      </c>
    </row>
    <row r="1066" spans="1:23">
      <c r="A1066" t="s">
        <v>151</v>
      </c>
      <c r="B1066" t="s">
        <v>168</v>
      </c>
      <c r="C1066" t="s">
        <v>381</v>
      </c>
      <c r="D1066" t="s">
        <v>150</v>
      </c>
      <c r="E1066" t="s">
        <v>205</v>
      </c>
      <c r="F1066">
        <v>34.821806310374399</v>
      </c>
      <c r="G1066">
        <v>114.61816045114647</v>
      </c>
      <c r="H1066">
        <v>0</v>
      </c>
      <c r="I1066">
        <v>0</v>
      </c>
      <c r="J1066">
        <v>0</v>
      </c>
      <c r="K1066">
        <v>0</v>
      </c>
      <c r="L1066">
        <v>0</v>
      </c>
      <c r="M1066" s="28">
        <v>0</v>
      </c>
      <c r="N1066" s="28">
        <v>0</v>
      </c>
      <c r="O1066">
        <v>0</v>
      </c>
      <c r="P1066">
        <v>0</v>
      </c>
      <c r="Q1066">
        <v>0</v>
      </c>
      <c r="R1066">
        <v>0</v>
      </c>
      <c r="S1066" s="28">
        <v>149.43996676152085</v>
      </c>
      <c r="T1066" s="29">
        <f>SUM(BaseHoras[[#This Row],[Jan/2019]:[Mar/2019]])</f>
        <v>149.43996676152085</v>
      </c>
      <c r="U1066" s="29">
        <f>SUM(BaseHoras[[#This Row],[Abr/2019]:[Jun/2019]])</f>
        <v>0</v>
      </c>
      <c r="V1066" s="29">
        <f>SUM(BaseHoras[[#This Row],[Jul/2019]:[Set/2019]])</f>
        <v>0</v>
      </c>
      <c r="W1066" s="29">
        <f>SUM(BaseHoras[[#This Row],[Out/2019]:[Dez/2019]])</f>
        <v>0</v>
      </c>
    </row>
    <row r="1067" spans="1:23">
      <c r="A1067" t="s">
        <v>151</v>
      </c>
      <c r="B1067" t="s">
        <v>168</v>
      </c>
      <c r="C1067" t="s">
        <v>162</v>
      </c>
      <c r="D1067" t="s">
        <v>35</v>
      </c>
      <c r="E1067" t="s">
        <v>152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s="28">
        <v>0</v>
      </c>
      <c r="N1067" s="28">
        <v>0</v>
      </c>
      <c r="O1067">
        <v>0</v>
      </c>
      <c r="P1067">
        <v>0</v>
      </c>
      <c r="Q1067">
        <v>818.54737694035248</v>
      </c>
      <c r="R1067">
        <v>0</v>
      </c>
      <c r="S1067" s="28">
        <v>818.54737694035248</v>
      </c>
      <c r="T1067" s="29">
        <f>SUM(BaseHoras[[#This Row],[Jan/2019]:[Mar/2019]])</f>
        <v>0</v>
      </c>
      <c r="U1067" s="29">
        <f>SUM(BaseHoras[[#This Row],[Abr/2019]:[Jun/2019]])</f>
        <v>0</v>
      </c>
      <c r="V1067" s="29">
        <f>SUM(BaseHoras[[#This Row],[Jul/2019]:[Set/2019]])</f>
        <v>0</v>
      </c>
      <c r="W1067" s="29">
        <f>SUM(BaseHoras[[#This Row],[Out/2019]:[Dez/2019]])</f>
        <v>818.54737694035248</v>
      </c>
    </row>
    <row r="1068" spans="1:23">
      <c r="A1068" t="s">
        <v>151</v>
      </c>
      <c r="B1068" t="s">
        <v>168</v>
      </c>
      <c r="C1068" t="s">
        <v>162</v>
      </c>
      <c r="D1068" t="s">
        <v>49</v>
      </c>
      <c r="E1068" t="s">
        <v>152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198.03012178452099</v>
      </c>
      <c r="M1068" s="28">
        <v>601.30227038467206</v>
      </c>
      <c r="N1068" s="28">
        <v>0</v>
      </c>
      <c r="O1068">
        <v>0</v>
      </c>
      <c r="P1068">
        <v>41.948067430085779</v>
      </c>
      <c r="Q1068">
        <v>12.934726357989602</v>
      </c>
      <c r="R1068">
        <v>0</v>
      </c>
      <c r="S1068" s="28">
        <v>854.21518595726843</v>
      </c>
      <c r="T1068" s="29">
        <f>SUM(BaseHoras[[#This Row],[Jan/2019]:[Mar/2019]])</f>
        <v>0</v>
      </c>
      <c r="U1068" s="29">
        <f>SUM(BaseHoras[[#This Row],[Abr/2019]:[Jun/2019]])</f>
        <v>0</v>
      </c>
      <c r="V1068" s="29">
        <f>SUM(BaseHoras[[#This Row],[Jul/2019]:[Set/2019]])</f>
        <v>799.3323921691931</v>
      </c>
      <c r="W1068" s="29">
        <f>SUM(BaseHoras[[#This Row],[Out/2019]:[Dez/2019]])</f>
        <v>54.882793788075382</v>
      </c>
    </row>
    <row r="1069" spans="1:23">
      <c r="A1069" t="s">
        <v>151</v>
      </c>
      <c r="B1069" t="s">
        <v>168</v>
      </c>
      <c r="C1069" t="s">
        <v>383</v>
      </c>
      <c r="D1069" t="s">
        <v>19</v>
      </c>
      <c r="E1069" t="s">
        <v>320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35.357784009949007</v>
      </c>
      <c r="L1069">
        <v>64.732190808832513</v>
      </c>
      <c r="M1069" s="28">
        <v>0</v>
      </c>
      <c r="N1069" s="28">
        <v>0</v>
      </c>
      <c r="O1069">
        <v>0</v>
      </c>
      <c r="P1069">
        <v>0</v>
      </c>
      <c r="Q1069">
        <v>0</v>
      </c>
      <c r="R1069">
        <v>0</v>
      </c>
      <c r="S1069" s="28">
        <v>100.08997481878151</v>
      </c>
      <c r="T1069" s="29">
        <f>SUM(BaseHoras[[#This Row],[Jan/2019]:[Mar/2019]])</f>
        <v>0</v>
      </c>
      <c r="U1069" s="29">
        <f>SUM(BaseHoras[[#This Row],[Abr/2019]:[Jun/2019]])</f>
        <v>35.357784009949007</v>
      </c>
      <c r="V1069" s="29">
        <f>SUM(BaseHoras[[#This Row],[Jul/2019]:[Set/2019]])</f>
        <v>64.732190808832513</v>
      </c>
      <c r="W1069" s="29">
        <f>SUM(BaseHoras[[#This Row],[Out/2019]:[Dez/2019]])</f>
        <v>0</v>
      </c>
    </row>
    <row r="1070" spans="1:23">
      <c r="A1070" t="s">
        <v>151</v>
      </c>
      <c r="B1070" t="s">
        <v>168</v>
      </c>
      <c r="C1070" t="s">
        <v>383</v>
      </c>
      <c r="D1070" t="s">
        <v>36</v>
      </c>
      <c r="E1070" t="s">
        <v>320</v>
      </c>
      <c r="F1070">
        <v>0</v>
      </c>
      <c r="G1070">
        <v>0</v>
      </c>
      <c r="H1070">
        <v>0</v>
      </c>
      <c r="I1070">
        <v>533.09740941839902</v>
      </c>
      <c r="J1070">
        <v>47.036071436782926</v>
      </c>
      <c r="K1070">
        <v>0</v>
      </c>
      <c r="L1070">
        <v>0</v>
      </c>
      <c r="M1070" s="28">
        <v>0</v>
      </c>
      <c r="N1070" s="28">
        <v>0</v>
      </c>
      <c r="O1070">
        <v>0</v>
      </c>
      <c r="P1070">
        <v>0</v>
      </c>
      <c r="Q1070">
        <v>0</v>
      </c>
      <c r="R1070">
        <v>0</v>
      </c>
      <c r="S1070" s="28">
        <v>580.13348085518192</v>
      </c>
      <c r="T1070" s="29">
        <f>SUM(BaseHoras[[#This Row],[Jan/2019]:[Mar/2019]])</f>
        <v>0</v>
      </c>
      <c r="U1070" s="29">
        <f>SUM(BaseHoras[[#This Row],[Abr/2019]:[Jun/2019]])</f>
        <v>580.13348085518192</v>
      </c>
      <c r="V1070" s="29">
        <f>SUM(BaseHoras[[#This Row],[Jul/2019]:[Set/2019]])</f>
        <v>0</v>
      </c>
      <c r="W1070" s="29">
        <f>SUM(BaseHoras[[#This Row],[Out/2019]:[Dez/2019]])</f>
        <v>0</v>
      </c>
    </row>
    <row r="1071" spans="1:23">
      <c r="A1071" t="s">
        <v>151</v>
      </c>
      <c r="B1071" t="s">
        <v>168</v>
      </c>
      <c r="C1071" t="s">
        <v>383</v>
      </c>
      <c r="D1071" t="s">
        <v>45</v>
      </c>
      <c r="E1071" t="s">
        <v>320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s="28">
        <v>22.524712538092555</v>
      </c>
      <c r="N1071" s="28">
        <v>0</v>
      </c>
      <c r="O1071">
        <v>0</v>
      </c>
      <c r="P1071">
        <v>0</v>
      </c>
      <c r="Q1071">
        <v>0</v>
      </c>
      <c r="R1071">
        <v>0</v>
      </c>
      <c r="S1071" s="28">
        <v>22.524712538092555</v>
      </c>
      <c r="T1071" s="29">
        <f>SUM(BaseHoras[[#This Row],[Jan/2019]:[Mar/2019]])</f>
        <v>0</v>
      </c>
      <c r="U1071" s="29">
        <f>SUM(BaseHoras[[#This Row],[Abr/2019]:[Jun/2019]])</f>
        <v>0</v>
      </c>
      <c r="V1071" s="29">
        <f>SUM(BaseHoras[[#This Row],[Jul/2019]:[Set/2019]])</f>
        <v>22.524712538092555</v>
      </c>
      <c r="W1071" s="29">
        <f>SUM(BaseHoras[[#This Row],[Out/2019]:[Dez/2019]])</f>
        <v>0</v>
      </c>
    </row>
    <row r="1072" spans="1:23">
      <c r="A1072" t="s">
        <v>151</v>
      </c>
      <c r="B1072" t="s">
        <v>168</v>
      </c>
      <c r="C1072" t="s">
        <v>383</v>
      </c>
      <c r="D1072" t="s">
        <v>60</v>
      </c>
      <c r="E1072" t="s">
        <v>320</v>
      </c>
      <c r="F1072">
        <v>0</v>
      </c>
      <c r="G1072">
        <v>1464.4537414362164</v>
      </c>
      <c r="H1072">
        <v>0</v>
      </c>
      <c r="I1072">
        <v>0</v>
      </c>
      <c r="J1072">
        <v>0</v>
      </c>
      <c r="K1072">
        <v>0</v>
      </c>
      <c r="L1072">
        <v>0</v>
      </c>
      <c r="M1072" s="28">
        <v>0</v>
      </c>
      <c r="N1072" s="28">
        <v>0</v>
      </c>
      <c r="O1072">
        <v>0</v>
      </c>
      <c r="P1072">
        <v>0</v>
      </c>
      <c r="Q1072">
        <v>0</v>
      </c>
      <c r="R1072">
        <v>0</v>
      </c>
      <c r="S1072" s="28">
        <v>1464.4537414362164</v>
      </c>
      <c r="T1072" s="29">
        <f>SUM(BaseHoras[[#This Row],[Jan/2019]:[Mar/2019]])</f>
        <v>1464.4537414362164</v>
      </c>
      <c r="U1072" s="29">
        <f>SUM(BaseHoras[[#This Row],[Abr/2019]:[Jun/2019]])</f>
        <v>0</v>
      </c>
      <c r="V1072" s="29">
        <f>SUM(BaseHoras[[#This Row],[Jul/2019]:[Set/2019]])</f>
        <v>0</v>
      </c>
      <c r="W1072" s="29">
        <f>SUM(BaseHoras[[#This Row],[Out/2019]:[Dez/2019]])</f>
        <v>0</v>
      </c>
    </row>
    <row r="1073" spans="1:23">
      <c r="A1073" t="s">
        <v>151</v>
      </c>
      <c r="B1073" t="s">
        <v>168</v>
      </c>
      <c r="C1073" t="s">
        <v>383</v>
      </c>
      <c r="D1073" t="s">
        <v>62</v>
      </c>
      <c r="E1073" t="s">
        <v>320</v>
      </c>
      <c r="F1073">
        <v>0</v>
      </c>
      <c r="G1073">
        <v>3.7389241798499149</v>
      </c>
      <c r="H1073">
        <v>1235.0264483511876</v>
      </c>
      <c r="I1073">
        <v>147.62243272424067</v>
      </c>
      <c r="J1073">
        <v>11.344228795283227</v>
      </c>
      <c r="K1073">
        <v>0</v>
      </c>
      <c r="L1073">
        <v>0</v>
      </c>
      <c r="M1073" s="28">
        <v>0</v>
      </c>
      <c r="N1073" s="28">
        <v>0</v>
      </c>
      <c r="O1073">
        <v>0</v>
      </c>
      <c r="P1073">
        <v>0</v>
      </c>
      <c r="Q1073">
        <v>0</v>
      </c>
      <c r="R1073">
        <v>0</v>
      </c>
      <c r="S1073" s="28">
        <v>1397.7320340505614</v>
      </c>
      <c r="T1073" s="29">
        <f>SUM(BaseHoras[[#This Row],[Jan/2019]:[Mar/2019]])</f>
        <v>1238.7653725310374</v>
      </c>
      <c r="U1073" s="29">
        <f>SUM(BaseHoras[[#This Row],[Abr/2019]:[Jun/2019]])</f>
        <v>158.96666151952388</v>
      </c>
      <c r="V1073" s="29">
        <f>SUM(BaseHoras[[#This Row],[Jul/2019]:[Set/2019]])</f>
        <v>0</v>
      </c>
      <c r="W1073" s="29">
        <f>SUM(BaseHoras[[#This Row],[Out/2019]:[Dez/2019]])</f>
        <v>0</v>
      </c>
    </row>
    <row r="1074" spans="1:23">
      <c r="A1074" t="s">
        <v>151</v>
      </c>
      <c r="B1074" t="s">
        <v>168</v>
      </c>
      <c r="C1074" t="s">
        <v>383</v>
      </c>
      <c r="D1074" t="s">
        <v>64</v>
      </c>
      <c r="E1074" t="s">
        <v>320</v>
      </c>
      <c r="F1074">
        <v>0</v>
      </c>
      <c r="G1074">
        <v>53.603723426703816</v>
      </c>
      <c r="H1074">
        <v>0</v>
      </c>
      <c r="I1074">
        <v>0</v>
      </c>
      <c r="J1074">
        <v>0</v>
      </c>
      <c r="K1074">
        <v>0</v>
      </c>
      <c r="L1074">
        <v>0</v>
      </c>
      <c r="M1074" s="28">
        <v>0</v>
      </c>
      <c r="N1074" s="28">
        <v>0</v>
      </c>
      <c r="O1074">
        <v>0</v>
      </c>
      <c r="P1074">
        <v>0</v>
      </c>
      <c r="Q1074">
        <v>0</v>
      </c>
      <c r="R1074">
        <v>0</v>
      </c>
      <c r="S1074" s="28">
        <v>53.603723426703816</v>
      </c>
      <c r="T1074" s="29">
        <f>SUM(BaseHoras[[#This Row],[Jan/2019]:[Mar/2019]])</f>
        <v>53.603723426703816</v>
      </c>
      <c r="U1074" s="29">
        <f>SUM(BaseHoras[[#This Row],[Abr/2019]:[Jun/2019]])</f>
        <v>0</v>
      </c>
      <c r="V1074" s="29">
        <f>SUM(BaseHoras[[#This Row],[Jul/2019]:[Set/2019]])</f>
        <v>0</v>
      </c>
      <c r="W1074" s="29">
        <f>SUM(BaseHoras[[#This Row],[Out/2019]:[Dez/2019]])</f>
        <v>0</v>
      </c>
    </row>
    <row r="1075" spans="1:23">
      <c r="A1075" t="s">
        <v>151</v>
      </c>
      <c r="B1075" t="s">
        <v>168</v>
      </c>
      <c r="C1075" t="s">
        <v>383</v>
      </c>
      <c r="D1075" t="s">
        <v>82</v>
      </c>
      <c r="E1075" t="s">
        <v>320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19.034310566440869</v>
      </c>
      <c r="M1075" s="28">
        <v>276.48138920735624</v>
      </c>
      <c r="N1075" s="28">
        <v>151.16688522287291</v>
      </c>
      <c r="O1075">
        <v>0</v>
      </c>
      <c r="P1075">
        <v>0</v>
      </c>
      <c r="Q1075">
        <v>0</v>
      </c>
      <c r="R1075">
        <v>0</v>
      </c>
      <c r="S1075" s="28">
        <v>446.68258499667002</v>
      </c>
      <c r="T1075" s="29">
        <f>SUM(BaseHoras[[#This Row],[Jan/2019]:[Mar/2019]])</f>
        <v>0</v>
      </c>
      <c r="U1075" s="29">
        <f>SUM(BaseHoras[[#This Row],[Abr/2019]:[Jun/2019]])</f>
        <v>0</v>
      </c>
      <c r="V1075" s="29">
        <f>SUM(BaseHoras[[#This Row],[Jul/2019]:[Set/2019]])</f>
        <v>446.68258499667002</v>
      </c>
      <c r="W1075" s="29">
        <f>SUM(BaseHoras[[#This Row],[Out/2019]:[Dez/2019]])</f>
        <v>0</v>
      </c>
    </row>
    <row r="1076" spans="1:23">
      <c r="A1076" t="s">
        <v>151</v>
      </c>
      <c r="B1076" t="s">
        <v>168</v>
      </c>
      <c r="C1076" t="s">
        <v>383</v>
      </c>
      <c r="D1076" t="s">
        <v>87</v>
      </c>
      <c r="E1076" t="s">
        <v>320</v>
      </c>
      <c r="F1076">
        <v>0</v>
      </c>
      <c r="G1076">
        <v>63.231234922532742</v>
      </c>
      <c r="H1076">
        <v>0</v>
      </c>
      <c r="I1076">
        <v>6.2048691774558318</v>
      </c>
      <c r="J1076">
        <v>17.856989159908423</v>
      </c>
      <c r="K1076">
        <v>282.20772811291619</v>
      </c>
      <c r="L1076">
        <v>0</v>
      </c>
      <c r="M1076" s="28">
        <v>0</v>
      </c>
      <c r="N1076" s="28">
        <v>0</v>
      </c>
      <c r="O1076">
        <v>0</v>
      </c>
      <c r="P1076">
        <v>0</v>
      </c>
      <c r="Q1076">
        <v>0</v>
      </c>
      <c r="R1076">
        <v>0</v>
      </c>
      <c r="S1076" s="28">
        <v>369.50082137281316</v>
      </c>
      <c r="T1076" s="29">
        <f>SUM(BaseHoras[[#This Row],[Jan/2019]:[Mar/2019]])</f>
        <v>63.231234922532742</v>
      </c>
      <c r="U1076" s="29">
        <f>SUM(BaseHoras[[#This Row],[Abr/2019]:[Jun/2019]])</f>
        <v>306.26958645028043</v>
      </c>
      <c r="V1076" s="29">
        <f>SUM(BaseHoras[[#This Row],[Jul/2019]:[Set/2019]])</f>
        <v>0</v>
      </c>
      <c r="W1076" s="29">
        <f>SUM(BaseHoras[[#This Row],[Out/2019]:[Dez/2019]])</f>
        <v>0</v>
      </c>
    </row>
    <row r="1077" spans="1:23">
      <c r="A1077" t="s">
        <v>151</v>
      </c>
      <c r="B1077" t="s">
        <v>168</v>
      </c>
      <c r="C1077" t="s">
        <v>383</v>
      </c>
      <c r="D1077" t="s">
        <v>95</v>
      </c>
      <c r="E1077" t="s">
        <v>320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8.274376501557283</v>
      </c>
      <c r="L1077">
        <v>678.80543967611663</v>
      </c>
      <c r="M1077" s="28">
        <v>14268.74653191307</v>
      </c>
      <c r="N1077" s="28">
        <v>94.059068141891032</v>
      </c>
      <c r="O1077">
        <v>0</v>
      </c>
      <c r="P1077">
        <v>0</v>
      </c>
      <c r="Q1077">
        <v>0</v>
      </c>
      <c r="R1077">
        <v>0</v>
      </c>
      <c r="S1077" s="28">
        <v>15049.885416232635</v>
      </c>
      <c r="T1077" s="29">
        <f>SUM(BaseHoras[[#This Row],[Jan/2019]:[Mar/2019]])</f>
        <v>0</v>
      </c>
      <c r="U1077" s="29">
        <f>SUM(BaseHoras[[#This Row],[Abr/2019]:[Jun/2019]])</f>
        <v>8.274376501557283</v>
      </c>
      <c r="V1077" s="29">
        <f>SUM(BaseHoras[[#This Row],[Jul/2019]:[Set/2019]])</f>
        <v>15041.611039731077</v>
      </c>
      <c r="W1077" s="29">
        <f>SUM(BaseHoras[[#This Row],[Out/2019]:[Dez/2019]])</f>
        <v>0</v>
      </c>
    </row>
    <row r="1078" spans="1:23">
      <c r="A1078" t="s">
        <v>151</v>
      </c>
      <c r="B1078" t="s">
        <v>168</v>
      </c>
      <c r="C1078" t="s">
        <v>383</v>
      </c>
      <c r="D1078" t="s">
        <v>98</v>
      </c>
      <c r="E1078" t="s">
        <v>320</v>
      </c>
      <c r="F1078">
        <v>0</v>
      </c>
      <c r="G1078">
        <v>0</v>
      </c>
      <c r="H1078">
        <v>0</v>
      </c>
      <c r="I1078">
        <v>0</v>
      </c>
      <c r="J1078">
        <v>18.454946740991591</v>
      </c>
      <c r="K1078">
        <v>0</v>
      </c>
      <c r="L1078">
        <v>0</v>
      </c>
      <c r="M1078" s="28">
        <v>0</v>
      </c>
      <c r="N1078" s="28">
        <v>0</v>
      </c>
      <c r="O1078">
        <v>0</v>
      </c>
      <c r="P1078">
        <v>0</v>
      </c>
      <c r="Q1078">
        <v>0</v>
      </c>
      <c r="R1078">
        <v>0</v>
      </c>
      <c r="S1078" s="28">
        <v>18.454946740991591</v>
      </c>
      <c r="T1078" s="29">
        <f>SUM(BaseHoras[[#This Row],[Jan/2019]:[Mar/2019]])</f>
        <v>0</v>
      </c>
      <c r="U1078" s="29">
        <f>SUM(BaseHoras[[#This Row],[Abr/2019]:[Jun/2019]])</f>
        <v>18.454946740991591</v>
      </c>
      <c r="V1078" s="29">
        <f>SUM(BaseHoras[[#This Row],[Jul/2019]:[Set/2019]])</f>
        <v>0</v>
      </c>
      <c r="W1078" s="29">
        <f>SUM(BaseHoras[[#This Row],[Out/2019]:[Dez/2019]])</f>
        <v>0</v>
      </c>
    </row>
    <row r="1079" spans="1:23">
      <c r="A1079" t="s">
        <v>151</v>
      </c>
      <c r="B1079" t="s">
        <v>168</v>
      </c>
      <c r="C1079" t="s">
        <v>383</v>
      </c>
      <c r="D1079" t="s">
        <v>102</v>
      </c>
      <c r="E1079" t="s">
        <v>320</v>
      </c>
      <c r="F1079">
        <v>0</v>
      </c>
      <c r="G1079">
        <v>17.4306509317991</v>
      </c>
      <c r="H1079">
        <v>0</v>
      </c>
      <c r="I1079">
        <v>0</v>
      </c>
      <c r="J1079">
        <v>10.850658636177803</v>
      </c>
      <c r="K1079">
        <v>0</v>
      </c>
      <c r="L1079">
        <v>20.699504437107109</v>
      </c>
      <c r="M1079" s="28">
        <v>0</v>
      </c>
      <c r="N1079" s="28">
        <v>0</v>
      </c>
      <c r="O1079">
        <v>0</v>
      </c>
      <c r="P1079">
        <v>0</v>
      </c>
      <c r="Q1079">
        <v>0</v>
      </c>
      <c r="R1079">
        <v>0</v>
      </c>
      <c r="S1079" s="28">
        <v>48.980814005084014</v>
      </c>
      <c r="T1079" s="29">
        <f>SUM(BaseHoras[[#This Row],[Jan/2019]:[Mar/2019]])</f>
        <v>17.4306509317991</v>
      </c>
      <c r="U1079" s="29">
        <f>SUM(BaseHoras[[#This Row],[Abr/2019]:[Jun/2019]])</f>
        <v>10.850658636177803</v>
      </c>
      <c r="V1079" s="29">
        <f>SUM(BaseHoras[[#This Row],[Jul/2019]:[Set/2019]])</f>
        <v>20.699504437107109</v>
      </c>
      <c r="W1079" s="29">
        <f>SUM(BaseHoras[[#This Row],[Out/2019]:[Dez/2019]])</f>
        <v>0</v>
      </c>
    </row>
    <row r="1080" spans="1:23">
      <c r="A1080" t="s">
        <v>151</v>
      </c>
      <c r="B1080" t="s">
        <v>168</v>
      </c>
      <c r="C1080" t="s">
        <v>383</v>
      </c>
      <c r="D1080" t="s">
        <v>120</v>
      </c>
      <c r="E1080" t="s">
        <v>320</v>
      </c>
      <c r="F1080">
        <v>0</v>
      </c>
      <c r="G1080">
        <v>178.37648005617388</v>
      </c>
      <c r="H1080">
        <v>0</v>
      </c>
      <c r="I1080">
        <v>0</v>
      </c>
      <c r="J1080">
        <v>0</v>
      </c>
      <c r="K1080">
        <v>0</v>
      </c>
      <c r="L1080">
        <v>0</v>
      </c>
      <c r="M1080" s="28">
        <v>0</v>
      </c>
      <c r="N1080" s="28">
        <v>0</v>
      </c>
      <c r="O1080">
        <v>0</v>
      </c>
      <c r="P1080">
        <v>0</v>
      </c>
      <c r="Q1080">
        <v>0</v>
      </c>
      <c r="R1080">
        <v>0</v>
      </c>
      <c r="S1080" s="28">
        <v>178.37648005617388</v>
      </c>
      <c r="T1080" s="29">
        <f>SUM(BaseHoras[[#This Row],[Jan/2019]:[Mar/2019]])</f>
        <v>178.37648005617388</v>
      </c>
      <c r="U1080" s="29">
        <f>SUM(BaseHoras[[#This Row],[Abr/2019]:[Jun/2019]])</f>
        <v>0</v>
      </c>
      <c r="V1080" s="29">
        <f>SUM(BaseHoras[[#This Row],[Jul/2019]:[Set/2019]])</f>
        <v>0</v>
      </c>
      <c r="W1080" s="29">
        <f>SUM(BaseHoras[[#This Row],[Out/2019]:[Dez/2019]])</f>
        <v>0</v>
      </c>
    </row>
    <row r="1081" spans="1:23">
      <c r="A1081" t="s">
        <v>151</v>
      </c>
      <c r="B1081" t="s">
        <v>168</v>
      </c>
      <c r="C1081" t="s">
        <v>383</v>
      </c>
      <c r="D1081" t="s">
        <v>121</v>
      </c>
      <c r="E1081" t="s">
        <v>320</v>
      </c>
      <c r="F1081">
        <v>0</v>
      </c>
      <c r="G1081">
        <v>628.28485046742003</v>
      </c>
      <c r="H1081">
        <v>0</v>
      </c>
      <c r="I1081">
        <v>0</v>
      </c>
      <c r="J1081">
        <v>0</v>
      </c>
      <c r="K1081">
        <v>0</v>
      </c>
      <c r="L1081">
        <v>0</v>
      </c>
      <c r="M1081" s="28">
        <v>0</v>
      </c>
      <c r="N1081" s="28">
        <v>0</v>
      </c>
      <c r="O1081">
        <v>0</v>
      </c>
      <c r="P1081">
        <v>0</v>
      </c>
      <c r="Q1081">
        <v>0</v>
      </c>
      <c r="R1081">
        <v>0</v>
      </c>
      <c r="S1081" s="28">
        <v>628.28485046742003</v>
      </c>
      <c r="T1081" s="29">
        <f>SUM(BaseHoras[[#This Row],[Jan/2019]:[Mar/2019]])</f>
        <v>628.28485046742003</v>
      </c>
      <c r="U1081" s="29">
        <f>SUM(BaseHoras[[#This Row],[Abr/2019]:[Jun/2019]])</f>
        <v>0</v>
      </c>
      <c r="V1081" s="29">
        <f>SUM(BaseHoras[[#This Row],[Jul/2019]:[Set/2019]])</f>
        <v>0</v>
      </c>
      <c r="W1081" s="29">
        <f>SUM(BaseHoras[[#This Row],[Out/2019]:[Dez/2019]])</f>
        <v>0</v>
      </c>
    </row>
    <row r="1082" spans="1:23">
      <c r="A1082" t="s">
        <v>151</v>
      </c>
      <c r="B1082" t="s">
        <v>168</v>
      </c>
      <c r="C1082" t="s">
        <v>383</v>
      </c>
      <c r="D1082" t="s">
        <v>122</v>
      </c>
      <c r="E1082" t="s">
        <v>320</v>
      </c>
      <c r="F1082">
        <v>0</v>
      </c>
      <c r="G1082">
        <v>198.61677024896764</v>
      </c>
      <c r="H1082">
        <v>0</v>
      </c>
      <c r="I1082">
        <v>0</v>
      </c>
      <c r="J1082">
        <v>0</v>
      </c>
      <c r="K1082">
        <v>0</v>
      </c>
      <c r="L1082">
        <v>0</v>
      </c>
      <c r="M1082" s="28">
        <v>0</v>
      </c>
      <c r="N1082" s="28">
        <v>0</v>
      </c>
      <c r="O1082">
        <v>0</v>
      </c>
      <c r="P1082">
        <v>0</v>
      </c>
      <c r="Q1082">
        <v>0</v>
      </c>
      <c r="R1082">
        <v>0</v>
      </c>
      <c r="S1082" s="28">
        <v>198.61677024896764</v>
      </c>
      <c r="T1082" s="29">
        <f>SUM(BaseHoras[[#This Row],[Jan/2019]:[Mar/2019]])</f>
        <v>198.61677024896764</v>
      </c>
      <c r="U1082" s="29">
        <f>SUM(BaseHoras[[#This Row],[Abr/2019]:[Jun/2019]])</f>
        <v>0</v>
      </c>
      <c r="V1082" s="29">
        <f>SUM(BaseHoras[[#This Row],[Jul/2019]:[Set/2019]])</f>
        <v>0</v>
      </c>
      <c r="W1082" s="29">
        <f>SUM(BaseHoras[[#This Row],[Out/2019]:[Dez/2019]])</f>
        <v>0</v>
      </c>
    </row>
    <row r="1083" spans="1:23">
      <c r="A1083" t="s">
        <v>151</v>
      </c>
      <c r="B1083" t="s">
        <v>168</v>
      </c>
      <c r="C1083" t="s">
        <v>383</v>
      </c>
      <c r="D1083" t="s">
        <v>125</v>
      </c>
      <c r="E1083" t="s">
        <v>320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s="28">
        <v>0</v>
      </c>
      <c r="N1083" s="28">
        <v>7.6247014724318012</v>
      </c>
      <c r="O1083">
        <v>0</v>
      </c>
      <c r="P1083">
        <v>0</v>
      </c>
      <c r="Q1083">
        <v>0</v>
      </c>
      <c r="R1083">
        <v>0</v>
      </c>
      <c r="S1083" s="28">
        <v>7.6247014724318012</v>
      </c>
      <c r="T1083" s="29">
        <f>SUM(BaseHoras[[#This Row],[Jan/2019]:[Mar/2019]])</f>
        <v>0</v>
      </c>
      <c r="U1083" s="29">
        <f>SUM(BaseHoras[[#This Row],[Abr/2019]:[Jun/2019]])</f>
        <v>0</v>
      </c>
      <c r="V1083" s="29">
        <f>SUM(BaseHoras[[#This Row],[Jul/2019]:[Set/2019]])</f>
        <v>7.6247014724318012</v>
      </c>
      <c r="W1083" s="29">
        <f>SUM(BaseHoras[[#This Row],[Out/2019]:[Dez/2019]])</f>
        <v>0</v>
      </c>
    </row>
    <row r="1084" spans="1:23">
      <c r="A1084" t="s">
        <v>151</v>
      </c>
      <c r="B1084" t="s">
        <v>168</v>
      </c>
      <c r="C1084" t="s">
        <v>383</v>
      </c>
      <c r="D1084" t="s">
        <v>128</v>
      </c>
      <c r="E1084" t="s">
        <v>320</v>
      </c>
      <c r="F1084">
        <v>0</v>
      </c>
      <c r="G1084">
        <v>0</v>
      </c>
      <c r="H1084">
        <v>0</v>
      </c>
      <c r="I1084">
        <v>0</v>
      </c>
      <c r="J1084">
        <v>23.221234272600523</v>
      </c>
      <c r="K1084">
        <v>12.256967216624489</v>
      </c>
      <c r="L1084">
        <v>0</v>
      </c>
      <c r="M1084" s="28">
        <v>0</v>
      </c>
      <c r="N1084" s="28">
        <v>0</v>
      </c>
      <c r="O1084">
        <v>0</v>
      </c>
      <c r="P1084">
        <v>0</v>
      </c>
      <c r="Q1084">
        <v>0</v>
      </c>
      <c r="R1084">
        <v>0</v>
      </c>
      <c r="S1084" s="28">
        <v>35.478201489225015</v>
      </c>
      <c r="T1084" s="29">
        <f>SUM(BaseHoras[[#This Row],[Jan/2019]:[Mar/2019]])</f>
        <v>0</v>
      </c>
      <c r="U1084" s="29">
        <f>SUM(BaseHoras[[#This Row],[Abr/2019]:[Jun/2019]])</f>
        <v>35.478201489225015</v>
      </c>
      <c r="V1084" s="29">
        <f>SUM(BaseHoras[[#This Row],[Jul/2019]:[Set/2019]])</f>
        <v>0</v>
      </c>
      <c r="W1084" s="29">
        <f>SUM(BaseHoras[[#This Row],[Out/2019]:[Dez/2019]])</f>
        <v>0</v>
      </c>
    </row>
    <row r="1085" spans="1:23">
      <c r="A1085" t="s">
        <v>151</v>
      </c>
      <c r="B1085" t="s">
        <v>168</v>
      </c>
      <c r="C1085" t="s">
        <v>383</v>
      </c>
      <c r="D1085" t="s">
        <v>129</v>
      </c>
      <c r="E1085" t="s">
        <v>320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s="28">
        <v>127.33394487903644</v>
      </c>
      <c r="N1085" s="28">
        <v>93.641962083366721</v>
      </c>
      <c r="O1085">
        <v>18.207708361314964</v>
      </c>
      <c r="P1085">
        <v>0</v>
      </c>
      <c r="Q1085">
        <v>0</v>
      </c>
      <c r="R1085">
        <v>0</v>
      </c>
      <c r="S1085" s="28">
        <v>239.1836153237181</v>
      </c>
      <c r="T1085" s="29">
        <f>SUM(BaseHoras[[#This Row],[Jan/2019]:[Mar/2019]])</f>
        <v>0</v>
      </c>
      <c r="U1085" s="29">
        <f>SUM(BaseHoras[[#This Row],[Abr/2019]:[Jun/2019]])</f>
        <v>0</v>
      </c>
      <c r="V1085" s="29">
        <f>SUM(BaseHoras[[#This Row],[Jul/2019]:[Set/2019]])</f>
        <v>220.97590696240314</v>
      </c>
      <c r="W1085" s="29">
        <f>SUM(BaseHoras[[#This Row],[Out/2019]:[Dez/2019]])</f>
        <v>18.207708361314964</v>
      </c>
    </row>
    <row r="1086" spans="1:23">
      <c r="A1086" t="s">
        <v>151</v>
      </c>
      <c r="B1086" t="s">
        <v>168</v>
      </c>
      <c r="C1086" t="s">
        <v>383</v>
      </c>
      <c r="D1086" t="s">
        <v>144</v>
      </c>
      <c r="E1086" t="s">
        <v>320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s="28">
        <v>71.326967646905288</v>
      </c>
      <c r="N1086" s="28">
        <v>4.7967379997760924</v>
      </c>
      <c r="O1086">
        <v>0</v>
      </c>
      <c r="P1086">
        <v>0</v>
      </c>
      <c r="Q1086">
        <v>0</v>
      </c>
      <c r="R1086">
        <v>0</v>
      </c>
      <c r="S1086" s="28">
        <v>76.123705646681387</v>
      </c>
      <c r="T1086" s="29">
        <f>SUM(BaseHoras[[#This Row],[Jan/2019]:[Mar/2019]])</f>
        <v>0</v>
      </c>
      <c r="U1086" s="29">
        <f>SUM(BaseHoras[[#This Row],[Abr/2019]:[Jun/2019]])</f>
        <v>0</v>
      </c>
      <c r="V1086" s="29">
        <f>SUM(BaseHoras[[#This Row],[Jul/2019]:[Set/2019]])</f>
        <v>76.123705646681387</v>
      </c>
      <c r="W1086" s="29">
        <f>SUM(BaseHoras[[#This Row],[Out/2019]:[Dez/2019]])</f>
        <v>0</v>
      </c>
    </row>
    <row r="1087" spans="1:23">
      <c r="A1087" t="s">
        <v>151</v>
      </c>
      <c r="B1087" t="s">
        <v>168</v>
      </c>
      <c r="C1087" t="s">
        <v>383</v>
      </c>
      <c r="D1087" t="s">
        <v>146</v>
      </c>
      <c r="E1087" t="s">
        <v>320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12.284200163830356</v>
      </c>
      <c r="L1087">
        <v>0</v>
      </c>
      <c r="M1087" s="28">
        <v>0</v>
      </c>
      <c r="N1087" s="28">
        <v>0</v>
      </c>
      <c r="O1087">
        <v>0</v>
      </c>
      <c r="P1087">
        <v>0</v>
      </c>
      <c r="Q1087">
        <v>0</v>
      </c>
      <c r="R1087">
        <v>0</v>
      </c>
      <c r="S1087" s="28">
        <v>12.284200163830356</v>
      </c>
      <c r="T1087" s="29">
        <f>SUM(BaseHoras[[#This Row],[Jan/2019]:[Mar/2019]])</f>
        <v>0</v>
      </c>
      <c r="U1087" s="29">
        <f>SUM(BaseHoras[[#This Row],[Abr/2019]:[Jun/2019]])</f>
        <v>12.284200163830356</v>
      </c>
      <c r="V1087" s="29">
        <f>SUM(BaseHoras[[#This Row],[Jul/2019]:[Set/2019]])</f>
        <v>0</v>
      </c>
      <c r="W1087" s="29">
        <f>SUM(BaseHoras[[#This Row],[Out/2019]:[Dez/2019]])</f>
        <v>0</v>
      </c>
    </row>
    <row r="1088" spans="1:23">
      <c r="A1088" t="s">
        <v>151</v>
      </c>
      <c r="B1088" t="s">
        <v>168</v>
      </c>
      <c r="C1088" t="s">
        <v>384</v>
      </c>
      <c r="D1088" t="s">
        <v>25</v>
      </c>
      <c r="E1088" t="s">
        <v>320</v>
      </c>
      <c r="F1088">
        <v>0</v>
      </c>
      <c r="G1088">
        <v>0</v>
      </c>
      <c r="H1088">
        <v>0</v>
      </c>
      <c r="I1088" t="s">
        <v>395</v>
      </c>
      <c r="J1088">
        <v>0</v>
      </c>
      <c r="K1088">
        <v>19.363116851766904</v>
      </c>
      <c r="L1088" t="s">
        <v>395</v>
      </c>
      <c r="M1088" s="28">
        <v>0</v>
      </c>
      <c r="N1088" s="28">
        <v>0</v>
      </c>
      <c r="O1088">
        <v>0</v>
      </c>
      <c r="P1088">
        <v>0</v>
      </c>
      <c r="Q1088">
        <v>0</v>
      </c>
      <c r="R1088">
        <v>0</v>
      </c>
      <c r="S1088" s="28">
        <v>19.363116851766904</v>
      </c>
      <c r="T1088" s="29">
        <f>SUM(BaseHoras[[#This Row],[Jan/2019]:[Mar/2019]])</f>
        <v>0</v>
      </c>
      <c r="U1088" s="29">
        <f>SUM(BaseHoras[[#This Row],[Abr/2019]:[Jun/2019]])</f>
        <v>19.363116851766904</v>
      </c>
      <c r="V1088" s="29">
        <f>SUM(BaseHoras[[#This Row],[Jul/2019]:[Set/2019]])</f>
        <v>0</v>
      </c>
      <c r="W1088" s="29">
        <f>SUM(BaseHoras[[#This Row],[Out/2019]:[Dez/2019]])</f>
        <v>0</v>
      </c>
    </row>
    <row r="1089" spans="1:23">
      <c r="A1089" t="s">
        <v>151</v>
      </c>
      <c r="B1089" t="s">
        <v>168</v>
      </c>
      <c r="C1089" t="s">
        <v>384</v>
      </c>
      <c r="D1089" t="s">
        <v>29</v>
      </c>
      <c r="E1089" t="s">
        <v>320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31.985833067062103</v>
      </c>
      <c r="L1089">
        <v>46.326811108881024</v>
      </c>
      <c r="M1089" s="28">
        <v>89.962949967260769</v>
      </c>
      <c r="N1089" s="28">
        <v>0</v>
      </c>
      <c r="O1089">
        <v>0</v>
      </c>
      <c r="P1089">
        <v>0</v>
      </c>
      <c r="Q1089">
        <v>0</v>
      </c>
      <c r="R1089">
        <v>0</v>
      </c>
      <c r="S1089" s="28">
        <v>168.27559414320388</v>
      </c>
      <c r="T1089" s="29">
        <f>SUM(BaseHoras[[#This Row],[Jan/2019]:[Mar/2019]])</f>
        <v>0</v>
      </c>
      <c r="U1089" s="29">
        <f>SUM(BaseHoras[[#This Row],[Abr/2019]:[Jun/2019]])</f>
        <v>31.985833067062103</v>
      </c>
      <c r="V1089" s="29">
        <f>SUM(BaseHoras[[#This Row],[Jul/2019]:[Set/2019]])</f>
        <v>136.28976107614179</v>
      </c>
      <c r="W1089" s="29">
        <f>SUM(BaseHoras[[#This Row],[Out/2019]:[Dez/2019]])</f>
        <v>0</v>
      </c>
    </row>
    <row r="1090" spans="1:23">
      <c r="A1090" t="s">
        <v>151</v>
      </c>
      <c r="B1090" t="s">
        <v>168</v>
      </c>
      <c r="C1090" t="s">
        <v>384</v>
      </c>
      <c r="D1090" t="s">
        <v>34</v>
      </c>
      <c r="E1090" t="s">
        <v>320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s="28">
        <v>3866.9835991058399</v>
      </c>
      <c r="N1090" s="28">
        <v>1932.5225917319947</v>
      </c>
      <c r="O1090">
        <v>30.96301831372498</v>
      </c>
      <c r="P1090">
        <v>0</v>
      </c>
      <c r="Q1090">
        <v>0</v>
      </c>
      <c r="R1090">
        <v>0</v>
      </c>
      <c r="S1090" s="28">
        <v>5830.4692091515599</v>
      </c>
      <c r="T1090" s="29">
        <f>SUM(BaseHoras[[#This Row],[Jan/2019]:[Mar/2019]])</f>
        <v>0</v>
      </c>
      <c r="U1090" s="29">
        <f>SUM(BaseHoras[[#This Row],[Abr/2019]:[Jun/2019]])</f>
        <v>0</v>
      </c>
      <c r="V1090" s="29">
        <f>SUM(BaseHoras[[#This Row],[Jul/2019]:[Set/2019]])</f>
        <v>5799.5061908378348</v>
      </c>
      <c r="W1090" s="29">
        <f>SUM(BaseHoras[[#This Row],[Out/2019]:[Dez/2019]])</f>
        <v>30.96301831372498</v>
      </c>
    </row>
    <row r="1091" spans="1:23">
      <c r="A1091" t="s">
        <v>151</v>
      </c>
      <c r="B1091" t="s">
        <v>168</v>
      </c>
      <c r="C1091" t="s">
        <v>384</v>
      </c>
      <c r="D1091" t="s">
        <v>36</v>
      </c>
      <c r="E1091" t="s">
        <v>320</v>
      </c>
      <c r="F1091">
        <v>0</v>
      </c>
      <c r="G1091">
        <v>0</v>
      </c>
      <c r="H1091">
        <v>0</v>
      </c>
      <c r="I1091">
        <v>0</v>
      </c>
      <c r="J1091">
        <v>1177.5207349868845</v>
      </c>
      <c r="K1091">
        <v>41.095626323220259</v>
      </c>
      <c r="L1091">
        <v>66.808676588121799</v>
      </c>
      <c r="M1091" s="28">
        <v>0</v>
      </c>
      <c r="N1091" s="28">
        <v>0</v>
      </c>
      <c r="O1091">
        <v>0</v>
      </c>
      <c r="P1091">
        <v>0</v>
      </c>
      <c r="Q1091">
        <v>0</v>
      </c>
      <c r="R1091">
        <v>0</v>
      </c>
      <c r="S1091" s="28">
        <v>1285.4250378982267</v>
      </c>
      <c r="T1091" s="29">
        <f>SUM(BaseHoras[[#This Row],[Jan/2019]:[Mar/2019]])</f>
        <v>0</v>
      </c>
      <c r="U1091" s="29">
        <f>SUM(BaseHoras[[#This Row],[Abr/2019]:[Jun/2019]])</f>
        <v>1218.6163613101048</v>
      </c>
      <c r="V1091" s="29">
        <f>SUM(BaseHoras[[#This Row],[Jul/2019]:[Set/2019]])</f>
        <v>66.808676588121799</v>
      </c>
      <c r="W1091" s="29">
        <f>SUM(BaseHoras[[#This Row],[Out/2019]:[Dez/2019]])</f>
        <v>0</v>
      </c>
    </row>
    <row r="1092" spans="1:23">
      <c r="A1092" t="s">
        <v>151</v>
      </c>
      <c r="B1092" t="s">
        <v>168</v>
      </c>
      <c r="C1092" t="s">
        <v>384</v>
      </c>
      <c r="D1092" t="s">
        <v>40</v>
      </c>
      <c r="E1092" t="s">
        <v>320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27.969525947060365</v>
      </c>
      <c r="L1092">
        <v>7.7765296057904623</v>
      </c>
      <c r="M1092" s="28">
        <v>0</v>
      </c>
      <c r="N1092" s="28">
        <v>0</v>
      </c>
      <c r="O1092">
        <v>0</v>
      </c>
      <c r="P1092">
        <v>0</v>
      </c>
      <c r="Q1092">
        <v>0</v>
      </c>
      <c r="R1092">
        <v>0</v>
      </c>
      <c r="S1092" s="28">
        <v>35.746055552850827</v>
      </c>
      <c r="T1092" s="29">
        <f>SUM(BaseHoras[[#This Row],[Jan/2019]:[Mar/2019]])</f>
        <v>0</v>
      </c>
      <c r="U1092" s="29">
        <f>SUM(BaseHoras[[#This Row],[Abr/2019]:[Jun/2019]])</f>
        <v>27.969525947060365</v>
      </c>
      <c r="V1092" s="29">
        <f>SUM(BaseHoras[[#This Row],[Jul/2019]:[Set/2019]])</f>
        <v>7.7765296057904623</v>
      </c>
      <c r="W1092" s="29">
        <f>SUM(BaseHoras[[#This Row],[Out/2019]:[Dez/2019]])</f>
        <v>0</v>
      </c>
    </row>
    <row r="1093" spans="1:23">
      <c r="A1093" t="s">
        <v>151</v>
      </c>
      <c r="B1093" t="s">
        <v>168</v>
      </c>
      <c r="C1093" t="s">
        <v>384</v>
      </c>
      <c r="D1093" t="s">
        <v>42</v>
      </c>
      <c r="E1093" t="s">
        <v>320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1540.7233363370049</v>
      </c>
      <c r="M1093" s="28">
        <v>151.88280700617631</v>
      </c>
      <c r="N1093" s="28">
        <v>31112.419755051498</v>
      </c>
      <c r="O1093">
        <v>0</v>
      </c>
      <c r="P1093">
        <v>0</v>
      </c>
      <c r="Q1093">
        <v>0</v>
      </c>
      <c r="R1093">
        <v>0</v>
      </c>
      <c r="S1093" s="28">
        <v>32805.025898394677</v>
      </c>
      <c r="T1093" s="29">
        <f>SUM(BaseHoras[[#This Row],[Jan/2019]:[Mar/2019]])</f>
        <v>0</v>
      </c>
      <c r="U1093" s="29">
        <f>SUM(BaseHoras[[#This Row],[Abr/2019]:[Jun/2019]])</f>
        <v>0</v>
      </c>
      <c r="V1093" s="29">
        <f>SUM(BaseHoras[[#This Row],[Jul/2019]:[Set/2019]])</f>
        <v>32805.025898394677</v>
      </c>
      <c r="W1093" s="29">
        <f>SUM(BaseHoras[[#This Row],[Out/2019]:[Dez/2019]])</f>
        <v>0</v>
      </c>
    </row>
    <row r="1094" spans="1:23">
      <c r="A1094" t="s">
        <v>151</v>
      </c>
      <c r="B1094" t="s">
        <v>168</v>
      </c>
      <c r="C1094" t="s">
        <v>384</v>
      </c>
      <c r="D1094" t="s">
        <v>49</v>
      </c>
      <c r="E1094" t="s">
        <v>320</v>
      </c>
      <c r="F1094">
        <v>0</v>
      </c>
      <c r="G1094">
        <v>0</v>
      </c>
      <c r="H1094">
        <v>0</v>
      </c>
      <c r="I1094">
        <v>0</v>
      </c>
      <c r="J1094">
        <v>3876.1971193546597</v>
      </c>
      <c r="K1094">
        <v>39.540231211757863</v>
      </c>
      <c r="L1094">
        <v>137.13226420905909</v>
      </c>
      <c r="M1094" s="28">
        <v>251.11860815518844</v>
      </c>
      <c r="N1094" s="28">
        <v>21603.553601643172</v>
      </c>
      <c r="O1094">
        <v>0</v>
      </c>
      <c r="P1094">
        <v>0</v>
      </c>
      <c r="Q1094">
        <v>0</v>
      </c>
      <c r="R1094">
        <v>0</v>
      </c>
      <c r="S1094" s="28">
        <v>25907.541824573836</v>
      </c>
      <c r="T1094" s="29">
        <f>SUM(BaseHoras[[#This Row],[Jan/2019]:[Mar/2019]])</f>
        <v>0</v>
      </c>
      <c r="U1094" s="29">
        <f>SUM(BaseHoras[[#This Row],[Abr/2019]:[Jun/2019]])</f>
        <v>3915.7373505664177</v>
      </c>
      <c r="V1094" s="29">
        <f>SUM(BaseHoras[[#This Row],[Jul/2019]:[Set/2019]])</f>
        <v>21991.804474007418</v>
      </c>
      <c r="W1094" s="29">
        <f>SUM(BaseHoras[[#This Row],[Out/2019]:[Dez/2019]])</f>
        <v>0</v>
      </c>
    </row>
    <row r="1095" spans="1:23">
      <c r="A1095" t="s">
        <v>151</v>
      </c>
      <c r="B1095" t="s">
        <v>168</v>
      </c>
      <c r="C1095" t="s">
        <v>384</v>
      </c>
      <c r="D1095" t="s">
        <v>52</v>
      </c>
      <c r="E1095" t="s">
        <v>320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1103.6915386893888</v>
      </c>
      <c r="M1095" s="28">
        <v>8.0751930482884298</v>
      </c>
      <c r="N1095" s="28">
        <v>0</v>
      </c>
      <c r="O1095">
        <v>0</v>
      </c>
      <c r="P1095">
        <v>0</v>
      </c>
      <c r="Q1095">
        <v>0</v>
      </c>
      <c r="R1095">
        <v>0</v>
      </c>
      <c r="S1095" s="28">
        <v>1111.7667317376772</v>
      </c>
      <c r="T1095" s="29">
        <f>SUM(BaseHoras[[#This Row],[Jan/2019]:[Mar/2019]])</f>
        <v>0</v>
      </c>
      <c r="U1095" s="29">
        <f>SUM(BaseHoras[[#This Row],[Abr/2019]:[Jun/2019]])</f>
        <v>0</v>
      </c>
      <c r="V1095" s="29">
        <f>SUM(BaseHoras[[#This Row],[Jul/2019]:[Set/2019]])</f>
        <v>1111.7667317376772</v>
      </c>
      <c r="W1095" s="29">
        <f>SUM(BaseHoras[[#This Row],[Out/2019]:[Dez/2019]])</f>
        <v>0</v>
      </c>
    </row>
    <row r="1096" spans="1:23">
      <c r="A1096" t="s">
        <v>151</v>
      </c>
      <c r="B1096" t="s">
        <v>168</v>
      </c>
      <c r="C1096" t="s">
        <v>384</v>
      </c>
      <c r="D1096" t="s">
        <v>55</v>
      </c>
      <c r="E1096" t="s">
        <v>320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18.55634127979954</v>
      </c>
      <c r="L1096">
        <v>0</v>
      </c>
      <c r="M1096" s="28" t="s">
        <v>395</v>
      </c>
      <c r="N1096" s="28">
        <v>0</v>
      </c>
      <c r="O1096">
        <v>34.998842622909983</v>
      </c>
      <c r="P1096">
        <v>0</v>
      </c>
      <c r="Q1096">
        <v>0</v>
      </c>
      <c r="R1096">
        <v>0</v>
      </c>
      <c r="S1096" s="28">
        <v>53.555183902709523</v>
      </c>
      <c r="T1096" s="29">
        <f>SUM(BaseHoras[[#This Row],[Jan/2019]:[Mar/2019]])</f>
        <v>0</v>
      </c>
      <c r="U1096" s="29">
        <f>SUM(BaseHoras[[#This Row],[Abr/2019]:[Jun/2019]])</f>
        <v>18.55634127979954</v>
      </c>
      <c r="V1096" s="29">
        <f>SUM(BaseHoras[[#This Row],[Jul/2019]:[Set/2019]])</f>
        <v>0</v>
      </c>
      <c r="W1096" s="29">
        <f>SUM(BaseHoras[[#This Row],[Out/2019]:[Dez/2019]])</f>
        <v>34.998842622909983</v>
      </c>
    </row>
    <row r="1097" spans="1:23">
      <c r="A1097" t="s">
        <v>151</v>
      </c>
      <c r="B1097" t="s">
        <v>168</v>
      </c>
      <c r="C1097" t="s">
        <v>384</v>
      </c>
      <c r="D1097" t="s">
        <v>60</v>
      </c>
      <c r="E1097" t="s">
        <v>320</v>
      </c>
      <c r="F1097">
        <v>0</v>
      </c>
      <c r="G1097">
        <v>0</v>
      </c>
      <c r="H1097">
        <v>0</v>
      </c>
      <c r="I1097">
        <v>129.26522827080944</v>
      </c>
      <c r="J1097">
        <v>919.49036599599378</v>
      </c>
      <c r="K1097">
        <v>35.610738051523377</v>
      </c>
      <c r="L1097">
        <v>847.8760076788833</v>
      </c>
      <c r="M1097" s="28">
        <v>94.742441285736973</v>
      </c>
      <c r="N1097" s="28">
        <v>0</v>
      </c>
      <c r="O1097">
        <v>0</v>
      </c>
      <c r="P1097">
        <v>0</v>
      </c>
      <c r="Q1097">
        <v>0</v>
      </c>
      <c r="R1097">
        <v>0</v>
      </c>
      <c r="S1097" s="28">
        <v>2026.9847812829469</v>
      </c>
      <c r="T1097" s="29">
        <f>SUM(BaseHoras[[#This Row],[Jan/2019]:[Mar/2019]])</f>
        <v>0</v>
      </c>
      <c r="U1097" s="29">
        <f>SUM(BaseHoras[[#This Row],[Abr/2019]:[Jun/2019]])</f>
        <v>1084.3663323183266</v>
      </c>
      <c r="V1097" s="29">
        <f>SUM(BaseHoras[[#This Row],[Jul/2019]:[Set/2019]])</f>
        <v>942.61844896462026</v>
      </c>
      <c r="W1097" s="29">
        <f>SUM(BaseHoras[[#This Row],[Out/2019]:[Dez/2019]])</f>
        <v>0</v>
      </c>
    </row>
    <row r="1098" spans="1:23">
      <c r="A1098" t="s">
        <v>151</v>
      </c>
      <c r="B1098" t="s">
        <v>168</v>
      </c>
      <c r="C1098" t="s">
        <v>384</v>
      </c>
      <c r="D1098" t="s">
        <v>62</v>
      </c>
      <c r="E1098" t="s">
        <v>320</v>
      </c>
      <c r="F1098">
        <v>0</v>
      </c>
      <c r="G1098">
        <v>0</v>
      </c>
      <c r="H1098">
        <v>0</v>
      </c>
      <c r="I1098">
        <v>0</v>
      </c>
      <c r="J1098">
        <v>6.0203237360887973</v>
      </c>
      <c r="K1098">
        <v>226.66669588069431</v>
      </c>
      <c r="L1098">
        <v>0</v>
      </c>
      <c r="M1098" s="28">
        <v>0</v>
      </c>
      <c r="N1098" s="28">
        <v>0</v>
      </c>
      <c r="O1098">
        <v>0</v>
      </c>
      <c r="P1098">
        <v>0</v>
      </c>
      <c r="Q1098">
        <v>0</v>
      </c>
      <c r="R1098">
        <v>0</v>
      </c>
      <c r="S1098" s="28">
        <v>232.68701961678309</v>
      </c>
      <c r="T1098" s="29">
        <f>SUM(BaseHoras[[#This Row],[Jan/2019]:[Mar/2019]])</f>
        <v>0</v>
      </c>
      <c r="U1098" s="29">
        <f>SUM(BaseHoras[[#This Row],[Abr/2019]:[Jun/2019]])</f>
        <v>232.68701961678309</v>
      </c>
      <c r="V1098" s="29">
        <f>SUM(BaseHoras[[#This Row],[Jul/2019]:[Set/2019]])</f>
        <v>0</v>
      </c>
      <c r="W1098" s="29">
        <f>SUM(BaseHoras[[#This Row],[Out/2019]:[Dez/2019]])</f>
        <v>0</v>
      </c>
    </row>
    <row r="1099" spans="1:23">
      <c r="A1099" t="s">
        <v>151</v>
      </c>
      <c r="B1099" t="s">
        <v>168</v>
      </c>
      <c r="C1099" t="s">
        <v>384</v>
      </c>
      <c r="D1099" t="s">
        <v>81</v>
      </c>
      <c r="E1099" t="s">
        <v>320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56.144268128590056</v>
      </c>
      <c r="L1099">
        <v>0</v>
      </c>
      <c r="M1099" s="28">
        <v>0</v>
      </c>
      <c r="N1099" s="28">
        <v>0</v>
      </c>
      <c r="O1099">
        <v>0</v>
      </c>
      <c r="P1099">
        <v>0</v>
      </c>
      <c r="Q1099">
        <v>0</v>
      </c>
      <c r="R1099">
        <v>0</v>
      </c>
      <c r="S1099" s="28">
        <v>56.144268128590056</v>
      </c>
      <c r="T1099" s="29">
        <f>SUM(BaseHoras[[#This Row],[Jan/2019]:[Mar/2019]])</f>
        <v>0</v>
      </c>
      <c r="U1099" s="29">
        <f>SUM(BaseHoras[[#This Row],[Abr/2019]:[Jun/2019]])</f>
        <v>56.144268128590056</v>
      </c>
      <c r="V1099" s="29">
        <f>SUM(BaseHoras[[#This Row],[Jul/2019]:[Set/2019]])</f>
        <v>0</v>
      </c>
      <c r="W1099" s="29">
        <f>SUM(BaseHoras[[#This Row],[Out/2019]:[Dez/2019]])</f>
        <v>0</v>
      </c>
    </row>
    <row r="1100" spans="1:23">
      <c r="A1100" t="s">
        <v>151</v>
      </c>
      <c r="B1100" t="s">
        <v>168</v>
      </c>
      <c r="C1100" t="s">
        <v>384</v>
      </c>
      <c r="D1100" t="s">
        <v>87</v>
      </c>
      <c r="E1100" t="s">
        <v>320</v>
      </c>
      <c r="F1100">
        <v>0</v>
      </c>
      <c r="G1100">
        <v>0</v>
      </c>
      <c r="H1100">
        <v>0</v>
      </c>
      <c r="I1100">
        <v>22.850430445102738</v>
      </c>
      <c r="J1100">
        <v>1513.2210049587411</v>
      </c>
      <c r="K1100">
        <v>0</v>
      </c>
      <c r="L1100">
        <v>0</v>
      </c>
      <c r="M1100" s="28">
        <v>0</v>
      </c>
      <c r="N1100" s="28">
        <v>0</v>
      </c>
      <c r="O1100">
        <v>0</v>
      </c>
      <c r="P1100">
        <v>0</v>
      </c>
      <c r="Q1100">
        <v>0</v>
      </c>
      <c r="R1100">
        <v>0</v>
      </c>
      <c r="S1100" s="28">
        <v>1536.0714354038439</v>
      </c>
      <c r="T1100" s="29">
        <f>SUM(BaseHoras[[#This Row],[Jan/2019]:[Mar/2019]])</f>
        <v>0</v>
      </c>
      <c r="U1100" s="29">
        <f>SUM(BaseHoras[[#This Row],[Abr/2019]:[Jun/2019]])</f>
        <v>1536.0714354038439</v>
      </c>
      <c r="V1100" s="29">
        <f>SUM(BaseHoras[[#This Row],[Jul/2019]:[Set/2019]])</f>
        <v>0</v>
      </c>
      <c r="W1100" s="29">
        <f>SUM(BaseHoras[[#This Row],[Out/2019]:[Dez/2019]])</f>
        <v>0</v>
      </c>
    </row>
    <row r="1101" spans="1:23">
      <c r="A1101" t="s">
        <v>151</v>
      </c>
      <c r="B1101" t="s">
        <v>168</v>
      </c>
      <c r="C1101" t="s">
        <v>384</v>
      </c>
      <c r="D1101" t="s">
        <v>95</v>
      </c>
      <c r="E1101" t="s">
        <v>320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s="28">
        <v>0</v>
      </c>
      <c r="N1101" s="28">
        <v>10.251418383156791</v>
      </c>
      <c r="O1101">
        <v>0</v>
      </c>
      <c r="P1101">
        <v>0</v>
      </c>
      <c r="Q1101">
        <v>0</v>
      </c>
      <c r="R1101">
        <v>0</v>
      </c>
      <c r="S1101" s="28">
        <v>10.251418383156791</v>
      </c>
      <c r="T1101" s="29">
        <f>SUM(BaseHoras[[#This Row],[Jan/2019]:[Mar/2019]])</f>
        <v>0</v>
      </c>
      <c r="U1101" s="29">
        <f>SUM(BaseHoras[[#This Row],[Abr/2019]:[Jun/2019]])</f>
        <v>0</v>
      </c>
      <c r="V1101" s="29">
        <f>SUM(BaseHoras[[#This Row],[Jul/2019]:[Set/2019]])</f>
        <v>10.251418383156791</v>
      </c>
      <c r="W1101" s="29">
        <f>SUM(BaseHoras[[#This Row],[Out/2019]:[Dez/2019]])</f>
        <v>0</v>
      </c>
    </row>
    <row r="1102" spans="1:23">
      <c r="A1102" t="s">
        <v>151</v>
      </c>
      <c r="B1102" t="s">
        <v>168</v>
      </c>
      <c r="C1102" t="s">
        <v>384</v>
      </c>
      <c r="D1102" t="s">
        <v>98</v>
      </c>
      <c r="E1102" t="s">
        <v>320</v>
      </c>
      <c r="F1102">
        <v>0</v>
      </c>
      <c r="G1102">
        <v>0</v>
      </c>
      <c r="H1102">
        <v>0</v>
      </c>
      <c r="I1102">
        <v>3.8125770725610635</v>
      </c>
      <c r="J1102">
        <v>0</v>
      </c>
      <c r="K1102">
        <v>0</v>
      </c>
      <c r="L1102">
        <v>0</v>
      </c>
      <c r="M1102" s="28">
        <v>0</v>
      </c>
      <c r="N1102" s="28">
        <v>0</v>
      </c>
      <c r="O1102">
        <v>0</v>
      </c>
      <c r="P1102">
        <v>0</v>
      </c>
      <c r="Q1102">
        <v>0</v>
      </c>
      <c r="R1102">
        <v>0</v>
      </c>
      <c r="S1102" s="28">
        <v>3.8125770725610635</v>
      </c>
      <c r="T1102" s="29">
        <f>SUM(BaseHoras[[#This Row],[Jan/2019]:[Mar/2019]])</f>
        <v>0</v>
      </c>
      <c r="U1102" s="29">
        <f>SUM(BaseHoras[[#This Row],[Abr/2019]:[Jun/2019]])</f>
        <v>3.8125770725610635</v>
      </c>
      <c r="V1102" s="29">
        <f>SUM(BaseHoras[[#This Row],[Jul/2019]:[Set/2019]])</f>
        <v>0</v>
      </c>
      <c r="W1102" s="29">
        <f>SUM(BaseHoras[[#This Row],[Out/2019]:[Dez/2019]])</f>
        <v>0</v>
      </c>
    </row>
    <row r="1103" spans="1:23">
      <c r="A1103" t="s">
        <v>151</v>
      </c>
      <c r="B1103" t="s">
        <v>168</v>
      </c>
      <c r="C1103" t="s">
        <v>384</v>
      </c>
      <c r="D1103" t="s">
        <v>107</v>
      </c>
      <c r="E1103" t="s">
        <v>320</v>
      </c>
      <c r="F1103">
        <v>0</v>
      </c>
      <c r="G1103">
        <v>0</v>
      </c>
      <c r="H1103">
        <v>0</v>
      </c>
      <c r="I1103">
        <v>0</v>
      </c>
      <c r="J1103">
        <v>93.559011690257307</v>
      </c>
      <c r="K1103">
        <v>71.899953344806164</v>
      </c>
      <c r="L1103">
        <v>0</v>
      </c>
      <c r="M1103" s="28">
        <v>0</v>
      </c>
      <c r="N1103" s="28">
        <v>0</v>
      </c>
      <c r="O1103">
        <v>0</v>
      </c>
      <c r="P1103">
        <v>0</v>
      </c>
      <c r="Q1103">
        <v>0</v>
      </c>
      <c r="R1103">
        <v>0</v>
      </c>
      <c r="S1103" s="28">
        <v>165.45896503506347</v>
      </c>
      <c r="T1103" s="29">
        <f>SUM(BaseHoras[[#This Row],[Jan/2019]:[Mar/2019]])</f>
        <v>0</v>
      </c>
      <c r="U1103" s="29">
        <f>SUM(BaseHoras[[#This Row],[Abr/2019]:[Jun/2019]])</f>
        <v>165.45896503506347</v>
      </c>
      <c r="V1103" s="29">
        <f>SUM(BaseHoras[[#This Row],[Jul/2019]:[Set/2019]])</f>
        <v>0</v>
      </c>
      <c r="W1103" s="29">
        <f>SUM(BaseHoras[[#This Row],[Out/2019]:[Dez/2019]])</f>
        <v>0</v>
      </c>
    </row>
    <row r="1104" spans="1:23">
      <c r="A1104" t="s">
        <v>151</v>
      </c>
      <c r="B1104" t="s">
        <v>168</v>
      </c>
      <c r="C1104" t="s">
        <v>384</v>
      </c>
      <c r="D1104" t="s">
        <v>112</v>
      </c>
      <c r="E1104" t="s">
        <v>320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27.287011845020299</v>
      </c>
      <c r="L1104">
        <v>662.86708902360931</v>
      </c>
      <c r="M1104" s="28">
        <v>0</v>
      </c>
      <c r="N1104" s="28">
        <v>0</v>
      </c>
      <c r="O1104">
        <v>0</v>
      </c>
      <c r="P1104">
        <v>0</v>
      </c>
      <c r="Q1104">
        <v>0</v>
      </c>
      <c r="R1104">
        <v>0</v>
      </c>
      <c r="S1104" s="28">
        <v>690.1541008686296</v>
      </c>
      <c r="T1104" s="29">
        <f>SUM(BaseHoras[[#This Row],[Jan/2019]:[Mar/2019]])</f>
        <v>0</v>
      </c>
      <c r="U1104" s="29">
        <f>SUM(BaseHoras[[#This Row],[Abr/2019]:[Jun/2019]])</f>
        <v>27.287011845020299</v>
      </c>
      <c r="V1104" s="29">
        <f>SUM(BaseHoras[[#This Row],[Jul/2019]:[Set/2019]])</f>
        <v>662.86708902360931</v>
      </c>
      <c r="W1104" s="29">
        <f>SUM(BaseHoras[[#This Row],[Out/2019]:[Dez/2019]])</f>
        <v>0</v>
      </c>
    </row>
    <row r="1105" spans="1:23">
      <c r="A1105" t="s">
        <v>151</v>
      </c>
      <c r="B1105" t="s">
        <v>168</v>
      </c>
      <c r="C1105" t="s">
        <v>384</v>
      </c>
      <c r="D1105" t="s">
        <v>118</v>
      </c>
      <c r="E1105" t="s">
        <v>320</v>
      </c>
      <c r="F1105">
        <v>0</v>
      </c>
      <c r="G1105">
        <v>0</v>
      </c>
      <c r="H1105">
        <v>0</v>
      </c>
      <c r="I1105">
        <v>0</v>
      </c>
      <c r="J1105">
        <v>814.6243526852619</v>
      </c>
      <c r="K1105">
        <v>38.439709416041573</v>
      </c>
      <c r="L1105">
        <v>94.213140227256105</v>
      </c>
      <c r="M1105" s="28">
        <v>5308.0255873397728</v>
      </c>
      <c r="N1105" s="28">
        <v>0</v>
      </c>
      <c r="O1105">
        <v>0</v>
      </c>
      <c r="P1105">
        <v>0</v>
      </c>
      <c r="Q1105">
        <v>0</v>
      </c>
      <c r="R1105">
        <v>0</v>
      </c>
      <c r="S1105" s="28">
        <v>6255.3027896683325</v>
      </c>
      <c r="T1105" s="29">
        <f>SUM(BaseHoras[[#This Row],[Jan/2019]:[Mar/2019]])</f>
        <v>0</v>
      </c>
      <c r="U1105" s="29">
        <f>SUM(BaseHoras[[#This Row],[Abr/2019]:[Jun/2019]])</f>
        <v>853.06406210130342</v>
      </c>
      <c r="V1105" s="29">
        <f>SUM(BaseHoras[[#This Row],[Jul/2019]:[Set/2019]])</f>
        <v>5402.2387275670289</v>
      </c>
      <c r="W1105" s="29">
        <f>SUM(BaseHoras[[#This Row],[Out/2019]:[Dez/2019]])</f>
        <v>0</v>
      </c>
    </row>
    <row r="1106" spans="1:23">
      <c r="A1106" t="s">
        <v>151</v>
      </c>
      <c r="B1106" t="s">
        <v>168</v>
      </c>
      <c r="C1106" t="s">
        <v>384</v>
      </c>
      <c r="D1106" t="s">
        <v>120</v>
      </c>
      <c r="E1106" t="s">
        <v>320</v>
      </c>
      <c r="F1106">
        <v>0</v>
      </c>
      <c r="G1106">
        <v>0</v>
      </c>
      <c r="H1106">
        <v>0</v>
      </c>
      <c r="I1106">
        <v>0</v>
      </c>
      <c r="J1106">
        <v>300.36717087458993</v>
      </c>
      <c r="K1106">
        <v>3787.7464191422791</v>
      </c>
      <c r="L1106">
        <v>0</v>
      </c>
      <c r="M1106" s="28">
        <v>0</v>
      </c>
      <c r="N1106" s="28">
        <v>0</v>
      </c>
      <c r="O1106">
        <v>0</v>
      </c>
      <c r="P1106">
        <v>0</v>
      </c>
      <c r="Q1106">
        <v>0</v>
      </c>
      <c r="R1106">
        <v>0</v>
      </c>
      <c r="S1106" s="28">
        <v>4088.1135900168692</v>
      </c>
      <c r="T1106" s="29">
        <f>SUM(BaseHoras[[#This Row],[Jan/2019]:[Mar/2019]])</f>
        <v>0</v>
      </c>
      <c r="U1106" s="29">
        <f>SUM(BaseHoras[[#This Row],[Abr/2019]:[Jun/2019]])</f>
        <v>4088.1135900168692</v>
      </c>
      <c r="V1106" s="29">
        <f>SUM(BaseHoras[[#This Row],[Jul/2019]:[Set/2019]])</f>
        <v>0</v>
      </c>
      <c r="W1106" s="29">
        <f>SUM(BaseHoras[[#This Row],[Out/2019]:[Dez/2019]])</f>
        <v>0</v>
      </c>
    </row>
    <row r="1107" spans="1:23">
      <c r="A1107" t="s">
        <v>151</v>
      </c>
      <c r="B1107" t="s">
        <v>168</v>
      </c>
      <c r="C1107" t="s">
        <v>384</v>
      </c>
      <c r="D1107" t="s">
        <v>121</v>
      </c>
      <c r="E1107" t="s">
        <v>320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1122.3556664483112</v>
      </c>
      <c r="L1107">
        <v>0</v>
      </c>
      <c r="M1107" s="28">
        <v>0</v>
      </c>
      <c r="N1107" s="28">
        <v>0</v>
      </c>
      <c r="O1107">
        <v>0</v>
      </c>
      <c r="P1107">
        <v>0</v>
      </c>
      <c r="Q1107">
        <v>0</v>
      </c>
      <c r="R1107">
        <v>0</v>
      </c>
      <c r="S1107" s="28">
        <v>1122.3556664483112</v>
      </c>
      <c r="T1107" s="29">
        <f>SUM(BaseHoras[[#This Row],[Jan/2019]:[Mar/2019]])</f>
        <v>0</v>
      </c>
      <c r="U1107" s="29">
        <f>SUM(BaseHoras[[#This Row],[Abr/2019]:[Jun/2019]])</f>
        <v>1122.3556664483112</v>
      </c>
      <c r="V1107" s="29">
        <f>SUM(BaseHoras[[#This Row],[Jul/2019]:[Set/2019]])</f>
        <v>0</v>
      </c>
      <c r="W1107" s="29">
        <f>SUM(BaseHoras[[#This Row],[Out/2019]:[Dez/2019]])</f>
        <v>0</v>
      </c>
    </row>
    <row r="1108" spans="1:23">
      <c r="A1108" t="s">
        <v>151</v>
      </c>
      <c r="B1108" t="s">
        <v>168</v>
      </c>
      <c r="C1108" t="s">
        <v>384</v>
      </c>
      <c r="D1108" t="s">
        <v>122</v>
      </c>
      <c r="E1108" t="s">
        <v>320</v>
      </c>
      <c r="F1108">
        <v>0</v>
      </c>
      <c r="G1108">
        <v>0</v>
      </c>
      <c r="H1108">
        <v>0</v>
      </c>
      <c r="I1108">
        <v>11.082615875515652</v>
      </c>
      <c r="J1108">
        <v>996.00237453977672</v>
      </c>
      <c r="K1108">
        <v>14.830836228543399</v>
      </c>
      <c r="L1108">
        <v>140.99386894139698</v>
      </c>
      <c r="M1108" s="28">
        <v>0</v>
      </c>
      <c r="N1108" s="28">
        <v>0</v>
      </c>
      <c r="O1108">
        <v>0</v>
      </c>
      <c r="P1108">
        <v>0</v>
      </c>
      <c r="Q1108">
        <v>0</v>
      </c>
      <c r="R1108">
        <v>0</v>
      </c>
      <c r="S1108" s="28">
        <v>1162.9096955852328</v>
      </c>
      <c r="T1108" s="29">
        <f>SUM(BaseHoras[[#This Row],[Jan/2019]:[Mar/2019]])</f>
        <v>0</v>
      </c>
      <c r="U1108" s="29">
        <f>SUM(BaseHoras[[#This Row],[Abr/2019]:[Jun/2019]])</f>
        <v>1021.9158266438358</v>
      </c>
      <c r="V1108" s="29">
        <f>SUM(BaseHoras[[#This Row],[Jul/2019]:[Set/2019]])</f>
        <v>140.99386894139698</v>
      </c>
      <c r="W1108" s="29">
        <f>SUM(BaseHoras[[#This Row],[Out/2019]:[Dez/2019]])</f>
        <v>0</v>
      </c>
    </row>
    <row r="1109" spans="1:23">
      <c r="A1109" t="s">
        <v>151</v>
      </c>
      <c r="B1109" t="s">
        <v>168</v>
      </c>
      <c r="C1109" t="s">
        <v>384</v>
      </c>
      <c r="D1109" t="s">
        <v>128</v>
      </c>
      <c r="E1109" t="s">
        <v>320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85.421121841170546</v>
      </c>
      <c r="L1109">
        <v>40.810680737401491</v>
      </c>
      <c r="M1109" s="28">
        <v>0</v>
      </c>
      <c r="N1109" s="28">
        <v>0</v>
      </c>
      <c r="O1109">
        <v>0</v>
      </c>
      <c r="P1109">
        <v>0</v>
      </c>
      <c r="Q1109">
        <v>0</v>
      </c>
      <c r="R1109">
        <v>0</v>
      </c>
      <c r="S1109" s="28">
        <v>126.23180257857203</v>
      </c>
      <c r="T1109" s="29">
        <f>SUM(BaseHoras[[#This Row],[Jan/2019]:[Mar/2019]])</f>
        <v>0</v>
      </c>
      <c r="U1109" s="29">
        <f>SUM(BaseHoras[[#This Row],[Abr/2019]:[Jun/2019]])</f>
        <v>85.421121841170546</v>
      </c>
      <c r="V1109" s="29">
        <f>SUM(BaseHoras[[#This Row],[Jul/2019]:[Set/2019]])</f>
        <v>40.810680737401491</v>
      </c>
      <c r="W1109" s="29">
        <f>SUM(BaseHoras[[#This Row],[Out/2019]:[Dez/2019]])</f>
        <v>0</v>
      </c>
    </row>
    <row r="1110" spans="1:23">
      <c r="A1110" t="s">
        <v>151</v>
      </c>
      <c r="B1110" t="s">
        <v>168</v>
      </c>
      <c r="C1110" t="s">
        <v>384</v>
      </c>
      <c r="D1110" t="s">
        <v>129</v>
      </c>
      <c r="E1110" t="s">
        <v>320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s="28">
        <v>0</v>
      </c>
      <c r="N1110" s="28">
        <v>68.536318645717074</v>
      </c>
      <c r="O1110">
        <v>0</v>
      </c>
      <c r="P1110">
        <v>57.238462493100094</v>
      </c>
      <c r="Q1110">
        <v>0</v>
      </c>
      <c r="R1110">
        <v>0</v>
      </c>
      <c r="S1110" s="28">
        <v>125.77478113881716</v>
      </c>
      <c r="T1110" s="29">
        <f>SUM(BaseHoras[[#This Row],[Jan/2019]:[Mar/2019]])</f>
        <v>0</v>
      </c>
      <c r="U1110" s="29">
        <f>SUM(BaseHoras[[#This Row],[Abr/2019]:[Jun/2019]])</f>
        <v>0</v>
      </c>
      <c r="V1110" s="29">
        <f>SUM(BaseHoras[[#This Row],[Jul/2019]:[Set/2019]])</f>
        <v>68.536318645717074</v>
      </c>
      <c r="W1110" s="29">
        <f>SUM(BaseHoras[[#This Row],[Out/2019]:[Dez/2019]])</f>
        <v>57.238462493100094</v>
      </c>
    </row>
    <row r="1111" spans="1:23">
      <c r="A1111" t="s">
        <v>151</v>
      </c>
      <c r="B1111" t="s">
        <v>168</v>
      </c>
      <c r="C1111" t="s">
        <v>384</v>
      </c>
      <c r="D1111" t="s">
        <v>133</v>
      </c>
      <c r="E1111" t="s">
        <v>320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s="28">
        <v>298.4452156381958</v>
      </c>
      <c r="N1111" s="28">
        <v>258.73406060575434</v>
      </c>
      <c r="O1111">
        <v>441.06297334463437</v>
      </c>
      <c r="P1111">
        <v>0</v>
      </c>
      <c r="Q1111">
        <v>0</v>
      </c>
      <c r="R1111">
        <v>0</v>
      </c>
      <c r="S1111" s="28">
        <v>998.24224958858463</v>
      </c>
      <c r="T1111" s="29">
        <f>SUM(BaseHoras[[#This Row],[Jan/2019]:[Mar/2019]])</f>
        <v>0</v>
      </c>
      <c r="U1111" s="29">
        <f>SUM(BaseHoras[[#This Row],[Abr/2019]:[Jun/2019]])</f>
        <v>0</v>
      </c>
      <c r="V1111" s="29">
        <f>SUM(BaseHoras[[#This Row],[Jul/2019]:[Set/2019]])</f>
        <v>557.1792762439502</v>
      </c>
      <c r="W1111" s="29">
        <f>SUM(BaseHoras[[#This Row],[Out/2019]:[Dez/2019]])</f>
        <v>441.06297334463437</v>
      </c>
    </row>
    <row r="1112" spans="1:23">
      <c r="A1112" t="s">
        <v>151</v>
      </c>
      <c r="B1112" t="s">
        <v>168</v>
      </c>
      <c r="C1112" t="s">
        <v>384</v>
      </c>
      <c r="D1112" t="s">
        <v>382</v>
      </c>
      <c r="E1112" t="s">
        <v>320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s="28">
        <v>11542.848351134788</v>
      </c>
      <c r="N1112" s="28">
        <v>230.15576857632337</v>
      </c>
      <c r="O1112">
        <v>0</v>
      </c>
      <c r="P1112">
        <v>0</v>
      </c>
      <c r="Q1112">
        <v>0</v>
      </c>
      <c r="R1112">
        <v>0</v>
      </c>
      <c r="S1112" s="28">
        <v>11773.004119711111</v>
      </c>
      <c r="T1112" s="29">
        <f>SUM(BaseHoras[[#This Row],[Jan/2019]:[Mar/2019]])</f>
        <v>0</v>
      </c>
      <c r="U1112" s="29">
        <f>SUM(BaseHoras[[#This Row],[Abr/2019]:[Jun/2019]])</f>
        <v>0</v>
      </c>
      <c r="V1112" s="29">
        <f>SUM(BaseHoras[[#This Row],[Jul/2019]:[Set/2019]])</f>
        <v>11773.004119711111</v>
      </c>
      <c r="W1112" s="29">
        <f>SUM(BaseHoras[[#This Row],[Out/2019]:[Dez/2019]])</f>
        <v>0</v>
      </c>
    </row>
    <row r="1113" spans="1:23">
      <c r="A1113" t="s">
        <v>151</v>
      </c>
      <c r="B1113" t="s">
        <v>168</v>
      </c>
      <c r="C1113" t="s">
        <v>384</v>
      </c>
      <c r="D1113" t="s">
        <v>144</v>
      </c>
      <c r="E1113" t="s">
        <v>320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s="28">
        <v>44.817790463332365</v>
      </c>
      <c r="N1113" s="28">
        <v>0</v>
      </c>
      <c r="O1113">
        <v>0</v>
      </c>
      <c r="P1113">
        <v>0</v>
      </c>
      <c r="Q1113">
        <v>0</v>
      </c>
      <c r="R1113">
        <v>0</v>
      </c>
      <c r="S1113" s="28">
        <v>44.817790463332365</v>
      </c>
      <c r="T1113" s="29">
        <f>SUM(BaseHoras[[#This Row],[Jan/2019]:[Mar/2019]])</f>
        <v>0</v>
      </c>
      <c r="U1113" s="29">
        <f>SUM(BaseHoras[[#This Row],[Abr/2019]:[Jun/2019]])</f>
        <v>0</v>
      </c>
      <c r="V1113" s="29">
        <f>SUM(BaseHoras[[#This Row],[Jul/2019]:[Set/2019]])</f>
        <v>44.817790463332365</v>
      </c>
      <c r="W1113" s="29">
        <f>SUM(BaseHoras[[#This Row],[Out/2019]:[Dez/2019]])</f>
        <v>0</v>
      </c>
    </row>
    <row r="1114" spans="1:23">
      <c r="A1114" t="s">
        <v>151</v>
      </c>
      <c r="B1114" t="s">
        <v>168</v>
      </c>
      <c r="C1114" t="s">
        <v>384</v>
      </c>
      <c r="D1114" t="s">
        <v>147</v>
      </c>
      <c r="E1114" t="s">
        <v>320</v>
      </c>
      <c r="F1114">
        <v>0</v>
      </c>
      <c r="G1114">
        <v>0</v>
      </c>
      <c r="H1114">
        <v>0</v>
      </c>
      <c r="I1114">
        <v>0</v>
      </c>
      <c r="J1114">
        <v>55.127203424375963</v>
      </c>
      <c r="K1114">
        <v>0</v>
      </c>
      <c r="L1114">
        <v>0</v>
      </c>
      <c r="M1114" s="28">
        <v>256.94592812314158</v>
      </c>
      <c r="N1114" s="28">
        <v>1298.5911996538664</v>
      </c>
      <c r="O1114">
        <v>217.62534048936698</v>
      </c>
      <c r="P1114">
        <v>0</v>
      </c>
      <c r="Q1114">
        <v>0</v>
      </c>
      <c r="R1114">
        <v>0</v>
      </c>
      <c r="S1114" s="28">
        <v>1828.2896716907508</v>
      </c>
      <c r="T1114" s="29">
        <f>SUM(BaseHoras[[#This Row],[Jan/2019]:[Mar/2019]])</f>
        <v>0</v>
      </c>
      <c r="U1114" s="29">
        <f>SUM(BaseHoras[[#This Row],[Abr/2019]:[Jun/2019]])</f>
        <v>55.127203424375963</v>
      </c>
      <c r="V1114" s="29">
        <f>SUM(BaseHoras[[#This Row],[Jul/2019]:[Set/2019]])</f>
        <v>1555.537127777008</v>
      </c>
      <c r="W1114" s="29">
        <f>SUM(BaseHoras[[#This Row],[Out/2019]:[Dez/2019]])</f>
        <v>217.62534048936698</v>
      </c>
    </row>
    <row r="1115" spans="1:23">
      <c r="A1115" t="s">
        <v>151</v>
      </c>
      <c r="B1115" t="s">
        <v>168</v>
      </c>
      <c r="C1115" t="s">
        <v>384</v>
      </c>
      <c r="D1115" t="s">
        <v>148</v>
      </c>
      <c r="E1115" t="s">
        <v>320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s="28">
        <v>24.973000647275335</v>
      </c>
      <c r="N1115" s="28">
        <v>116.77978306288162</v>
      </c>
      <c r="O1115">
        <v>0</v>
      </c>
      <c r="P1115">
        <v>0</v>
      </c>
      <c r="Q1115">
        <v>0</v>
      </c>
      <c r="R1115">
        <v>0</v>
      </c>
      <c r="S1115" s="28">
        <v>141.75278371015696</v>
      </c>
      <c r="T1115" s="29">
        <f>SUM(BaseHoras[[#This Row],[Jan/2019]:[Mar/2019]])</f>
        <v>0</v>
      </c>
      <c r="U1115" s="29">
        <f>SUM(BaseHoras[[#This Row],[Abr/2019]:[Jun/2019]])</f>
        <v>0</v>
      </c>
      <c r="V1115" s="29">
        <f>SUM(BaseHoras[[#This Row],[Jul/2019]:[Set/2019]])</f>
        <v>141.75278371015696</v>
      </c>
      <c r="W1115" s="29">
        <f>SUM(BaseHoras[[#This Row],[Out/2019]:[Dez/2019]])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E811-13A7-4203-BD63-5489A6308060}">
  <dimension ref="A2:I22"/>
  <sheetViews>
    <sheetView showGridLines="0" zoomScaleNormal="100" zoomScaleSheetLayoutView="130" workbookViewId="0">
      <selection activeCell="B25" sqref="B25"/>
    </sheetView>
  </sheetViews>
  <sheetFormatPr defaultRowHeight="15"/>
  <cols>
    <col min="2" max="2" width="21.28515625" customWidth="1"/>
    <col min="3" max="3" width="28.28515625" customWidth="1"/>
    <col min="4" max="7" width="12.7109375" customWidth="1"/>
    <col min="8" max="8" width="15" customWidth="1"/>
    <col min="9" max="9" width="13.140625" customWidth="1"/>
  </cols>
  <sheetData>
    <row r="2" spans="1:9" ht="86.25" customHeight="1"/>
    <row r="3" spans="1:9" s="1" customFormat="1" ht="18.75">
      <c r="A3"/>
      <c r="B3" s="2" t="s">
        <v>4</v>
      </c>
      <c r="C3" s="3" t="s">
        <v>2</v>
      </c>
      <c r="D3" s="2" t="s">
        <v>385</v>
      </c>
      <c r="E3" s="3" t="s">
        <v>386</v>
      </c>
      <c r="F3" s="3" t="s">
        <v>387</v>
      </c>
      <c r="G3" s="4" t="s">
        <v>388</v>
      </c>
      <c r="H3" s="3" t="s">
        <v>18</v>
      </c>
      <c r="I3" s="4" t="s">
        <v>394</v>
      </c>
    </row>
    <row r="4" spans="1:9" s="1" customFormat="1" ht="18.75">
      <c r="A4"/>
      <c r="B4" s="5" t="s">
        <v>171</v>
      </c>
      <c r="C4" s="6" t="s">
        <v>389</v>
      </c>
      <c r="D4" s="11"/>
      <c r="E4" s="12"/>
      <c r="F4" s="12"/>
      <c r="G4" s="13"/>
      <c r="H4" s="12"/>
      <c r="I4" s="17">
        <f>IFERROR(H4/$H$16,0)</f>
        <v>0</v>
      </c>
    </row>
    <row r="5" spans="1:9" s="1" customFormat="1" ht="18.75">
      <c r="A5"/>
      <c r="B5" s="5" t="s">
        <v>297</v>
      </c>
      <c r="C5" s="6" t="s">
        <v>389</v>
      </c>
      <c r="D5" s="11"/>
      <c r="E5" s="12"/>
      <c r="F5" s="12"/>
      <c r="G5" s="13"/>
      <c r="H5" s="12"/>
      <c r="I5" s="17">
        <f t="shared" ref="I5:I15" si="0">IFERROR(H5/$H$16,0)</f>
        <v>0</v>
      </c>
    </row>
    <row r="6" spans="1:9" s="1" customFormat="1" ht="18.75">
      <c r="A6"/>
      <c r="B6" s="5" t="s">
        <v>301</v>
      </c>
      <c r="C6" s="6" t="s">
        <v>389</v>
      </c>
      <c r="D6" s="11"/>
      <c r="E6" s="12"/>
      <c r="F6" s="12"/>
      <c r="G6" s="13"/>
      <c r="H6" s="12"/>
      <c r="I6" s="17">
        <f t="shared" si="0"/>
        <v>0</v>
      </c>
    </row>
    <row r="7" spans="1:9" s="1" customFormat="1" ht="18.75">
      <c r="A7"/>
      <c r="B7" s="5" t="s">
        <v>179</v>
      </c>
      <c r="C7" s="6" t="s">
        <v>389</v>
      </c>
      <c r="D7" s="11"/>
      <c r="E7" s="12"/>
      <c r="F7" s="12"/>
      <c r="G7" s="13"/>
      <c r="H7" s="12"/>
      <c r="I7" s="17">
        <f t="shared" si="0"/>
        <v>0</v>
      </c>
    </row>
    <row r="8" spans="1:9" s="1" customFormat="1" ht="18.75">
      <c r="A8"/>
      <c r="B8" s="5" t="s">
        <v>315</v>
      </c>
      <c r="C8" s="6" t="s">
        <v>389</v>
      </c>
      <c r="D8" s="11"/>
      <c r="E8" s="12"/>
      <c r="F8" s="12"/>
      <c r="G8" s="13"/>
      <c r="H8" s="12"/>
      <c r="I8" s="17">
        <f t="shared" si="0"/>
        <v>0</v>
      </c>
    </row>
    <row r="9" spans="1:9" s="1" customFormat="1" ht="18.75">
      <c r="A9"/>
      <c r="B9" s="5" t="s">
        <v>215</v>
      </c>
      <c r="C9" s="6" t="s">
        <v>389</v>
      </c>
      <c r="D9" s="11"/>
      <c r="E9" s="12"/>
      <c r="F9" s="12"/>
      <c r="G9" s="13"/>
      <c r="H9" s="12"/>
      <c r="I9" s="17">
        <f t="shared" si="0"/>
        <v>0</v>
      </c>
    </row>
    <row r="10" spans="1:9" s="1" customFormat="1" ht="18.75">
      <c r="A10"/>
      <c r="B10" s="5" t="s">
        <v>375</v>
      </c>
      <c r="C10" s="6" t="s">
        <v>389</v>
      </c>
      <c r="D10" s="11"/>
      <c r="E10" s="12"/>
      <c r="F10" s="12"/>
      <c r="G10" s="13"/>
      <c r="H10" s="12"/>
      <c r="I10" s="17">
        <f t="shared" si="0"/>
        <v>0</v>
      </c>
    </row>
    <row r="11" spans="1:9" s="1" customFormat="1" ht="18.75">
      <c r="A11"/>
      <c r="B11" s="5" t="s">
        <v>246</v>
      </c>
      <c r="C11" s="6" t="s">
        <v>389</v>
      </c>
      <c r="D11" s="11"/>
      <c r="E11" s="12"/>
      <c r="F11" s="12"/>
      <c r="G11" s="13"/>
      <c r="H11" s="12"/>
      <c r="I11" s="17">
        <f t="shared" si="0"/>
        <v>0</v>
      </c>
    </row>
    <row r="12" spans="1:9" s="1" customFormat="1" ht="18.75">
      <c r="A12"/>
      <c r="B12" s="5" t="s">
        <v>152</v>
      </c>
      <c r="C12" s="6" t="s">
        <v>165</v>
      </c>
      <c r="D12" s="11"/>
      <c r="E12" s="12"/>
      <c r="F12" s="12"/>
      <c r="G12" s="13"/>
      <c r="H12" s="12"/>
      <c r="I12" s="17">
        <f t="shared" si="0"/>
        <v>0</v>
      </c>
    </row>
    <row r="13" spans="1:9" s="1" customFormat="1" ht="18.75">
      <c r="A13"/>
      <c r="B13" s="5" t="s">
        <v>152</v>
      </c>
      <c r="C13" s="6" t="s">
        <v>173</v>
      </c>
      <c r="D13" s="11"/>
      <c r="E13" s="12"/>
      <c r="F13" s="12"/>
      <c r="G13" s="13"/>
      <c r="H13" s="12"/>
      <c r="I13" s="17">
        <f t="shared" si="0"/>
        <v>0</v>
      </c>
    </row>
    <row r="14" spans="1:9" s="1" customFormat="1" ht="18.75">
      <c r="A14"/>
      <c r="B14" s="5" t="s">
        <v>152</v>
      </c>
      <c r="C14" s="6" t="s">
        <v>160</v>
      </c>
      <c r="D14" s="11"/>
      <c r="E14" s="12"/>
      <c r="F14" s="12"/>
      <c r="G14" s="13"/>
      <c r="H14" s="12"/>
      <c r="I14" s="17">
        <f t="shared" si="0"/>
        <v>0</v>
      </c>
    </row>
    <row r="15" spans="1:9" s="1" customFormat="1" ht="19.5" thickBot="1">
      <c r="A15"/>
      <c r="B15" s="9" t="s">
        <v>152</v>
      </c>
      <c r="C15" s="10" t="s">
        <v>367</v>
      </c>
      <c r="D15" s="14"/>
      <c r="E15" s="15"/>
      <c r="F15" s="15"/>
      <c r="G15" s="16"/>
      <c r="H15" s="15"/>
      <c r="I15" s="18">
        <f t="shared" si="0"/>
        <v>0</v>
      </c>
    </row>
    <row r="16" spans="1:9" ht="19.5" thickTop="1">
      <c r="B16" s="7"/>
      <c r="C16" s="8"/>
      <c r="D16" s="19">
        <f>SUM(D4:D15)</f>
        <v>0</v>
      </c>
      <c r="E16" s="20">
        <f t="shared" ref="E16:G16" si="1">SUM(E4:E15)</f>
        <v>0</v>
      </c>
      <c r="F16" s="20">
        <f t="shared" si="1"/>
        <v>0</v>
      </c>
      <c r="G16" s="21">
        <f t="shared" si="1"/>
        <v>0</v>
      </c>
      <c r="H16" s="20">
        <f>SUM(H4:H15)</f>
        <v>0</v>
      </c>
      <c r="I16" s="22">
        <f>IFERROR(H16/$H$16,0)</f>
        <v>0</v>
      </c>
    </row>
    <row r="22" spans="2:3">
      <c r="B22" s="23" t="str">
        <f ca="1">"Relatório atualizado em: " &amp; TEXT(NOW(),"dd/MM/aaaa HH:mm")</f>
        <v>Relatório atualizado em: 29/01/2020 20:31</v>
      </c>
      <c r="C22" s="24"/>
    </row>
  </sheetData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33A8-D7AF-4B19-9688-B90060717FEE}">
  <dimension ref="A2:I22"/>
  <sheetViews>
    <sheetView showGridLines="0" tabSelected="1" zoomScaleNormal="100" zoomScaleSheetLayoutView="130" workbookViewId="0">
      <selection activeCell="E6" sqref="E6"/>
    </sheetView>
  </sheetViews>
  <sheetFormatPr defaultRowHeight="15"/>
  <cols>
    <col min="2" max="2" width="21.28515625" customWidth="1"/>
    <col min="3" max="3" width="28.28515625" customWidth="1"/>
    <col min="4" max="7" width="12.7109375" customWidth="1"/>
    <col min="8" max="8" width="15" customWidth="1"/>
    <col min="9" max="9" width="13.140625" customWidth="1"/>
  </cols>
  <sheetData>
    <row r="2" spans="1:9" ht="86.25" customHeight="1"/>
    <row r="3" spans="1:9" s="1" customFormat="1" ht="18.75">
      <c r="A3"/>
      <c r="B3" s="2" t="s">
        <v>4</v>
      </c>
      <c r="C3" s="3" t="s">
        <v>2</v>
      </c>
      <c r="D3" s="2" t="s">
        <v>385</v>
      </c>
      <c r="E3" s="3" t="s">
        <v>386</v>
      </c>
      <c r="F3" s="3" t="s">
        <v>387</v>
      </c>
      <c r="G3" s="4" t="s">
        <v>388</v>
      </c>
      <c r="H3" s="3" t="s">
        <v>18</v>
      </c>
      <c r="I3" s="4" t="s">
        <v>394</v>
      </c>
    </row>
    <row r="4" spans="1:9" s="1" customFormat="1" ht="18.75">
      <c r="A4"/>
      <c r="B4" s="5" t="s">
        <v>171</v>
      </c>
      <c r="C4" s="6" t="s">
        <v>389</v>
      </c>
      <c r="D4" s="11">
        <f>SUMIF(Base!$E:$E,'Report - Final'!$B4,Base!T:T)</f>
        <v>15787.683696239064</v>
      </c>
      <c r="E4" s="12">
        <f>SUMIF(Base!$E:$E,'Report - Final'!$B4,Base!U:U)</f>
        <v>0</v>
      </c>
      <c r="F4" s="12">
        <f>SUMIF(Base!$E:$E,'Report - Final'!$B4,Base!V:V)</f>
        <v>56.737483814154871</v>
      </c>
      <c r="G4" s="13">
        <f>SUMIF(Base!$E:$E,'Report - Final'!$B4,Base!W:W)</f>
        <v>325.62722026624971</v>
      </c>
      <c r="H4" s="12">
        <f>SUMIF(Base!$E:E,'Report - Final'!B4,Base!S:S)</f>
        <v>16170.048400319469</v>
      </c>
      <c r="I4" s="17">
        <f>H4/$H$16</f>
        <v>4.7969394896237305E-2</v>
      </c>
    </row>
    <row r="5" spans="1:9" s="1" customFormat="1" ht="18.75">
      <c r="A5"/>
      <c r="B5" s="5" t="s">
        <v>297</v>
      </c>
      <c r="C5" s="6" t="s">
        <v>389</v>
      </c>
      <c r="D5" s="11">
        <f>SUMIF(BaseHoras[Produto],'Report - Final'!$B5,BaseHoras[Q1])</f>
        <v>819.46014240461784</v>
      </c>
      <c r="E5" s="12">
        <f>SUMIF(BaseHoras[Produto],'Report - Final'!$B5,BaseHoras[Q2])</f>
        <v>10632.29547521066</v>
      </c>
      <c r="F5" s="12">
        <f>SUMIF(BaseHoras[Produto],'Report - Final'!$B5,BaseHoras[Q3])</f>
        <v>1133.9243210443694</v>
      </c>
      <c r="G5" s="13">
        <f>SUMIF(BaseHoras[Produto],'Report - Final'!$B5,BaseHoras[Q4])</f>
        <v>14694.76891297881</v>
      </c>
      <c r="H5" s="12">
        <f>SUMIF(BaseHoras[Produto],'Report - Final'!$B5,BaseHoras[Total])</f>
        <v>27280.44885163847</v>
      </c>
      <c r="I5" s="17">
        <f t="shared" ref="I5:I16" si="0">H5/$H$16</f>
        <v>8.0929048046943078E-2</v>
      </c>
    </row>
    <row r="6" spans="1:9" s="1" customFormat="1" ht="18.75">
      <c r="A6"/>
      <c r="B6" s="5" t="s">
        <v>301</v>
      </c>
      <c r="C6" s="6" t="s">
        <v>389</v>
      </c>
      <c r="D6" s="11">
        <f>SUMIF(BaseHoras[Produto],'Report - Final'!$B6,BaseHoras[Q1])</f>
        <v>6388.811018821325</v>
      </c>
      <c r="E6" s="12">
        <f>SUMIF(BaseHoras[Produto],'Report - Final'!$B6,BaseHoras[Q2])</f>
        <v>9619.4976088397671</v>
      </c>
      <c r="F6" s="12">
        <f>SUMIF(BaseHoras[Produto],'Report - Final'!$B6,BaseHoras[Q3])</f>
        <v>1749.5172630992881</v>
      </c>
      <c r="G6" s="13">
        <f>SUMIF(BaseHoras[Produto],'Report - Final'!$B6,BaseHoras[Q4])</f>
        <v>0</v>
      </c>
      <c r="H6" s="12">
        <f>SUMIF(BaseHoras[Produto],'Report - Final'!$B6,BaseHoras[Total])</f>
        <v>17757.825890760378</v>
      </c>
      <c r="I6" s="17">
        <f t="shared" si="0"/>
        <v>5.2679629742832558E-2</v>
      </c>
    </row>
    <row r="7" spans="1:9" s="1" customFormat="1" ht="18.75">
      <c r="A7"/>
      <c r="B7" s="5" t="s">
        <v>179</v>
      </c>
      <c r="C7" s="6" t="s">
        <v>389</v>
      </c>
      <c r="D7" s="11">
        <f>SUMIF(BaseHoras[Produto],'Report - Final'!$B7,BaseHoras[Q1])</f>
        <v>4635.571521980547</v>
      </c>
      <c r="E7" s="12">
        <f>SUMIF(BaseHoras[Produto],'Report - Final'!$B7,BaseHoras[Q2])</f>
        <v>721.27271192505202</v>
      </c>
      <c r="F7" s="12">
        <f>SUMIF(BaseHoras[Produto],'Report - Final'!$B7,BaseHoras[Q3])</f>
        <v>7350.2471885175664</v>
      </c>
      <c r="G7" s="13">
        <f>SUMIF(BaseHoras[Produto],'Report - Final'!$B7,BaseHoras[Q4])</f>
        <v>10823.105796443839</v>
      </c>
      <c r="H7" s="12">
        <f>SUMIF(BaseHoras[Produto],'Report - Final'!$B7,BaseHoras[Total])</f>
        <v>23530.197218867001</v>
      </c>
      <c r="I7" s="17">
        <f t="shared" si="0"/>
        <v>6.9803707103058263E-2</v>
      </c>
    </row>
    <row r="8" spans="1:9" s="1" customFormat="1" ht="18.75">
      <c r="A8"/>
      <c r="B8" s="5" t="s">
        <v>315</v>
      </c>
      <c r="C8" s="6" t="s">
        <v>389</v>
      </c>
      <c r="D8" s="11">
        <f>SUMIF(BaseHoras[Produto],'Report - Final'!$B8,BaseHoras[Q1])</f>
        <v>0</v>
      </c>
      <c r="E8" s="12">
        <f>SUMIF(BaseHoras[Produto],'Report - Final'!$B8,BaseHoras[Q2])</f>
        <v>1015.3538789391598</v>
      </c>
      <c r="F8" s="12">
        <f>SUMIF(BaseHoras[Produto],'Report - Final'!$B8,BaseHoras[Q3])</f>
        <v>0</v>
      </c>
      <c r="G8" s="13">
        <f>SUMIF(BaseHoras[Produto],'Report - Final'!$B8,BaseHoras[Q4])</f>
        <v>22.961846765692162</v>
      </c>
      <c r="H8" s="12">
        <f>SUMIF(BaseHoras[Produto],'Report - Final'!$B8,BaseHoras[Total])</f>
        <v>1038.315725704852</v>
      </c>
      <c r="I8" s="17">
        <f t="shared" si="0"/>
        <v>3.0802243654586229E-3</v>
      </c>
    </row>
    <row r="9" spans="1:9" s="1" customFormat="1" ht="18.75">
      <c r="A9"/>
      <c r="B9" s="5" t="s">
        <v>215</v>
      </c>
      <c r="C9" s="6" t="s">
        <v>389</v>
      </c>
      <c r="D9" s="11">
        <f>SUMIF(BaseHoras[Produto],'Report - Final'!$B9,BaseHoras[Q1])</f>
        <v>55174.898166306171</v>
      </c>
      <c r="E9" s="12">
        <f>SUMIF(BaseHoras[Produto],'Report - Final'!$B9,BaseHoras[Q2])</f>
        <v>17203.689919865974</v>
      </c>
      <c r="F9" s="12">
        <f>SUMIF(BaseHoras[Produto],'Report - Final'!$B9,BaseHoras[Q3])</f>
        <v>56581.752079644066</v>
      </c>
      <c r="G9" s="13">
        <f>SUMIF(BaseHoras[Produto],'Report - Final'!$B9,BaseHoras[Q4])</f>
        <v>31086.776349816591</v>
      </c>
      <c r="H9" s="12">
        <f>SUMIF(BaseHoras[Produto],'Report - Final'!$B9,BaseHoras[Total])</f>
        <v>160047.11651563281</v>
      </c>
      <c r="I9" s="17">
        <f t="shared" si="0"/>
        <v>0.47478913755080743</v>
      </c>
    </row>
    <row r="10" spans="1:9" s="1" customFormat="1" ht="18.75">
      <c r="A10"/>
      <c r="B10" s="5" t="s">
        <v>375</v>
      </c>
      <c r="C10" s="6" t="s">
        <v>389</v>
      </c>
      <c r="D10" s="11">
        <f>SUMIF(BaseHoras[Produto],'Report - Final'!$B10,BaseHoras[Q1])</f>
        <v>32.707719564601824</v>
      </c>
      <c r="E10" s="12">
        <f>SUMIF(BaseHoras[Produto],'Report - Final'!$B10,BaseHoras[Q2])</f>
        <v>73.630613139173036</v>
      </c>
      <c r="F10" s="12">
        <f>SUMIF(BaseHoras[Produto],'Report - Final'!$B10,BaseHoras[Q3])</f>
        <v>0</v>
      </c>
      <c r="G10" s="13">
        <f>SUMIF(BaseHoras[Produto],'Report - Final'!$B10,BaseHoras[Q4])</f>
        <v>4273.0801807178796</v>
      </c>
      <c r="H10" s="12">
        <f>SUMIF(BaseHoras[Produto],'Report - Final'!$B10,BaseHoras[Total])</f>
        <v>4379.4185134216541</v>
      </c>
      <c r="I10" s="17">
        <f t="shared" si="0"/>
        <v>1.2991801315948157E-2</v>
      </c>
    </row>
    <row r="11" spans="1:9" s="1" customFormat="1" ht="18.75">
      <c r="A11"/>
      <c r="B11" s="5" t="s">
        <v>246</v>
      </c>
      <c r="C11" s="6" t="s">
        <v>389</v>
      </c>
      <c r="D11" s="11">
        <f>SUMIF(BaseHoras[Produto],'Report - Final'!$B11,BaseHoras[Q1])</f>
        <v>3.7254172539999963</v>
      </c>
      <c r="E11" s="12">
        <f>SUMIF(BaseHoras[Produto],'Report - Final'!$B11,BaseHoras[Q2])</f>
        <v>0</v>
      </c>
      <c r="F11" s="12">
        <f>SUMIF(BaseHoras[Produto],'Report - Final'!$B11,BaseHoras[Q3])</f>
        <v>125.02388371158693</v>
      </c>
      <c r="G11" s="13">
        <f>SUMIF(BaseHoras[Produto],'Report - Final'!$B11,BaseHoras[Q4])</f>
        <v>4529.0041524483377</v>
      </c>
      <c r="H11" s="12">
        <f>SUMIF(BaseHoras[Produto],'Report - Final'!$B11,BaseHoras[Total])</f>
        <v>4657.7534534139249</v>
      </c>
      <c r="I11" s="17">
        <f t="shared" si="0"/>
        <v>1.3817498204378371E-2</v>
      </c>
    </row>
    <row r="12" spans="1:9" s="1" customFormat="1" ht="18.75">
      <c r="A12"/>
      <c r="B12" s="5" t="s">
        <v>152</v>
      </c>
      <c r="C12" s="6" t="s">
        <v>165</v>
      </c>
      <c r="D12" s="11">
        <f>SUMIFS(BaseHoras[Q1],BaseHoras[Produto],'Report - Final'!$B12,BaseHoras[Campanha],'Report - Final'!$C12)</f>
        <v>0</v>
      </c>
      <c r="E12" s="12">
        <f>SUMIFS(BaseHoras[Q2],BaseHoras[Produto],'Report - Final'!$B12,BaseHoras[Campanha],'Report - Final'!$C12)</f>
        <v>406.45140193528869</v>
      </c>
      <c r="F12" s="12">
        <f>SUMIFS(BaseHoras[Q3],BaseHoras[Produto],'Report - Final'!$B12,BaseHoras[Campanha],'Report - Final'!C$12)</f>
        <v>1143.029299074218</v>
      </c>
      <c r="G12" s="13">
        <f>SUMIFS(BaseHoras[Q4],BaseHoras[Produto],'Report - Final'!$B12,BaseHoras[Campanha],'Report - Final'!$C12)</f>
        <v>0</v>
      </c>
      <c r="H12" s="12">
        <f>SUMIFS(BaseHoras[Total],BaseHoras[Produto],'Report - Final'!$B12,BaseHoras[Campanha],'Report - Final'!$C12)</f>
        <v>1549.4807010095067</v>
      </c>
      <c r="I12" s="17">
        <f t="shared" si="0"/>
        <v>4.5966251795112219E-3</v>
      </c>
    </row>
    <row r="13" spans="1:9" s="1" customFormat="1" ht="18.75">
      <c r="A13"/>
      <c r="B13" s="5" t="s">
        <v>152</v>
      </c>
      <c r="C13" s="6" t="s">
        <v>173</v>
      </c>
      <c r="D13" s="11">
        <f>SUMIFS(BaseHoras[Q1],BaseHoras[Produto],'Report - Final'!$B13,BaseHoras[Campanha],'Report - Final'!$C13)</f>
        <v>101.14837363596426</v>
      </c>
      <c r="E13" s="12">
        <f>SUMIFS(BaseHoras[Q2],BaseHoras[Produto],'Report - Final'!$B13,BaseHoras[Campanha],'Report - Final'!$C13)</f>
        <v>0</v>
      </c>
      <c r="F13" s="12">
        <f>SUMIFS(BaseHoras[Q3],BaseHoras[Produto],'Report - Final'!$B13,BaseHoras[Campanha],'Report - Final'!C$13)</f>
        <v>48.276267873940363</v>
      </c>
      <c r="G13" s="13">
        <f>SUMIFS(BaseHoras[Q4],BaseHoras[Produto],'Report - Final'!$B13,BaseHoras[Campanha],'Report - Final'!$C13)</f>
        <v>32.705933109342062</v>
      </c>
      <c r="H13" s="12">
        <f>SUMIFS(BaseHoras[Total],BaseHoras[Produto],'Report - Final'!$B13,BaseHoras[Campanha],'Report - Final'!$C13)</f>
        <v>182.13057461924666</v>
      </c>
      <c r="I13" s="17">
        <f t="shared" si="0"/>
        <v>5.4030100840122706E-4</v>
      </c>
    </row>
    <row r="14" spans="1:9" s="1" customFormat="1" ht="18.75">
      <c r="A14"/>
      <c r="B14" s="5" t="s">
        <v>152</v>
      </c>
      <c r="C14" s="6" t="s">
        <v>160</v>
      </c>
      <c r="D14" s="11">
        <f>SUMIFS(BaseHoras[Q1],BaseHoras[Produto],'Report - Final'!$B14,BaseHoras[Campanha],'Report - Final'!$C14)</f>
        <v>866.36808282383993</v>
      </c>
      <c r="E14" s="12">
        <f>SUMIFS(BaseHoras[Q2],BaseHoras[Produto],'Report - Final'!$B14,BaseHoras[Campanha],'Report - Final'!$C14)</f>
        <v>0</v>
      </c>
      <c r="F14" s="12">
        <f>SUMIFS(BaseHoras[Q3],BaseHoras[Produto],'Report - Final'!$B14,BaseHoras[Campanha],'Report - Final'!C$14)</f>
        <v>0</v>
      </c>
      <c r="G14" s="13">
        <f>SUMIFS(BaseHoras[Q4],BaseHoras[Produto],'Report - Final'!$B14,BaseHoras[Campanha],'Report - Final'!$C14)</f>
        <v>0</v>
      </c>
      <c r="H14" s="12">
        <f>SUMIFS(BaseHoras[Total],BaseHoras[Produto],'Report - Final'!$B14,BaseHoras[Campanha],'Report - Final'!$C14)</f>
        <v>866.36808282383993</v>
      </c>
      <c r="I14" s="17">
        <f t="shared" si="0"/>
        <v>2.5701316199926607E-3</v>
      </c>
    </row>
    <row r="15" spans="1:9" s="1" customFormat="1" ht="19.5" thickBot="1">
      <c r="A15"/>
      <c r="B15" s="9" t="s">
        <v>152</v>
      </c>
      <c r="C15" s="10" t="s">
        <v>367</v>
      </c>
      <c r="D15" s="14">
        <f>SUMIFS(BaseHoras[Q1],BaseHoras[Produto],'Report - Final'!$B15,BaseHoras[Campanha],'Report - Final'!$C15)</f>
        <v>65796.371117077404</v>
      </c>
      <c r="E15" s="15">
        <f>SUMIFS(BaseHoras[Q2],BaseHoras[Produto],'Report - Final'!$B15,BaseHoras[Campanha],'Report - Final'!$C15)</f>
        <v>6869.1845990652764</v>
      </c>
      <c r="F15" s="15">
        <f>SUMIFS(BaseHoras[Q3],BaseHoras[Produto],'Report - Final'!$B15,BaseHoras[Campanha],'Report - Final'!C$15)</f>
        <v>4646.4416939161956</v>
      </c>
      <c r="G15" s="16">
        <f>SUMIFS(BaseHoras[Q4],BaseHoras[Produto],'Report - Final'!$B15,BaseHoras[Campanha],'Report - Final'!$C15)</f>
        <v>2319.8383180865221</v>
      </c>
      <c r="H15" s="15">
        <f>SUMIFS(BaseHoras[Total],BaseHoras[Produto],'Report - Final'!$B15,BaseHoras[Campanha],'Report - Final'!$C15)</f>
        <v>79631.835728145379</v>
      </c>
      <c r="I15" s="18">
        <f t="shared" si="0"/>
        <v>0.23623250096643097</v>
      </c>
    </row>
    <row r="16" spans="1:9" ht="19.5" thickTop="1">
      <c r="B16" s="7"/>
      <c r="C16" s="8"/>
      <c r="D16" s="19">
        <f>SUM(D4:D15)</f>
        <v>149606.74525610753</v>
      </c>
      <c r="E16" s="20">
        <f t="shared" ref="E16:G16" si="1">SUM(E4:E15)</f>
        <v>46541.376208920352</v>
      </c>
      <c r="F16" s="20">
        <f t="shared" si="1"/>
        <v>72834.949480695373</v>
      </c>
      <c r="G16" s="21">
        <f t="shared" si="1"/>
        <v>68107.868710633265</v>
      </c>
      <c r="H16" s="20">
        <f>SUM(H4:H15)</f>
        <v>337090.93965635658</v>
      </c>
      <c r="I16" s="22">
        <f t="shared" si="0"/>
        <v>1</v>
      </c>
    </row>
    <row r="22" spans="2:3">
      <c r="B22" s="23" t="str">
        <f ca="1">"Relatório atualizado em: " &amp; TEXT(NOW(),"dd/MM/aaaa HH:mm")</f>
        <v>Relatório atualizado em: 29/01/2020 20:31</v>
      </c>
      <c r="C22" s="24"/>
    </row>
  </sheetData>
  <sortState xmlns:xlrd2="http://schemas.microsoft.com/office/spreadsheetml/2017/richdata2" ref="B4:B242">
    <sortCondition ref="B4"/>
  </sortState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Base</vt:lpstr>
      <vt:lpstr>Report - Aula</vt:lpstr>
      <vt:lpstr>Report - Final</vt:lpstr>
      <vt:lpstr>'Report - Aula'!Area_de_impressao</vt:lpstr>
      <vt:lpstr>'Report - Final'!Area_de_impressao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Augusto Souza Martins - Almap BBDO</dc:creator>
  <cp:lastModifiedBy>Renato Augusto Souza Martins - Almap BBDO</cp:lastModifiedBy>
  <cp:lastPrinted>2020-01-27T02:55:10Z</cp:lastPrinted>
  <dcterms:created xsi:type="dcterms:W3CDTF">2020-01-22T18:34:58Z</dcterms:created>
  <dcterms:modified xsi:type="dcterms:W3CDTF">2020-01-29T23:31:34Z</dcterms:modified>
</cp:coreProperties>
</file>