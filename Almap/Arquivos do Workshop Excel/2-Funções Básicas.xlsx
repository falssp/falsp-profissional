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Arquivos\Arquivos Principais\"/>
    </mc:Choice>
  </mc:AlternateContent>
  <xr:revisionPtr revIDLastSave="0" documentId="13_ncr:1_{242B3808-49A4-4782-BEF7-901F0E1CF2B2}" xr6:coauthVersionLast="41" xr6:coauthVersionMax="41" xr10:uidLastSave="{00000000-0000-0000-0000-000000000000}"/>
  <bookViews>
    <workbookView xWindow="-120" yWindow="-120" windowWidth="29040" windowHeight="15840" xr2:uid="{35D20581-ABA6-48B0-8D28-49BBE055A9A9}"/>
  </bookViews>
  <sheets>
    <sheet name="Funções Básicas - Aula" sheetId="3" r:id="rId1"/>
    <sheet name="Funções Básicas - Final" sheetId="1" r:id="rId2"/>
    <sheet name="Fórmulas Aninhadas - Aula" sheetId="4" r:id="rId3"/>
    <sheet name="Fórmulas Aninhadas - Fina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G3" i="2" l="1"/>
  <c r="G4" i="2"/>
  <c r="G5" i="2"/>
  <c r="G6" i="2"/>
  <c r="G7" i="2"/>
  <c r="G8" i="2"/>
  <c r="G9" i="2"/>
  <c r="G10" i="2"/>
  <c r="G2" i="2"/>
  <c r="N3" i="1"/>
  <c r="N4" i="1"/>
  <c r="N5" i="1"/>
  <c r="N6" i="1"/>
  <c r="N7" i="1"/>
  <c r="N8" i="1"/>
  <c r="N9" i="1"/>
  <c r="N10" i="1"/>
  <c r="N2" i="1"/>
  <c r="F3" i="2"/>
  <c r="F4" i="2"/>
  <c r="F5" i="2"/>
  <c r="F6" i="2"/>
  <c r="F7" i="2"/>
  <c r="F8" i="2"/>
  <c r="F9" i="2"/>
  <c r="F10" i="2"/>
  <c r="F2" i="2"/>
  <c r="H10" i="1"/>
  <c r="H9" i="1"/>
  <c r="H8" i="1"/>
  <c r="H7" i="1"/>
  <c r="H6" i="1"/>
  <c r="H5" i="1"/>
  <c r="H4" i="1"/>
  <c r="H3" i="1"/>
  <c r="H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L2" i="1"/>
  <c r="K2" i="1"/>
  <c r="J2" i="1"/>
  <c r="I3" i="1"/>
  <c r="I4" i="1"/>
  <c r="I5" i="1"/>
  <c r="I6" i="1"/>
  <c r="I7" i="1"/>
  <c r="I8" i="1"/>
  <c r="I9" i="1"/>
  <c r="I10" i="1"/>
  <c r="I2" i="1"/>
  <c r="G2" i="1"/>
  <c r="F3" i="1"/>
  <c r="G3" i="1" s="1"/>
  <c r="F4" i="1"/>
  <c r="G4" i="1" s="1"/>
  <c r="F5" i="1"/>
  <c r="G5" i="1" s="1"/>
  <c r="F6" i="1"/>
  <c r="F7" i="1"/>
  <c r="G7" i="1" s="1"/>
  <c r="F8" i="1"/>
  <c r="G8" i="1" s="1"/>
  <c r="F9" i="1"/>
  <c r="G9" i="1" s="1"/>
  <c r="F10" i="1"/>
  <c r="G10" i="1" s="1"/>
  <c r="F2" i="1"/>
  <c r="G6" i="1" l="1"/>
</calcChain>
</file>

<file path=xl/sharedStrings.xml><?xml version="1.0" encoding="utf-8"?>
<sst xmlns="http://schemas.openxmlformats.org/spreadsheetml/2006/main" count="74" uniqueCount="18">
  <si>
    <t>CONCAT</t>
  </si>
  <si>
    <t>ARRUMAR</t>
  </si>
  <si>
    <t>Cliente</t>
  </si>
  <si>
    <t>Data</t>
  </si>
  <si>
    <t>Qtd Pis</t>
  </si>
  <si>
    <t>Valor Faturado</t>
  </si>
  <si>
    <t>O  Boticário</t>
  </si>
  <si>
    <t>VW (*)</t>
  </si>
  <si>
    <t>SUBSTITUIR</t>
  </si>
  <si>
    <t>GOL 
Linhas Áreas</t>
  </si>
  <si>
    <t>TEXTO(data)</t>
  </si>
  <si>
    <t>TEXTO(número)</t>
  </si>
  <si>
    <t>DIA</t>
  </si>
  <si>
    <t>MÊS</t>
  </si>
  <si>
    <t>ANO</t>
  </si>
  <si>
    <t>FÓRMULAS ANINHADAS</t>
  </si>
  <si>
    <t>Check</t>
  </si>
  <si>
    <t>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</si>
</sst>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17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0" xfId="0" applyAlignment="1">
      <alignment wrapText="1"/>
    </xf>
    <xf numFmtId="43" fontId="2" fillId="2" borderId="0" xfId="1" applyNumberFormat="1" applyFont="1" applyFill="1" applyAlignment="1">
      <alignment horizontal="center"/>
    </xf>
    <xf numFmtId="43" fontId="0" fillId="0" borderId="0" xfId="1" applyNumberFormat="1" applyFont="1"/>
    <xf numFmtId="43" fontId="0" fillId="0" borderId="0" xfId="0" applyNumberForma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3891-244C-4226-AC34-E5D003F54E32}">
  <dimension ref="A1:N10"/>
  <sheetViews>
    <sheetView tabSelected="1" workbookViewId="0">
      <selection activeCell="M1" sqref="M1"/>
    </sheetView>
  </sheetViews>
  <sheetFormatPr defaultRowHeight="15" x14ac:dyDescent="0.25"/>
  <cols>
    <col min="1" max="1" width="15.42578125" customWidth="1"/>
    <col min="2" max="2" width="18.7109375" customWidth="1"/>
    <col min="4" max="4" width="15.5703125" style="7" bestFit="1" customWidth="1"/>
    <col min="5" max="5" width="2" customWidth="1"/>
    <col min="6" max="6" width="20.5703125" customWidth="1"/>
    <col min="7" max="7" width="21.7109375" customWidth="1"/>
    <col min="8" max="8" width="17" customWidth="1"/>
    <col min="9" max="9" width="15.140625" bestFit="1" customWidth="1"/>
    <col min="13" max="13" width="15.140625" bestFit="1" customWidth="1"/>
    <col min="14" max="14" width="74.42578125" customWidth="1"/>
  </cols>
  <sheetData>
    <row r="1" spans="1:14" x14ac:dyDescent="0.25">
      <c r="A1" s="1" t="s">
        <v>2</v>
      </c>
      <c r="B1" s="1" t="s">
        <v>3</v>
      </c>
      <c r="C1" s="1" t="s">
        <v>4</v>
      </c>
      <c r="D1" s="5" t="s">
        <v>5</v>
      </c>
      <c r="F1" s="3" t="s">
        <v>1</v>
      </c>
      <c r="G1" s="3" t="s">
        <v>8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17</v>
      </c>
      <c r="N1" s="3" t="s">
        <v>0</v>
      </c>
    </row>
    <row r="2" spans="1:14" x14ac:dyDescent="0.25">
      <c r="A2" t="s">
        <v>7</v>
      </c>
      <c r="B2" s="2">
        <v>43770</v>
      </c>
      <c r="C2">
        <v>200</v>
      </c>
      <c r="D2" s="6">
        <v>214577.78823000001</v>
      </c>
    </row>
    <row r="3" spans="1:14" x14ac:dyDescent="0.25">
      <c r="A3" t="s">
        <v>6</v>
      </c>
      <c r="B3" s="2">
        <v>43770</v>
      </c>
      <c r="C3">
        <v>110</v>
      </c>
      <c r="D3" s="7">
        <v>518095.96958230244</v>
      </c>
    </row>
    <row r="4" spans="1:14" ht="30" x14ac:dyDescent="0.25">
      <c r="A4" s="4" t="s">
        <v>9</v>
      </c>
      <c r="B4" s="2">
        <v>43770</v>
      </c>
      <c r="C4">
        <v>220</v>
      </c>
      <c r="D4" s="7">
        <v>92343.83679623378</v>
      </c>
    </row>
    <row r="5" spans="1:14" x14ac:dyDescent="0.25">
      <c r="A5" t="s">
        <v>7</v>
      </c>
      <c r="B5" s="2">
        <v>43800</v>
      </c>
      <c r="C5">
        <v>150</v>
      </c>
      <c r="D5" s="7">
        <v>474017.61788770929</v>
      </c>
    </row>
    <row r="6" spans="1:14" x14ac:dyDescent="0.25">
      <c r="A6" t="s">
        <v>6</v>
      </c>
      <c r="B6" s="2">
        <v>43800</v>
      </c>
      <c r="C6">
        <v>58</v>
      </c>
      <c r="D6" s="7">
        <v>912530.2164655776</v>
      </c>
    </row>
    <row r="7" spans="1:14" ht="30" x14ac:dyDescent="0.25">
      <c r="A7" s="4" t="s">
        <v>9</v>
      </c>
      <c r="B7" s="2">
        <v>43770</v>
      </c>
      <c r="C7">
        <v>300</v>
      </c>
      <c r="D7" s="7">
        <v>406145.29814929847</v>
      </c>
    </row>
    <row r="8" spans="1:14" x14ac:dyDescent="0.25">
      <c r="A8" t="s">
        <v>7</v>
      </c>
      <c r="B8" s="2">
        <v>43831</v>
      </c>
      <c r="C8">
        <v>280</v>
      </c>
      <c r="D8" s="7">
        <v>299172.9347758785</v>
      </c>
    </row>
    <row r="9" spans="1:14" x14ac:dyDescent="0.25">
      <c r="A9" t="s">
        <v>6</v>
      </c>
      <c r="B9" s="2">
        <v>43831</v>
      </c>
      <c r="C9">
        <v>10</v>
      </c>
      <c r="D9" s="7">
        <v>109861.45601897083</v>
      </c>
    </row>
    <row r="10" spans="1:14" ht="30" x14ac:dyDescent="0.25">
      <c r="A10" s="4" t="s">
        <v>9</v>
      </c>
      <c r="B10" s="2">
        <v>43831</v>
      </c>
      <c r="C10">
        <v>20</v>
      </c>
      <c r="D10" s="7">
        <v>426276.94103136554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0D5E-1EAA-4217-8F1C-6164BC1423F3}">
  <dimension ref="A1:N10"/>
  <sheetViews>
    <sheetView showGridLines="0" workbookViewId="0">
      <selection activeCell="N2" sqref="N2"/>
    </sheetView>
  </sheetViews>
  <sheetFormatPr defaultRowHeight="15" x14ac:dyDescent="0.25"/>
  <cols>
    <col min="1" max="1" width="15.42578125" customWidth="1"/>
    <col min="2" max="2" width="18.7109375" customWidth="1"/>
    <col min="4" max="4" width="15.5703125" style="7" bestFit="1" customWidth="1"/>
    <col min="5" max="5" width="2" customWidth="1"/>
    <col min="6" max="6" width="20.5703125" customWidth="1"/>
    <col min="7" max="7" width="21.7109375" customWidth="1"/>
    <col min="8" max="8" width="17" customWidth="1"/>
    <col min="9" max="9" width="15.140625" bestFit="1" customWidth="1"/>
    <col min="13" max="13" width="15.140625" bestFit="1" customWidth="1"/>
    <col min="14" max="14" width="74.42578125" customWidth="1"/>
  </cols>
  <sheetData>
    <row r="1" spans="1:14" x14ac:dyDescent="0.25">
      <c r="A1" s="1" t="s">
        <v>2</v>
      </c>
      <c r="B1" s="1" t="s">
        <v>3</v>
      </c>
      <c r="C1" s="1" t="s">
        <v>4</v>
      </c>
      <c r="D1" s="5" t="s">
        <v>5</v>
      </c>
      <c r="F1" s="3" t="s">
        <v>1</v>
      </c>
      <c r="G1" s="3" t="s">
        <v>8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17</v>
      </c>
      <c r="N1" s="3" t="s">
        <v>0</v>
      </c>
    </row>
    <row r="2" spans="1:14" x14ac:dyDescent="0.25">
      <c r="A2" t="s">
        <v>7</v>
      </c>
      <c r="B2" s="2">
        <v>43770</v>
      </c>
      <c r="C2">
        <v>200</v>
      </c>
      <c r="D2" s="6">
        <v>214577.78823000001</v>
      </c>
      <c r="F2" t="str">
        <f>TRIM(A2)</f>
        <v>VW (*)</v>
      </c>
      <c r="G2" t="str">
        <f>SUBSTITUTE(F2," (*)","")</f>
        <v>VW</v>
      </c>
      <c r="H2" t="str">
        <f>TEXT(B2,"MMMM/aaaa")</f>
        <v>novembro/2019</v>
      </c>
      <c r="I2" t="str">
        <f>TEXT(D2,"#.#")</f>
        <v>214.578</v>
      </c>
      <c r="J2">
        <f>DAY(B2)</f>
        <v>1</v>
      </c>
      <c r="K2">
        <f>MONTH(B2)</f>
        <v>11</v>
      </c>
      <c r="L2">
        <f>YEAR(B2)</f>
        <v>2019</v>
      </c>
      <c r="M2" s="9" t="str">
        <f>J2 &amp; "/" &amp; K2 &amp; "/" &amp; L2</f>
        <v>1/11/2019</v>
      </c>
      <c r="N2" t="str">
        <f>_xlfn.CONCAT("O cliente ", G2," faturou em ",H2," o valor de: R$ ",I2)</f>
        <v>O cliente VW faturou em novembro/2019 o valor de: R$ 214.578</v>
      </c>
    </row>
    <row r="3" spans="1:14" x14ac:dyDescent="0.25">
      <c r="A3" t="s">
        <v>6</v>
      </c>
      <c r="B3" s="2">
        <v>43770</v>
      </c>
      <c r="C3">
        <v>110</v>
      </c>
      <c r="D3" s="7">
        <v>518095.96958230244</v>
      </c>
      <c r="F3" t="str">
        <f t="shared" ref="F3:F10" si="0">TRIM(A3)</f>
        <v>O Boticário</v>
      </c>
      <c r="G3" t="str">
        <f t="shared" ref="G3:G10" si="1">SUBSTITUTE(F3," (*)","")</f>
        <v>O Boticário</v>
      </c>
      <c r="H3" t="str">
        <f t="shared" ref="H3:H10" si="2">TEXT(B3,"MMMM/aaaa")</f>
        <v>novembro/2019</v>
      </c>
      <c r="I3" t="str">
        <f t="shared" ref="I3:I10" si="3">TEXT(D3,"#.#")</f>
        <v>518.096</v>
      </c>
      <c r="J3">
        <f t="shared" ref="J3:J10" si="4">DAY(B3)</f>
        <v>1</v>
      </c>
      <c r="K3">
        <f t="shared" ref="K3:K10" si="5">MONTH(B3)</f>
        <v>11</v>
      </c>
      <c r="L3">
        <f t="shared" ref="L3:L10" si="6">YEAR(B3)</f>
        <v>2019</v>
      </c>
      <c r="M3" s="9" t="str">
        <f t="shared" ref="M3:M10" si="7">J3 &amp; "/" &amp; K3 &amp; "/" &amp; L3</f>
        <v>1/11/2019</v>
      </c>
      <c r="N3" t="str">
        <f t="shared" ref="N3:N10" si="8">_xlfn.CONCAT("O cliente ", G3," faturou em ",H3," o valor de: R$ ",I3)</f>
        <v>O cliente O Boticário faturou em novembro/2019 o valor de: R$ 518.096</v>
      </c>
    </row>
    <row r="4" spans="1:14" ht="30" x14ac:dyDescent="0.25">
      <c r="A4" s="4" t="s">
        <v>9</v>
      </c>
      <c r="B4" s="2">
        <v>43770</v>
      </c>
      <c r="C4">
        <v>220</v>
      </c>
      <c r="D4" s="7">
        <v>92343.83679623378</v>
      </c>
      <c r="F4" t="str">
        <f t="shared" si="0"/>
        <v>GOL 
Linhas Áreas</v>
      </c>
      <c r="G4" t="str">
        <f t="shared" si="1"/>
        <v>GOL 
Linhas Áreas</v>
      </c>
      <c r="H4" t="str">
        <f t="shared" si="2"/>
        <v>novembro/2019</v>
      </c>
      <c r="I4" t="str">
        <f t="shared" si="3"/>
        <v>92.344</v>
      </c>
      <c r="J4">
        <f t="shared" si="4"/>
        <v>1</v>
      </c>
      <c r="K4">
        <f t="shared" si="5"/>
        <v>11</v>
      </c>
      <c r="L4">
        <f t="shared" si="6"/>
        <v>2019</v>
      </c>
      <c r="M4" s="9" t="str">
        <f t="shared" si="7"/>
        <v>1/11/2019</v>
      </c>
      <c r="N4" t="str">
        <f t="shared" si="8"/>
        <v>O cliente GOL 
Linhas Áreas faturou em novembro/2019 o valor de: R$ 92.344</v>
      </c>
    </row>
    <row r="5" spans="1:14" x14ac:dyDescent="0.25">
      <c r="A5" t="s">
        <v>7</v>
      </c>
      <c r="B5" s="2">
        <v>43800</v>
      </c>
      <c r="C5">
        <v>150</v>
      </c>
      <c r="D5" s="7">
        <v>474017.61788770929</v>
      </c>
      <c r="F5" t="str">
        <f t="shared" si="0"/>
        <v>VW (*)</v>
      </c>
      <c r="G5" t="str">
        <f t="shared" si="1"/>
        <v>VW</v>
      </c>
      <c r="H5" t="str">
        <f t="shared" si="2"/>
        <v>dezembro/2019</v>
      </c>
      <c r="I5" t="str">
        <f t="shared" si="3"/>
        <v>474.018</v>
      </c>
      <c r="J5">
        <f t="shared" si="4"/>
        <v>1</v>
      </c>
      <c r="K5">
        <f t="shared" si="5"/>
        <v>12</v>
      </c>
      <c r="L5">
        <f t="shared" si="6"/>
        <v>2019</v>
      </c>
      <c r="M5" s="9" t="str">
        <f t="shared" si="7"/>
        <v>1/12/2019</v>
      </c>
      <c r="N5" t="str">
        <f t="shared" si="8"/>
        <v>O cliente VW faturou em dezembro/2019 o valor de: R$ 474.018</v>
      </c>
    </row>
    <row r="6" spans="1:14" x14ac:dyDescent="0.25">
      <c r="A6" t="s">
        <v>6</v>
      </c>
      <c r="B6" s="2">
        <v>43800</v>
      </c>
      <c r="C6">
        <v>58</v>
      </c>
      <c r="D6" s="7">
        <v>912530.2164655776</v>
      </c>
      <c r="F6" t="str">
        <f t="shared" si="0"/>
        <v>O Boticário</v>
      </c>
      <c r="G6" t="str">
        <f t="shared" si="1"/>
        <v>O Boticário</v>
      </c>
      <c r="H6" t="str">
        <f t="shared" si="2"/>
        <v>dezembro/2019</v>
      </c>
      <c r="I6" t="str">
        <f t="shared" si="3"/>
        <v>912.530</v>
      </c>
      <c r="J6">
        <f t="shared" si="4"/>
        <v>1</v>
      </c>
      <c r="K6">
        <f t="shared" si="5"/>
        <v>12</v>
      </c>
      <c r="L6">
        <f t="shared" si="6"/>
        <v>2019</v>
      </c>
      <c r="M6" s="9" t="str">
        <f t="shared" si="7"/>
        <v>1/12/2019</v>
      </c>
      <c r="N6" t="str">
        <f t="shared" si="8"/>
        <v>O cliente O Boticário faturou em dezembro/2019 o valor de: R$ 912.530</v>
      </c>
    </row>
    <row r="7" spans="1:14" ht="30" x14ac:dyDescent="0.25">
      <c r="A7" s="4" t="s">
        <v>9</v>
      </c>
      <c r="B7" s="2">
        <v>43770</v>
      </c>
      <c r="C7">
        <v>300</v>
      </c>
      <c r="D7" s="7">
        <v>406145.29814929847</v>
      </c>
      <c r="F7" t="str">
        <f t="shared" si="0"/>
        <v>GOL 
Linhas Áreas</v>
      </c>
      <c r="G7" t="str">
        <f t="shared" si="1"/>
        <v>GOL 
Linhas Áreas</v>
      </c>
      <c r="H7" t="str">
        <f t="shared" si="2"/>
        <v>novembro/2019</v>
      </c>
      <c r="I7" t="str">
        <f t="shared" si="3"/>
        <v>406.145</v>
      </c>
      <c r="J7">
        <f t="shared" si="4"/>
        <v>1</v>
      </c>
      <c r="K7">
        <f t="shared" si="5"/>
        <v>11</v>
      </c>
      <c r="L7">
        <f t="shared" si="6"/>
        <v>2019</v>
      </c>
      <c r="M7" s="9" t="str">
        <f t="shared" si="7"/>
        <v>1/11/2019</v>
      </c>
      <c r="N7" t="str">
        <f t="shared" si="8"/>
        <v>O cliente GOL 
Linhas Áreas faturou em novembro/2019 o valor de: R$ 406.145</v>
      </c>
    </row>
    <row r="8" spans="1:14" x14ac:dyDescent="0.25">
      <c r="A8" t="s">
        <v>7</v>
      </c>
      <c r="B8" s="2">
        <v>43831</v>
      </c>
      <c r="C8">
        <v>280</v>
      </c>
      <c r="D8" s="7">
        <v>299172.9347758785</v>
      </c>
      <c r="F8" t="str">
        <f t="shared" si="0"/>
        <v>VW (*)</v>
      </c>
      <c r="G8" t="str">
        <f t="shared" si="1"/>
        <v>VW</v>
      </c>
      <c r="H8" t="str">
        <f t="shared" si="2"/>
        <v>janeiro/2020</v>
      </c>
      <c r="I8" t="str">
        <f t="shared" si="3"/>
        <v>299.173</v>
      </c>
      <c r="J8">
        <f t="shared" si="4"/>
        <v>1</v>
      </c>
      <c r="K8">
        <f t="shared" si="5"/>
        <v>1</v>
      </c>
      <c r="L8">
        <f t="shared" si="6"/>
        <v>2020</v>
      </c>
      <c r="M8" s="9" t="str">
        <f t="shared" si="7"/>
        <v>1/1/2020</v>
      </c>
      <c r="N8" t="str">
        <f t="shared" si="8"/>
        <v>O cliente VW faturou em janeiro/2020 o valor de: R$ 299.173</v>
      </c>
    </row>
    <row r="9" spans="1:14" x14ac:dyDescent="0.25">
      <c r="A9" t="s">
        <v>6</v>
      </c>
      <c r="B9" s="2">
        <v>43831</v>
      </c>
      <c r="C9">
        <v>10</v>
      </c>
      <c r="D9" s="7">
        <v>109861.45601897083</v>
      </c>
      <c r="F9" t="str">
        <f t="shared" si="0"/>
        <v>O Boticário</v>
      </c>
      <c r="G9" t="str">
        <f t="shared" si="1"/>
        <v>O Boticário</v>
      </c>
      <c r="H9" t="str">
        <f t="shared" si="2"/>
        <v>janeiro/2020</v>
      </c>
      <c r="I9" t="str">
        <f t="shared" si="3"/>
        <v>109.861</v>
      </c>
      <c r="J9">
        <f t="shared" si="4"/>
        <v>1</v>
      </c>
      <c r="K9">
        <f t="shared" si="5"/>
        <v>1</v>
      </c>
      <c r="L9">
        <f t="shared" si="6"/>
        <v>2020</v>
      </c>
      <c r="M9" s="9" t="str">
        <f t="shared" si="7"/>
        <v>1/1/2020</v>
      </c>
      <c r="N9" t="str">
        <f t="shared" si="8"/>
        <v>O cliente O Boticário faturou em janeiro/2020 o valor de: R$ 109.861</v>
      </c>
    </row>
    <row r="10" spans="1:14" ht="30" x14ac:dyDescent="0.25">
      <c r="A10" s="4" t="s">
        <v>9</v>
      </c>
      <c r="B10" s="2">
        <v>43831</v>
      </c>
      <c r="C10">
        <v>20</v>
      </c>
      <c r="D10" s="7">
        <v>426276.94103136554</v>
      </c>
      <c r="F10" t="str">
        <f t="shared" si="0"/>
        <v>GOL 
Linhas Áreas</v>
      </c>
      <c r="G10" t="str">
        <f t="shared" si="1"/>
        <v>GOL 
Linhas Áreas</v>
      </c>
      <c r="H10" t="str">
        <f t="shared" si="2"/>
        <v>janeiro/2020</v>
      </c>
      <c r="I10" t="str">
        <f t="shared" si="3"/>
        <v>426.277</v>
      </c>
      <c r="J10">
        <f t="shared" si="4"/>
        <v>1</v>
      </c>
      <c r="K10">
        <f t="shared" si="5"/>
        <v>1</v>
      </c>
      <c r="L10">
        <f t="shared" si="6"/>
        <v>2020</v>
      </c>
      <c r="M10" s="9" t="str">
        <f t="shared" si="7"/>
        <v>1/1/2020</v>
      </c>
      <c r="N10" t="str">
        <f t="shared" si="8"/>
        <v>O cliente GOL 
Linhas Áreas faturou em janeiro/2020 o valor de: R$ 426.277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C721-4A61-483C-ABB8-67B81188C0C6}">
  <dimension ref="A1:G10"/>
  <sheetViews>
    <sheetView workbookViewId="0">
      <selection activeCell="F2" sqref="F2"/>
    </sheetView>
  </sheetViews>
  <sheetFormatPr defaultRowHeight="15" x14ac:dyDescent="0.25"/>
  <cols>
    <col min="1" max="1" width="15.42578125" customWidth="1"/>
    <col min="2" max="2" width="18.7109375" customWidth="1"/>
    <col min="4" max="4" width="15.5703125" style="7" bestFit="1" customWidth="1"/>
    <col min="5" max="5" width="2.140625" customWidth="1"/>
    <col min="6" max="6" width="74.42578125" customWidth="1"/>
    <col min="7" max="7" width="12.42578125" bestFit="1" customWidth="1"/>
  </cols>
  <sheetData>
    <row r="1" spans="1:7" x14ac:dyDescent="0.25">
      <c r="A1" s="1" t="s">
        <v>2</v>
      </c>
      <c r="B1" s="1" t="s">
        <v>3</v>
      </c>
      <c r="C1" s="1" t="s">
        <v>4</v>
      </c>
      <c r="D1" s="5" t="s">
        <v>5</v>
      </c>
      <c r="F1" s="3" t="s">
        <v>15</v>
      </c>
      <c r="G1" s="8" t="s">
        <v>16</v>
      </c>
    </row>
    <row r="2" spans="1:7" x14ac:dyDescent="0.25">
      <c r="A2" t="s">
        <v>7</v>
      </c>
      <c r="B2" s="2">
        <v>43770</v>
      </c>
      <c r="C2">
        <v>200</v>
      </c>
      <c r="D2" s="6">
        <v>214577.78823000001</v>
      </c>
    </row>
    <row r="3" spans="1:7" x14ac:dyDescent="0.25">
      <c r="A3" t="s">
        <v>6</v>
      </c>
      <c r="B3" s="2">
        <v>43770</v>
      </c>
      <c r="C3">
        <v>110</v>
      </c>
      <c r="D3" s="7">
        <v>518095.96958230244</v>
      </c>
    </row>
    <row r="4" spans="1:7" ht="30" x14ac:dyDescent="0.25">
      <c r="A4" s="4" t="s">
        <v>9</v>
      </c>
      <c r="B4" s="2">
        <v>43770</v>
      </c>
      <c r="C4">
        <v>220</v>
      </c>
      <c r="D4" s="7">
        <v>92343.83679623378</v>
      </c>
    </row>
    <row r="5" spans="1:7" x14ac:dyDescent="0.25">
      <c r="A5" t="s">
        <v>7</v>
      </c>
      <c r="B5" s="2">
        <v>43800</v>
      </c>
      <c r="C5">
        <v>150</v>
      </c>
      <c r="D5" s="7">
        <v>474017.61788770929</v>
      </c>
    </row>
    <row r="6" spans="1:7" x14ac:dyDescent="0.25">
      <c r="A6" t="s">
        <v>6</v>
      </c>
      <c r="B6" s="2">
        <v>43800</v>
      </c>
      <c r="C6">
        <v>58</v>
      </c>
      <c r="D6" s="7">
        <v>912530.2164655776</v>
      </c>
    </row>
    <row r="7" spans="1:7" ht="30" x14ac:dyDescent="0.25">
      <c r="A7" s="4" t="s">
        <v>9</v>
      </c>
      <c r="B7" s="2">
        <v>43770</v>
      </c>
      <c r="C7">
        <v>300</v>
      </c>
      <c r="D7" s="7">
        <v>406145.29814929847</v>
      </c>
    </row>
    <row r="8" spans="1:7" x14ac:dyDescent="0.25">
      <c r="A8" t="s">
        <v>7</v>
      </c>
      <c r="B8" s="2">
        <v>43831</v>
      </c>
      <c r="C8">
        <v>280</v>
      </c>
      <c r="D8" s="7">
        <v>299172.9347758785</v>
      </c>
    </row>
    <row r="9" spans="1:7" x14ac:dyDescent="0.25">
      <c r="A9" t="s">
        <v>6</v>
      </c>
      <c r="B9" s="2">
        <v>43831</v>
      </c>
      <c r="C9">
        <v>10</v>
      </c>
      <c r="D9" s="7">
        <v>109861.45601897083</v>
      </c>
    </row>
    <row r="10" spans="1:7" ht="30" x14ac:dyDescent="0.25">
      <c r="A10" s="4" t="s">
        <v>9</v>
      </c>
      <c r="B10" s="2">
        <v>43831</v>
      </c>
      <c r="C10">
        <v>20</v>
      </c>
      <c r="D10" s="7">
        <v>426276.94103136554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773F-3D46-49F5-9816-763FA5058F34}">
  <dimension ref="A1:G10"/>
  <sheetViews>
    <sheetView showGridLines="0" workbookViewId="0">
      <selection activeCell="F2" sqref="F2"/>
    </sheetView>
  </sheetViews>
  <sheetFormatPr defaultRowHeight="15" x14ac:dyDescent="0.25"/>
  <cols>
    <col min="1" max="1" width="15.42578125" customWidth="1"/>
    <col min="2" max="2" width="18.7109375" customWidth="1"/>
    <col min="4" max="4" width="15.5703125" style="7" bestFit="1" customWidth="1"/>
    <col min="5" max="5" width="2.140625" customWidth="1"/>
    <col min="6" max="6" width="74.42578125" customWidth="1"/>
    <col min="7" max="7" width="12.42578125" bestFit="1" customWidth="1"/>
  </cols>
  <sheetData>
    <row r="1" spans="1:7" x14ac:dyDescent="0.25">
      <c r="A1" s="1" t="s">
        <v>2</v>
      </c>
      <c r="B1" s="1" t="s">
        <v>3</v>
      </c>
      <c r="C1" s="1" t="s">
        <v>4</v>
      </c>
      <c r="D1" s="5" t="s">
        <v>5</v>
      </c>
      <c r="F1" s="3" t="s">
        <v>15</v>
      </c>
      <c r="G1" s="8" t="s">
        <v>16</v>
      </c>
    </row>
    <row r="2" spans="1:7" x14ac:dyDescent="0.25">
      <c r="A2" t="s">
        <v>7</v>
      </c>
      <c r="B2" s="2">
        <v>43770</v>
      </c>
      <c r="C2">
        <v>200</v>
      </c>
      <c r="D2" s="6">
        <v>214577.78823000001</v>
      </c>
      <c r="F2" t="str">
        <f>_xlfn.CONCAT("O cliente ",SUBSTITUTE(TRIM(A2)," (*)","")," faturou em ",TEXT(B2,"MMMM/aaaa")," o valor de: R$ ",TEXT(D2,"#.#"))</f>
        <v>O cliente VW faturou em novembro/2019 o valor de: R$ 214.578</v>
      </c>
      <c r="G2" t="b">
        <f>F2='Funções Básicas - Final'!N2</f>
        <v>1</v>
      </c>
    </row>
    <row r="3" spans="1:7" x14ac:dyDescent="0.25">
      <c r="A3" t="s">
        <v>6</v>
      </c>
      <c r="B3" s="2">
        <v>43770</v>
      </c>
      <c r="C3">
        <v>110</v>
      </c>
      <c r="D3" s="7">
        <v>518095.96958230244</v>
      </c>
      <c r="F3" t="str">
        <f t="shared" ref="F3:F10" si="0">_xlfn.CONCAT("O cliente ",SUBSTITUTE(TRIM(A3)," (*)","")," faturou em ",TEXT(B3,"MMMM/aaaa")," o valor de: R$ ",TEXT(D3,"#.#"))</f>
        <v>O cliente O Boticário faturou em novembro/2019 o valor de: R$ 518.096</v>
      </c>
      <c r="G3" t="b">
        <f>F3='Funções Básicas - Final'!N3</f>
        <v>1</v>
      </c>
    </row>
    <row r="4" spans="1:7" ht="30" x14ac:dyDescent="0.25">
      <c r="A4" s="4" t="s">
        <v>9</v>
      </c>
      <c r="B4" s="2">
        <v>43770</v>
      </c>
      <c r="C4">
        <v>220</v>
      </c>
      <c r="D4" s="7">
        <v>92343.83679623378</v>
      </c>
      <c r="F4" t="str">
        <f t="shared" si="0"/>
        <v>O cliente GOL 
Linhas Áreas faturou em novembro/2019 o valor de: R$ 92.344</v>
      </c>
      <c r="G4" t="b">
        <f>F4='Funções Básicas - Final'!N4</f>
        <v>1</v>
      </c>
    </row>
    <row r="5" spans="1:7" x14ac:dyDescent="0.25">
      <c r="A5" t="s">
        <v>7</v>
      </c>
      <c r="B5" s="2">
        <v>43800</v>
      </c>
      <c r="C5">
        <v>150</v>
      </c>
      <c r="D5" s="7">
        <v>474017.61788770929</v>
      </c>
      <c r="F5" t="str">
        <f t="shared" si="0"/>
        <v>O cliente VW faturou em dezembro/2019 o valor de: R$ 474.018</v>
      </c>
      <c r="G5" t="b">
        <f>F5='Funções Básicas - Final'!N5</f>
        <v>1</v>
      </c>
    </row>
    <row r="6" spans="1:7" x14ac:dyDescent="0.25">
      <c r="A6" t="s">
        <v>6</v>
      </c>
      <c r="B6" s="2">
        <v>43800</v>
      </c>
      <c r="C6">
        <v>58</v>
      </c>
      <c r="D6" s="7">
        <v>912530.2164655776</v>
      </c>
      <c r="F6" t="str">
        <f t="shared" si="0"/>
        <v>O cliente O Boticário faturou em dezembro/2019 o valor de: R$ 912.530</v>
      </c>
      <c r="G6" t="b">
        <f>F6='Funções Básicas - Final'!N6</f>
        <v>1</v>
      </c>
    </row>
    <row r="7" spans="1:7" ht="30" x14ac:dyDescent="0.25">
      <c r="A7" s="4" t="s">
        <v>9</v>
      </c>
      <c r="B7" s="2">
        <v>43770</v>
      </c>
      <c r="C7">
        <v>300</v>
      </c>
      <c r="D7" s="7">
        <v>406145.29814929847</v>
      </c>
      <c r="F7" t="str">
        <f t="shared" si="0"/>
        <v>O cliente GOL 
Linhas Áreas faturou em novembro/2019 o valor de: R$ 406.145</v>
      </c>
      <c r="G7" t="b">
        <f>F7='Funções Básicas - Final'!N7</f>
        <v>1</v>
      </c>
    </row>
    <row r="8" spans="1:7" x14ac:dyDescent="0.25">
      <c r="A8" t="s">
        <v>7</v>
      </c>
      <c r="B8" s="2">
        <v>43831</v>
      </c>
      <c r="C8">
        <v>280</v>
      </c>
      <c r="D8" s="7">
        <v>299172.9347758785</v>
      </c>
      <c r="F8" t="str">
        <f t="shared" si="0"/>
        <v>O cliente VW faturou em janeiro/2020 o valor de: R$ 299.173</v>
      </c>
      <c r="G8" t="b">
        <f>F8='Funções Básicas - Final'!N8</f>
        <v>1</v>
      </c>
    </row>
    <row r="9" spans="1:7" x14ac:dyDescent="0.25">
      <c r="A9" t="s">
        <v>6</v>
      </c>
      <c r="B9" s="2">
        <v>43831</v>
      </c>
      <c r="C9">
        <v>10</v>
      </c>
      <c r="D9" s="7">
        <v>109861.45601897083</v>
      </c>
      <c r="F9" t="str">
        <f t="shared" si="0"/>
        <v>O cliente O Boticário faturou em janeiro/2020 o valor de: R$ 109.861</v>
      </c>
      <c r="G9" t="b">
        <f>F9='Funções Básicas - Final'!N9</f>
        <v>1</v>
      </c>
    </row>
    <row r="10" spans="1:7" ht="30" x14ac:dyDescent="0.25">
      <c r="A10" s="4" t="s">
        <v>9</v>
      </c>
      <c r="B10" s="2">
        <v>43831</v>
      </c>
      <c r="C10">
        <v>20</v>
      </c>
      <c r="D10" s="7">
        <v>426276.94103136554</v>
      </c>
      <c r="F10" t="str">
        <f t="shared" si="0"/>
        <v>O cliente GOL 
Linhas Áreas faturou em janeiro/2020 o valor de: R$ 426.277</v>
      </c>
      <c r="G10" t="b">
        <f>F10='Funções Básicas - Final'!N10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Funções Básicas - Aula</vt:lpstr>
      <vt:lpstr>Funções Básicas - Final</vt:lpstr>
      <vt:lpstr>Fórmulas Aninhadas - Aula</vt:lpstr>
      <vt:lpstr>Fórmulas Aninhadas -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Augusto Souza Martins - Almap BBDO</dc:creator>
  <cp:lastModifiedBy>Renato Augusto Souza Martins - Almap BBDO</cp:lastModifiedBy>
  <dcterms:created xsi:type="dcterms:W3CDTF">2020-01-26T23:44:15Z</dcterms:created>
  <dcterms:modified xsi:type="dcterms:W3CDTF">2020-01-27T17:23:21Z</dcterms:modified>
</cp:coreProperties>
</file>