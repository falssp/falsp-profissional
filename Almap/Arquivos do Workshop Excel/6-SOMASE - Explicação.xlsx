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0" documentId="13_ncr:1_{4EB46634-500A-4EB9-96C8-E8369390B581}" xr6:coauthVersionLast="44" xr6:coauthVersionMax="44" xr10:uidLastSave="{00000000-0000-0000-0000-000000000000}"/>
  <bookViews>
    <workbookView xWindow="-120" yWindow="-120" windowWidth="29040" windowHeight="17640" activeTab="1" xr2:uid="{00000000-000D-0000-FFFF-FFFF00000000}"/>
  </bookViews>
  <sheets>
    <sheet name="Listas" sheetId="2" r:id="rId1"/>
    <sheet name="SOMAR - Aula" sheetId="1" r:id="rId2"/>
    <sheet name="SOMAR - Final" sheetId="4" r:id="rId3"/>
    <sheet name="SOMARPRODUTO - Aula" sheetId="5" r:id="rId4"/>
    <sheet name="SOMARPRODUTO - Final" sheetId="3" r:id="rId5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7" i="3" l="1"/>
  <c r="G30" i="5" l="1"/>
  <c r="G29" i="5"/>
  <c r="G28" i="5"/>
  <c r="G27" i="5"/>
  <c r="G22" i="5"/>
  <c r="G21" i="5"/>
  <c r="G20" i="5"/>
  <c r="G19" i="5"/>
  <c r="G23" i="5" s="1"/>
  <c r="G14" i="5"/>
  <c r="G13" i="5"/>
  <c r="G12" i="5"/>
  <c r="G11" i="5"/>
  <c r="G15" i="5" s="1"/>
  <c r="G28" i="3"/>
  <c r="G29" i="3"/>
  <c r="G30" i="3"/>
  <c r="G27" i="3"/>
  <c r="I22" i="4"/>
  <c r="I16" i="4"/>
  <c r="I10" i="4"/>
  <c r="I6" i="4"/>
  <c r="I2" i="4"/>
  <c r="G12" i="3"/>
  <c r="G13" i="3"/>
  <c r="G14" i="3"/>
  <c r="G11" i="3"/>
  <c r="G20" i="3"/>
  <c r="G21" i="3"/>
  <c r="G22" i="3"/>
  <c r="G19" i="3"/>
  <c r="H3" i="3"/>
  <c r="G31" i="5" l="1"/>
  <c r="G31" i="3"/>
  <c r="G15" i="3"/>
  <c r="G23" i="3"/>
</calcChain>
</file>

<file path=xl/sharedStrings.xml><?xml version="1.0" encoding="utf-8"?>
<sst xmlns="http://schemas.openxmlformats.org/spreadsheetml/2006/main" count="236" uniqueCount="47">
  <si>
    <t>Cliente</t>
  </si>
  <si>
    <t>Data</t>
  </si>
  <si>
    <t>Meio</t>
  </si>
  <si>
    <t>Valor</t>
  </si>
  <si>
    <t>MAN</t>
  </si>
  <si>
    <t>Alpargatas</t>
  </si>
  <si>
    <t>Cielo</t>
  </si>
  <si>
    <t>Elma</t>
  </si>
  <si>
    <t>Televisão</t>
  </si>
  <si>
    <t>Rádio</t>
  </si>
  <si>
    <t>Internet</t>
  </si>
  <si>
    <t>Cinena</t>
  </si>
  <si>
    <t>Resultado</t>
  </si>
  <si>
    <t>SOMASE()</t>
  </si>
  <si>
    <t>SOMA()</t>
  </si>
  <si>
    <t>SOMASES()</t>
  </si>
  <si>
    <t>Meios</t>
  </si>
  <si>
    <t>Clientes</t>
  </si>
  <si>
    <t>Critério Condicional</t>
  </si>
  <si>
    <t>Condicional</t>
  </si>
  <si>
    <t>AA</t>
  </si>
  <si>
    <t>AB</t>
  </si>
  <si>
    <t>AC</t>
  </si>
  <si>
    <t>AC-2</t>
  </si>
  <si>
    <t>AD</t>
  </si>
  <si>
    <t>BA</t>
  </si>
  <si>
    <t>BB</t>
  </si>
  <si>
    <t>BB-2</t>
  </si>
  <si>
    <t>BC</t>
  </si>
  <si>
    <t>AAAAA</t>
  </si>
  <si>
    <t>BBBBBB</t>
  </si>
  <si>
    <t>CCCCCC</t>
  </si>
  <si>
    <t>DDDDD</t>
  </si>
  <si>
    <t>EEEEEE</t>
  </si>
  <si>
    <t>FFFFFF</t>
  </si>
  <si>
    <t>PPPPPP</t>
  </si>
  <si>
    <t>*2</t>
  </si>
  <si>
    <t>Data maior ou igual a</t>
  </si>
  <si>
    <t>Jan</t>
  </si>
  <si>
    <t>Fev</t>
  </si>
  <si>
    <t>Mar</t>
  </si>
  <si>
    <t>SOMARPRODUTO()</t>
  </si>
  <si>
    <t>A matemática da fórmula</t>
  </si>
  <si>
    <t>Total</t>
  </si>
  <si>
    <t>Quando sinal de soma</t>
  </si>
  <si>
    <t>Quando sinal de subtração</t>
  </si>
  <si>
    <t>Cinema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</si>
</sst>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43" fontId="0" fillId="0" borderId="0" xfId="1" applyFont="1"/>
    <xf numFmtId="0" fontId="3" fillId="3" borderId="1" xfId="0" applyFont="1" applyFill="1" applyBorder="1"/>
    <xf numFmtId="0" fontId="3" fillId="3" borderId="2" xfId="0" applyFont="1" applyFill="1" applyBorder="1"/>
    <xf numFmtId="0" fontId="0" fillId="4" borderId="7" xfId="0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14" fontId="0" fillId="5" borderId="0" xfId="0" applyNumberFormat="1" applyFill="1"/>
    <xf numFmtId="0" fontId="0" fillId="6" borderId="0" xfId="0" applyFill="1" applyAlignment="1">
      <alignment horizontal="center"/>
    </xf>
    <xf numFmtId="0" fontId="5" fillId="6" borderId="7" xfId="0" applyFont="1" applyFill="1" applyBorder="1"/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0" fontId="3" fillId="3" borderId="3" xfId="0" applyFont="1" applyFill="1" applyBorder="1"/>
    <xf numFmtId="164" fontId="2" fillId="2" borderId="0" xfId="2" applyNumberFormat="1"/>
    <xf numFmtId="0" fontId="0" fillId="4" borderId="1" xfId="0" applyFont="1" applyFill="1" applyBorder="1"/>
    <xf numFmtId="0" fontId="0" fillId="4" borderId="4" xfId="0" applyFont="1" applyFill="1" applyBorder="1"/>
    <xf numFmtId="0" fontId="0" fillId="7" borderId="2" xfId="0" applyFont="1" applyFill="1" applyBorder="1"/>
    <xf numFmtId="0" fontId="0" fillId="7" borderId="3" xfId="0" applyFont="1" applyFill="1" applyBorder="1"/>
    <xf numFmtId="0" fontId="0" fillId="7" borderId="5" xfId="0" applyFont="1" applyFill="1" applyBorder="1"/>
    <xf numFmtId="0" fontId="0" fillId="7" borderId="6" xfId="0" applyFont="1" applyFill="1" applyBorder="1"/>
    <xf numFmtId="0" fontId="4" fillId="0" borderId="0" xfId="0" applyFont="1"/>
  </cellXfs>
  <cellStyles count="3">
    <cellStyle name="Normal" xfId="0" builtinId="0"/>
    <cellStyle name="Ruim" xfId="2" builtinId="27"/>
    <cellStyle name="Vírgula" xfId="1" builtinId="3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  <fill>
        <patternFill patternType="solid">
          <fgColor indexed="64"/>
          <bgColor theme="9" tint="0.59999389629810485"/>
        </patternFill>
      </fill>
    </dxf>
    <dxf>
      <numFmt numFmtId="19" formatCode="dd/mm/yyyy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  <fill>
        <patternFill patternType="solid">
          <fgColor indexed="64"/>
          <bgColor theme="9" tint="0.59999389629810485"/>
        </patternFill>
      </fill>
    </dxf>
    <dxf>
      <numFmt numFmtId="19" formatCode="dd/m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BAA5CB-CCBA-4E4E-B34C-9D2940A2B8B7}" name="Tabela2" displayName="Tabela2" ref="A1:A5" totalsRowShown="0">
  <autoFilter ref="A1:A5" xr:uid="{471A435D-B5C4-4F54-BCF5-C2CE23FCEB29}"/>
  <tableColumns count="1">
    <tableColumn id="1" xr3:uid="{081D60A4-1B31-4E39-B956-78EA1346F2EE}" name="Clientes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6FFB2B-1B6C-4EF9-A0A7-BC323367CD11}" name="Tabela3" displayName="Tabela3" ref="C1:C5" totalsRowShown="0">
  <autoFilter ref="C1:C5" xr:uid="{BF577315-7509-45F2-9DED-7B4436ED4DE0}"/>
  <tableColumns count="1">
    <tableColumn id="1" xr3:uid="{D486C4C3-0642-4EC0-8824-710E5ECA8587}" name="Meios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1CED28-05B4-4842-9BC8-C84A712BBD8F}" name="tblResumoClientes" displayName="tblResumoClientes" ref="A1:E17" totalsRowShown="0" headerRowDxfId="7">
  <autoFilter ref="A1:E17" xr:uid="{2AE50B0D-1FF0-495D-8CC4-46BC628740CC}"/>
  <tableColumns count="5">
    <tableColumn id="1" xr3:uid="{E9DE3ABE-850D-4272-8519-A5DF3CB3426E}" name="Cliente"/>
    <tableColumn id="2" xr3:uid="{661998FA-6A1E-4F4B-BC4E-5BBA85554683}" name="Meio"/>
    <tableColumn id="3" xr3:uid="{297F9623-847B-4248-9168-4CC5E4FE52D1}" name="Data" dataDxfId="6"/>
    <tableColumn id="5" xr3:uid="{7CF33F2C-1E88-4930-8B43-D2C2125B94E8}" name="Condicional" dataDxfId="5"/>
    <tableColumn id="4" xr3:uid="{D13CD056-4997-4557-B73E-2A5B71E38C02}" name="Valor" dataDxfId="4" dataCellStyle="Vírgul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FBEA90-F533-4327-9A0F-FB9CE1B48988}" name="tblResumoClientes6" displayName="tblResumoClientes6" ref="A1:E17" totalsRowShown="0" headerRowDxfId="3">
  <autoFilter ref="A1:E17" xr:uid="{2AE50B0D-1FF0-495D-8CC4-46BC628740CC}"/>
  <tableColumns count="5">
    <tableColumn id="1" xr3:uid="{FAEA47B9-B89A-476D-A7ED-00A294FD9130}" name="Cliente"/>
    <tableColumn id="2" xr3:uid="{FB1666AD-D6A1-494D-9D1B-58F971AB1906}" name="Meio"/>
    <tableColumn id="3" xr3:uid="{D4C4C25B-C5FE-4400-A2E1-801D52C81C06}" name="Data" dataDxfId="2"/>
    <tableColumn id="5" xr3:uid="{A546D24A-B129-46D0-9ED5-4A8B2DE9A6D8}" name="Condicional" dataDxfId="1"/>
    <tableColumn id="4" xr3:uid="{9F5CD632-A947-41CC-A22C-78AD9EB00781}" name="Valor" dataDxfId="0" dataCellStyle="Vírgul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4C30F6-9D9A-4224-9361-C1480623A58F}" name="tblSomarProduto7" displayName="tblSomarProduto7" ref="A1:D5" totalsRowShown="0">
  <autoFilter ref="A1:D5" xr:uid="{169B9589-D0A0-41A5-AE5D-25BCA19CBAD0}"/>
  <tableColumns count="4">
    <tableColumn id="1" xr3:uid="{72C7524C-824A-41B3-AE63-63799F66BAFC}" name="Cliente"/>
    <tableColumn id="2" xr3:uid="{3BB0F965-3D5A-4005-B603-A699ADD95C89}" name="Jan"/>
    <tableColumn id="3" xr3:uid="{51176899-D56C-4CDD-8896-351377CA59A6}" name="Fev"/>
    <tableColumn id="4" xr3:uid="{46A8C256-ABAC-434C-A1A9-A3F854A73838}" name="Ma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DDA527-2B4D-4848-80BF-6107960C7689}" name="tblSomarProduto" displayName="tblSomarProduto" ref="A1:D5" totalsRowShown="0">
  <autoFilter ref="A1:D5" xr:uid="{169B9589-D0A0-41A5-AE5D-25BCA19CBAD0}"/>
  <tableColumns count="4">
    <tableColumn id="1" xr3:uid="{2981A0B6-8CCB-4BC2-97A1-96B457E0B521}" name="Cliente"/>
    <tableColumn id="2" xr3:uid="{380EB5AF-1753-4217-A67F-64836F07E151}" name="Jan"/>
    <tableColumn id="3" xr3:uid="{A4F3AFB3-CFBC-4A5A-8D43-38DA46313E7C}" name="Fev"/>
    <tableColumn id="4" xr3:uid="{11337D95-EA81-4138-B48A-C7EC2336D5AC}" name="M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46D34-9C33-4370-8B67-7D08DA775234}">
  <dimension ref="A1:C5"/>
  <sheetViews>
    <sheetView workbookViewId="0">
      <selection activeCell="C16" sqref="C16"/>
    </sheetView>
  </sheetViews>
  <sheetFormatPr defaultRowHeight="15" x14ac:dyDescent="0.25"/>
  <cols>
    <col min="1" max="1" width="12.140625" customWidth="1"/>
  </cols>
  <sheetData>
    <row r="1" spans="1:3" x14ac:dyDescent="0.25">
      <c r="A1" t="s">
        <v>17</v>
      </c>
      <c r="C1" t="s">
        <v>16</v>
      </c>
    </row>
    <row r="2" spans="1:3" x14ac:dyDescent="0.25">
      <c r="A2" t="s">
        <v>4</v>
      </c>
      <c r="C2" t="s">
        <v>8</v>
      </c>
    </row>
    <row r="3" spans="1:3" x14ac:dyDescent="0.25">
      <c r="A3" t="s">
        <v>5</v>
      </c>
      <c r="C3" t="s">
        <v>9</v>
      </c>
    </row>
    <row r="4" spans="1:3" x14ac:dyDescent="0.25">
      <c r="A4" t="s">
        <v>6</v>
      </c>
      <c r="C4" t="s">
        <v>10</v>
      </c>
    </row>
    <row r="5" spans="1:3" x14ac:dyDescent="0.25">
      <c r="A5" t="s">
        <v>7</v>
      </c>
      <c r="C5" t="s">
        <v>11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showGridLines="0" tabSelected="1" workbookViewId="0"/>
  </sheetViews>
  <sheetFormatPr defaultRowHeight="15" x14ac:dyDescent="0.25"/>
  <cols>
    <col min="1" max="1" width="12.5703125" customWidth="1"/>
    <col min="2" max="3" width="14" customWidth="1"/>
    <col min="4" max="4" width="17.140625" customWidth="1"/>
    <col min="5" max="5" width="16.5703125" style="2" customWidth="1"/>
    <col min="7" max="7" width="9.140625" customWidth="1"/>
    <col min="8" max="8" width="19.7109375" bestFit="1" customWidth="1"/>
    <col min="9" max="9" width="14.28515625" bestFit="1" customWidth="1"/>
  </cols>
  <sheetData>
    <row r="1" spans="1:10" x14ac:dyDescent="0.25">
      <c r="A1" s="7" t="s">
        <v>0</v>
      </c>
      <c r="B1" s="7" t="s">
        <v>2</v>
      </c>
      <c r="C1" s="7" t="s">
        <v>1</v>
      </c>
      <c r="D1" s="10" t="s">
        <v>19</v>
      </c>
      <c r="E1" s="8" t="s">
        <v>3</v>
      </c>
      <c r="H1" s="5" t="s">
        <v>14</v>
      </c>
      <c r="I1" s="5"/>
      <c r="J1" s="5"/>
    </row>
    <row r="2" spans="1:10" x14ac:dyDescent="0.25">
      <c r="A2" t="s">
        <v>4</v>
      </c>
      <c r="B2" t="s">
        <v>8</v>
      </c>
      <c r="C2" s="1">
        <v>43466</v>
      </c>
      <c r="D2" s="9" t="s">
        <v>20</v>
      </c>
      <c r="E2" s="2">
        <v>416177.90247811319</v>
      </c>
      <c r="H2" s="13" t="s">
        <v>12</v>
      </c>
      <c r="I2" s="14"/>
    </row>
    <row r="3" spans="1:10" x14ac:dyDescent="0.25">
      <c r="A3" t="s">
        <v>4</v>
      </c>
      <c r="B3" t="s">
        <v>9</v>
      </c>
      <c r="C3" s="1">
        <v>43525</v>
      </c>
      <c r="D3" s="9" t="s">
        <v>21</v>
      </c>
      <c r="E3" s="2">
        <v>232790.30745393029</v>
      </c>
    </row>
    <row r="4" spans="1:10" x14ac:dyDescent="0.25">
      <c r="A4" t="s">
        <v>4</v>
      </c>
      <c r="B4" t="s">
        <v>10</v>
      </c>
      <c r="C4" s="1">
        <v>43586</v>
      </c>
      <c r="D4" s="9" t="s">
        <v>22</v>
      </c>
      <c r="E4" s="2">
        <v>1989900.6793513077</v>
      </c>
      <c r="H4" s="5" t="s">
        <v>13</v>
      </c>
      <c r="I4" s="5"/>
      <c r="J4" s="5"/>
    </row>
    <row r="5" spans="1:10" x14ac:dyDescent="0.25">
      <c r="A5" t="s">
        <v>4</v>
      </c>
      <c r="B5" t="s">
        <v>46</v>
      </c>
      <c r="C5" s="1">
        <v>43647</v>
      </c>
      <c r="D5" s="9" t="s">
        <v>23</v>
      </c>
      <c r="E5" s="2">
        <v>2245062.6201265389</v>
      </c>
      <c r="H5" s="6" t="s">
        <v>0</v>
      </c>
      <c r="I5" s="7"/>
    </row>
    <row r="6" spans="1:10" x14ac:dyDescent="0.25">
      <c r="A6" t="s">
        <v>5</v>
      </c>
      <c r="B6" t="s">
        <v>8</v>
      </c>
      <c r="C6" s="1">
        <v>43497</v>
      </c>
      <c r="D6" s="9" t="s">
        <v>24</v>
      </c>
      <c r="E6" s="2">
        <v>682857.51483899308</v>
      </c>
      <c r="H6" s="13" t="s">
        <v>12</v>
      </c>
      <c r="I6" s="14"/>
    </row>
    <row r="7" spans="1:10" x14ac:dyDescent="0.25">
      <c r="A7" t="s">
        <v>5</v>
      </c>
      <c r="B7" t="s">
        <v>9</v>
      </c>
      <c r="C7" s="1">
        <v>43678</v>
      </c>
      <c r="D7" s="9" t="s">
        <v>25</v>
      </c>
      <c r="E7" s="2">
        <v>3718955.8414842561</v>
      </c>
    </row>
    <row r="8" spans="1:10" x14ac:dyDescent="0.25">
      <c r="A8" t="s">
        <v>5</v>
      </c>
      <c r="B8" t="s">
        <v>10</v>
      </c>
      <c r="C8" s="1">
        <v>43525</v>
      </c>
      <c r="D8" s="9" t="s">
        <v>26</v>
      </c>
      <c r="E8" s="2">
        <v>3540193.7785715316</v>
      </c>
      <c r="H8" s="11" t="s">
        <v>18</v>
      </c>
      <c r="I8" s="11"/>
      <c r="J8" s="11"/>
    </row>
    <row r="9" spans="1:10" x14ac:dyDescent="0.25">
      <c r="A9" t="s">
        <v>5</v>
      </c>
      <c r="B9" t="s">
        <v>46</v>
      </c>
      <c r="C9" s="1">
        <v>43800</v>
      </c>
      <c r="D9" s="9" t="s">
        <v>27</v>
      </c>
      <c r="E9" s="2">
        <v>1976447.6936175372</v>
      </c>
      <c r="H9" s="6" t="s">
        <v>0</v>
      </c>
    </row>
    <row r="10" spans="1:10" x14ac:dyDescent="0.25">
      <c r="A10" t="s">
        <v>6</v>
      </c>
      <c r="B10" t="s">
        <v>8</v>
      </c>
      <c r="C10" s="1">
        <v>43466</v>
      </c>
      <c r="D10" s="9" t="s">
        <v>28</v>
      </c>
      <c r="E10" s="2">
        <v>585925.38957893301</v>
      </c>
      <c r="H10" s="13" t="s">
        <v>12</v>
      </c>
      <c r="I10" s="14"/>
    </row>
    <row r="11" spans="1:10" x14ac:dyDescent="0.25">
      <c r="A11" t="s">
        <v>6</v>
      </c>
      <c r="B11" t="s">
        <v>9</v>
      </c>
      <c r="C11" s="1">
        <v>43617</v>
      </c>
      <c r="D11" s="9" t="s">
        <v>29</v>
      </c>
      <c r="E11" s="2">
        <v>253397.11920512872</v>
      </c>
    </row>
    <row r="12" spans="1:10" x14ac:dyDescent="0.25">
      <c r="A12" t="s">
        <v>6</v>
      </c>
      <c r="B12" t="s">
        <v>10</v>
      </c>
      <c r="C12" s="1">
        <v>43466</v>
      </c>
      <c r="D12" s="9" t="s">
        <v>30</v>
      </c>
      <c r="E12" s="2">
        <v>406906.5181402606</v>
      </c>
      <c r="H12" s="5" t="s">
        <v>15</v>
      </c>
      <c r="I12" s="5"/>
      <c r="J12" s="5"/>
    </row>
    <row r="13" spans="1:10" x14ac:dyDescent="0.25">
      <c r="A13" t="s">
        <v>6</v>
      </c>
      <c r="B13" t="s">
        <v>46</v>
      </c>
      <c r="C13" s="1">
        <v>43497</v>
      </c>
      <c r="D13" s="9" t="s">
        <v>31</v>
      </c>
      <c r="E13" s="2">
        <v>1150779.4273793572</v>
      </c>
      <c r="H13" s="6" t="s">
        <v>0</v>
      </c>
      <c r="I13" s="7"/>
    </row>
    <row r="14" spans="1:10" x14ac:dyDescent="0.25">
      <c r="A14" t="s">
        <v>7</v>
      </c>
      <c r="B14" t="s">
        <v>8</v>
      </c>
      <c r="C14" s="1">
        <v>43586</v>
      </c>
      <c r="D14" s="9" t="s">
        <v>32</v>
      </c>
      <c r="E14" s="2">
        <v>30813058.881127536</v>
      </c>
      <c r="H14" s="6" t="s">
        <v>2</v>
      </c>
      <c r="I14" s="7"/>
    </row>
    <row r="15" spans="1:10" x14ac:dyDescent="0.25">
      <c r="A15" t="s">
        <v>7</v>
      </c>
      <c r="B15" t="s">
        <v>9</v>
      </c>
      <c r="C15" s="1">
        <v>43770</v>
      </c>
      <c r="D15" s="9" t="s">
        <v>33</v>
      </c>
      <c r="E15" s="2">
        <v>11165385.071816536</v>
      </c>
      <c r="H15" s="6" t="s">
        <v>37</v>
      </c>
      <c r="I15" s="12"/>
    </row>
    <row r="16" spans="1:10" x14ac:dyDescent="0.25">
      <c r="A16" t="s">
        <v>7</v>
      </c>
      <c r="B16" t="s">
        <v>10</v>
      </c>
      <c r="C16" s="1">
        <v>43709</v>
      </c>
      <c r="D16" s="9" t="s">
        <v>34</v>
      </c>
      <c r="E16" s="2">
        <v>309941.35536556767</v>
      </c>
      <c r="H16" s="13" t="s">
        <v>12</v>
      </c>
      <c r="I16" s="14"/>
    </row>
    <row r="17" spans="1:10" x14ac:dyDescent="0.25">
      <c r="A17" t="s">
        <v>7</v>
      </c>
      <c r="B17" t="s">
        <v>46</v>
      </c>
      <c r="C17" s="1">
        <v>43466</v>
      </c>
      <c r="D17" s="9" t="s">
        <v>35</v>
      </c>
      <c r="E17" s="2">
        <v>3945855.418074308</v>
      </c>
    </row>
    <row r="18" spans="1:10" x14ac:dyDescent="0.25">
      <c r="H18" s="5" t="s">
        <v>41</v>
      </c>
      <c r="I18" s="5"/>
      <c r="J18" s="5"/>
    </row>
    <row r="19" spans="1:10" x14ac:dyDescent="0.25">
      <c r="H19" s="6" t="s">
        <v>0</v>
      </c>
      <c r="I19" s="7"/>
    </row>
    <row r="20" spans="1:10" x14ac:dyDescent="0.25">
      <c r="H20" s="6" t="s">
        <v>2</v>
      </c>
      <c r="I20" s="7"/>
    </row>
    <row r="21" spans="1:10" x14ac:dyDescent="0.25">
      <c r="H21" s="6" t="s">
        <v>37</v>
      </c>
      <c r="I21" s="12"/>
    </row>
    <row r="22" spans="1:10" x14ac:dyDescent="0.25">
      <c r="H22" s="13" t="s">
        <v>12</v>
      </c>
      <c r="I22" s="14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FD7203F-BC49-4D55-AEDD-170E04EC6138}">
          <x14:formula1>
            <xm:f>Listas!$A$2:$A$5</xm:f>
          </x14:formula1>
          <xm:sqref>I5 I13 I19</xm:sqref>
        </x14:dataValidation>
        <x14:dataValidation type="list" allowBlank="1" showInputMessage="1" showErrorMessage="1" xr:uid="{4033F8C6-D651-48AF-B28C-BB364E89C6F8}">
          <x14:formula1>
            <xm:f>Listas!$C$2:$C$5</xm:f>
          </x14:formula1>
          <xm:sqref>I14 I20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AC32F-24AC-4A79-BDCD-FAD08EF12CA5}">
  <dimension ref="A1:J22"/>
  <sheetViews>
    <sheetView showGridLines="0" workbookViewId="0">
      <selection activeCell="C19" sqref="C19"/>
    </sheetView>
  </sheetViews>
  <sheetFormatPr defaultRowHeight="15" x14ac:dyDescent="0.25"/>
  <cols>
    <col min="1" max="1" width="12.5703125" customWidth="1"/>
    <col min="2" max="3" width="14" customWidth="1"/>
    <col min="4" max="4" width="17.140625" customWidth="1"/>
    <col min="5" max="5" width="16.5703125" style="2" customWidth="1"/>
    <col min="7" max="7" width="9.140625" customWidth="1"/>
    <col min="8" max="8" width="19.7109375" bestFit="1" customWidth="1"/>
    <col min="9" max="9" width="14.28515625" bestFit="1" customWidth="1"/>
  </cols>
  <sheetData>
    <row r="1" spans="1:10" x14ac:dyDescent="0.25">
      <c r="A1" s="7" t="s">
        <v>0</v>
      </c>
      <c r="B1" s="7" t="s">
        <v>2</v>
      </c>
      <c r="C1" s="7" t="s">
        <v>1</v>
      </c>
      <c r="D1" s="10" t="s">
        <v>19</v>
      </c>
      <c r="E1" s="8" t="s">
        <v>3</v>
      </c>
      <c r="H1" s="5" t="s">
        <v>14</v>
      </c>
      <c r="I1" s="5"/>
      <c r="J1" s="5"/>
    </row>
    <row r="2" spans="1:10" x14ac:dyDescent="0.25">
      <c r="A2" t="s">
        <v>4</v>
      </c>
      <c r="B2" t="s">
        <v>8</v>
      </c>
      <c r="C2" s="1">
        <v>43466</v>
      </c>
      <c r="D2" s="9" t="s">
        <v>20</v>
      </c>
      <c r="E2" s="2">
        <v>416177.90247811319</v>
      </c>
      <c r="H2" s="13" t="s">
        <v>12</v>
      </c>
      <c r="I2" s="14">
        <f>SUM(tblResumoClientes6[Valor])</f>
        <v>63433635.518609829</v>
      </c>
    </row>
    <row r="3" spans="1:10" x14ac:dyDescent="0.25">
      <c r="A3" t="s">
        <v>4</v>
      </c>
      <c r="B3" t="s">
        <v>9</v>
      </c>
      <c r="C3" s="1">
        <v>43525</v>
      </c>
      <c r="D3" s="9" t="s">
        <v>21</v>
      </c>
      <c r="E3" s="2">
        <v>232790.30745393029</v>
      </c>
    </row>
    <row r="4" spans="1:10" x14ac:dyDescent="0.25">
      <c r="A4" t="s">
        <v>4</v>
      </c>
      <c r="B4" t="s">
        <v>10</v>
      </c>
      <c r="C4" s="1">
        <v>43586</v>
      </c>
      <c r="D4" s="9" t="s">
        <v>22</v>
      </c>
      <c r="E4" s="2">
        <v>1989900.6793513077</v>
      </c>
      <c r="H4" s="5" t="s">
        <v>13</v>
      </c>
      <c r="I4" s="5"/>
      <c r="J4" s="5"/>
    </row>
    <row r="5" spans="1:10" x14ac:dyDescent="0.25">
      <c r="A5" t="s">
        <v>4</v>
      </c>
      <c r="B5" t="s">
        <v>46</v>
      </c>
      <c r="C5" s="1">
        <v>43647</v>
      </c>
      <c r="D5" s="9" t="s">
        <v>23</v>
      </c>
      <c r="E5" s="2">
        <v>2245062.6201265389</v>
      </c>
      <c r="H5" s="6" t="s">
        <v>0</v>
      </c>
      <c r="I5" s="7" t="s">
        <v>7</v>
      </c>
    </row>
    <row r="6" spans="1:10" x14ac:dyDescent="0.25">
      <c r="A6" t="s">
        <v>5</v>
      </c>
      <c r="B6" t="s">
        <v>8</v>
      </c>
      <c r="C6" s="1">
        <v>43497</v>
      </c>
      <c r="D6" s="9" t="s">
        <v>24</v>
      </c>
      <c r="E6" s="2">
        <v>682857.51483899308</v>
      </c>
      <c r="H6" s="13" t="s">
        <v>12</v>
      </c>
      <c r="I6" s="14">
        <f>SUMIF(tblResumoClientes6[Cliente],I5,tblResumoClientes6[Valor])</f>
        <v>46234240.726383947</v>
      </c>
    </row>
    <row r="7" spans="1:10" x14ac:dyDescent="0.25">
      <c r="A7" t="s">
        <v>5</v>
      </c>
      <c r="B7" t="s">
        <v>9</v>
      </c>
      <c r="C7" s="1">
        <v>43678</v>
      </c>
      <c r="D7" s="9" t="s">
        <v>25</v>
      </c>
      <c r="E7" s="2">
        <v>3718955.8414842561</v>
      </c>
    </row>
    <row r="8" spans="1:10" x14ac:dyDescent="0.25">
      <c r="A8" t="s">
        <v>5</v>
      </c>
      <c r="B8" t="s">
        <v>10</v>
      </c>
      <c r="C8" s="1">
        <v>43525</v>
      </c>
      <c r="D8" s="9" t="s">
        <v>26</v>
      </c>
      <c r="E8" s="2">
        <v>3540193.7785715316</v>
      </c>
      <c r="H8" s="11" t="s">
        <v>18</v>
      </c>
      <c r="I8" s="11"/>
      <c r="J8" s="11"/>
    </row>
    <row r="9" spans="1:10" x14ac:dyDescent="0.25">
      <c r="A9" t="s">
        <v>5</v>
      </c>
      <c r="B9" t="s">
        <v>46</v>
      </c>
      <c r="C9" s="1">
        <v>43800</v>
      </c>
      <c r="D9" s="9" t="s">
        <v>27</v>
      </c>
      <c r="E9" s="2">
        <v>1976447.6936175372</v>
      </c>
      <c r="H9" s="6" t="s">
        <v>0</v>
      </c>
      <c r="I9" t="s">
        <v>36</v>
      </c>
    </row>
    <row r="10" spans="1:10" x14ac:dyDescent="0.25">
      <c r="A10" t="s">
        <v>6</v>
      </c>
      <c r="B10" t="s">
        <v>8</v>
      </c>
      <c r="C10" s="1">
        <v>43466</v>
      </c>
      <c r="D10" s="9" t="s">
        <v>28</v>
      </c>
      <c r="E10" s="2">
        <v>585925.38957893301</v>
      </c>
      <c r="H10" s="13" t="s">
        <v>12</v>
      </c>
      <c r="I10" s="14">
        <f>SUMIF(tblResumoClientes6[Condicional],I9,tblResumoClientes6[Valor])</f>
        <v>4221510.3137440756</v>
      </c>
    </row>
    <row r="11" spans="1:10" x14ac:dyDescent="0.25">
      <c r="A11" t="s">
        <v>6</v>
      </c>
      <c r="B11" t="s">
        <v>9</v>
      </c>
      <c r="C11" s="1">
        <v>43617</v>
      </c>
      <c r="D11" s="9" t="s">
        <v>29</v>
      </c>
      <c r="E11" s="2">
        <v>253397.11920512872</v>
      </c>
    </row>
    <row r="12" spans="1:10" x14ac:dyDescent="0.25">
      <c r="A12" t="s">
        <v>6</v>
      </c>
      <c r="B12" t="s">
        <v>10</v>
      </c>
      <c r="C12" s="1">
        <v>43466</v>
      </c>
      <c r="D12" s="9" t="s">
        <v>30</v>
      </c>
      <c r="E12" s="2">
        <v>406906.5181402606</v>
      </c>
      <c r="H12" s="5" t="s">
        <v>15</v>
      </c>
      <c r="I12" s="5"/>
      <c r="J12" s="5"/>
    </row>
    <row r="13" spans="1:10" x14ac:dyDescent="0.25">
      <c r="A13" t="s">
        <v>6</v>
      </c>
      <c r="B13" t="s">
        <v>46</v>
      </c>
      <c r="C13" s="1">
        <v>43497</v>
      </c>
      <c r="D13" s="9" t="s">
        <v>31</v>
      </c>
      <c r="E13" s="2">
        <v>1150779.4273793572</v>
      </c>
      <c r="H13" s="6" t="s">
        <v>0</v>
      </c>
      <c r="I13" s="7" t="s">
        <v>6</v>
      </c>
    </row>
    <row r="14" spans="1:10" x14ac:dyDescent="0.25">
      <c r="A14" t="s">
        <v>7</v>
      </c>
      <c r="B14" t="s">
        <v>8</v>
      </c>
      <c r="C14" s="1">
        <v>43586</v>
      </c>
      <c r="D14" s="9" t="s">
        <v>32</v>
      </c>
      <c r="E14" s="2">
        <v>30813058.881127536</v>
      </c>
      <c r="H14" s="6" t="s">
        <v>2</v>
      </c>
      <c r="I14" s="7" t="s">
        <v>11</v>
      </c>
    </row>
    <row r="15" spans="1:10" x14ac:dyDescent="0.25">
      <c r="A15" t="s">
        <v>7</v>
      </c>
      <c r="B15" t="s">
        <v>9</v>
      </c>
      <c r="C15" s="1">
        <v>43770</v>
      </c>
      <c r="D15" s="9" t="s">
        <v>33</v>
      </c>
      <c r="E15" s="2">
        <v>11165385.071816536</v>
      </c>
      <c r="H15" s="6" t="s">
        <v>37</v>
      </c>
      <c r="I15" s="12">
        <v>43466</v>
      </c>
    </row>
    <row r="16" spans="1:10" x14ac:dyDescent="0.25">
      <c r="A16" t="s">
        <v>7</v>
      </c>
      <c r="B16" t="s">
        <v>10</v>
      </c>
      <c r="C16" s="1">
        <v>43709</v>
      </c>
      <c r="D16" s="9" t="s">
        <v>34</v>
      </c>
      <c r="E16" s="2">
        <v>309941.35536556767</v>
      </c>
      <c r="H16" s="13" t="s">
        <v>12</v>
      </c>
      <c r="I16" s="14">
        <f>SUMIFS(tblResumoClientes6[Valor],tblResumoClientes6[Cliente],I13,tblResumoClientes6[Meio],I14,tblResumoClientes6[Data],"&gt;="&amp;I15)</f>
        <v>0</v>
      </c>
    </row>
    <row r="17" spans="1:10" x14ac:dyDescent="0.25">
      <c r="A17" t="s">
        <v>7</v>
      </c>
      <c r="B17" t="s">
        <v>46</v>
      </c>
      <c r="C17" s="1">
        <v>43466</v>
      </c>
      <c r="D17" s="9" t="s">
        <v>35</v>
      </c>
      <c r="E17" s="2">
        <v>3945855.418074308</v>
      </c>
    </row>
    <row r="18" spans="1:10" x14ac:dyDescent="0.25">
      <c r="H18" s="5" t="s">
        <v>41</v>
      </c>
      <c r="I18" s="5"/>
      <c r="J18" s="5"/>
    </row>
    <row r="19" spans="1:10" x14ac:dyDescent="0.25">
      <c r="H19" s="6" t="s">
        <v>0</v>
      </c>
      <c r="I19" s="7" t="s">
        <v>6</v>
      </c>
    </row>
    <row r="20" spans="1:10" x14ac:dyDescent="0.25">
      <c r="H20" s="6" t="s">
        <v>2</v>
      </c>
      <c r="I20" s="7" t="s">
        <v>11</v>
      </c>
    </row>
    <row r="21" spans="1:10" x14ac:dyDescent="0.25">
      <c r="H21" s="6" t="s">
        <v>37</v>
      </c>
      <c r="I21" s="12">
        <v>43466</v>
      </c>
    </row>
    <row r="22" spans="1:10" x14ac:dyDescent="0.25">
      <c r="H22" s="13" t="s">
        <v>12</v>
      </c>
      <c r="I22" s="14">
        <f>SUMPRODUCT((tblResumoClientes6[Cliente]=I19)*(tblResumoClientes6[Meio]=I20)*(tblResumoClientes6[Data]&gt;=I21)*(tblResumoClientes6[Valor]))</f>
        <v>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32B0AC9-334C-4C84-8D65-4C9CBCD0FD80}">
          <x14:formula1>
            <xm:f>Listas!$C$2:$C$5</xm:f>
          </x14:formula1>
          <xm:sqref>I14 I20</xm:sqref>
        </x14:dataValidation>
        <x14:dataValidation type="list" allowBlank="1" showInputMessage="1" showErrorMessage="1" xr:uid="{2B68411A-25FB-45D5-BC9D-B1FABF383CB5}">
          <x14:formula1>
            <xm:f>Listas!$A$2:$A$5</xm:f>
          </x14:formula1>
          <xm:sqref>I5 I13 I19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71E2-E6A7-4742-9F70-53E975ADC6DC}">
  <dimension ref="A1:I32"/>
  <sheetViews>
    <sheetView workbookViewId="0">
      <selection activeCell="H3" sqref="H3"/>
    </sheetView>
  </sheetViews>
  <sheetFormatPr defaultRowHeight="15" outlineLevelRow="1" x14ac:dyDescent="0.25"/>
  <cols>
    <col min="1" max="1" width="15.140625" customWidth="1"/>
    <col min="2" max="4" width="11" customWidth="1"/>
    <col min="7" max="7" width="19.7109375" bestFit="1" customWidth="1"/>
    <col min="8" max="8" width="14.28515625" bestFit="1" customWidth="1"/>
  </cols>
  <sheetData>
    <row r="1" spans="1:9" x14ac:dyDescent="0.25">
      <c r="A1" t="s">
        <v>0</v>
      </c>
      <c r="B1" t="s">
        <v>38</v>
      </c>
      <c r="C1" t="s">
        <v>39</v>
      </c>
      <c r="D1" t="s">
        <v>40</v>
      </c>
      <c r="G1" s="5" t="s">
        <v>13</v>
      </c>
      <c r="H1" s="5"/>
      <c r="I1" s="5"/>
    </row>
    <row r="2" spans="1:9" x14ac:dyDescent="0.25">
      <c r="A2" t="s">
        <v>4</v>
      </c>
      <c r="B2">
        <v>1</v>
      </c>
      <c r="C2">
        <v>1</v>
      </c>
      <c r="D2">
        <v>1</v>
      </c>
      <c r="G2" s="6" t="s">
        <v>0</v>
      </c>
      <c r="H2" s="7"/>
    </row>
    <row r="3" spans="1:9" x14ac:dyDescent="0.25">
      <c r="A3" t="s">
        <v>5</v>
      </c>
      <c r="B3">
        <v>1</v>
      </c>
      <c r="C3">
        <v>1</v>
      </c>
      <c r="D3">
        <v>1</v>
      </c>
      <c r="G3" s="13" t="s">
        <v>12</v>
      </c>
      <c r="H3" s="16"/>
    </row>
    <row r="4" spans="1:9" x14ac:dyDescent="0.25">
      <c r="A4" t="s">
        <v>6</v>
      </c>
      <c r="B4">
        <v>1</v>
      </c>
      <c r="C4">
        <v>1</v>
      </c>
      <c r="D4">
        <v>1</v>
      </c>
    </row>
    <row r="5" spans="1:9" x14ac:dyDescent="0.25">
      <c r="A5" t="s">
        <v>7</v>
      </c>
      <c r="B5">
        <v>1</v>
      </c>
      <c r="C5">
        <v>1</v>
      </c>
      <c r="D5">
        <v>1</v>
      </c>
      <c r="G5" s="5" t="s">
        <v>41</v>
      </c>
      <c r="H5" s="5"/>
      <c r="I5" s="5"/>
    </row>
    <row r="6" spans="1:9" x14ac:dyDescent="0.25">
      <c r="G6" s="6" t="s">
        <v>0</v>
      </c>
      <c r="H6" s="7"/>
    </row>
    <row r="7" spans="1:9" x14ac:dyDescent="0.25">
      <c r="G7" s="13" t="s">
        <v>12</v>
      </c>
    </row>
    <row r="9" spans="1:9" x14ac:dyDescent="0.25">
      <c r="A9" t="s">
        <v>42</v>
      </c>
    </row>
    <row r="10" spans="1:9" hidden="1" outlineLevel="1" x14ac:dyDescent="0.25">
      <c r="A10" s="3" t="s">
        <v>0</v>
      </c>
      <c r="B10" s="4" t="s">
        <v>38</v>
      </c>
      <c r="C10" s="3" t="s">
        <v>0</v>
      </c>
      <c r="D10" s="4" t="s">
        <v>39</v>
      </c>
      <c r="E10" s="3" t="s">
        <v>0</v>
      </c>
      <c r="F10" s="15" t="s">
        <v>40</v>
      </c>
    </row>
    <row r="11" spans="1:9" hidden="1" outlineLevel="1" x14ac:dyDescent="0.25">
      <c r="A11" s="17">
        <v>0</v>
      </c>
      <c r="B11" s="19">
        <v>1</v>
      </c>
      <c r="C11" s="17">
        <v>0</v>
      </c>
      <c r="D11" s="19">
        <v>1</v>
      </c>
      <c r="E11" s="17">
        <v>0</v>
      </c>
      <c r="F11" s="20">
        <v>1</v>
      </c>
      <c r="G11" s="23">
        <f>(A11*B11)+(C11*D11)+(E11*F11)</f>
        <v>0</v>
      </c>
    </row>
    <row r="12" spans="1:9" hidden="1" outlineLevel="1" x14ac:dyDescent="0.25">
      <c r="A12" s="17">
        <v>0</v>
      </c>
      <c r="B12" s="19">
        <v>1</v>
      </c>
      <c r="C12" s="17">
        <v>0</v>
      </c>
      <c r="D12" s="19">
        <v>1</v>
      </c>
      <c r="E12" s="17">
        <v>0</v>
      </c>
      <c r="F12" s="20">
        <v>1</v>
      </c>
      <c r="G12" s="23">
        <f t="shared" ref="G12:G14" si="0">(A12*B12)+(C12*D12)+(E12*F12)</f>
        <v>0</v>
      </c>
    </row>
    <row r="13" spans="1:9" hidden="1" outlineLevel="1" x14ac:dyDescent="0.25">
      <c r="A13" s="17">
        <v>0</v>
      </c>
      <c r="B13" s="19">
        <v>1</v>
      </c>
      <c r="C13" s="17">
        <v>0</v>
      </c>
      <c r="D13" s="19">
        <v>1</v>
      </c>
      <c r="E13" s="17">
        <v>0</v>
      </c>
      <c r="F13" s="20">
        <v>1</v>
      </c>
      <c r="G13" s="23">
        <f t="shared" si="0"/>
        <v>0</v>
      </c>
    </row>
    <row r="14" spans="1:9" hidden="1" outlineLevel="1" x14ac:dyDescent="0.25">
      <c r="A14" s="18">
        <v>1</v>
      </c>
      <c r="B14" s="21">
        <v>1</v>
      </c>
      <c r="C14" s="18">
        <v>1</v>
      </c>
      <c r="D14" s="21">
        <v>1</v>
      </c>
      <c r="E14" s="18">
        <v>1</v>
      </c>
      <c r="F14" s="22">
        <v>1</v>
      </c>
      <c r="G14" s="23">
        <f t="shared" si="0"/>
        <v>3</v>
      </c>
    </row>
    <row r="15" spans="1:9" hidden="1" outlineLevel="1" x14ac:dyDescent="0.25">
      <c r="F15" s="13" t="s">
        <v>43</v>
      </c>
      <c r="G15" s="23">
        <f>SUM(G11:G14)</f>
        <v>3</v>
      </c>
    </row>
    <row r="16" spans="1:9" collapsed="1" x14ac:dyDescent="0.25"/>
    <row r="17" spans="1:7" x14ac:dyDescent="0.25">
      <c r="A17" t="s">
        <v>44</v>
      </c>
    </row>
    <row r="18" spans="1:7" hidden="1" outlineLevel="1" x14ac:dyDescent="0.25">
      <c r="A18" s="3" t="s">
        <v>0</v>
      </c>
      <c r="B18" s="4" t="s">
        <v>38</v>
      </c>
      <c r="C18" s="3" t="s">
        <v>0</v>
      </c>
      <c r="D18" s="4" t="s">
        <v>39</v>
      </c>
      <c r="E18" s="3" t="s">
        <v>0</v>
      </c>
      <c r="F18" s="15" t="s">
        <v>40</v>
      </c>
    </row>
    <row r="19" spans="1:7" hidden="1" outlineLevel="1" x14ac:dyDescent="0.25">
      <c r="A19" s="17">
        <v>0</v>
      </c>
      <c r="B19" s="19">
        <v>1</v>
      </c>
      <c r="C19" s="17">
        <v>0</v>
      </c>
      <c r="D19" s="19">
        <v>1</v>
      </c>
      <c r="E19" s="17">
        <v>0</v>
      </c>
      <c r="F19" s="20">
        <v>1</v>
      </c>
      <c r="G19" s="23">
        <f>(A19+B19)+(C19+D19)+(E19+F19)</f>
        <v>3</v>
      </c>
    </row>
    <row r="20" spans="1:7" hidden="1" outlineLevel="1" x14ac:dyDescent="0.25">
      <c r="A20" s="17">
        <v>0</v>
      </c>
      <c r="B20" s="19">
        <v>1</v>
      </c>
      <c r="C20" s="17">
        <v>0</v>
      </c>
      <c r="D20" s="19">
        <v>1</v>
      </c>
      <c r="E20" s="17">
        <v>0</v>
      </c>
      <c r="F20" s="20">
        <v>1</v>
      </c>
      <c r="G20" s="23">
        <f t="shared" ref="G20:G22" si="1">(A20+B20)+(C20+D20)+(E20+F20)</f>
        <v>3</v>
      </c>
    </row>
    <row r="21" spans="1:7" hidden="1" outlineLevel="1" x14ac:dyDescent="0.25">
      <c r="A21" s="17">
        <v>0</v>
      </c>
      <c r="B21" s="19">
        <v>1</v>
      </c>
      <c r="C21" s="17">
        <v>0</v>
      </c>
      <c r="D21" s="19">
        <v>1</v>
      </c>
      <c r="E21" s="17">
        <v>0</v>
      </c>
      <c r="F21" s="20">
        <v>1</v>
      </c>
      <c r="G21" s="23">
        <f t="shared" si="1"/>
        <v>3</v>
      </c>
    </row>
    <row r="22" spans="1:7" hidden="1" outlineLevel="1" x14ac:dyDescent="0.25">
      <c r="A22" s="18">
        <v>1</v>
      </c>
      <c r="B22" s="21">
        <v>1</v>
      </c>
      <c r="C22" s="18">
        <v>1</v>
      </c>
      <c r="D22" s="21">
        <v>1</v>
      </c>
      <c r="E22" s="18">
        <v>1</v>
      </c>
      <c r="F22" s="22">
        <v>1</v>
      </c>
      <c r="G22" s="23">
        <f t="shared" si="1"/>
        <v>6</v>
      </c>
    </row>
    <row r="23" spans="1:7" hidden="1" outlineLevel="1" x14ac:dyDescent="0.25">
      <c r="F23" s="13" t="s">
        <v>43</v>
      </c>
      <c r="G23" s="23">
        <f>SUM(G19:G22)</f>
        <v>15</v>
      </c>
    </row>
    <row r="24" spans="1:7" collapsed="1" x14ac:dyDescent="0.25"/>
    <row r="25" spans="1:7" x14ac:dyDescent="0.25">
      <c r="A25" t="s">
        <v>45</v>
      </c>
    </row>
    <row r="26" spans="1:7" hidden="1" outlineLevel="1" x14ac:dyDescent="0.25">
      <c r="A26" s="3" t="s">
        <v>0</v>
      </c>
      <c r="B26" s="4" t="s">
        <v>38</v>
      </c>
      <c r="C26" s="3" t="s">
        <v>0</v>
      </c>
      <c r="D26" s="4" t="s">
        <v>39</v>
      </c>
      <c r="E26" s="3" t="s">
        <v>0</v>
      </c>
      <c r="F26" s="15" t="s">
        <v>40</v>
      </c>
    </row>
    <row r="27" spans="1:7" hidden="1" outlineLevel="1" x14ac:dyDescent="0.25">
      <c r="A27" s="17">
        <v>0</v>
      </c>
      <c r="B27" s="19">
        <v>1</v>
      </c>
      <c r="C27" s="17">
        <v>0</v>
      </c>
      <c r="D27" s="19">
        <v>1</v>
      </c>
      <c r="E27" s="17">
        <v>0</v>
      </c>
      <c r="F27" s="20">
        <v>1</v>
      </c>
      <c r="G27" s="23">
        <f>(A27-B27)+(C27-D27)+(E27-F27)</f>
        <v>-3</v>
      </c>
    </row>
    <row r="28" spans="1:7" hidden="1" outlineLevel="1" x14ac:dyDescent="0.25">
      <c r="A28" s="17">
        <v>0</v>
      </c>
      <c r="B28" s="19">
        <v>1</v>
      </c>
      <c r="C28" s="17">
        <v>0</v>
      </c>
      <c r="D28" s="19">
        <v>1</v>
      </c>
      <c r="E28" s="17">
        <v>0</v>
      </c>
      <c r="F28" s="20">
        <v>1</v>
      </c>
      <c r="G28" s="23">
        <f t="shared" ref="G28:G30" si="2">(A28-B28)+(C28-D28)+(E28-F28)</f>
        <v>-3</v>
      </c>
    </row>
    <row r="29" spans="1:7" hidden="1" outlineLevel="1" x14ac:dyDescent="0.25">
      <c r="A29" s="17">
        <v>0</v>
      </c>
      <c r="B29" s="19">
        <v>1</v>
      </c>
      <c r="C29" s="17">
        <v>0</v>
      </c>
      <c r="D29" s="19">
        <v>1</v>
      </c>
      <c r="E29" s="17">
        <v>0</v>
      </c>
      <c r="F29" s="20">
        <v>1</v>
      </c>
      <c r="G29" s="23">
        <f t="shared" si="2"/>
        <v>-3</v>
      </c>
    </row>
    <row r="30" spans="1:7" hidden="1" outlineLevel="1" x14ac:dyDescent="0.25">
      <c r="A30" s="18">
        <v>1</v>
      </c>
      <c r="B30" s="21">
        <v>1</v>
      </c>
      <c r="C30" s="18">
        <v>1</v>
      </c>
      <c r="D30" s="21">
        <v>1</v>
      </c>
      <c r="E30" s="18">
        <v>1</v>
      </c>
      <c r="F30" s="22">
        <v>1</v>
      </c>
      <c r="G30" s="23">
        <f t="shared" si="2"/>
        <v>0</v>
      </c>
    </row>
    <row r="31" spans="1:7" hidden="1" outlineLevel="1" x14ac:dyDescent="0.25">
      <c r="F31" s="13" t="s">
        <v>43</v>
      </c>
      <c r="G31" s="23">
        <f>SUM(G27:G30)</f>
        <v>-9</v>
      </c>
    </row>
    <row r="32" spans="1:7" collapsed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2E77B0A-48A1-4DDD-B89F-AA0EEFBD9BA1}">
          <x14:formula1>
            <xm:f>Listas!$A$2:$A$5</xm:f>
          </x14:formula1>
          <xm:sqref>H2 H6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6250C-6890-4B02-A0EA-C86325A184C1}">
  <dimension ref="A1:I32"/>
  <sheetViews>
    <sheetView workbookViewId="0">
      <selection activeCell="H8" sqref="H8"/>
    </sheetView>
  </sheetViews>
  <sheetFormatPr defaultRowHeight="15" outlineLevelRow="1" x14ac:dyDescent="0.25"/>
  <cols>
    <col min="1" max="1" width="15.140625" customWidth="1"/>
    <col min="2" max="4" width="11" customWidth="1"/>
    <col min="7" max="7" width="19.7109375" bestFit="1" customWidth="1"/>
    <col min="8" max="8" width="14.28515625" bestFit="1" customWidth="1"/>
  </cols>
  <sheetData>
    <row r="1" spans="1:9" x14ac:dyDescent="0.25">
      <c r="A1" t="s">
        <v>0</v>
      </c>
      <c r="B1" t="s">
        <v>38</v>
      </c>
      <c r="C1" t="s">
        <v>39</v>
      </c>
      <c r="D1" t="s">
        <v>40</v>
      </c>
      <c r="G1" s="5" t="s">
        <v>13</v>
      </c>
      <c r="H1" s="5"/>
      <c r="I1" s="5"/>
    </row>
    <row r="2" spans="1:9" x14ac:dyDescent="0.25">
      <c r="A2" t="s">
        <v>4</v>
      </c>
      <c r="B2">
        <v>1</v>
      </c>
      <c r="C2">
        <v>1</v>
      </c>
      <c r="D2">
        <v>1</v>
      </c>
      <c r="G2" s="6" t="s">
        <v>0</v>
      </c>
      <c r="H2" s="7" t="s">
        <v>7</v>
      </c>
    </row>
    <row r="3" spans="1:9" x14ac:dyDescent="0.25">
      <c r="A3" t="s">
        <v>5</v>
      </c>
      <c r="B3">
        <v>1</v>
      </c>
      <c r="C3">
        <v>1</v>
      </c>
      <c r="D3">
        <v>1</v>
      </c>
      <c r="G3" s="13" t="s">
        <v>12</v>
      </c>
      <c r="H3" s="16">
        <f>SUMIF(tblSomarProduto[Cliente],H2,tblSomarProduto[[Jan]:[Mar]])</f>
        <v>1</v>
      </c>
    </row>
    <row r="4" spans="1:9" x14ac:dyDescent="0.25">
      <c r="A4" t="s">
        <v>6</v>
      </c>
      <c r="B4">
        <v>1</v>
      </c>
      <c r="C4">
        <v>1</v>
      </c>
      <c r="D4">
        <v>1</v>
      </c>
    </row>
    <row r="5" spans="1:9" x14ac:dyDescent="0.25">
      <c r="A5" t="s">
        <v>7</v>
      </c>
      <c r="B5">
        <v>1</v>
      </c>
      <c r="C5">
        <v>1</v>
      </c>
      <c r="D5">
        <v>1</v>
      </c>
      <c r="G5" s="5" t="s">
        <v>41</v>
      </c>
      <c r="H5" s="5"/>
      <c r="I5" s="5"/>
    </row>
    <row r="6" spans="1:9" x14ac:dyDescent="0.25">
      <c r="G6" s="6" t="s">
        <v>0</v>
      </c>
      <c r="H6" s="7" t="s">
        <v>7</v>
      </c>
    </row>
    <row r="7" spans="1:9" x14ac:dyDescent="0.25">
      <c r="G7" s="13" t="s">
        <v>12</v>
      </c>
      <c r="H7">
        <f>SUMPRODUCT((tblSomarProduto[Cliente]=H6)*(tblSomarProduto[[Jan]:[Mar]]))</f>
        <v>3</v>
      </c>
    </row>
    <row r="9" spans="1:9" x14ac:dyDescent="0.25">
      <c r="A9" t="s">
        <v>42</v>
      </c>
    </row>
    <row r="10" spans="1:9" hidden="1" outlineLevel="1" x14ac:dyDescent="0.25">
      <c r="A10" s="3" t="s">
        <v>0</v>
      </c>
      <c r="B10" s="4" t="s">
        <v>38</v>
      </c>
      <c r="C10" s="3" t="s">
        <v>0</v>
      </c>
      <c r="D10" s="4" t="s">
        <v>39</v>
      </c>
      <c r="E10" s="3" t="s">
        <v>0</v>
      </c>
      <c r="F10" s="15" t="s">
        <v>40</v>
      </c>
    </row>
    <row r="11" spans="1:9" hidden="1" outlineLevel="1" x14ac:dyDescent="0.25">
      <c r="A11" s="17">
        <v>0</v>
      </c>
      <c r="B11" s="19">
        <v>1</v>
      </c>
      <c r="C11" s="17">
        <v>0</v>
      </c>
      <c r="D11" s="19">
        <v>1</v>
      </c>
      <c r="E11" s="17">
        <v>0</v>
      </c>
      <c r="F11" s="20">
        <v>1</v>
      </c>
      <c r="G11" s="23">
        <f>(A11*B11)+(C11*D11)+(E11*F11)</f>
        <v>0</v>
      </c>
    </row>
    <row r="12" spans="1:9" hidden="1" outlineLevel="1" x14ac:dyDescent="0.25">
      <c r="A12" s="17">
        <v>0</v>
      </c>
      <c r="B12" s="19">
        <v>1</v>
      </c>
      <c r="C12" s="17">
        <v>0</v>
      </c>
      <c r="D12" s="19">
        <v>1</v>
      </c>
      <c r="E12" s="17">
        <v>0</v>
      </c>
      <c r="F12" s="20">
        <v>1</v>
      </c>
      <c r="G12" s="23">
        <f t="shared" ref="G12:G14" si="0">(A12*B12)+(C12*D12)+(E12*F12)</f>
        <v>0</v>
      </c>
    </row>
    <row r="13" spans="1:9" hidden="1" outlineLevel="1" x14ac:dyDescent="0.25">
      <c r="A13" s="17">
        <v>0</v>
      </c>
      <c r="B13" s="19">
        <v>1</v>
      </c>
      <c r="C13" s="17">
        <v>0</v>
      </c>
      <c r="D13" s="19">
        <v>1</v>
      </c>
      <c r="E13" s="17">
        <v>0</v>
      </c>
      <c r="F13" s="20">
        <v>1</v>
      </c>
      <c r="G13" s="23">
        <f t="shared" si="0"/>
        <v>0</v>
      </c>
    </row>
    <row r="14" spans="1:9" hidden="1" outlineLevel="1" x14ac:dyDescent="0.25">
      <c r="A14" s="18">
        <v>1</v>
      </c>
      <c r="B14" s="21">
        <v>1</v>
      </c>
      <c r="C14" s="18">
        <v>1</v>
      </c>
      <c r="D14" s="21">
        <v>1</v>
      </c>
      <c r="E14" s="18">
        <v>1</v>
      </c>
      <c r="F14" s="22">
        <v>1</v>
      </c>
      <c r="G14" s="23">
        <f t="shared" si="0"/>
        <v>3</v>
      </c>
    </row>
    <row r="15" spans="1:9" hidden="1" outlineLevel="1" x14ac:dyDescent="0.25">
      <c r="F15" s="13" t="s">
        <v>43</v>
      </c>
      <c r="G15" s="23">
        <f>SUM(G11:G14)</f>
        <v>3</v>
      </c>
    </row>
    <row r="16" spans="1:9" collapsed="1" x14ac:dyDescent="0.25"/>
    <row r="17" spans="1:7" x14ac:dyDescent="0.25">
      <c r="A17" t="s">
        <v>44</v>
      </c>
    </row>
    <row r="18" spans="1:7" hidden="1" outlineLevel="1" x14ac:dyDescent="0.25">
      <c r="A18" s="3" t="s">
        <v>0</v>
      </c>
      <c r="B18" s="4" t="s">
        <v>38</v>
      </c>
      <c r="C18" s="3" t="s">
        <v>0</v>
      </c>
      <c r="D18" s="4" t="s">
        <v>39</v>
      </c>
      <c r="E18" s="3" t="s">
        <v>0</v>
      </c>
      <c r="F18" s="15" t="s">
        <v>40</v>
      </c>
    </row>
    <row r="19" spans="1:7" hidden="1" outlineLevel="1" x14ac:dyDescent="0.25">
      <c r="A19" s="17">
        <v>0</v>
      </c>
      <c r="B19" s="19">
        <v>1</v>
      </c>
      <c r="C19" s="17">
        <v>0</v>
      </c>
      <c r="D19" s="19">
        <v>1</v>
      </c>
      <c r="E19" s="17">
        <v>0</v>
      </c>
      <c r="F19" s="20">
        <v>1</v>
      </c>
      <c r="G19" s="23">
        <f>(A19+B19)+(C19+D19)+(E19+F19)</f>
        <v>3</v>
      </c>
    </row>
    <row r="20" spans="1:7" hidden="1" outlineLevel="1" x14ac:dyDescent="0.25">
      <c r="A20" s="17">
        <v>0</v>
      </c>
      <c r="B20" s="19">
        <v>1</v>
      </c>
      <c r="C20" s="17">
        <v>0</v>
      </c>
      <c r="D20" s="19">
        <v>1</v>
      </c>
      <c r="E20" s="17">
        <v>0</v>
      </c>
      <c r="F20" s="20">
        <v>1</v>
      </c>
      <c r="G20" s="23">
        <f t="shared" ref="G20:G22" si="1">(A20+B20)+(C20+D20)+(E20+F20)</f>
        <v>3</v>
      </c>
    </row>
    <row r="21" spans="1:7" hidden="1" outlineLevel="1" x14ac:dyDescent="0.25">
      <c r="A21" s="17">
        <v>0</v>
      </c>
      <c r="B21" s="19">
        <v>1</v>
      </c>
      <c r="C21" s="17">
        <v>0</v>
      </c>
      <c r="D21" s="19">
        <v>1</v>
      </c>
      <c r="E21" s="17">
        <v>0</v>
      </c>
      <c r="F21" s="20">
        <v>1</v>
      </c>
      <c r="G21" s="23">
        <f t="shared" si="1"/>
        <v>3</v>
      </c>
    </row>
    <row r="22" spans="1:7" hidden="1" outlineLevel="1" x14ac:dyDescent="0.25">
      <c r="A22" s="18">
        <v>1</v>
      </c>
      <c r="B22" s="21">
        <v>1</v>
      </c>
      <c r="C22" s="18">
        <v>1</v>
      </c>
      <c r="D22" s="21">
        <v>1</v>
      </c>
      <c r="E22" s="18">
        <v>1</v>
      </c>
      <c r="F22" s="22">
        <v>1</v>
      </c>
      <c r="G22" s="23">
        <f t="shared" si="1"/>
        <v>6</v>
      </c>
    </row>
    <row r="23" spans="1:7" hidden="1" outlineLevel="1" x14ac:dyDescent="0.25">
      <c r="F23" s="13" t="s">
        <v>43</v>
      </c>
      <c r="G23" s="23">
        <f>SUM(G19:G22)</f>
        <v>15</v>
      </c>
    </row>
    <row r="24" spans="1:7" collapsed="1" x14ac:dyDescent="0.25"/>
    <row r="25" spans="1:7" x14ac:dyDescent="0.25">
      <c r="A25" t="s">
        <v>45</v>
      </c>
    </row>
    <row r="26" spans="1:7" hidden="1" outlineLevel="1" x14ac:dyDescent="0.25">
      <c r="A26" s="3" t="s">
        <v>0</v>
      </c>
      <c r="B26" s="4" t="s">
        <v>38</v>
      </c>
      <c r="C26" s="3" t="s">
        <v>0</v>
      </c>
      <c r="D26" s="4" t="s">
        <v>39</v>
      </c>
      <c r="E26" s="3" t="s">
        <v>0</v>
      </c>
      <c r="F26" s="15" t="s">
        <v>40</v>
      </c>
    </row>
    <row r="27" spans="1:7" hidden="1" outlineLevel="1" x14ac:dyDescent="0.25">
      <c r="A27" s="17">
        <v>0</v>
      </c>
      <c r="B27" s="19">
        <v>1</v>
      </c>
      <c r="C27" s="17">
        <v>0</v>
      </c>
      <c r="D27" s="19">
        <v>1</v>
      </c>
      <c r="E27" s="17">
        <v>0</v>
      </c>
      <c r="F27" s="20">
        <v>1</v>
      </c>
      <c r="G27" s="23">
        <f>(A27-B27)+(C27-D27)+(E27-F27)</f>
        <v>-3</v>
      </c>
    </row>
    <row r="28" spans="1:7" hidden="1" outlineLevel="1" x14ac:dyDescent="0.25">
      <c r="A28" s="17">
        <v>0</v>
      </c>
      <c r="B28" s="19">
        <v>1</v>
      </c>
      <c r="C28" s="17">
        <v>0</v>
      </c>
      <c r="D28" s="19">
        <v>1</v>
      </c>
      <c r="E28" s="17">
        <v>0</v>
      </c>
      <c r="F28" s="20">
        <v>1</v>
      </c>
      <c r="G28" s="23">
        <f t="shared" ref="G28:G30" si="2">(A28-B28)+(C28-D28)+(E28-F28)</f>
        <v>-3</v>
      </c>
    </row>
    <row r="29" spans="1:7" hidden="1" outlineLevel="1" x14ac:dyDescent="0.25">
      <c r="A29" s="17">
        <v>0</v>
      </c>
      <c r="B29" s="19">
        <v>1</v>
      </c>
      <c r="C29" s="17">
        <v>0</v>
      </c>
      <c r="D29" s="19">
        <v>1</v>
      </c>
      <c r="E29" s="17">
        <v>0</v>
      </c>
      <c r="F29" s="20">
        <v>1</v>
      </c>
      <c r="G29" s="23">
        <f t="shared" si="2"/>
        <v>-3</v>
      </c>
    </row>
    <row r="30" spans="1:7" hidden="1" outlineLevel="1" x14ac:dyDescent="0.25">
      <c r="A30" s="18">
        <v>1</v>
      </c>
      <c r="B30" s="21">
        <v>1</v>
      </c>
      <c r="C30" s="18">
        <v>1</v>
      </c>
      <c r="D30" s="21">
        <v>1</v>
      </c>
      <c r="E30" s="18">
        <v>1</v>
      </c>
      <c r="F30" s="22">
        <v>1</v>
      </c>
      <c r="G30" s="23">
        <f t="shared" si="2"/>
        <v>0</v>
      </c>
    </row>
    <row r="31" spans="1:7" hidden="1" outlineLevel="1" x14ac:dyDescent="0.25">
      <c r="F31" s="13" t="s">
        <v>43</v>
      </c>
      <c r="G31" s="23">
        <f>SUM(G27:G30)</f>
        <v>-9</v>
      </c>
    </row>
    <row r="32" spans="1:7" collapsed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0F5CAA-580A-45B2-9897-B85AFBEAB9A2}">
          <x14:formula1>
            <xm:f>Listas!$A$2:$A$5</xm:f>
          </x14:formula1>
          <xm:sqref>H2 H6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Listas</vt:lpstr>
      <vt:lpstr>SOMAR - Aula</vt:lpstr>
      <vt:lpstr>SOMAR - Final</vt:lpstr>
      <vt:lpstr>SOMARPRODUTO - Aula</vt:lpstr>
      <vt:lpstr>SOMARPRODUTO -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2020-01-29T22:52:59Z</dcterms:modified>
</cp:coreProperties>
</file>