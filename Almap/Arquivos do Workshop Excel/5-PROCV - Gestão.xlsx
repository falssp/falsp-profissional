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tos\Workshops\Arquivos\Arquivos Principais\"/>
    </mc:Choice>
  </mc:AlternateContent>
  <xr:revisionPtr revIDLastSave="0" documentId="13_ncr:1_{2CE31042-437A-4980-B87C-8C37629F8902}" xr6:coauthVersionLast="41" xr6:coauthVersionMax="41" xr10:uidLastSave="{00000000-0000-0000-0000-000000000000}"/>
  <bookViews>
    <workbookView xWindow="-120" yWindow="-120" windowWidth="20730" windowHeight="11160" activeTab="2" xr2:uid="{B0135298-5F00-45F5-BE24-4669B5BA0799}"/>
  </bookViews>
  <sheets>
    <sheet name="Listas" sheetId="5" r:id="rId1"/>
    <sheet name="DePara" sheetId="8" r:id="rId2"/>
    <sheet name="Base Provc com Corresp" sheetId="4" r:id="rId3"/>
    <sheet name="Relatório - Aula" sheetId="7" r:id="rId4"/>
    <sheet name="Relatório - Fina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" i="4" l="1"/>
  <c r="A2" i="4" s="1"/>
  <c r="Q3" i="4"/>
  <c r="A3" i="4" s="1"/>
  <c r="Q4" i="4"/>
  <c r="A4" i="4" s="1"/>
  <c r="Q5" i="4"/>
  <c r="A5" i="4" s="1"/>
  <c r="Q6" i="4"/>
  <c r="A6" i="4" s="1"/>
  <c r="Q7" i="4"/>
  <c r="A7" i="4" s="1"/>
  <c r="Q8" i="4"/>
  <c r="A8" i="4" s="1"/>
  <c r="Q9" i="4"/>
  <c r="A9" i="4" s="1"/>
  <c r="P8" i="4"/>
  <c r="H28" i="6" l="1"/>
  <c r="M27" i="6"/>
  <c r="E27" i="6"/>
  <c r="J26" i="6"/>
  <c r="O25" i="6"/>
  <c r="G25" i="6"/>
  <c r="L24" i="6"/>
  <c r="D24" i="6"/>
  <c r="I19" i="6"/>
  <c r="N18" i="6"/>
  <c r="F18" i="6"/>
  <c r="K17" i="6"/>
  <c r="C17" i="6"/>
  <c r="H16" i="6"/>
  <c r="M15" i="6"/>
  <c r="E15" i="6"/>
  <c r="D7" i="6"/>
  <c r="D15" i="6"/>
  <c r="N24" i="6"/>
  <c r="E17" i="6"/>
  <c r="G15" i="6"/>
  <c r="C26" i="6"/>
  <c r="E24" i="6"/>
  <c r="D17" i="6"/>
  <c r="C8" i="6"/>
  <c r="O28" i="6"/>
  <c r="G28" i="6"/>
  <c r="L27" i="6"/>
  <c r="D27" i="6"/>
  <c r="I26" i="6"/>
  <c r="N25" i="6"/>
  <c r="F25" i="6"/>
  <c r="K24" i="6"/>
  <c r="C24" i="6"/>
  <c r="H19" i="6"/>
  <c r="M18" i="6"/>
  <c r="E18" i="6"/>
  <c r="J17" i="6"/>
  <c r="O16" i="6"/>
  <c r="G16" i="6"/>
  <c r="L15" i="6"/>
  <c r="C7" i="6"/>
  <c r="I25" i="6"/>
  <c r="J16" i="6"/>
  <c r="G18" i="6"/>
  <c r="N28" i="6"/>
  <c r="F28" i="6"/>
  <c r="K27" i="6"/>
  <c r="C27" i="6"/>
  <c r="H26" i="6"/>
  <c r="M25" i="6"/>
  <c r="E25" i="6"/>
  <c r="J24" i="6"/>
  <c r="O19" i="6"/>
  <c r="G19" i="6"/>
  <c r="L18" i="6"/>
  <c r="D18" i="6"/>
  <c r="I17" i="6"/>
  <c r="N16" i="6"/>
  <c r="F16" i="6"/>
  <c r="K15" i="6"/>
  <c r="C15" i="6"/>
  <c r="D6" i="6"/>
  <c r="C4" i="6"/>
  <c r="O27" i="6"/>
  <c r="K19" i="6"/>
  <c r="O15" i="6"/>
  <c r="F27" i="6"/>
  <c r="M24" i="6"/>
  <c r="M33" i="6" s="1"/>
  <c r="I16" i="6"/>
  <c r="M28" i="6"/>
  <c r="E28" i="6"/>
  <c r="J27" i="6"/>
  <c r="O26" i="6"/>
  <c r="G26" i="6"/>
  <c r="L25" i="6"/>
  <c r="D25" i="6"/>
  <c r="I24" i="6"/>
  <c r="N19" i="6"/>
  <c r="F19" i="6"/>
  <c r="K18" i="6"/>
  <c r="C18" i="6"/>
  <c r="H17" i="6"/>
  <c r="M16" i="6"/>
  <c r="E16" i="6"/>
  <c r="J15" i="6"/>
  <c r="C6" i="6"/>
  <c r="J28" i="6"/>
  <c r="J37" i="6" s="1"/>
  <c r="D26" i="6"/>
  <c r="F24" i="6"/>
  <c r="M17" i="6"/>
  <c r="D8" i="6"/>
  <c r="I28" i="6"/>
  <c r="H25" i="6"/>
  <c r="H34" i="6" s="1"/>
  <c r="L17" i="6"/>
  <c r="L28" i="6"/>
  <c r="L37" i="6" s="1"/>
  <c r="D28" i="6"/>
  <c r="I27" i="6"/>
  <c r="N26" i="6"/>
  <c r="F26" i="6"/>
  <c r="K25" i="6"/>
  <c r="C25" i="6"/>
  <c r="H24" i="6"/>
  <c r="M19" i="6"/>
  <c r="E19" i="6"/>
  <c r="J18" i="6"/>
  <c r="O17" i="6"/>
  <c r="G17" i="6"/>
  <c r="L16" i="6"/>
  <c r="D16" i="6"/>
  <c r="I15" i="6"/>
  <c r="D5" i="6"/>
  <c r="L26" i="6"/>
  <c r="L35" i="6" s="1"/>
  <c r="H18" i="6"/>
  <c r="D4" i="6"/>
  <c r="N27" i="6"/>
  <c r="N36" i="6" s="1"/>
  <c r="J19" i="6"/>
  <c r="N15" i="6"/>
  <c r="K28" i="6"/>
  <c r="C28" i="6"/>
  <c r="H27" i="6"/>
  <c r="M26" i="6"/>
  <c r="E26" i="6"/>
  <c r="E35" i="6" s="1"/>
  <c r="J25" i="6"/>
  <c r="J34" i="6" s="1"/>
  <c r="O24" i="6"/>
  <c r="G24" i="6"/>
  <c r="G33" i="6" s="1"/>
  <c r="L19" i="6"/>
  <c r="D19" i="6"/>
  <c r="I18" i="6"/>
  <c r="N17" i="6"/>
  <c r="F17" i="6"/>
  <c r="K16" i="6"/>
  <c r="C16" i="6"/>
  <c r="H15" i="6"/>
  <c r="C5" i="6"/>
  <c r="G27" i="6"/>
  <c r="G36" i="6" s="1"/>
  <c r="C19" i="6"/>
  <c r="K26" i="6"/>
  <c r="O18" i="6"/>
  <c r="F15" i="6"/>
  <c r="P9" i="4"/>
  <c r="P7" i="4"/>
  <c r="P6" i="4"/>
  <c r="D33" i="6" l="1"/>
  <c r="E8" i="6"/>
  <c r="F8" i="6" s="1"/>
  <c r="O33" i="6"/>
  <c r="D34" i="6"/>
  <c r="F36" i="6"/>
  <c r="I37" i="6"/>
  <c r="K35" i="6"/>
  <c r="M35" i="6"/>
  <c r="K36" i="6"/>
  <c r="F34" i="6"/>
  <c r="K37" i="6"/>
  <c r="H36" i="6"/>
  <c r="E37" i="6"/>
  <c r="K34" i="6"/>
  <c r="J33" i="6"/>
  <c r="O34" i="6"/>
  <c r="J36" i="6"/>
  <c r="C36" i="6"/>
  <c r="E7" i="6"/>
  <c r="F7" i="6" s="1"/>
  <c r="H37" i="6"/>
  <c r="H33" i="6"/>
  <c r="M37" i="6"/>
  <c r="E6" i="6"/>
  <c r="F6" i="6" s="1"/>
  <c r="F37" i="6"/>
  <c r="N34" i="6"/>
  <c r="E33" i="6"/>
  <c r="L33" i="6"/>
  <c r="E5" i="6"/>
  <c r="F5" i="6" s="1"/>
  <c r="C34" i="6"/>
  <c r="I33" i="6"/>
  <c r="N37" i="6"/>
  <c r="I35" i="6"/>
  <c r="C35" i="6"/>
  <c r="G34" i="6"/>
  <c r="D36" i="6"/>
  <c r="C37" i="6"/>
  <c r="F35" i="6"/>
  <c r="L34" i="6"/>
  <c r="E34" i="6"/>
  <c r="L36" i="6"/>
  <c r="J35" i="6"/>
  <c r="E4" i="6"/>
  <c r="F4" i="6" s="1"/>
  <c r="N35" i="6"/>
  <c r="G35" i="6"/>
  <c r="M34" i="6"/>
  <c r="I34" i="6"/>
  <c r="G37" i="6"/>
  <c r="N33" i="6"/>
  <c r="E36" i="6"/>
  <c r="I36" i="6"/>
  <c r="F33" i="6"/>
  <c r="O35" i="6"/>
  <c r="H35" i="6"/>
  <c r="C33" i="6"/>
  <c r="O37" i="6"/>
  <c r="M36" i="6"/>
  <c r="D37" i="6"/>
  <c r="D35" i="6"/>
  <c r="O36" i="6"/>
  <c r="K33" i="6"/>
  <c r="P5" i="4"/>
  <c r="P4" i="4"/>
  <c r="P3" i="4"/>
  <c r="P2" i="4"/>
  <c r="C29" i="6" l="1"/>
  <c r="G29" i="6"/>
  <c r="M29" i="6"/>
  <c r="D29" i="6"/>
  <c r="K29" i="6"/>
  <c r="C9" i="6"/>
  <c r="E29" i="6"/>
  <c r="O29" i="6"/>
  <c r="I29" i="6"/>
  <c r="F29" i="6"/>
  <c r="J29" i="6"/>
  <c r="N29" i="6"/>
  <c r="O20" i="6"/>
  <c r="L29" i="6"/>
  <c r="D9" i="6"/>
  <c r="H29" i="6"/>
  <c r="C20" i="6"/>
  <c r="G20" i="6"/>
  <c r="N20" i="6"/>
  <c r="E20" i="6"/>
  <c r="H20" i="6"/>
  <c r="D20" i="6"/>
  <c r="L20" i="6"/>
  <c r="I20" i="6"/>
  <c r="M20" i="6"/>
  <c r="J20" i="6"/>
  <c r="K20" i="6"/>
  <c r="F20" i="6"/>
  <c r="J38" i="6" l="1"/>
  <c r="E38" i="6"/>
  <c r="C38" i="6"/>
  <c r="D38" i="6"/>
  <c r="G38" i="6"/>
  <c r="M38" i="6"/>
  <c r="K38" i="6"/>
  <c r="L38" i="6"/>
  <c r="E9" i="6"/>
  <c r="F9" i="6" s="1"/>
  <c r="I38" i="6"/>
  <c r="F38" i="6"/>
  <c r="H38" i="6"/>
  <c r="O38" i="6"/>
  <c r="N3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075921-06B6-47E8-9885-5F974E7C6990}" keepAlive="1" name="Consulta - Nota de 2020" description="Conexão com a consulta 'Nota de 2020' na pasta de trabalho." type="5" refreshedVersion="6" background="1" saveData="1">
    <dbPr connection="Provider=Microsoft.Mashup.OleDb.1;Data Source=$Workbook$;Location=Nota de 2020;Extended Properties=&quot;&quot;" command="SELECT * FROM [Nota de 2020]"/>
  </connection>
</connections>
</file>

<file path=xl/sharedStrings.xml><?xml version="1.0" encoding="utf-8"?>
<sst xmlns="http://schemas.openxmlformats.org/spreadsheetml/2006/main" count="122" uniqueCount="31">
  <si>
    <t>Cliente A</t>
  </si>
  <si>
    <t>Cliente B</t>
  </si>
  <si>
    <t>Cliente C</t>
  </si>
  <si>
    <t>Janeiro</t>
  </si>
  <si>
    <t>Ano</t>
  </si>
  <si>
    <t>Cliente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</si>
  <si>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</si>
  <si>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</si>
  <si>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</si>
  <si>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</si>
  <si>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</si>
  <si>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</si>
  <si>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</si>
  <si>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</si>
  <si>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</si>
  <si>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</si>
  <si>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</si>
  <si>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</si>
  <si>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Chave</t>
  </si>
  <si>
    <t>Anos</t>
  </si>
  <si>
    <t>Meses</t>
  </si>
  <si>
    <t>Total Ano</t>
  </si>
  <si>
    <t>Delta $</t>
  </si>
  <si>
    <t>Delta %</t>
  </si>
  <si>
    <t>Cliente ok</t>
  </si>
  <si>
    <t>DePara Cliente</t>
  </si>
  <si>
    <t>De</t>
  </si>
  <si>
    <t>Para</t>
  </si>
  <si>
    <t>Cliente D</t>
  </si>
  <si>
    <t>Antigos</t>
  </si>
  <si>
    <t>Não Mapeados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</si>
</sst>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0%;[Red]\-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 tint="-0.14996795556505021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 style="thin">
        <color theme="0" tint="-4.9989318521683403E-2"/>
      </bottom>
      <diagonal/>
    </border>
    <border>
      <left/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4.9989318521683403E-2"/>
      </bottom>
      <diagonal/>
    </border>
    <border>
      <left style="thin">
        <color theme="0" tint="-0.1499679555650502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5"/>
      </right>
      <top style="thin">
        <color theme="5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1" applyNumberFormat="1" applyFont="1"/>
    <xf numFmtId="164" fontId="0" fillId="0" borderId="2" xfId="1" applyNumberFormat="1" applyFont="1" applyBorder="1"/>
    <xf numFmtId="164" fontId="2" fillId="0" borderId="3" xfId="0" applyNumberFormat="1" applyFont="1" applyBorder="1"/>
    <xf numFmtId="0" fontId="0" fillId="0" borderId="6" xfId="0" applyBorder="1"/>
    <xf numFmtId="0" fontId="2" fillId="0" borderId="5" xfId="0" applyFont="1" applyBorder="1" applyAlignment="1">
      <alignment horizontal="right"/>
    </xf>
    <xf numFmtId="9" fontId="0" fillId="0" borderId="2" xfId="2" applyFont="1" applyBorder="1"/>
    <xf numFmtId="9" fontId="2" fillId="0" borderId="3" xfId="2" applyFont="1" applyBorder="1"/>
    <xf numFmtId="0" fontId="0" fillId="2" borderId="4" xfId="0" applyFill="1" applyBorder="1"/>
    <xf numFmtId="0" fontId="0" fillId="2" borderId="1" xfId="0" applyFill="1" applyBorder="1" applyAlignment="1">
      <alignment horizontal="center"/>
    </xf>
    <xf numFmtId="0" fontId="0" fillId="2" borderId="5" xfId="0" applyFill="1" applyBorder="1"/>
    <xf numFmtId="0" fontId="0" fillId="2" borderId="3" xfId="0" applyFill="1" applyBorder="1" applyAlignment="1">
      <alignment horizontal="center"/>
    </xf>
    <xf numFmtId="9" fontId="2" fillId="0" borderId="8" xfId="2" applyNumberFormat="1" applyFont="1" applyBorder="1"/>
    <xf numFmtId="165" fontId="0" fillId="0" borderId="0" xfId="0" applyNumberFormat="1"/>
    <xf numFmtId="165" fontId="2" fillId="0" borderId="7" xfId="0" applyNumberFormat="1" applyFont="1" applyBorder="1"/>
    <xf numFmtId="166" fontId="0" fillId="0" borderId="0" xfId="2" applyNumberFormat="1" applyFont="1"/>
    <xf numFmtId="1" fontId="0" fillId="3" borderId="0" xfId="0" applyNumberFormat="1" applyFill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3" borderId="0" xfId="1" applyNumberFormat="1" applyFont="1" applyFill="1"/>
    <xf numFmtId="0" fontId="3" fillId="5" borderId="9" xfId="0" applyFont="1" applyFill="1" applyBorder="1"/>
    <xf numFmtId="164" fontId="0" fillId="6" borderId="0" xfId="1" applyNumberFormat="1" applyFont="1" applyFill="1"/>
  </cellXfs>
  <cellStyles count="3">
    <cellStyle name="Normal" xfId="0" builtinId="0"/>
    <cellStyle name="Porcentagem" xfId="2" builtinId="5"/>
    <cellStyle name="Vírgula" xfId="1" builtinId="3"/>
  </cellStyles>
  <dxfs count="16">
    <dxf>
      <numFmt numFmtId="164" formatCode="_-* #,##0_-;\-* #,##0_-;_-* &quot;-&quot;??_-;_-@_-"/>
      <fill>
        <patternFill patternType="solid">
          <fgColor indexed="64"/>
          <bgColor theme="5" tint="0.79998168889431442"/>
        </patternFill>
      </fill>
    </dxf>
    <dxf>
      <numFmt numFmtId="1" formatCode="0"/>
      <fill>
        <patternFill patternType="solid">
          <fgColor indexed="64"/>
          <bgColor theme="0" tint="-4.9989318521683403E-2"/>
        </patternFill>
      </fill>
    </dxf>
    <dxf>
      <numFmt numFmtId="164" formatCode="_-* #,##0_-;\-* #,##0_-;_-* &quot;-&quot;??_-;_-@_-"/>
      <fill>
        <patternFill patternType="solid">
          <fgColor indexed="64"/>
          <bgColor theme="0" tint="-4.9989318521683403E-2"/>
        </patternFill>
      </fill>
    </dxf>
    <dxf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99EA9-409F-49C7-9570-CF46EC0E5E88}" name="Tabela3" displayName="Tabela3" ref="C1:C14" totalsRowShown="0">
  <autoFilter ref="C1:C14" xr:uid="{F6C9980E-D1C1-4AA2-A5B7-534A6744A190}"/>
  <tableColumns count="1">
    <tableColumn id="1" xr3:uid="{7526A663-73C8-426B-8BB9-E349C0995C64}" name="Mese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57B8F4-29B6-464E-8064-D311B3069768}" name="Tabela4" displayName="Tabela4" ref="A1:A3" totalsRowShown="0">
  <autoFilter ref="A1:A3" xr:uid="{381F8404-36F7-49CD-98E8-DC16657BFB1F}"/>
  <tableColumns count="1">
    <tableColumn id="1" xr3:uid="{DEB5049A-B916-4975-B4FA-A9A538FDB5CF}" name="Anos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51047-6B0C-452C-AE98-731C56659889}" name="DeParaCliente" displayName="DeParaCliente" ref="A2:B6" totalsRowShown="0">
  <autoFilter ref="A2:B6" xr:uid="{CE996585-0696-4E03-B2BD-DD5D50DA0CD2}"/>
  <tableColumns count="2">
    <tableColumn id="1" xr3:uid="{65F18DD0-1534-4313-B7D2-99D0F2BFCBB3}" name="De"/>
    <tableColumn id="2" xr3:uid="{2175D47C-D18E-4E0D-AC3D-AADDAC1BF39B}" name="Para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055BA2-3494-4E52-8D35-0AEF87740AAC}" name="Base" displayName="Base" ref="A1:Q9" totalsRowShown="0" headerRowDxfId="4">
  <autoFilter ref="A1:Q9" xr:uid="{69B49FAD-54E5-4E8C-80F0-3B371C310425}"/>
  <tableColumns count="17">
    <tableColumn id="17" xr3:uid="{4086DB16-FD41-4D28-BD3B-EA80F099EE7F}" name="Chave" dataDxfId="1">
      <calculatedColumnFormula>Base[[#This Row],[Cliente ok]]&amp;Base[[#This Row],[Ano]]</calculatedColumnFormula>
    </tableColumn>
    <tableColumn id="1" xr3:uid="{A3AAC8D5-DC0E-4F69-AF3F-5A405C1C3F96}" name="Cliente"/>
    <tableColumn id="2" xr3:uid="{0B8839AB-12CD-4CE8-9169-60A066F56EEF}" name="Ano"/>
    <tableColumn id="3" xr3:uid="{DD5C2A9B-D9F0-4A59-890E-0CFCFC309968}" name="Janeiro" dataDxfId="15" dataCellStyle="Vírgula"/>
    <tableColumn id="4" xr3:uid="{A19B2694-48BC-4493-BB29-D704EC6AF7AC}" name="Fevereiro" dataDxfId="14" dataCellStyle="Vírgula"/>
    <tableColumn id="5" xr3:uid="{7559CE89-956B-45CC-B846-59AA7EBD5B2A}" name="Março" dataDxfId="13" dataCellStyle="Vírgula"/>
    <tableColumn id="6" xr3:uid="{E7202882-C181-4032-9494-34573AABC60E}" name="Abril" dataDxfId="12" dataCellStyle="Vírgula"/>
    <tableColumn id="7" xr3:uid="{3444FB86-00DF-4245-BE76-5BD5FFBC5015}" name="Maio" dataDxfId="11" dataCellStyle="Vírgula"/>
    <tableColumn id="8" xr3:uid="{C0A9DFFF-9DD7-4702-B298-49E565EB85D3}" name="Junho" dataDxfId="10" dataCellStyle="Vírgula"/>
    <tableColumn id="9" xr3:uid="{4897CC62-1782-44C1-B601-3B201AFEA3AE}" name="Julho" dataDxfId="9" dataCellStyle="Vírgula"/>
    <tableColumn id="10" xr3:uid="{93BA3596-B180-4934-9549-BFE9F48595A2}" name="Agosto" dataDxfId="8" dataCellStyle="Vírgula"/>
    <tableColumn id="11" xr3:uid="{548491F3-CC2C-4ECD-B181-F1C9191D7EEA}" name="Setembro" dataDxfId="7" dataCellStyle="Vírgula"/>
    <tableColumn id="12" xr3:uid="{2741ECD7-590C-40FF-8D71-91406E527BF1}" name="Outubro" dataDxfId="6" dataCellStyle="Vírgula"/>
    <tableColumn id="13" xr3:uid="{8D95D03B-620F-4FDA-B9CA-22B53DBB603E}" name="Novembro" dataDxfId="5" dataCellStyle="Vírgula"/>
    <tableColumn id="14" xr3:uid="{FBB72E50-CE05-4E2B-9461-565E52EE282A}" name="Dezembro" dataDxfId="3" dataCellStyle="Vírgula"/>
    <tableColumn id="15" xr3:uid="{9FBA3F09-1BBF-400C-BD7C-07FADE8AC8A4}" name="Total Ano" dataDxfId="2" dataCellStyle="Vírgula">
      <calculatedColumnFormula>SUM(C2:O2)</calculatedColumnFormula>
    </tableColumn>
    <tableColumn id="18" xr3:uid="{3642705C-E07A-420B-9591-D1FC29F5BA73}" name="Cliente ok" dataDxfId="0" dataCellStyle="Vírgula">
      <calculatedColumnFormula>IFERROR(VLOOKUP(Base[[#This Row],[Cliente]],DeParaCliente[],2,0),"Não Mapeados")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302C-8A86-4CBB-98A7-C9E35768468B}">
  <dimension ref="A1:C14"/>
  <sheetViews>
    <sheetView showGridLines="0" workbookViewId="0">
      <selection activeCell="E8" sqref="E8"/>
    </sheetView>
  </sheetViews>
  <sheetFormatPr defaultRowHeight="15" x14ac:dyDescent="0.25"/>
  <cols>
    <col min="1" max="1" width="11.5703125" customWidth="1"/>
    <col min="3" max="3" width="12.85546875" customWidth="1"/>
  </cols>
  <sheetData>
    <row r="1" spans="1:3" x14ac:dyDescent="0.25">
      <c r="A1" t="s">
        <v>19</v>
      </c>
      <c r="C1" t="s">
        <v>20</v>
      </c>
    </row>
    <row r="2" spans="1:3" x14ac:dyDescent="0.25">
      <c r="A2">
        <v>2018</v>
      </c>
      <c r="C2" t="s">
        <v>3</v>
      </c>
    </row>
    <row r="3" spans="1:3" x14ac:dyDescent="0.25">
      <c r="A3">
        <v>2019</v>
      </c>
      <c r="C3" t="s">
        <v>6</v>
      </c>
    </row>
    <row r="4" spans="1:3" x14ac:dyDescent="0.25">
      <c r="C4" t="s">
        <v>7</v>
      </c>
    </row>
    <row r="5" spans="1:3" x14ac:dyDescent="0.25">
      <c r="C5" t="s">
        <v>8</v>
      </c>
    </row>
    <row r="6" spans="1:3" x14ac:dyDescent="0.25">
      <c r="C6" t="s">
        <v>9</v>
      </c>
    </row>
    <row r="7" spans="1:3" x14ac:dyDescent="0.25">
      <c r="C7" t="s">
        <v>10</v>
      </c>
    </row>
    <row r="8" spans="1:3" x14ac:dyDescent="0.25">
      <c r="C8" t="s">
        <v>11</v>
      </c>
    </row>
    <row r="9" spans="1:3" x14ac:dyDescent="0.25">
      <c r="C9" t="s">
        <v>12</v>
      </c>
    </row>
    <row r="10" spans="1:3" x14ac:dyDescent="0.25">
      <c r="C10" t="s">
        <v>13</v>
      </c>
    </row>
    <row r="11" spans="1:3" x14ac:dyDescent="0.25">
      <c r="C11" t="s">
        <v>14</v>
      </c>
    </row>
    <row r="12" spans="1:3" x14ac:dyDescent="0.25">
      <c r="C12" t="s">
        <v>15</v>
      </c>
    </row>
    <row r="13" spans="1:3" x14ac:dyDescent="0.25">
      <c r="C13" t="s">
        <v>16</v>
      </c>
    </row>
    <row r="14" spans="1:3" x14ac:dyDescent="0.25">
      <c r="C14" t="s">
        <v>21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60B6-FF27-4756-B6AF-8512612D0A1C}">
  <dimension ref="A1:B6"/>
  <sheetViews>
    <sheetView workbookViewId="0">
      <selection activeCell="B3" sqref="B3"/>
    </sheetView>
  </sheetViews>
  <sheetFormatPr defaultRowHeight="15" x14ac:dyDescent="0.25"/>
  <cols>
    <col min="1" max="1" width="13" customWidth="1"/>
    <col min="2" max="2" width="13.42578125" bestFit="1" customWidth="1"/>
  </cols>
  <sheetData>
    <row r="1" spans="1:2" x14ac:dyDescent="0.25">
      <c r="A1" s="21" t="s">
        <v>25</v>
      </c>
      <c r="B1" s="21"/>
    </row>
    <row r="2" spans="1:2" x14ac:dyDescent="0.25">
      <c r="A2" t="s">
        <v>26</v>
      </c>
      <c r="B2" t="s">
        <v>27</v>
      </c>
    </row>
    <row r="3" spans="1:2" x14ac:dyDescent="0.25">
      <c r="A3" t="s">
        <v>0</v>
      </c>
      <c r="B3" t="s">
        <v>0</v>
      </c>
    </row>
    <row r="4" spans="1:2" x14ac:dyDescent="0.25">
      <c r="A4" t="s">
        <v>1</v>
      </c>
      <c r="B4" t="s">
        <v>1</v>
      </c>
    </row>
    <row r="5" spans="1:2" x14ac:dyDescent="0.25">
      <c r="A5" t="s">
        <v>2</v>
      </c>
      <c r="B5" t="s">
        <v>2</v>
      </c>
    </row>
    <row r="6" spans="1:2" x14ac:dyDescent="0.25">
      <c r="A6" t="s">
        <v>28</v>
      </c>
      <c r="B6" t="s">
        <v>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1BC5-3B4F-4E00-A162-C84034D2CEB9}">
  <dimension ref="A1:Q9"/>
  <sheetViews>
    <sheetView showGridLines="0" tabSelected="1" workbookViewId="0"/>
  </sheetViews>
  <sheetFormatPr defaultColWidth="13.7109375" defaultRowHeight="15" x14ac:dyDescent="0.25"/>
  <cols>
    <col min="1" max="1" width="13.28515625" bestFit="1" customWidth="1"/>
    <col min="2" max="2" width="12" customWidth="1"/>
    <col min="3" max="3" width="9.140625" bestFit="1" customWidth="1"/>
    <col min="4" max="4" width="12.140625" bestFit="1" customWidth="1"/>
    <col min="5" max="5" width="14.28515625" bestFit="1" customWidth="1"/>
    <col min="6" max="6" width="11.5703125" bestFit="1" customWidth="1"/>
    <col min="7" max="8" width="10.5703125" bestFit="1" customWidth="1"/>
    <col min="9" max="9" width="11" bestFit="1" customWidth="1"/>
    <col min="10" max="10" width="10.5703125" bestFit="1" customWidth="1"/>
    <col min="11" max="11" width="11.85546875" bestFit="1" customWidth="1"/>
    <col min="12" max="12" width="14.42578125" bestFit="1" customWidth="1"/>
    <col min="13" max="13" width="13.140625" bestFit="1" customWidth="1"/>
    <col min="14" max="14" width="15.140625" bestFit="1" customWidth="1"/>
    <col min="15" max="15" width="14.85546875" bestFit="1" customWidth="1"/>
    <col min="16" max="16" width="14" bestFit="1" customWidth="1"/>
  </cols>
  <sheetData>
    <row r="1" spans="1:17" s="19" customFormat="1" x14ac:dyDescent="0.25">
      <c r="A1" s="18" t="s">
        <v>18</v>
      </c>
      <c r="B1" s="1" t="s">
        <v>5</v>
      </c>
      <c r="C1" s="1" t="s">
        <v>4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8" t="s">
        <v>21</v>
      </c>
      <c r="Q1" s="21" t="s">
        <v>24</v>
      </c>
    </row>
    <row r="2" spans="1:17" x14ac:dyDescent="0.25">
      <c r="A2" s="17" t="str">
        <f>Base[[#This Row],[Cliente ok]]&amp;Base[[#This Row],[Ano]]</f>
        <v>Cliente A2018</v>
      </c>
      <c r="B2" t="s">
        <v>0</v>
      </c>
      <c r="C2">
        <v>2018</v>
      </c>
      <c r="D2" s="2">
        <v>2854.6956387999776</v>
      </c>
      <c r="E2" s="2">
        <v>3037.7002521787931</v>
      </c>
      <c r="F2" s="2">
        <v>3201.4779222137176</v>
      </c>
      <c r="G2" s="2">
        <v>3933.1591256590755</v>
      </c>
      <c r="H2" s="2">
        <v>2667.544509889392</v>
      </c>
      <c r="I2" s="2">
        <v>8167.7428915341579</v>
      </c>
      <c r="J2" s="2">
        <v>4854.4847388072512</v>
      </c>
      <c r="K2" s="2">
        <v>2857.0919412147286</v>
      </c>
      <c r="L2" s="2">
        <v>4511.5937790703911</v>
      </c>
      <c r="M2" s="2">
        <v>3936.9042144521695</v>
      </c>
      <c r="N2" s="2">
        <v>5768.5315996263553</v>
      </c>
      <c r="O2" s="2">
        <v>4087.8948018265437</v>
      </c>
      <c r="P2" s="20">
        <f t="shared" ref="P2:P7" si="0">SUM(C2:O2)</f>
        <v>51896.821415272549</v>
      </c>
      <c r="Q2" s="22" t="str">
        <f>IFERROR(VLOOKUP(Base[[#This Row],[Cliente]],DeParaCliente[],2,0),"Não Mapeados")</f>
        <v>Cliente A</v>
      </c>
    </row>
    <row r="3" spans="1:17" x14ac:dyDescent="0.25">
      <c r="A3" s="17" t="str">
        <f>Base[[#This Row],[Cliente ok]]&amp;Base[[#This Row],[Ano]]</f>
        <v>Cliente A2019</v>
      </c>
      <c r="B3" t="s">
        <v>0</v>
      </c>
      <c r="C3">
        <v>2019</v>
      </c>
      <c r="D3" s="2">
        <v>32959.416439640161</v>
      </c>
      <c r="E3" s="2">
        <v>31036.01453722089</v>
      </c>
      <c r="F3" s="2">
        <v>3516.4672601277989</v>
      </c>
      <c r="G3" s="2">
        <v>4989.6103667288089</v>
      </c>
      <c r="H3" s="2">
        <v>3088.9320561926597</v>
      </c>
      <c r="I3" s="2">
        <v>19603.691393196048</v>
      </c>
      <c r="J3" s="2">
        <v>3816.6869153875905</v>
      </c>
      <c r="K3" s="2">
        <v>2782.0876596198282</v>
      </c>
      <c r="L3" s="2">
        <v>2752.0424787900151</v>
      </c>
      <c r="M3" s="2">
        <v>5200.6448805347936</v>
      </c>
      <c r="N3" s="2">
        <v>6545.5626135773482</v>
      </c>
      <c r="O3" s="2">
        <v>7048.0586720093261</v>
      </c>
      <c r="P3" s="20">
        <f t="shared" si="0"/>
        <v>125358.21527302526</v>
      </c>
      <c r="Q3" s="22" t="str">
        <f>IFERROR(VLOOKUP(Base[[#This Row],[Cliente]],DeParaCliente[],2,0),"Não Mapeados")</f>
        <v>Cliente A</v>
      </c>
    </row>
    <row r="4" spans="1:17" x14ac:dyDescent="0.25">
      <c r="A4" s="17" t="str">
        <f>Base[[#This Row],[Cliente ok]]&amp;Base[[#This Row],[Ano]]</f>
        <v>Cliente B2018</v>
      </c>
      <c r="B4" t="s">
        <v>1</v>
      </c>
      <c r="C4">
        <v>2018</v>
      </c>
      <c r="D4" s="2">
        <v>4059.5444439625858</v>
      </c>
      <c r="E4" s="2">
        <v>6132.2549810568653</v>
      </c>
      <c r="F4" s="2">
        <v>12858.072138787144</v>
      </c>
      <c r="G4" s="2">
        <v>4654.900413614605</v>
      </c>
      <c r="H4" s="2">
        <v>13942.597006540356</v>
      </c>
      <c r="I4" s="2">
        <v>3130.4816942077809</v>
      </c>
      <c r="J4" s="2">
        <v>7651.4935347353066</v>
      </c>
      <c r="K4" s="2">
        <v>4160.4866797167779</v>
      </c>
      <c r="L4" s="2">
        <v>3194.528282119411</v>
      </c>
      <c r="M4" s="2">
        <v>27278.870932672246</v>
      </c>
      <c r="N4" s="2">
        <v>2709.1828109911789</v>
      </c>
      <c r="O4" s="2">
        <v>5137.0221874034014</v>
      </c>
      <c r="P4" s="20">
        <f t="shared" si="0"/>
        <v>96927.435105807657</v>
      </c>
      <c r="Q4" s="22" t="str">
        <f>IFERROR(VLOOKUP(Base[[#This Row],[Cliente]],DeParaCliente[],2,0),"Não Mapeados")</f>
        <v>Cliente B</v>
      </c>
    </row>
    <row r="5" spans="1:17" x14ac:dyDescent="0.25">
      <c r="A5" s="17" t="str">
        <f>Base[[#This Row],[Cliente ok]]&amp;Base[[#This Row],[Ano]]</f>
        <v>Cliente B2019</v>
      </c>
      <c r="B5" t="s">
        <v>1</v>
      </c>
      <c r="C5">
        <v>2019</v>
      </c>
      <c r="D5" s="2">
        <v>5915.0677901562622</v>
      </c>
      <c r="E5" s="2">
        <v>3584.4874933401215</v>
      </c>
      <c r="F5" s="2">
        <v>21287.614901577097</v>
      </c>
      <c r="G5" s="2">
        <v>9542.0371206630734</v>
      </c>
      <c r="H5" s="2">
        <v>2562.8382314658456</v>
      </c>
      <c r="I5" s="2">
        <v>17451.677235688367</v>
      </c>
      <c r="J5" s="2">
        <v>6416.2279642214135</v>
      </c>
      <c r="K5" s="2">
        <v>3030.8406691888786</v>
      </c>
      <c r="L5" s="2">
        <v>2883.4830622576633</v>
      </c>
      <c r="M5" s="2">
        <v>3141.3259527618134</v>
      </c>
      <c r="N5" s="2">
        <v>4488.2274944272676</v>
      </c>
      <c r="O5" s="2">
        <v>3319.7556717322623</v>
      </c>
      <c r="P5" s="20">
        <f t="shared" si="0"/>
        <v>85642.583587480069</v>
      </c>
      <c r="Q5" s="22" t="str">
        <f>IFERROR(VLOOKUP(Base[[#This Row],[Cliente]],DeParaCliente[],2,0),"Não Mapeados")</f>
        <v>Cliente B</v>
      </c>
    </row>
    <row r="6" spans="1:17" x14ac:dyDescent="0.25">
      <c r="A6" s="17" t="str">
        <f>Base[[#This Row],[Cliente ok]]&amp;Base[[#This Row],[Ano]]</f>
        <v>Cliente C2019</v>
      </c>
      <c r="B6" t="s">
        <v>2</v>
      </c>
      <c r="C6">
        <v>2019</v>
      </c>
      <c r="D6" s="2">
        <v>32959.416439640161</v>
      </c>
      <c r="E6" s="2">
        <v>31036.01453722089</v>
      </c>
      <c r="F6" s="2">
        <v>3516.4672601277989</v>
      </c>
      <c r="G6" s="2">
        <v>4989.6103667288089</v>
      </c>
      <c r="H6" s="2">
        <v>3088.9320561926597</v>
      </c>
      <c r="I6" s="2">
        <v>19603.691393196048</v>
      </c>
      <c r="J6" s="2">
        <v>3816.6869153875905</v>
      </c>
      <c r="K6" s="2">
        <v>2782.0876596198282</v>
      </c>
      <c r="L6" s="2">
        <v>2752.0424787900151</v>
      </c>
      <c r="M6" s="2">
        <v>5200.6448805347936</v>
      </c>
      <c r="N6" s="2">
        <v>6545.5626135773482</v>
      </c>
      <c r="O6" s="2">
        <v>7048.0586720093261</v>
      </c>
      <c r="P6" s="20">
        <f t="shared" si="0"/>
        <v>125358.21527302526</v>
      </c>
      <c r="Q6" s="22" t="str">
        <f>IFERROR(VLOOKUP(Base[[#This Row],[Cliente]],DeParaCliente[],2,0),"Não Mapeados")</f>
        <v>Cliente C</v>
      </c>
    </row>
    <row r="7" spans="1:17" x14ac:dyDescent="0.25">
      <c r="A7" s="17" t="str">
        <f>Base[[#This Row],[Cliente ok]]&amp;Base[[#This Row],[Ano]]</f>
        <v>Cliente C2018</v>
      </c>
      <c r="B7" t="s">
        <v>2</v>
      </c>
      <c r="C7">
        <v>2018</v>
      </c>
      <c r="D7" s="2">
        <v>4059.5444439625858</v>
      </c>
      <c r="E7" s="2">
        <v>6132.2549810568653</v>
      </c>
      <c r="F7" s="2">
        <v>12858.072138787144</v>
      </c>
      <c r="G7" s="2">
        <v>4654.900413614605</v>
      </c>
      <c r="H7" s="2">
        <v>13942.597006540356</v>
      </c>
      <c r="I7" s="2">
        <v>3130.4816942077809</v>
      </c>
      <c r="J7" s="2">
        <v>7651.4935347353066</v>
      </c>
      <c r="K7" s="2">
        <v>4160.4866797167779</v>
      </c>
      <c r="L7" s="2">
        <v>3194.528282119411</v>
      </c>
      <c r="M7" s="2">
        <v>27278.870932672246</v>
      </c>
      <c r="N7" s="2">
        <v>2709.1828109911789</v>
      </c>
      <c r="O7" s="2">
        <v>5137.0221874034014</v>
      </c>
      <c r="P7" s="20">
        <f t="shared" si="0"/>
        <v>96927.435105807657</v>
      </c>
      <c r="Q7" s="22" t="str">
        <f>IFERROR(VLOOKUP(Base[[#This Row],[Cliente]],DeParaCliente[],2,0),"Não Mapeados")</f>
        <v>Cliente C</v>
      </c>
    </row>
    <row r="8" spans="1:17" x14ac:dyDescent="0.25">
      <c r="A8" s="17" t="str">
        <f>Base[[#This Row],[Cliente ok]]&amp;Base[[#This Row],[Ano]]</f>
        <v>Antigos2019</v>
      </c>
      <c r="B8" t="s">
        <v>28</v>
      </c>
      <c r="C8">
        <v>2019</v>
      </c>
      <c r="D8" s="2">
        <v>34896.343857172731</v>
      </c>
      <c r="E8" s="2">
        <v>38470.219011915295</v>
      </c>
      <c r="F8" s="2">
        <v>5674.8027418451993</v>
      </c>
      <c r="G8" s="2">
        <v>10342.439142536216</v>
      </c>
      <c r="H8" s="2">
        <v>3293.2514756600704</v>
      </c>
      <c r="I8" s="2">
        <v>23773.025884064984</v>
      </c>
      <c r="J8" s="2">
        <v>5897.3414488393928</v>
      </c>
      <c r="K8" s="2">
        <v>2790.7018914340424</v>
      </c>
      <c r="L8" s="2">
        <v>20601.87670398999</v>
      </c>
      <c r="M8" s="2">
        <v>132428.34775862086</v>
      </c>
      <c r="N8" s="2">
        <v>9944.8306306631894</v>
      </c>
      <c r="O8" s="2">
        <v>75778.700375766231</v>
      </c>
      <c r="P8" s="20">
        <f t="shared" ref="P8:P9" si="1">SUM(C8:O8)</f>
        <v>365910.88092250819</v>
      </c>
      <c r="Q8" s="22" t="str">
        <f>IFERROR(VLOOKUP(Base[[#This Row],[Cliente]],DeParaCliente[],2,0),"Não Mapeados")</f>
        <v>Antigos</v>
      </c>
    </row>
    <row r="9" spans="1:17" x14ac:dyDescent="0.25">
      <c r="A9" s="17" t="str">
        <f>Base[[#This Row],[Cliente ok]]&amp;Base[[#This Row],[Ano]]</f>
        <v>Antigos2018</v>
      </c>
      <c r="B9" t="s">
        <v>28</v>
      </c>
      <c r="C9">
        <v>2018</v>
      </c>
      <c r="D9" s="2">
        <v>6140.5940090555441</v>
      </c>
      <c r="E9" s="2">
        <v>36686.409990260814</v>
      </c>
      <c r="F9" s="2">
        <v>116782.7575950216</v>
      </c>
      <c r="G9" s="2">
        <v>10353.13761151558</v>
      </c>
      <c r="H9" s="2">
        <v>52547.902519645802</v>
      </c>
      <c r="I9" s="2">
        <v>4645.657716311759</v>
      </c>
      <c r="J9" s="2">
        <v>20592.577732826649</v>
      </c>
      <c r="K9" s="2">
        <v>6852.7533379964807</v>
      </c>
      <c r="L9" s="2">
        <v>25596.869266169448</v>
      </c>
      <c r="M9" s="2">
        <v>36953.340707552939</v>
      </c>
      <c r="N9" s="2">
        <v>38276.01682483936</v>
      </c>
      <c r="O9" s="2">
        <v>5750.5934341048023</v>
      </c>
      <c r="P9" s="20">
        <f t="shared" si="1"/>
        <v>363196.61074530083</v>
      </c>
      <c r="Q9" s="22" t="str">
        <f>IFERROR(VLOOKUP(Base[[#This Row],[Cliente]],DeParaCliente[],2,0),"Não Mapeados")</f>
        <v>Antigos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EC9F-B060-49B0-AA53-8106A6F300F0}">
  <dimension ref="A1"/>
  <sheetViews>
    <sheetView showGridLines="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E6D8-89CC-442B-BB61-BCA547627BB9}">
  <dimension ref="B2:O38"/>
  <sheetViews>
    <sheetView showGridLines="0" workbookViewId="0">
      <selection activeCell="C3" sqref="C3"/>
    </sheetView>
  </sheetViews>
  <sheetFormatPr defaultRowHeight="15" x14ac:dyDescent="0.25"/>
  <cols>
    <col min="2" max="2" width="14.28515625" bestFit="1" customWidth="1"/>
    <col min="3" max="15" width="14.5703125" customWidth="1"/>
  </cols>
  <sheetData>
    <row r="2" spans="2:15" x14ac:dyDescent="0.25">
      <c r="B2" s="9"/>
      <c r="C2" s="10">
        <v>2018</v>
      </c>
      <c r="D2" s="10">
        <v>2019</v>
      </c>
      <c r="E2" s="10"/>
      <c r="F2" s="10"/>
    </row>
    <row r="3" spans="2:15" x14ac:dyDescent="0.25">
      <c r="B3" s="11" t="s">
        <v>5</v>
      </c>
      <c r="C3" s="12" t="s">
        <v>21</v>
      </c>
      <c r="D3" s="12" t="s">
        <v>21</v>
      </c>
      <c r="E3" s="12" t="s">
        <v>22</v>
      </c>
      <c r="F3" s="12" t="s">
        <v>23</v>
      </c>
    </row>
    <row r="4" spans="2:15" x14ac:dyDescent="0.25">
      <c r="B4" s="5" t="s">
        <v>0</v>
      </c>
      <c r="C4" s="3">
        <f>IFERROR(VLOOKUP( $B4&amp;C$2,Base[#All],MATCH(C$3,Base[#Headers],0),FALSE),0)</f>
        <v>51896.821415272549</v>
      </c>
      <c r="D4" s="3">
        <f>IFERROR(VLOOKUP( $B4&amp;D$2,Base[#All],MATCH(D$3,Base[#Headers],0),FALSE),0)</f>
        <v>125358.21527302526</v>
      </c>
      <c r="E4" s="14">
        <f>D4-C4</f>
        <v>73461.393857752701</v>
      </c>
      <c r="F4" s="16">
        <f t="shared" ref="F4:F7" si="0">IFERROR(E4/C4,0)</f>
        <v>1.4155278079542264</v>
      </c>
    </row>
    <row r="5" spans="2:15" x14ac:dyDescent="0.25">
      <c r="B5" s="5" t="s">
        <v>1</v>
      </c>
      <c r="C5" s="3">
        <f>IFERROR(VLOOKUP( $B5&amp;C$2,Base[#All],MATCH(C$3,Base[#Headers],0),FALSE),0)</f>
        <v>96927.435105807657</v>
      </c>
      <c r="D5" s="3">
        <f>IFERROR(VLOOKUP( $B5&amp;D$2,Base[#All],MATCH(D$3,Base[#Headers],0),FALSE),0)</f>
        <v>85642.583587480069</v>
      </c>
      <c r="E5" s="14">
        <f t="shared" ref="E5:E9" si="1">D5-C5</f>
        <v>-11284.851518327589</v>
      </c>
      <c r="F5" s="16">
        <f t="shared" si="0"/>
        <v>-0.11642577259997493</v>
      </c>
    </row>
    <row r="6" spans="2:15" x14ac:dyDescent="0.25">
      <c r="B6" s="5" t="s">
        <v>2</v>
      </c>
      <c r="C6" s="3">
        <f>IFERROR(VLOOKUP( $B6&amp;C$2,Base[#All],MATCH(C$3,Base[#Headers],0),FALSE),0)</f>
        <v>96927.435105807657</v>
      </c>
      <c r="D6" s="3">
        <f>IFERROR(VLOOKUP( $B6&amp;D$2,Base[#All],MATCH(D$3,Base[#Headers],0),FALSE),0)</f>
        <v>125358.21527302526</v>
      </c>
      <c r="E6" s="14">
        <f t="shared" ref="E6:E7" si="2">D6-C6</f>
        <v>28430.780167217599</v>
      </c>
      <c r="F6" s="16">
        <f t="shared" si="0"/>
        <v>0.29332025691365987</v>
      </c>
    </row>
    <row r="7" spans="2:15" x14ac:dyDescent="0.25">
      <c r="B7" s="5" t="s">
        <v>29</v>
      </c>
      <c r="C7" s="3">
        <f>IFERROR(VLOOKUP( $B7&amp;C$2,Base[#All],MATCH(C$3,Base[#Headers],0),FALSE),0)</f>
        <v>363196.61074530083</v>
      </c>
      <c r="D7" s="3">
        <f>IFERROR(VLOOKUP( $B7&amp;D$2,Base[#All],MATCH(D$3,Base[#Headers],0),FALSE),0)</f>
        <v>365910.88092250819</v>
      </c>
      <c r="E7" s="14">
        <f t="shared" si="2"/>
        <v>2714.2701772073633</v>
      </c>
      <c r="F7" s="16">
        <f t="shared" si="0"/>
        <v>7.4732805783554014E-3</v>
      </c>
    </row>
    <row r="8" spans="2:15" x14ac:dyDescent="0.25">
      <c r="B8" s="5" t="s">
        <v>30</v>
      </c>
      <c r="C8" s="3">
        <f>IFERROR(VLOOKUP( $B8&amp;C$2,Base[#All],MATCH(C$3,Base[#Headers],0),FALSE),0)</f>
        <v>0</v>
      </c>
      <c r="D8" s="3">
        <f>IFERROR(VLOOKUP( $B8&amp;D$2,Base[#All],MATCH(D$3,Base[#Headers],0),FALSE),0)</f>
        <v>0</v>
      </c>
      <c r="E8" s="14">
        <f t="shared" si="1"/>
        <v>0</v>
      </c>
      <c r="F8" s="16">
        <f>IFERROR(E8/C8,0)</f>
        <v>0</v>
      </c>
    </row>
    <row r="9" spans="2:15" x14ac:dyDescent="0.25">
      <c r="B9" s="6" t="s">
        <v>17</v>
      </c>
      <c r="C9" s="4">
        <f>SUM(C4:C8)</f>
        <v>608948.30237218877</v>
      </c>
      <c r="D9" s="4">
        <f t="shared" ref="D9" si="3">SUM(D4:D8)</f>
        <v>702269.89505603886</v>
      </c>
      <c r="E9" s="15">
        <f t="shared" si="1"/>
        <v>93321.592683850089</v>
      </c>
      <c r="F9" s="13">
        <f t="shared" ref="F9" si="4">E9/C9</f>
        <v>0.15325043574357811</v>
      </c>
    </row>
    <row r="13" spans="2:15" x14ac:dyDescent="0.25">
      <c r="B13" s="9"/>
      <c r="C13" s="10">
        <v>2018</v>
      </c>
      <c r="D13" s="10">
        <v>2018</v>
      </c>
      <c r="E13" s="10">
        <v>2018</v>
      </c>
      <c r="F13" s="10">
        <v>2018</v>
      </c>
      <c r="G13" s="10">
        <v>2018</v>
      </c>
      <c r="H13" s="10">
        <v>2018</v>
      </c>
      <c r="I13" s="10">
        <v>2018</v>
      </c>
      <c r="J13" s="10">
        <v>2018</v>
      </c>
      <c r="K13" s="10">
        <v>2018</v>
      </c>
      <c r="L13" s="10">
        <v>2018</v>
      </c>
      <c r="M13" s="10">
        <v>2018</v>
      </c>
      <c r="N13" s="10">
        <v>2018</v>
      </c>
      <c r="O13" s="10">
        <v>2018</v>
      </c>
    </row>
    <row r="14" spans="2:15" x14ac:dyDescent="0.25">
      <c r="B14" s="11" t="s">
        <v>5</v>
      </c>
      <c r="C14" s="12" t="s">
        <v>3</v>
      </c>
      <c r="D14" s="12" t="s">
        <v>6</v>
      </c>
      <c r="E14" s="12" t="s">
        <v>7</v>
      </c>
      <c r="F14" s="12" t="s">
        <v>8</v>
      </c>
      <c r="G14" s="12" t="s">
        <v>9</v>
      </c>
      <c r="H14" s="12" t="s">
        <v>10</v>
      </c>
      <c r="I14" s="12" t="s">
        <v>11</v>
      </c>
      <c r="J14" s="12" t="s">
        <v>12</v>
      </c>
      <c r="K14" s="12" t="s">
        <v>13</v>
      </c>
      <c r="L14" s="12" t="s">
        <v>14</v>
      </c>
      <c r="M14" s="12" t="s">
        <v>15</v>
      </c>
      <c r="N14" s="12" t="s">
        <v>16</v>
      </c>
      <c r="O14" s="12" t="s">
        <v>21</v>
      </c>
    </row>
    <row r="15" spans="2:15" x14ac:dyDescent="0.25">
      <c r="B15" s="5" t="s">
        <v>0</v>
      </c>
      <c r="C15" s="3">
        <f>IFERROR(VLOOKUP( $B15&amp;C$13,Base[#All],MATCH(C$14,Base[#Headers],0),FALSE),0)</f>
        <v>2854.6956387999776</v>
      </c>
      <c r="D15" s="3">
        <f>IFERROR(VLOOKUP( $B15&amp;D$13,Base[#All],MATCH(D$14,Base[#Headers],0),FALSE),0)</f>
        <v>3037.7002521787931</v>
      </c>
      <c r="E15" s="3">
        <f>IFERROR(VLOOKUP( $B15&amp;E$13,Base[#All],MATCH(E$14,Base[#Headers],0),FALSE),0)</f>
        <v>3201.4779222137176</v>
      </c>
      <c r="F15" s="3">
        <f>IFERROR(VLOOKUP( $B15&amp;F$13,Base[#All],MATCH(F$14,Base[#Headers],0),FALSE),0)</f>
        <v>3933.1591256590755</v>
      </c>
      <c r="G15" s="3">
        <f>IFERROR(VLOOKUP( $B15&amp;G$13,Base[#All],MATCH(G$14,Base[#Headers],0),FALSE),0)</f>
        <v>2667.544509889392</v>
      </c>
      <c r="H15" s="3">
        <f>IFERROR(VLOOKUP( $B15&amp;H$13,Base[#All],MATCH(H$14,Base[#Headers],0),FALSE),0)</f>
        <v>8167.7428915341579</v>
      </c>
      <c r="I15" s="3">
        <f>IFERROR(VLOOKUP( $B15&amp;I$13,Base[#All],MATCH(I$14,Base[#Headers],0),FALSE),0)</f>
        <v>4854.4847388072512</v>
      </c>
      <c r="J15" s="3">
        <f>IFERROR(VLOOKUP( $B15&amp;J$13,Base[#All],MATCH(J$14,Base[#Headers],0),FALSE),0)</f>
        <v>2857.0919412147286</v>
      </c>
      <c r="K15" s="3">
        <f>IFERROR(VLOOKUP( $B15&amp;K$13,Base[#All],MATCH(K$14,Base[#Headers],0),FALSE),0)</f>
        <v>4511.5937790703911</v>
      </c>
      <c r="L15" s="3">
        <f>IFERROR(VLOOKUP( $B15&amp;L$13,Base[#All],MATCH(L$14,Base[#Headers],0),FALSE),0)</f>
        <v>3936.9042144521695</v>
      </c>
      <c r="M15" s="3">
        <f>IFERROR(VLOOKUP( $B15&amp;M$13,Base[#All],MATCH(M$14,Base[#Headers],0),FALSE),0)</f>
        <v>5768.5315996263553</v>
      </c>
      <c r="N15" s="3">
        <f>IFERROR(VLOOKUP( $B15&amp;N$13,Base[#All],MATCH(N$14,Base[#Headers],0),FALSE),0)</f>
        <v>4087.8948018265437</v>
      </c>
      <c r="O15" s="3">
        <f>IFERROR(VLOOKUP( $B15&amp;O$13,Base[#All],MATCH(O$14,Base[#Headers],0),FALSE),0)</f>
        <v>51896.821415272549</v>
      </c>
    </row>
    <row r="16" spans="2:15" x14ac:dyDescent="0.25">
      <c r="B16" s="5" t="s">
        <v>1</v>
      </c>
      <c r="C16" s="3">
        <f>IFERROR(VLOOKUP( $B16&amp;C$13,Base[#All],MATCH(C$14,Base[#Headers],0),FALSE),0)</f>
        <v>4059.5444439625858</v>
      </c>
      <c r="D16" s="3">
        <f>IFERROR(VLOOKUP( $B16&amp;D$13,Base[#All],MATCH(D$14,Base[#Headers],0),FALSE),0)</f>
        <v>6132.2549810568653</v>
      </c>
      <c r="E16" s="3">
        <f>IFERROR(VLOOKUP( $B16&amp;E$13,Base[#All],MATCH(E$14,Base[#Headers],0),FALSE),0)</f>
        <v>12858.072138787144</v>
      </c>
      <c r="F16" s="3">
        <f>IFERROR(VLOOKUP( $B16&amp;F$13,Base[#All],MATCH(F$14,Base[#Headers],0),FALSE),0)</f>
        <v>4654.900413614605</v>
      </c>
      <c r="G16" s="3">
        <f>IFERROR(VLOOKUP( $B16&amp;G$13,Base[#All],MATCH(G$14,Base[#Headers],0),FALSE),0)</f>
        <v>13942.597006540356</v>
      </c>
      <c r="H16" s="3">
        <f>IFERROR(VLOOKUP( $B16&amp;H$13,Base[#All],MATCH(H$14,Base[#Headers],0),FALSE),0)</f>
        <v>3130.4816942077809</v>
      </c>
      <c r="I16" s="3">
        <f>IFERROR(VLOOKUP( $B16&amp;I$13,Base[#All],MATCH(I$14,Base[#Headers],0),FALSE),0)</f>
        <v>7651.4935347353066</v>
      </c>
      <c r="J16" s="3">
        <f>IFERROR(VLOOKUP( $B16&amp;J$13,Base[#All],MATCH(J$14,Base[#Headers],0),FALSE),0)</f>
        <v>4160.4866797167779</v>
      </c>
      <c r="K16" s="3">
        <f>IFERROR(VLOOKUP( $B16&amp;K$13,Base[#All],MATCH(K$14,Base[#Headers],0),FALSE),0)</f>
        <v>3194.528282119411</v>
      </c>
      <c r="L16" s="3">
        <f>IFERROR(VLOOKUP( $B16&amp;L$13,Base[#All],MATCH(L$14,Base[#Headers],0),FALSE),0)</f>
        <v>27278.870932672246</v>
      </c>
      <c r="M16" s="3">
        <f>IFERROR(VLOOKUP( $B16&amp;M$13,Base[#All],MATCH(M$14,Base[#Headers],0),FALSE),0)</f>
        <v>2709.1828109911789</v>
      </c>
      <c r="N16" s="3">
        <f>IFERROR(VLOOKUP( $B16&amp;N$13,Base[#All],MATCH(N$14,Base[#Headers],0),FALSE),0)</f>
        <v>5137.0221874034014</v>
      </c>
      <c r="O16" s="3">
        <f>IFERROR(VLOOKUP( $B16&amp;O$13,Base[#All],MATCH(O$14,Base[#Headers],0),FALSE),0)</f>
        <v>96927.435105807657</v>
      </c>
    </row>
    <row r="17" spans="2:15" x14ac:dyDescent="0.25">
      <c r="B17" s="5" t="s">
        <v>2</v>
      </c>
      <c r="C17" s="3">
        <f>IFERROR(VLOOKUP( $B17&amp;C$13,Base[#All],MATCH(C$14,Base[#Headers],0),FALSE),0)</f>
        <v>4059.5444439625858</v>
      </c>
      <c r="D17" s="3">
        <f>IFERROR(VLOOKUP( $B17&amp;D$13,Base[#All],MATCH(D$14,Base[#Headers],0),FALSE),0)</f>
        <v>6132.2549810568653</v>
      </c>
      <c r="E17" s="3">
        <f>IFERROR(VLOOKUP( $B17&amp;E$13,Base[#All],MATCH(E$14,Base[#Headers],0),FALSE),0)</f>
        <v>12858.072138787144</v>
      </c>
      <c r="F17" s="3">
        <f>IFERROR(VLOOKUP( $B17&amp;F$13,Base[#All],MATCH(F$14,Base[#Headers],0),FALSE),0)</f>
        <v>4654.900413614605</v>
      </c>
      <c r="G17" s="3">
        <f>IFERROR(VLOOKUP( $B17&amp;G$13,Base[#All],MATCH(G$14,Base[#Headers],0),FALSE),0)</f>
        <v>13942.597006540356</v>
      </c>
      <c r="H17" s="3">
        <f>IFERROR(VLOOKUP( $B17&amp;H$13,Base[#All],MATCH(H$14,Base[#Headers],0),FALSE),0)</f>
        <v>3130.4816942077809</v>
      </c>
      <c r="I17" s="3">
        <f>IFERROR(VLOOKUP( $B17&amp;I$13,Base[#All],MATCH(I$14,Base[#Headers],0),FALSE),0)</f>
        <v>7651.4935347353066</v>
      </c>
      <c r="J17" s="3">
        <f>IFERROR(VLOOKUP( $B17&amp;J$13,Base[#All],MATCH(J$14,Base[#Headers],0),FALSE),0)</f>
        <v>4160.4866797167779</v>
      </c>
      <c r="K17" s="3">
        <f>IFERROR(VLOOKUP( $B17&amp;K$13,Base[#All],MATCH(K$14,Base[#Headers],0),FALSE),0)</f>
        <v>3194.528282119411</v>
      </c>
      <c r="L17" s="3">
        <f>IFERROR(VLOOKUP( $B17&amp;L$13,Base[#All],MATCH(L$14,Base[#Headers],0),FALSE),0)</f>
        <v>27278.870932672246</v>
      </c>
      <c r="M17" s="3">
        <f>IFERROR(VLOOKUP( $B17&amp;M$13,Base[#All],MATCH(M$14,Base[#Headers],0),FALSE),0)</f>
        <v>2709.1828109911789</v>
      </c>
      <c r="N17" s="3">
        <f>IFERROR(VLOOKUP( $B17&amp;N$13,Base[#All],MATCH(N$14,Base[#Headers],0),FALSE),0)</f>
        <v>5137.0221874034014</v>
      </c>
      <c r="O17" s="3">
        <f>IFERROR(VLOOKUP( $B17&amp;O$13,Base[#All],MATCH(O$14,Base[#Headers],0),FALSE),0)</f>
        <v>96927.435105807657</v>
      </c>
    </row>
    <row r="18" spans="2:15" x14ac:dyDescent="0.25">
      <c r="B18" s="5" t="s">
        <v>29</v>
      </c>
      <c r="C18" s="3">
        <f>IFERROR(VLOOKUP( $B18&amp;C$13,Base[#All],MATCH(C$14,Base[#Headers],0),FALSE),0)</f>
        <v>6140.5940090555441</v>
      </c>
      <c r="D18" s="3">
        <f>IFERROR(VLOOKUP( $B18&amp;D$13,Base[#All],MATCH(D$14,Base[#Headers],0),FALSE),0)</f>
        <v>36686.409990260814</v>
      </c>
      <c r="E18" s="3">
        <f>IFERROR(VLOOKUP( $B18&amp;E$13,Base[#All],MATCH(E$14,Base[#Headers],0),FALSE),0)</f>
        <v>116782.7575950216</v>
      </c>
      <c r="F18" s="3">
        <f>IFERROR(VLOOKUP( $B18&amp;F$13,Base[#All],MATCH(F$14,Base[#Headers],0),FALSE),0)</f>
        <v>10353.13761151558</v>
      </c>
      <c r="G18" s="3">
        <f>IFERROR(VLOOKUP( $B18&amp;G$13,Base[#All],MATCH(G$14,Base[#Headers],0),FALSE),0)</f>
        <v>52547.902519645802</v>
      </c>
      <c r="H18" s="3">
        <f>IFERROR(VLOOKUP( $B18&amp;H$13,Base[#All],MATCH(H$14,Base[#Headers],0),FALSE),0)</f>
        <v>4645.657716311759</v>
      </c>
      <c r="I18" s="3">
        <f>IFERROR(VLOOKUP( $B18&amp;I$13,Base[#All],MATCH(I$14,Base[#Headers],0),FALSE),0)</f>
        <v>20592.577732826649</v>
      </c>
      <c r="J18" s="3">
        <f>IFERROR(VLOOKUP( $B18&amp;J$13,Base[#All],MATCH(J$14,Base[#Headers],0),FALSE),0)</f>
        <v>6852.7533379964807</v>
      </c>
      <c r="K18" s="3">
        <f>IFERROR(VLOOKUP( $B18&amp;K$13,Base[#All],MATCH(K$14,Base[#Headers],0),FALSE),0)</f>
        <v>25596.869266169448</v>
      </c>
      <c r="L18" s="3">
        <f>IFERROR(VLOOKUP( $B18&amp;L$13,Base[#All],MATCH(L$14,Base[#Headers],0),FALSE),0)</f>
        <v>36953.340707552939</v>
      </c>
      <c r="M18" s="3">
        <f>IFERROR(VLOOKUP( $B18&amp;M$13,Base[#All],MATCH(M$14,Base[#Headers],0),FALSE),0)</f>
        <v>38276.01682483936</v>
      </c>
      <c r="N18" s="3">
        <f>IFERROR(VLOOKUP( $B18&amp;N$13,Base[#All],MATCH(N$14,Base[#Headers],0),FALSE),0)</f>
        <v>5750.5934341048023</v>
      </c>
      <c r="O18" s="3">
        <f>IFERROR(VLOOKUP( $B18&amp;O$13,Base[#All],MATCH(O$14,Base[#Headers],0),FALSE),0)</f>
        <v>363196.61074530083</v>
      </c>
    </row>
    <row r="19" spans="2:15" x14ac:dyDescent="0.25">
      <c r="B19" s="5" t="s">
        <v>30</v>
      </c>
      <c r="C19" s="3">
        <f>IFERROR(VLOOKUP( $B19&amp;C$13,Base[#All],MATCH(C$14,Base[#Headers],0),FALSE),0)</f>
        <v>0</v>
      </c>
      <c r="D19" s="3">
        <f>IFERROR(VLOOKUP( $B19&amp;D$13,Base[#All],MATCH(D$14,Base[#Headers],0),FALSE),0)</f>
        <v>0</v>
      </c>
      <c r="E19" s="3">
        <f>IFERROR(VLOOKUP( $B19&amp;E$13,Base[#All],MATCH(E$14,Base[#Headers],0),FALSE),0)</f>
        <v>0</v>
      </c>
      <c r="F19" s="3">
        <f>IFERROR(VLOOKUP( $B19&amp;F$13,Base[#All],MATCH(F$14,Base[#Headers],0),FALSE),0)</f>
        <v>0</v>
      </c>
      <c r="G19" s="3">
        <f>IFERROR(VLOOKUP( $B19&amp;G$13,Base[#All],MATCH(G$14,Base[#Headers],0),FALSE),0)</f>
        <v>0</v>
      </c>
      <c r="H19" s="3">
        <f>IFERROR(VLOOKUP( $B19&amp;H$13,Base[#All],MATCH(H$14,Base[#Headers],0),FALSE),0)</f>
        <v>0</v>
      </c>
      <c r="I19" s="3">
        <f>IFERROR(VLOOKUP( $B19&amp;I$13,Base[#All],MATCH(I$14,Base[#Headers],0),FALSE),0)</f>
        <v>0</v>
      </c>
      <c r="J19" s="3">
        <f>IFERROR(VLOOKUP( $B19&amp;J$13,Base[#All],MATCH(J$14,Base[#Headers],0),FALSE),0)</f>
        <v>0</v>
      </c>
      <c r="K19" s="3">
        <f>IFERROR(VLOOKUP( $B19&amp;K$13,Base[#All],MATCH(K$14,Base[#Headers],0),FALSE),0)</f>
        <v>0</v>
      </c>
      <c r="L19" s="3">
        <f>IFERROR(VLOOKUP( $B19&amp;L$13,Base[#All],MATCH(L$14,Base[#Headers],0),FALSE),0)</f>
        <v>0</v>
      </c>
      <c r="M19" s="3">
        <f>IFERROR(VLOOKUP( $B19&amp;M$13,Base[#All],MATCH(M$14,Base[#Headers],0),FALSE),0)</f>
        <v>0</v>
      </c>
      <c r="N19" s="3">
        <f>IFERROR(VLOOKUP( $B19&amp;N$13,Base[#All],MATCH(N$14,Base[#Headers],0),FALSE),0)</f>
        <v>0</v>
      </c>
      <c r="O19" s="3">
        <f>IFERROR(VLOOKUP( $B19&amp;O$13,Base[#All],MATCH(O$14,Base[#Headers],0),FALSE),0)</f>
        <v>0</v>
      </c>
    </row>
    <row r="20" spans="2:15" x14ac:dyDescent="0.25">
      <c r="B20" s="6" t="s">
        <v>17</v>
      </c>
      <c r="C20" s="4">
        <f>SUM(C15:C17)</f>
        <v>10973.784526725149</v>
      </c>
      <c r="D20" s="4">
        <f t="shared" ref="D20:O20" si="5">SUM(D15:D17)</f>
        <v>15302.210214292523</v>
      </c>
      <c r="E20" s="4">
        <f t="shared" si="5"/>
        <v>28917.622199788006</v>
      </c>
      <c r="F20" s="4">
        <f t="shared" si="5"/>
        <v>13242.959952888285</v>
      </c>
      <c r="G20" s="4">
        <f t="shared" si="5"/>
        <v>30552.738522970103</v>
      </c>
      <c r="H20" s="4">
        <f t="shared" si="5"/>
        <v>14428.70627994972</v>
      </c>
      <c r="I20" s="4">
        <f t="shared" si="5"/>
        <v>20157.471808277864</v>
      </c>
      <c r="J20" s="4">
        <f t="shared" si="5"/>
        <v>11178.065300648284</v>
      </c>
      <c r="K20" s="4">
        <f t="shared" si="5"/>
        <v>10900.650343309213</v>
      </c>
      <c r="L20" s="4">
        <f t="shared" si="5"/>
        <v>58494.646079796657</v>
      </c>
      <c r="M20" s="4">
        <f t="shared" si="5"/>
        <v>11186.897221608713</v>
      </c>
      <c r="N20" s="4">
        <f t="shared" si="5"/>
        <v>14361.939176633347</v>
      </c>
      <c r="O20" s="4">
        <f t="shared" si="5"/>
        <v>245751.69162688788</v>
      </c>
    </row>
    <row r="22" spans="2:15" x14ac:dyDescent="0.25">
      <c r="B22" s="9"/>
      <c r="C22" s="10">
        <v>2019</v>
      </c>
      <c r="D22" s="10">
        <v>2019</v>
      </c>
      <c r="E22" s="10">
        <v>2019</v>
      </c>
      <c r="F22" s="10">
        <v>2019</v>
      </c>
      <c r="G22" s="10">
        <v>2019</v>
      </c>
      <c r="H22" s="10">
        <v>2019</v>
      </c>
      <c r="I22" s="10">
        <v>2019</v>
      </c>
      <c r="J22" s="10">
        <v>2019</v>
      </c>
      <c r="K22" s="10">
        <v>2019</v>
      </c>
      <c r="L22" s="10">
        <v>2019</v>
      </c>
      <c r="M22" s="10">
        <v>2019</v>
      </c>
      <c r="N22" s="10">
        <v>2019</v>
      </c>
      <c r="O22" s="10">
        <v>2019</v>
      </c>
    </row>
    <row r="23" spans="2:15" x14ac:dyDescent="0.25">
      <c r="B23" s="11" t="s">
        <v>5</v>
      </c>
      <c r="C23" s="12" t="s">
        <v>3</v>
      </c>
      <c r="D23" s="12" t="s">
        <v>6</v>
      </c>
      <c r="E23" s="12" t="s">
        <v>7</v>
      </c>
      <c r="F23" s="12" t="s">
        <v>8</v>
      </c>
      <c r="G23" s="12" t="s">
        <v>9</v>
      </c>
      <c r="H23" s="12" t="s">
        <v>10</v>
      </c>
      <c r="I23" s="12" t="s">
        <v>11</v>
      </c>
      <c r="J23" s="12" t="s">
        <v>12</v>
      </c>
      <c r="K23" s="12" t="s">
        <v>13</v>
      </c>
      <c r="L23" s="12" t="s">
        <v>14</v>
      </c>
      <c r="M23" s="12" t="s">
        <v>15</v>
      </c>
      <c r="N23" s="12" t="s">
        <v>16</v>
      </c>
      <c r="O23" s="12" t="s">
        <v>21</v>
      </c>
    </row>
    <row r="24" spans="2:15" x14ac:dyDescent="0.25">
      <c r="B24" s="5" t="s">
        <v>0</v>
      </c>
      <c r="C24" s="3">
        <f>IFERROR(VLOOKUP( $B24&amp;C$22,Base[#All],MATCH(C$23,Base[#Headers],0),FALSE),0)</f>
        <v>32959.416439640161</v>
      </c>
      <c r="D24" s="3">
        <f>IFERROR(VLOOKUP( $B24&amp;D$22,Base[#All],MATCH(D$23,Base[#Headers],0),FALSE),0)</f>
        <v>31036.01453722089</v>
      </c>
      <c r="E24" s="3">
        <f>IFERROR(VLOOKUP( $B24&amp;E$22,Base[#All],MATCH(E$23,Base[#Headers],0),FALSE),0)</f>
        <v>3516.4672601277989</v>
      </c>
      <c r="F24" s="3">
        <f>IFERROR(VLOOKUP( $B24&amp;F$22,Base[#All],MATCH(F$23,Base[#Headers],0),FALSE),0)</f>
        <v>4989.6103667288089</v>
      </c>
      <c r="G24" s="3">
        <f>IFERROR(VLOOKUP( $B24&amp;G$22,Base[#All],MATCH(G$23,Base[#Headers],0),FALSE),0)</f>
        <v>3088.9320561926597</v>
      </c>
      <c r="H24" s="3">
        <f>IFERROR(VLOOKUP( $B24&amp;H$22,Base[#All],MATCH(H$23,Base[#Headers],0),FALSE),0)</f>
        <v>19603.691393196048</v>
      </c>
      <c r="I24" s="3">
        <f>IFERROR(VLOOKUP( $B24&amp;I$22,Base[#All],MATCH(I$23,Base[#Headers],0),FALSE),0)</f>
        <v>3816.6869153875905</v>
      </c>
      <c r="J24" s="3">
        <f>IFERROR(VLOOKUP( $B24&amp;J$22,Base[#All],MATCH(J$23,Base[#Headers],0),FALSE),0)</f>
        <v>2782.0876596198282</v>
      </c>
      <c r="K24" s="3">
        <f>IFERROR(VLOOKUP( $B24&amp;K$22,Base[#All],MATCH(K$23,Base[#Headers],0),FALSE),0)</f>
        <v>2752.0424787900151</v>
      </c>
      <c r="L24" s="3">
        <f>IFERROR(VLOOKUP( $B24&amp;L$22,Base[#All],MATCH(L$23,Base[#Headers],0),FALSE),0)</f>
        <v>5200.6448805347936</v>
      </c>
      <c r="M24" s="3">
        <f>IFERROR(VLOOKUP( $B24&amp;M$22,Base[#All],MATCH(M$23,Base[#Headers],0),FALSE),0)</f>
        <v>6545.5626135773482</v>
      </c>
      <c r="N24" s="3">
        <f>IFERROR(VLOOKUP( $B24&amp;N$22,Base[#All],MATCH(N$23,Base[#Headers],0),FALSE),0)</f>
        <v>7048.0586720093261</v>
      </c>
      <c r="O24" s="3">
        <f>IFERROR(VLOOKUP( $B24&amp;O$22,Base[#All],MATCH(O$23,Base[#Headers],0),FALSE),0)</f>
        <v>125358.21527302526</v>
      </c>
    </row>
    <row r="25" spans="2:15" x14ac:dyDescent="0.25">
      <c r="B25" s="5" t="s">
        <v>1</v>
      </c>
      <c r="C25" s="3">
        <f>IFERROR(VLOOKUP( $B25&amp;C$22,Base[#All],MATCH(C$23,Base[#Headers],0),FALSE),0)</f>
        <v>5915.0677901562622</v>
      </c>
      <c r="D25" s="3">
        <f>IFERROR(VLOOKUP( $B25&amp;D$22,Base[#All],MATCH(D$23,Base[#Headers],0),FALSE),0)</f>
        <v>3584.4874933401215</v>
      </c>
      <c r="E25" s="3">
        <f>IFERROR(VLOOKUP( $B25&amp;E$22,Base[#All],MATCH(E$23,Base[#Headers],0),FALSE),0)</f>
        <v>21287.614901577097</v>
      </c>
      <c r="F25" s="3">
        <f>IFERROR(VLOOKUP( $B25&amp;F$22,Base[#All],MATCH(F$23,Base[#Headers],0),FALSE),0)</f>
        <v>9542.0371206630734</v>
      </c>
      <c r="G25" s="3">
        <f>IFERROR(VLOOKUP( $B25&amp;G$22,Base[#All],MATCH(G$23,Base[#Headers],0),FALSE),0)</f>
        <v>2562.8382314658456</v>
      </c>
      <c r="H25" s="3">
        <f>IFERROR(VLOOKUP( $B25&amp;H$22,Base[#All],MATCH(H$23,Base[#Headers],0),FALSE),0)</f>
        <v>17451.677235688367</v>
      </c>
      <c r="I25" s="3">
        <f>IFERROR(VLOOKUP( $B25&amp;I$22,Base[#All],MATCH(I$23,Base[#Headers],0),FALSE),0)</f>
        <v>6416.2279642214135</v>
      </c>
      <c r="J25" s="3">
        <f>IFERROR(VLOOKUP( $B25&amp;J$22,Base[#All],MATCH(J$23,Base[#Headers],0),FALSE),0)</f>
        <v>3030.8406691888786</v>
      </c>
      <c r="K25" s="3">
        <f>IFERROR(VLOOKUP( $B25&amp;K$22,Base[#All],MATCH(K$23,Base[#Headers],0),FALSE),0)</f>
        <v>2883.4830622576633</v>
      </c>
      <c r="L25" s="3">
        <f>IFERROR(VLOOKUP( $B25&amp;L$22,Base[#All],MATCH(L$23,Base[#Headers],0),FALSE),0)</f>
        <v>3141.3259527618134</v>
      </c>
      <c r="M25" s="3">
        <f>IFERROR(VLOOKUP( $B25&amp;M$22,Base[#All],MATCH(M$23,Base[#Headers],0),FALSE),0)</f>
        <v>4488.2274944272676</v>
      </c>
      <c r="N25" s="3">
        <f>IFERROR(VLOOKUP( $B25&amp;N$22,Base[#All],MATCH(N$23,Base[#Headers],0),FALSE),0)</f>
        <v>3319.7556717322623</v>
      </c>
      <c r="O25" s="3">
        <f>IFERROR(VLOOKUP( $B25&amp;O$22,Base[#All],MATCH(O$23,Base[#Headers],0),FALSE),0)</f>
        <v>85642.583587480069</v>
      </c>
    </row>
    <row r="26" spans="2:15" x14ac:dyDescent="0.25">
      <c r="B26" s="5" t="s">
        <v>2</v>
      </c>
      <c r="C26" s="3">
        <f>IFERROR(VLOOKUP( $B26&amp;C$22,Base[#All],MATCH(C$23,Base[#Headers],0),FALSE),0)</f>
        <v>32959.416439640161</v>
      </c>
      <c r="D26" s="3">
        <f>IFERROR(VLOOKUP( $B26&amp;D$22,Base[#All],MATCH(D$23,Base[#Headers],0),FALSE),0)</f>
        <v>31036.01453722089</v>
      </c>
      <c r="E26" s="3">
        <f>IFERROR(VLOOKUP( $B26&amp;E$22,Base[#All],MATCH(E$23,Base[#Headers],0),FALSE),0)</f>
        <v>3516.4672601277989</v>
      </c>
      <c r="F26" s="3">
        <f>IFERROR(VLOOKUP( $B26&amp;F$22,Base[#All],MATCH(F$23,Base[#Headers],0),FALSE),0)</f>
        <v>4989.6103667288089</v>
      </c>
      <c r="G26" s="3">
        <f>IFERROR(VLOOKUP( $B26&amp;G$22,Base[#All],MATCH(G$23,Base[#Headers],0),FALSE),0)</f>
        <v>3088.9320561926597</v>
      </c>
      <c r="H26" s="3">
        <f>IFERROR(VLOOKUP( $B26&amp;H$22,Base[#All],MATCH(H$23,Base[#Headers],0),FALSE),0)</f>
        <v>19603.691393196048</v>
      </c>
      <c r="I26" s="3">
        <f>IFERROR(VLOOKUP( $B26&amp;I$22,Base[#All],MATCH(I$23,Base[#Headers],0),FALSE),0)</f>
        <v>3816.6869153875905</v>
      </c>
      <c r="J26" s="3">
        <f>IFERROR(VLOOKUP( $B26&amp;J$22,Base[#All],MATCH(J$23,Base[#Headers],0),FALSE),0)</f>
        <v>2782.0876596198282</v>
      </c>
      <c r="K26" s="3">
        <f>IFERROR(VLOOKUP( $B26&amp;K$22,Base[#All],MATCH(K$23,Base[#Headers],0),FALSE),0)</f>
        <v>2752.0424787900151</v>
      </c>
      <c r="L26" s="3">
        <f>IFERROR(VLOOKUP( $B26&amp;L$22,Base[#All],MATCH(L$23,Base[#Headers],0),FALSE),0)</f>
        <v>5200.6448805347936</v>
      </c>
      <c r="M26" s="3">
        <f>IFERROR(VLOOKUP( $B26&amp;M$22,Base[#All],MATCH(M$23,Base[#Headers],0),FALSE),0)</f>
        <v>6545.5626135773482</v>
      </c>
      <c r="N26" s="3">
        <f>IFERROR(VLOOKUP( $B26&amp;N$22,Base[#All],MATCH(N$23,Base[#Headers],0),FALSE),0)</f>
        <v>7048.0586720093261</v>
      </c>
      <c r="O26" s="3">
        <f>IFERROR(VLOOKUP( $B26&amp;O$22,Base[#All],MATCH(O$23,Base[#Headers],0),FALSE),0)</f>
        <v>125358.21527302526</v>
      </c>
    </row>
    <row r="27" spans="2:15" x14ac:dyDescent="0.25">
      <c r="B27" s="5" t="s">
        <v>29</v>
      </c>
      <c r="C27" s="3">
        <f>IFERROR(VLOOKUP( $B27&amp;C$22,Base[#All],MATCH(C$23,Base[#Headers],0),FALSE),0)</f>
        <v>34896.343857172731</v>
      </c>
      <c r="D27" s="3">
        <f>IFERROR(VLOOKUP( $B27&amp;D$22,Base[#All],MATCH(D$23,Base[#Headers],0),FALSE),0)</f>
        <v>38470.219011915295</v>
      </c>
      <c r="E27" s="3">
        <f>IFERROR(VLOOKUP( $B27&amp;E$22,Base[#All],MATCH(E$23,Base[#Headers],0),FALSE),0)</f>
        <v>5674.8027418451993</v>
      </c>
      <c r="F27" s="3">
        <f>IFERROR(VLOOKUP( $B27&amp;F$22,Base[#All],MATCH(F$23,Base[#Headers],0),FALSE),0)</f>
        <v>10342.439142536216</v>
      </c>
      <c r="G27" s="3">
        <f>IFERROR(VLOOKUP( $B27&amp;G$22,Base[#All],MATCH(G$23,Base[#Headers],0),FALSE),0)</f>
        <v>3293.2514756600704</v>
      </c>
      <c r="H27" s="3">
        <f>IFERROR(VLOOKUP( $B27&amp;H$22,Base[#All],MATCH(H$23,Base[#Headers],0),FALSE),0)</f>
        <v>23773.025884064984</v>
      </c>
      <c r="I27" s="3">
        <f>IFERROR(VLOOKUP( $B27&amp;I$22,Base[#All],MATCH(I$23,Base[#Headers],0),FALSE),0)</f>
        <v>5897.3414488393928</v>
      </c>
      <c r="J27" s="3">
        <f>IFERROR(VLOOKUP( $B27&amp;J$22,Base[#All],MATCH(J$23,Base[#Headers],0),FALSE),0)</f>
        <v>2790.7018914340424</v>
      </c>
      <c r="K27" s="3">
        <f>IFERROR(VLOOKUP( $B27&amp;K$22,Base[#All],MATCH(K$23,Base[#Headers],0),FALSE),0)</f>
        <v>20601.87670398999</v>
      </c>
      <c r="L27" s="3">
        <f>IFERROR(VLOOKUP( $B27&amp;L$22,Base[#All],MATCH(L$23,Base[#Headers],0),FALSE),0)</f>
        <v>132428.34775862086</v>
      </c>
      <c r="M27" s="3">
        <f>IFERROR(VLOOKUP( $B27&amp;M$22,Base[#All],MATCH(M$23,Base[#Headers],0),FALSE),0)</f>
        <v>9944.8306306631894</v>
      </c>
      <c r="N27" s="3">
        <f>IFERROR(VLOOKUP( $B27&amp;N$22,Base[#All],MATCH(N$23,Base[#Headers],0),FALSE),0)</f>
        <v>75778.700375766231</v>
      </c>
      <c r="O27" s="3">
        <f>IFERROR(VLOOKUP( $B27&amp;O$22,Base[#All],MATCH(O$23,Base[#Headers],0),FALSE),0)</f>
        <v>365910.88092250819</v>
      </c>
    </row>
    <row r="28" spans="2:15" x14ac:dyDescent="0.25">
      <c r="B28" s="5" t="s">
        <v>30</v>
      </c>
      <c r="C28" s="3">
        <f>IFERROR(VLOOKUP( $B28&amp;C$22,Base[#All],MATCH(C$23,Base[#Headers],0),FALSE),0)</f>
        <v>0</v>
      </c>
      <c r="D28" s="3">
        <f>IFERROR(VLOOKUP( $B28&amp;D$22,Base[#All],MATCH(D$23,Base[#Headers],0),FALSE),0)</f>
        <v>0</v>
      </c>
      <c r="E28" s="3">
        <f>IFERROR(VLOOKUP( $B28&amp;E$22,Base[#All],MATCH(E$23,Base[#Headers],0),FALSE),0)</f>
        <v>0</v>
      </c>
      <c r="F28" s="3">
        <f>IFERROR(VLOOKUP( $B28&amp;F$22,Base[#All],MATCH(F$23,Base[#Headers],0),FALSE),0)</f>
        <v>0</v>
      </c>
      <c r="G28" s="3">
        <f>IFERROR(VLOOKUP( $B28&amp;G$22,Base[#All],MATCH(G$23,Base[#Headers],0),FALSE),0)</f>
        <v>0</v>
      </c>
      <c r="H28" s="3">
        <f>IFERROR(VLOOKUP( $B28&amp;H$22,Base[#All],MATCH(H$23,Base[#Headers],0),FALSE),0)</f>
        <v>0</v>
      </c>
      <c r="I28" s="3">
        <f>IFERROR(VLOOKUP( $B28&amp;I$22,Base[#All],MATCH(I$23,Base[#Headers],0),FALSE),0)</f>
        <v>0</v>
      </c>
      <c r="J28" s="3">
        <f>IFERROR(VLOOKUP( $B28&amp;J$22,Base[#All],MATCH(J$23,Base[#Headers],0),FALSE),0)</f>
        <v>0</v>
      </c>
      <c r="K28" s="3">
        <f>IFERROR(VLOOKUP( $B28&amp;K$22,Base[#All],MATCH(K$23,Base[#Headers],0),FALSE),0)</f>
        <v>0</v>
      </c>
      <c r="L28" s="3">
        <f>IFERROR(VLOOKUP( $B28&amp;L$22,Base[#All],MATCH(L$23,Base[#Headers],0),FALSE),0)</f>
        <v>0</v>
      </c>
      <c r="M28" s="3">
        <f>IFERROR(VLOOKUP( $B28&amp;M$22,Base[#All],MATCH(M$23,Base[#Headers],0),FALSE),0)</f>
        <v>0</v>
      </c>
      <c r="N28" s="3">
        <f>IFERROR(VLOOKUP( $B28&amp;N$22,Base[#All],MATCH(N$23,Base[#Headers],0),FALSE),0)</f>
        <v>0</v>
      </c>
      <c r="O28" s="3">
        <f>IFERROR(VLOOKUP( $B28&amp;O$22,Base[#All],MATCH(O$23,Base[#Headers],0),FALSE),0)</f>
        <v>0</v>
      </c>
    </row>
    <row r="29" spans="2:15" x14ac:dyDescent="0.25">
      <c r="B29" s="6" t="s">
        <v>17</v>
      </c>
      <c r="C29" s="4">
        <f>SUM(C24:C26)</f>
        <v>71833.900669436582</v>
      </c>
      <c r="D29" s="4">
        <f t="shared" ref="D29" si="6">SUM(D24:D26)</f>
        <v>65656.516567781902</v>
      </c>
      <c r="E29" s="4">
        <f t="shared" ref="E29" si="7">SUM(E24:E26)</f>
        <v>28320.549421832697</v>
      </c>
      <c r="F29" s="4">
        <f t="shared" ref="F29" si="8">SUM(F24:F26)</f>
        <v>19521.257854120689</v>
      </c>
      <c r="G29" s="4">
        <f t="shared" ref="G29" si="9">SUM(G24:G26)</f>
        <v>8740.7023438511642</v>
      </c>
      <c r="H29" s="4">
        <f t="shared" ref="H29" si="10">SUM(H24:H26)</f>
        <v>56659.060022080463</v>
      </c>
      <c r="I29" s="4">
        <f t="shared" ref="I29" si="11">SUM(I24:I26)</f>
        <v>14049.601794996595</v>
      </c>
      <c r="J29" s="4">
        <f t="shared" ref="J29" si="12">SUM(J24:J26)</f>
        <v>8595.0159884285349</v>
      </c>
      <c r="K29" s="4">
        <f t="shared" ref="K29" si="13">SUM(K24:K26)</f>
        <v>8387.568019837694</v>
      </c>
      <c r="L29" s="4">
        <f t="shared" ref="L29" si="14">SUM(L24:L26)</f>
        <v>13542.615713831401</v>
      </c>
      <c r="M29" s="4">
        <f t="shared" ref="M29" si="15">SUM(M24:M26)</f>
        <v>17579.352721581963</v>
      </c>
      <c r="N29" s="4">
        <f t="shared" ref="N29" si="16">SUM(N24:N26)</f>
        <v>17415.873015750916</v>
      </c>
      <c r="O29" s="4">
        <f t="shared" ref="O29" si="17">SUM(O24:O26)</f>
        <v>336359.01413353061</v>
      </c>
    </row>
    <row r="31" spans="2:15" x14ac:dyDescent="0.25">
      <c r="B31" s="9"/>
      <c r="C31" s="10">
        <v>2019</v>
      </c>
      <c r="D31" s="10">
        <v>2019</v>
      </c>
      <c r="E31" s="10">
        <v>2019</v>
      </c>
      <c r="F31" s="10">
        <v>2019</v>
      </c>
      <c r="G31" s="10">
        <v>2019</v>
      </c>
      <c r="H31" s="10">
        <v>2019</v>
      </c>
      <c r="I31" s="10">
        <v>2019</v>
      </c>
      <c r="J31" s="10">
        <v>2019</v>
      </c>
      <c r="K31" s="10">
        <v>2019</v>
      </c>
      <c r="L31" s="10">
        <v>2019</v>
      </c>
      <c r="M31" s="10">
        <v>2019</v>
      </c>
      <c r="N31" s="10">
        <v>2019</v>
      </c>
      <c r="O31" s="10">
        <v>2019</v>
      </c>
    </row>
    <row r="32" spans="2:15" x14ac:dyDescent="0.25">
      <c r="B32" s="11" t="s">
        <v>5</v>
      </c>
      <c r="C32" s="12" t="s">
        <v>3</v>
      </c>
      <c r="D32" s="12" t="s">
        <v>6</v>
      </c>
      <c r="E32" s="12" t="s">
        <v>7</v>
      </c>
      <c r="F32" s="12" t="s">
        <v>8</v>
      </c>
      <c r="G32" s="12" t="s">
        <v>9</v>
      </c>
      <c r="H32" s="12" t="s">
        <v>10</v>
      </c>
      <c r="I32" s="12" t="s">
        <v>11</v>
      </c>
      <c r="J32" s="12" t="s">
        <v>12</v>
      </c>
      <c r="K32" s="12" t="s">
        <v>13</v>
      </c>
      <c r="L32" s="12" t="s">
        <v>14</v>
      </c>
      <c r="M32" s="12" t="s">
        <v>15</v>
      </c>
      <c r="N32" s="12" t="s">
        <v>16</v>
      </c>
      <c r="O32" s="12" t="s">
        <v>21</v>
      </c>
    </row>
    <row r="33" spans="2:15" x14ac:dyDescent="0.25">
      <c r="B33" s="5" t="s">
        <v>0</v>
      </c>
      <c r="C33" s="7">
        <f>IFERROR((C24-C15)/C15,0)</f>
        <v>10.545684938060592</v>
      </c>
      <c r="D33" s="7">
        <f t="shared" ref="D33:O33" si="18">IFERROR((D24-D15)/D15,0)</f>
        <v>9.2169443857932603</v>
      </c>
      <c r="E33" s="7">
        <f t="shared" si="18"/>
        <v>9.83887271964307E-2</v>
      </c>
      <c r="F33" s="7">
        <f t="shared" si="18"/>
        <v>0.26860119494725632</v>
      </c>
      <c r="G33" s="7">
        <f t="shared" si="18"/>
        <v>0.15796832807889691</v>
      </c>
      <c r="H33" s="7">
        <f t="shared" si="18"/>
        <v>1.4001357111173538</v>
      </c>
      <c r="I33" s="7">
        <f t="shared" si="18"/>
        <v>-0.21378125161737516</v>
      </c>
      <c r="J33" s="7">
        <f t="shared" si="18"/>
        <v>-2.6251966383346929E-2</v>
      </c>
      <c r="K33" s="7">
        <f t="shared" si="18"/>
        <v>-0.39000658890059237</v>
      </c>
      <c r="L33" s="7">
        <f t="shared" si="18"/>
        <v>0.32099858092647982</v>
      </c>
      <c r="M33" s="7">
        <f t="shared" si="18"/>
        <v>0.13470170016947181</v>
      </c>
      <c r="N33" s="7">
        <f t="shared" si="18"/>
        <v>0.7241291700706507</v>
      </c>
      <c r="O33" s="7">
        <f t="shared" si="18"/>
        <v>1.4155278079542264</v>
      </c>
    </row>
    <row r="34" spans="2:15" x14ac:dyDescent="0.25">
      <c r="B34" s="5" t="s">
        <v>1</v>
      </c>
      <c r="C34" s="7">
        <f t="shared" ref="C34:O34" si="19">IFERROR((C25-C16)/C16,0)</f>
        <v>0.45707674144404009</v>
      </c>
      <c r="D34" s="7">
        <f t="shared" si="19"/>
        <v>-0.41546992021483881</v>
      </c>
      <c r="E34" s="7">
        <f t="shared" si="19"/>
        <v>0.65558371984566288</v>
      </c>
      <c r="F34" s="7">
        <f t="shared" si="19"/>
        <v>1.0498907114649803</v>
      </c>
      <c r="G34" s="7">
        <f t="shared" si="19"/>
        <v>-0.8161864514721584</v>
      </c>
      <c r="H34" s="7">
        <f t="shared" si="19"/>
        <v>4.5747577978106646</v>
      </c>
      <c r="I34" s="7">
        <f t="shared" si="19"/>
        <v>-0.1614411049171233</v>
      </c>
      <c r="J34" s="7">
        <f t="shared" si="19"/>
        <v>-0.27151775681320028</v>
      </c>
      <c r="K34" s="7">
        <f t="shared" si="19"/>
        <v>-9.736812211140751E-2</v>
      </c>
      <c r="L34" s="7">
        <f t="shared" si="19"/>
        <v>-0.88484398930897801</v>
      </c>
      <c r="M34" s="7">
        <f t="shared" si="19"/>
        <v>0.65667206960655755</v>
      </c>
      <c r="N34" s="7">
        <f t="shared" si="19"/>
        <v>-0.35375874375767657</v>
      </c>
      <c r="O34" s="7">
        <f t="shared" si="19"/>
        <v>-0.11642577259997493</v>
      </c>
    </row>
    <row r="35" spans="2:15" x14ac:dyDescent="0.25">
      <c r="B35" s="5" t="s">
        <v>2</v>
      </c>
      <c r="C35" s="7">
        <f t="shared" ref="C35:O35" si="20">IFERROR((C26-C17)/C17,0)</f>
        <v>7.1189938660870897</v>
      </c>
      <c r="D35" s="7">
        <f t="shared" si="20"/>
        <v>4.0611095972189961</v>
      </c>
      <c r="E35" s="7">
        <f t="shared" si="20"/>
        <v>-0.72651675755339995</v>
      </c>
      <c r="F35" s="7">
        <f t="shared" si="20"/>
        <v>7.1904857971880065E-2</v>
      </c>
      <c r="G35" s="7">
        <f t="shared" si="20"/>
        <v>-0.77845360840999223</v>
      </c>
      <c r="H35" s="7">
        <f t="shared" si="20"/>
        <v>5.2621964630772515</v>
      </c>
      <c r="I35" s="7">
        <f t="shared" si="20"/>
        <v>-0.50118406320791287</v>
      </c>
      <c r="J35" s="7">
        <f t="shared" si="20"/>
        <v>-0.33130715856318599</v>
      </c>
      <c r="K35" s="7">
        <f t="shared" si="20"/>
        <v>-0.13851365968681562</v>
      </c>
      <c r="L35" s="7">
        <f t="shared" si="20"/>
        <v>-0.80935263437513039</v>
      </c>
      <c r="M35" s="7">
        <f t="shared" si="20"/>
        <v>1.4160653120276498</v>
      </c>
      <c r="N35" s="7">
        <f t="shared" si="20"/>
        <v>0.37201250352626797</v>
      </c>
      <c r="O35" s="7">
        <f t="shared" si="20"/>
        <v>0.29332025691365987</v>
      </c>
    </row>
    <row r="36" spans="2:15" x14ac:dyDescent="0.25">
      <c r="B36" s="5" t="s">
        <v>29</v>
      </c>
      <c r="C36" s="7">
        <f t="shared" ref="C36:O36" si="21">IFERROR((C27-C18)/C18,0)</f>
        <v>4.682893838236339</v>
      </c>
      <c r="D36" s="7">
        <f t="shared" si="21"/>
        <v>4.8623155607976649E-2</v>
      </c>
      <c r="E36" s="7">
        <f t="shared" si="21"/>
        <v>-0.95140718665400725</v>
      </c>
      <c r="F36" s="7">
        <f t="shared" si="21"/>
        <v>-1.0333552378811927E-3</v>
      </c>
      <c r="G36" s="7">
        <f t="shared" si="21"/>
        <v>-0.93732858367793381</v>
      </c>
      <c r="H36" s="7">
        <f t="shared" si="21"/>
        <v>4.1172573047285681</v>
      </c>
      <c r="I36" s="7">
        <f t="shared" si="21"/>
        <v>-0.7136181042823776</v>
      </c>
      <c r="J36" s="7">
        <f t="shared" si="21"/>
        <v>-0.5927619521980414</v>
      </c>
      <c r="K36" s="7">
        <f t="shared" si="21"/>
        <v>-0.19514076156107016</v>
      </c>
      <c r="L36" s="7">
        <f t="shared" si="21"/>
        <v>2.5836637560499005</v>
      </c>
      <c r="M36" s="7">
        <f t="shared" si="21"/>
        <v>-0.7401811511324905</v>
      </c>
      <c r="N36" s="7">
        <f t="shared" si="21"/>
        <v>12.1775444124338</v>
      </c>
      <c r="O36" s="7">
        <f t="shared" si="21"/>
        <v>7.4732805783554014E-3</v>
      </c>
    </row>
    <row r="37" spans="2:15" x14ac:dyDescent="0.25">
      <c r="B37" s="5" t="s">
        <v>30</v>
      </c>
      <c r="C37" s="7">
        <f t="shared" ref="C37:O37" si="22">IFERROR((C28-C19)/C19,0)</f>
        <v>0</v>
      </c>
      <c r="D37" s="7">
        <f t="shared" si="22"/>
        <v>0</v>
      </c>
      <c r="E37" s="7">
        <f t="shared" si="22"/>
        <v>0</v>
      </c>
      <c r="F37" s="7">
        <f t="shared" si="22"/>
        <v>0</v>
      </c>
      <c r="G37" s="7">
        <f t="shared" si="22"/>
        <v>0</v>
      </c>
      <c r="H37" s="7">
        <f t="shared" si="22"/>
        <v>0</v>
      </c>
      <c r="I37" s="7">
        <f t="shared" si="22"/>
        <v>0</v>
      </c>
      <c r="J37" s="7">
        <f t="shared" si="22"/>
        <v>0</v>
      </c>
      <c r="K37" s="7">
        <f t="shared" si="22"/>
        <v>0</v>
      </c>
      <c r="L37" s="7">
        <f t="shared" si="22"/>
        <v>0</v>
      </c>
      <c r="M37" s="7">
        <f t="shared" si="22"/>
        <v>0</v>
      </c>
      <c r="N37" s="7">
        <f t="shared" si="22"/>
        <v>0</v>
      </c>
      <c r="O37" s="7">
        <f t="shared" si="22"/>
        <v>0</v>
      </c>
    </row>
    <row r="38" spans="2:15" x14ac:dyDescent="0.25">
      <c r="B38" s="6" t="s">
        <v>17</v>
      </c>
      <c r="C38" s="8">
        <f t="shared" ref="C38:O38" si="23">(C29-C20)/C20</f>
        <v>5.5459550891030309</v>
      </c>
      <c r="D38" s="8">
        <f t="shared" si="23"/>
        <v>3.2906557711811857</v>
      </c>
      <c r="E38" s="8">
        <f t="shared" si="23"/>
        <v>-2.064736767878813E-2</v>
      </c>
      <c r="F38" s="8">
        <f t="shared" si="23"/>
        <v>0.47408569712265197</v>
      </c>
      <c r="G38" s="8">
        <f t="shared" si="23"/>
        <v>-0.71391427523658002</v>
      </c>
      <c r="H38" s="8">
        <f t="shared" si="23"/>
        <v>2.9268288454117664</v>
      </c>
      <c r="I38" s="8">
        <f t="shared" si="23"/>
        <v>-0.30300774181279078</v>
      </c>
      <c r="J38" s="8">
        <f t="shared" si="23"/>
        <v>-0.23108196657877303</v>
      </c>
      <c r="K38" s="8">
        <f t="shared" si="23"/>
        <v>-0.23054425601441675</v>
      </c>
      <c r="L38" s="8">
        <f t="shared" si="23"/>
        <v>-0.76848110688015847</v>
      </c>
      <c r="M38" s="8">
        <f t="shared" si="23"/>
        <v>0.5714234584747524</v>
      </c>
      <c r="N38" s="8">
        <f t="shared" si="23"/>
        <v>0.21264077236075982</v>
      </c>
      <c r="O38" s="8">
        <f t="shared" si="23"/>
        <v>0.36869460351144662</v>
      </c>
    </row>
  </sheetData>
  <conditionalFormatting sqref="C33:O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:O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:O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6D8E0D-6413-499E-9F7C-A7CC5187E518}">
          <x14:formula1>
            <xm:f>Listas!$A$2:$A$3</xm:f>
          </x14:formula1>
          <xm:sqref>C13:O13 C22:O22 C2:D2 C31:O31</xm:sqref>
        </x14:dataValidation>
        <x14:dataValidation type="list" allowBlank="1" showInputMessage="1" showErrorMessage="1" xr:uid="{846D1D2D-773E-4325-B298-CAF202D1F437}">
          <x14:formula1>
            <xm:f>Listas!$C$2:$C$14</xm:f>
          </x14:formula1>
          <xm:sqref>C14:O14 C23:O23 C3:D3 C32:O32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921F72-7E78-4EC6-B8FB-A5AF1D8034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Listas</vt:lpstr>
      <vt:lpstr>DePara</vt:lpstr>
      <vt:lpstr>Base Provc com Corresp</vt:lpstr>
      <vt:lpstr>Relatório - Aula</vt:lpstr>
      <vt:lpstr>Relatório -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Augusto Souza Martins - Almap BBDO</dc:creator>
  <cp:lastModifiedBy>Renato Augusto Souza Martins - Almap BBDO</cp:lastModifiedBy>
  <cp:lastPrinted>2020-01-27T00:56:42Z</cp:lastPrinted>
  <dcterms:created xsi:type="dcterms:W3CDTF">2020-01-23T18:15:40Z</dcterms:created>
  <dcterms:modified xsi:type="dcterms:W3CDTF">2020-01-27T02:36:23Z</dcterms:modified>
</cp:coreProperties>
</file>