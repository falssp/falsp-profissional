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7C44C9BC-89CB-41D5-BDBA-D700FFAC0ACA}" xr6:coauthVersionLast="44" xr6:coauthVersionMax="44" xr10:uidLastSave="{00000000-0000-0000-0000-000000000000}"/>
  <bookViews>
    <workbookView xWindow="-120" yWindow="-120" windowWidth="29040" windowHeight="17640" tabRatio="661" activeTab="3" xr2:uid="{00000000-000D-0000-FFFF-FFFF00000000}"/>
  </bookViews>
  <sheets>
    <sheet name="DePara" sheetId="2" r:id="rId1"/>
    <sheet name="Base" sheetId="1" r:id="rId2"/>
    <sheet name="TD-Base - Aula" sheetId="6" r:id="rId3"/>
    <sheet name="TD-Base - Final" sheetId="3" r:id="rId4"/>
    <sheet name="TD-Layout Tabela - Aula" sheetId="9" r:id="rId5"/>
    <sheet name="TD-Layout Tabela - Final" sheetId="7" r:id="rId6"/>
    <sheet name="TD-Campo Calculado - Aula" sheetId="12" r:id="rId7"/>
    <sheet name="TD-Campo Calculado - Final" sheetId="10" r:id="rId8"/>
    <sheet name="TD-Dash - Aula" sheetId="15" r:id="rId9"/>
    <sheet name="TD-Dash - Aula - Suporte" sheetId="16" r:id="rId10"/>
    <sheet name="TD-Dash - Final" sheetId="13" r:id="rId11"/>
    <sheet name="TD-Dash - Final - Suporte" sheetId="14" r:id="rId12"/>
  </sheets>
  <definedNames>
    <definedName name="NativeTimeline_Período">#N/A</definedName>
    <definedName name="SegmentaçãodeDados_Produto_ok">#N/A</definedName>
  </definedNames>
  <calcPr calcId="191029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E7" i="10" l="1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6" i="10"/>
  <c r="E5" i="10"/>
  <c r="E4" i="10"/>
  <c r="E3" i="10"/>
  <c r="E2" i="10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</calcChain>
</file>

<file path=xl/sharedStrings.xml><?xml version="1.0" encoding="utf-8"?>
<sst xmlns="http://schemas.openxmlformats.org/spreadsheetml/2006/main" count="2697" uniqueCount="130">
  <si>
    <t>Período</t>
  </si>
  <si>
    <t>Nº AP</t>
  </si>
  <si>
    <t>Nº PI</t>
  </si>
  <si>
    <t>Produto</t>
  </si>
  <si>
    <t>Campanha</t>
  </si>
  <si>
    <t>Veículo</t>
  </si>
  <si>
    <t>Valor Bruto 20%</t>
  </si>
  <si>
    <t>Valor Líquido</t>
  </si>
  <si>
    <t>VENDAS CORPORATIVAS</t>
  </si>
  <si>
    <t>VENDAS CORPORATIVAS 2019</t>
  </si>
  <si>
    <t>SINDLOC MG</t>
  </si>
  <si>
    <t>INSTITUCIONAL</t>
  </si>
  <si>
    <t>Projeto Inovação</t>
  </si>
  <si>
    <t>GLOBO.COM</t>
  </si>
  <si>
    <t>Jornalistas 2019</t>
  </si>
  <si>
    <t>AUTOMOTIVE BUSINESS</t>
  </si>
  <si>
    <t>T-CROSS</t>
  </si>
  <si>
    <t>Sustentação T-Cross 2019</t>
  </si>
  <si>
    <t>OFF</t>
  </si>
  <si>
    <t>TV BAND - PORTO ALEGRE</t>
  </si>
  <si>
    <t>AMAROK V6</t>
  </si>
  <si>
    <t>Kitesurf</t>
  </si>
  <si>
    <t>GOLF</t>
  </si>
  <si>
    <t xml:space="preserve">GOLF GTE 2019 </t>
  </si>
  <si>
    <t>GOOGLE YOUTUBE</t>
  </si>
  <si>
    <t>GOOGLE DV360</t>
  </si>
  <si>
    <t>VIVO ADS</t>
  </si>
  <si>
    <t>WEBEDIA</t>
  </si>
  <si>
    <t>FACEBOOK</t>
  </si>
  <si>
    <t>VERIZON MEDIA</t>
  </si>
  <si>
    <t>UOL</t>
  </si>
  <si>
    <t>TEADS</t>
  </si>
  <si>
    <t>GOOGLE GDN</t>
  </si>
  <si>
    <t>GOOGLE SEARCH</t>
  </si>
  <si>
    <t>GOOGLE DBM FEE</t>
  </si>
  <si>
    <t>GOOGLE DCM</t>
  </si>
  <si>
    <t>GOOGLE DS3</t>
  </si>
  <si>
    <t>P. VAREJO (R5)</t>
  </si>
  <si>
    <t>Dezembro 2019</t>
  </si>
  <si>
    <t>FULL MARKETING</t>
  </si>
  <si>
    <t>QUATRO RODAS</t>
  </si>
  <si>
    <t>LINKEDIN</t>
  </si>
  <si>
    <t>AMAROK</t>
  </si>
  <si>
    <t>KITE SURF</t>
  </si>
  <si>
    <t>VAREJO NACIONAL AMAROK</t>
  </si>
  <si>
    <t>GOOGLE SMART ADS</t>
  </si>
  <si>
    <t>CARROS COM CAMANZI</t>
  </si>
  <si>
    <t>AUTO INFORME - INTERNET</t>
  </si>
  <si>
    <t>MECÂNICA ONLINE</t>
  </si>
  <si>
    <t>PÓS-VENDAS</t>
  </si>
  <si>
    <t>MERCADO LIVRE</t>
  </si>
  <si>
    <t>ALWAYS ON</t>
  </si>
  <si>
    <t>Always On</t>
  </si>
  <si>
    <t>BING</t>
  </si>
  <si>
    <t>VAREJO NACIONAL CARS</t>
  </si>
  <si>
    <t>Q4 | Dezembro 2019</t>
  </si>
  <si>
    <t>P. VAREJO (R3)</t>
  </si>
  <si>
    <t>BRANDED CONTENT</t>
  </si>
  <si>
    <t>Social</t>
  </si>
  <si>
    <t>OATH GEMINI</t>
  </si>
  <si>
    <t>DePara Produto</t>
  </si>
  <si>
    <t>De</t>
  </si>
  <si>
    <t>Para</t>
  </si>
  <si>
    <t>Outros</t>
  </si>
  <si>
    <t>Amarok</t>
  </si>
  <si>
    <t>Golf</t>
  </si>
  <si>
    <t>Varejo</t>
  </si>
  <si>
    <t>T-Cross</t>
  </si>
  <si>
    <t>Produto ok</t>
  </si>
  <si>
    <t>Rótulos de Linha</t>
  </si>
  <si>
    <t>Total Geral</t>
  </si>
  <si>
    <t>Rótulos de Coluna</t>
  </si>
  <si>
    <t>Soma de Valor Bruto 20%</t>
  </si>
  <si>
    <t>jan</t>
  </si>
  <si>
    <t>fev</t>
  </si>
  <si>
    <t>mai</t>
  </si>
  <si>
    <t>jun</t>
  </si>
  <si>
    <t>jul</t>
  </si>
  <si>
    <t>ago</t>
  </si>
  <si>
    <t>set</t>
  </si>
  <si>
    <t>out</t>
  </si>
  <si>
    <t>nov</t>
  </si>
  <si>
    <t>dez</t>
  </si>
  <si>
    <t>Período - Anos</t>
  </si>
  <si>
    <t>(Tudo)</t>
  </si>
  <si>
    <t>&gt; Dimensões</t>
  </si>
  <si>
    <t>&gt; Métrica</t>
  </si>
  <si>
    <t>&gt; Subtotais</t>
  </si>
  <si>
    <t>&gt; Agrupar data</t>
  </si>
  <si>
    <t>&gt; Filtro</t>
  </si>
  <si>
    <t>&gt; Renomear campo</t>
  </si>
  <si>
    <t>Soma de Valor Líquido</t>
  </si>
  <si>
    <t>&gt; Layout tabela</t>
  </si>
  <si>
    <t>&gt; Remover subtotais</t>
  </si>
  <si>
    <t>&gt; Repetir rótulos</t>
  </si>
  <si>
    <t>&gt; Ocultar botões de expandir e recolher</t>
  </si>
  <si>
    <t>&gt; Remover negrito cabeçalho e linha</t>
  </si>
  <si>
    <t>&gt; Ordenar (tem que apresentar o subgrupo)</t>
  </si>
  <si>
    <t>Contagem de Nº PI</t>
  </si>
  <si>
    <t>&gt; Contagem de Pis</t>
  </si>
  <si>
    <t>Valor Médio</t>
  </si>
  <si>
    <t>Soma de Valor Médio do PI</t>
  </si>
  <si>
    <t>Qtd Linha</t>
  </si>
  <si>
    <t>Soma de Qtd Linha</t>
  </si>
  <si>
    <t>&gt; Montar a 1º TD</t>
  </si>
  <si>
    <t>&gt; Criar a Métrica de Valor Médio</t>
  </si>
  <si>
    <t>&gt; Alterar a dimensão para Campanha</t>
  </si>
  <si>
    <t>&gt; Arrastar a formula</t>
  </si>
  <si>
    <t>&gt; Criar a segunda TD</t>
  </si>
  <si>
    <t>&gt; Criar o campo calculado</t>
  </si>
  <si>
    <t>&gt; Comparar</t>
  </si>
  <si>
    <t xml:space="preserve">Valor Bruto 20% </t>
  </si>
  <si>
    <t>Qtd PIs</t>
  </si>
  <si>
    <t xml:space="preserve">Valor Médio do PI </t>
  </si>
  <si>
    <t>&gt; Criar Pivot</t>
  </si>
  <si>
    <t>&gt; Inserir segmentação de dados</t>
  </si>
  <si>
    <t>&gt; Criar Pivot dos totais</t>
  </si>
  <si>
    <t>&gt; Criar gráfico da Pivot</t>
  </si>
  <si>
    <t>&gt; Copiar Pivots para a aba de suporte</t>
  </si>
  <si>
    <t>&gt; Colar imagem vinculada e agrupar</t>
  </si>
  <si>
    <t>&gt; Formatar Pivots para refletir na imagem</t>
  </si>
  <si>
    <t>&gt; Incluir Pivot por veículo</t>
  </si>
  <si>
    <t>&gt; Incluir filtro por Período (linha temporal)</t>
  </si>
  <si>
    <t>&gt; Ajustar layout</t>
  </si>
  <si>
    <t>&gt; Selecionar conexões dos filtros</t>
  </si>
  <si>
    <t>&gt; Formatar Número</t>
  </si>
  <si>
    <t>&gt; Alterar o tema</t>
  </si>
  <si>
    <t>&gt; Adicionar dados na origem</t>
  </si>
  <si>
    <t>&gt; Ajustar formatação para não redimensionar</t>
  </si>
  <si>
    <t>&gt; Ordenação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</si>
</sst>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NumberFormat="1" applyFont="1"/>
    <xf numFmtId="164" fontId="0" fillId="0" borderId="0" xfId="1" applyNumberFormat="1" applyFont="1"/>
    <xf numFmtId="14" fontId="0" fillId="0" borderId="0" xfId="0" applyNumberFormat="1"/>
    <xf numFmtId="0" fontId="2" fillId="2" borderId="1" xfId="0" applyFont="1" applyFill="1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5" fontId="0" fillId="0" borderId="0" xfId="0" applyNumberFormat="1"/>
    <xf numFmtId="0" fontId="0" fillId="3" borderId="0" xfId="0" applyNumberFormat="1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165" fontId="0" fillId="0" borderId="0" xfId="0" applyNumberFormat="1" applyBorder="1"/>
    <xf numFmtId="165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21">
    <dxf>
      <alignment horizontal="center"/>
    </dxf>
    <dxf>
      <numFmt numFmtId="3" formatCode="#,##0"/>
    </dxf>
    <dxf>
      <alignment horizontal="general"/>
    </dxf>
    <dxf>
      <font>
        <b/>
      </font>
    </dxf>
    <dxf>
      <font>
        <sz val="18"/>
      </font>
    </dxf>
    <dxf>
      <font>
        <b/>
        <sz val="12"/>
      </font>
      <alignment horizontal="center"/>
    </dxf>
    <dxf>
      <font>
        <sz val="12"/>
      </font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sz val="18"/>
      </font>
    </dxf>
    <dxf>
      <alignment horizontal="center"/>
    </dxf>
    <dxf>
      <font>
        <b/>
      </font>
    </dxf>
    <dxf>
      <font>
        <sz val="18"/>
      </font>
    </dxf>
    <dxf>
      <font>
        <b/>
        <sz val="12"/>
      </font>
      <alignment horizontal="center"/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 Dinâmica.xlsx]TD-Dash - Final - Suporte!Tabela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'TD-Dash - Final - Suporte'!$C$2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'TD-Dash - Final - Suporte'!$B$3:$B$6</c:f>
              <c:strCache>
                <c:ptCount val="3"/>
                <c:pt idx="0">
                  <c:v>VAREJO NACIONAL AMAROK</c:v>
                </c:pt>
                <c:pt idx="1">
                  <c:v>KITE SURF</c:v>
                </c:pt>
                <c:pt idx="2">
                  <c:v>Kitesurf</c:v>
                </c:pt>
              </c:strCache>
            </c:strRef>
          </c:cat>
          <c:val>
            <c:numRef>
              <c:f>'TD-Dash - Final - Suporte'!$C$3:$C$6</c:f>
              <c:numCache>
                <c:formatCode>#,##0_ ;[Red]\-#,##0\ </c:formatCode>
                <c:ptCount val="3"/>
                <c:pt idx="0">
                  <c:v>14531448.07013501</c:v>
                </c:pt>
                <c:pt idx="1">
                  <c:v>4061946.7790694153</c:v>
                </c:pt>
                <c:pt idx="2">
                  <c:v>1720891.9954737576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7-4748-A323-1BA79CDAF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989824"/>
        <c:axId val="1617493888"/>
      </c:barChart>
      <c:catAx>
        <c:axId val="155598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7493888"/>
        <c:crosses val="autoZero"/>
        <c:auto val="1"/>
        <c:lblAlgn val="ctr"/>
        <c:lblOffset val="100"/>
        <c:noMultiLvlLbl val="0"/>
      </c:catAx>
      <c:valAx>
        <c:axId val="161749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5989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1943100</xdr:colOff>
      <xdr:row>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to ok">
              <a:extLst>
                <a:ext uri="{FF2B5EF4-FFF2-40B4-BE49-F238E27FC236}">
                  <a16:creationId xmlns:a16="http://schemas.microsoft.com/office/drawing/2014/main" id="{EEF83350-E9B0-47C9-BD0C-F011931E54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o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762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600075</xdr:colOff>
      <xdr:row>4</xdr:row>
      <xdr:rowOff>176211</xdr:rowOff>
    </xdr:from>
    <xdr:to>
      <xdr:col>5</xdr:col>
      <xdr:colOff>1400175</xdr:colOff>
      <xdr:row>20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7009794-32C8-4DEE-826E-11B098C51F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495300</xdr:colOff>
          <xdr:row>1</xdr:row>
          <xdr:rowOff>57150</xdr:rowOff>
        </xdr:from>
        <xdr:to>
          <xdr:col>5</xdr:col>
          <xdr:colOff>762000</xdr:colOff>
          <xdr:row>3</xdr:row>
          <xdr:rowOff>180975</xdr:rowOff>
        </xdr:to>
        <xdr:grpSp>
          <xdr:nvGrpSpPr>
            <xdr:cNvPr id="11" name="Agrupar 10">
              <a:extLst>
                <a:ext uri="{FF2B5EF4-FFF2-40B4-BE49-F238E27FC236}">
                  <a16:creationId xmlns:a16="http://schemas.microsoft.com/office/drawing/2014/main" id="{B9F5AD95-D1C5-4967-98FD-239C2E4789C7}"/>
                </a:ext>
              </a:extLst>
            </xdr:cNvPr>
            <xdr:cNvGrpSpPr/>
          </xdr:nvGrpSpPr>
          <xdr:grpSpPr>
            <a:xfrm>
              <a:off x="2762250" y="1762125"/>
              <a:ext cx="5353050" cy="504825"/>
              <a:chOff x="2286000" y="247650"/>
              <a:chExt cx="5353050" cy="504825"/>
            </a:xfrm>
          </xdr:grpSpPr>
          <xdr:pic>
            <xdr:nvPicPr>
              <xdr:cNvPr id="7" name="Imagem 6">
                <a:extLst>
                  <a:ext uri="{FF2B5EF4-FFF2-40B4-BE49-F238E27FC236}">
                    <a16:creationId xmlns:a16="http://schemas.microsoft.com/office/drawing/2014/main" id="{BB837072-0CA8-4A39-94CB-A3CEA32FDCB8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TD-Dash - Final - Suporte'!$G$2:$G$3" spid="_x0000_s10311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 bwMode="auto">
              <a:xfrm>
                <a:off x="2286000" y="247650"/>
                <a:ext cx="2276475" cy="49530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9" name="Imagem 8">
                <a:extLst>
                  <a:ext uri="{FF2B5EF4-FFF2-40B4-BE49-F238E27FC236}">
                    <a16:creationId xmlns:a16="http://schemas.microsoft.com/office/drawing/2014/main" id="{9DA28382-566C-4F2B-987A-E8F5F2DAC85D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TD-Dash - Final - Suporte'!$I$2:$I$3" spid="_x0000_s10312"/>
                  </a:ext>
                </a:extLst>
              </xdr:cNvPicPr>
            </xdr:nvPicPr>
            <xdr:blipFill>
              <a:blip xmlns:r="http://schemas.openxmlformats.org/officeDocument/2006/relationships" r:embed="rId3"/>
              <a:srcRect/>
              <a:stretch>
                <a:fillRect/>
              </a:stretch>
            </xdr:blipFill>
            <xdr:spPr bwMode="auto">
              <a:xfrm>
                <a:off x="4162425" y="257175"/>
                <a:ext cx="1771650" cy="49530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  <xdr:pic>
            <xdr:nvPicPr>
              <xdr:cNvPr id="10" name="Imagem 9">
                <a:extLst>
                  <a:ext uri="{FF2B5EF4-FFF2-40B4-BE49-F238E27FC236}">
                    <a16:creationId xmlns:a16="http://schemas.microsoft.com/office/drawing/2014/main" id="{2D48613D-A5FB-43A7-8367-ED6EBA7DB5E4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TD-Dash - Final - Suporte'!$K$2:$K$3" spid="_x0000_s10313"/>
                  </a:ext>
                </a:extLst>
              </xdr:cNvPicPr>
            </xdr:nvPicPr>
            <xdr:blipFill>
              <a:blip xmlns:r="http://schemas.openxmlformats.org/officeDocument/2006/relationships" r:embed="rId4"/>
              <a:srcRect/>
              <a:stretch>
                <a:fillRect/>
              </a:stretch>
            </xdr:blipFill>
            <xdr:spPr bwMode="auto">
              <a:xfrm>
                <a:off x="5791200" y="257175"/>
                <a:ext cx="1847850" cy="495300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xdr:grpSp>
        <xdr:clientData/>
      </xdr:twoCellAnchor>
    </mc:Choice>
    <mc:Fallback/>
  </mc:AlternateContent>
  <xdr:twoCellAnchor editAs="oneCell">
    <xdr:from>
      <xdr:col>1</xdr:col>
      <xdr:colOff>571500</xdr:colOff>
      <xdr:row>0</xdr:row>
      <xdr:rowOff>66675</xdr:rowOff>
    </xdr:from>
    <xdr:to>
      <xdr:col>5</xdr:col>
      <xdr:colOff>1457324</xdr:colOff>
      <xdr:row>0</xdr:row>
      <xdr:rowOff>1438275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" name="Período">
              <a:extLst>
                <a:ext uri="{FF2B5EF4-FFF2-40B4-BE49-F238E27FC236}">
                  <a16:creationId xmlns:a16="http://schemas.microsoft.com/office/drawing/2014/main" id="{4BA07B46-E56D-4E10-AE11-1934628C25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Perío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6950" y="66675"/>
              <a:ext cx="6543674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3857.582158333331" createdVersion="6" refreshedVersion="6" minRefreshableVersion="3" recordCount="818" xr:uid="{10B6EE30-D23B-467C-8BBF-89B42C3C3071}">
  <cacheSource type="worksheet">
    <worksheetSource name="BasePIs"/>
  </cacheSource>
  <cacheFields count="12">
    <cacheField name="Período" numFmtId="14">
      <sharedItems containsSemiMixedTypes="0" containsNonDate="0" containsDate="1" containsString="0" minDate="2019-01-01T00:00:00" maxDate="2020-12-02T00:00:00" count="24">
        <d v="2019-12-01T00:00:00"/>
        <d v="2019-10-01T00:00:00"/>
        <d v="2019-09-01T00:00:00"/>
        <d v="2019-04-01T00:00:00"/>
        <d v="2019-11-01T00:00:00"/>
        <d v="2019-05-01T00:00:00"/>
        <d v="2019-03-01T00:00:00"/>
        <d v="2019-02-01T00:00:00"/>
        <d v="2019-06-01T00:00:00"/>
        <d v="2019-07-01T00:00:00"/>
        <d v="2019-01-01T00:00:00"/>
        <d v="2019-08-01T00:00:00"/>
        <d v="2020-01-01T00:00:00"/>
        <d v="2020-12-01T00:00:00"/>
        <d v="2020-10-01T00:00:00"/>
        <d v="2020-09-01T00:00:00"/>
        <d v="2020-04-01T00:00:00"/>
        <d v="2020-11-01T00:00:00"/>
        <d v="2020-05-01T00:00:00"/>
        <d v="2020-03-01T00:00:00"/>
        <d v="2020-02-01T00:00:00"/>
        <d v="2020-06-01T00:00:00"/>
        <d v="2020-07-01T00:00:00"/>
        <d v="2020-08-01T00:00:00"/>
      </sharedItems>
      <fieldGroup par="10" base="0">
        <rangePr groupBy="months" startDate="2019-01-01T00:00:00" endDate="2020-12-02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0"/>
        </groupItems>
      </fieldGroup>
    </cacheField>
    <cacheField name="Nº AP" numFmtId="0">
      <sharedItems containsSemiMixedTypes="0" containsString="0" containsNumber="1" containsInteger="1" minValue="229491" maxValue="238001"/>
    </cacheField>
    <cacheField name="Nº PI" numFmtId="0">
      <sharedItems containsSemiMixedTypes="0" containsString="0" containsNumber="1" containsInteger="1" minValue="624844" maxValue="643511"/>
    </cacheField>
    <cacheField name="Produto" numFmtId="0">
      <sharedItems/>
    </cacheField>
    <cacheField name="Campanha" numFmtId="0">
      <sharedItems count="13">
        <s v="VENDAS CORPORATIVAS 2019"/>
        <s v="Projeto Inovação"/>
        <s v="Jornalistas 2019"/>
        <s v="Sustentação T-Cross 2019"/>
        <s v="Kitesurf"/>
        <s v="GOLF GTE 2019 "/>
        <s v="Dezembro 2019"/>
        <s v="KITE SURF"/>
        <s v="VAREJO NACIONAL AMAROK"/>
        <s v="PÓS-VENDAS"/>
        <s v="Always On"/>
        <s v="Q4 | Dezembro 2019"/>
        <s v="Social"/>
      </sharedItems>
    </cacheField>
    <cacheField name="Veículo" numFmtId="0">
      <sharedItems count="28">
        <s v="SINDLOC MG"/>
        <s v="GLOBO.COM"/>
        <s v="AUTOMOTIVE BUSINESS"/>
        <s v="OFF"/>
        <s v="TV BAND - PORTO ALEGRE"/>
        <s v="GOOGLE YOUTUBE"/>
        <s v="GOOGLE DV360"/>
        <s v="VIVO ADS"/>
        <s v="WEBEDIA"/>
        <s v="FACEBOOK"/>
        <s v="VERIZON MEDIA"/>
        <s v="UOL"/>
        <s v="TEADS"/>
        <s v="GOOGLE GDN"/>
        <s v="GOOGLE SEARCH"/>
        <s v="GOOGLE DBM FEE"/>
        <s v="GOOGLE DCM"/>
        <s v="GOOGLE DS3"/>
        <s v="FULL MARKETING"/>
        <s v="QUATRO RODAS"/>
        <s v="LINKEDIN"/>
        <s v="GOOGLE SMART ADS"/>
        <s v="CARROS COM CAMANZI"/>
        <s v="AUTO INFORME - INTERNET"/>
        <s v="MECÂNICA ONLINE"/>
        <s v="MERCADO LIVRE"/>
        <s v="BING"/>
        <s v="OATH GEMINI"/>
      </sharedItems>
    </cacheField>
    <cacheField name="Valor Bruto 20%" numFmtId="43">
      <sharedItems containsSemiMixedTypes="0" containsString="0" containsNumber="1" minValue="15" maxValue="229221234.71914878"/>
    </cacheField>
    <cacheField name="Valor Líquido" numFmtId="164">
      <sharedItems containsSemiMixedTypes="0" containsString="0" containsNumber="1" minValue="12" maxValue="183376987.77531904"/>
    </cacheField>
    <cacheField name="Produto ok" numFmtId="0">
      <sharedItems count="5">
        <s v="Outros"/>
        <s v="T-Cross"/>
        <s v="Amarok"/>
        <s v="Golf"/>
        <s v="Varejo"/>
      </sharedItems>
    </cacheField>
    <cacheField name="Qtd Linha" numFmtId="0">
      <sharedItems containsSemiMixedTypes="0" containsString="0" containsNumber="1" containsInteger="1" minValue="1" maxValue="1" count="1">
        <n v="1"/>
      </sharedItems>
    </cacheField>
    <cacheField name="Anos" numFmtId="0" databaseField="0">
      <fieldGroup base="0">
        <rangePr groupBy="years" startDate="2019-01-01T00:00:00" endDate="2020-12-02T00:00:00"/>
        <groupItems count="4">
          <s v="&lt;01/01/2019"/>
          <s v="2019"/>
          <s v="2020"/>
          <s v="&gt;02/12/2020"/>
        </groupItems>
      </fieldGroup>
    </cacheField>
    <cacheField name="Valor Médio do PI" numFmtId="0" formula=" SUM('Valor Bruto 20%') / SUM('Qtd Linha')" databaseField="0"/>
  </cacheFields>
  <extLst>
    <ext xmlns:x14="http://schemas.microsoft.com/office/spreadsheetml/2009/9/main" uri="{725AE2AE-9491-48be-B2B4-4EB974FC3084}">
      <x14:pivotCacheDefinition pivotCacheId="7490785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">
  <r>
    <x v="0"/>
    <n v="229491"/>
    <n v="624844"/>
    <s v="VENDAS CORPORATIVAS"/>
    <x v="0"/>
    <x v="0"/>
    <n v="1225"/>
    <n v="980"/>
    <x v="0"/>
    <x v="0"/>
  </r>
  <r>
    <x v="0"/>
    <n v="232042"/>
    <n v="630473"/>
    <s v="INSTITUCIONAL"/>
    <x v="1"/>
    <x v="1"/>
    <n v="125000"/>
    <n v="100000"/>
    <x v="0"/>
    <x v="0"/>
  </r>
  <r>
    <x v="0"/>
    <n v="233123"/>
    <n v="632974"/>
    <s v="INSTITUCIONAL"/>
    <x v="2"/>
    <x v="2"/>
    <n v="5555.56"/>
    <n v="4444.4480000000003"/>
    <x v="0"/>
    <x v="0"/>
  </r>
  <r>
    <x v="0"/>
    <n v="236414"/>
    <n v="640323"/>
    <s v="T-CROSS"/>
    <x v="3"/>
    <x v="3"/>
    <n v="200000"/>
    <n v="160000"/>
    <x v="1"/>
    <x v="0"/>
  </r>
  <r>
    <x v="0"/>
    <n v="236882"/>
    <n v="641246"/>
    <s v="INSTITUCIONAL"/>
    <x v="2"/>
    <x v="4"/>
    <n v="1248.1099999999999"/>
    <n v="998.48800000000006"/>
    <x v="0"/>
    <x v="0"/>
  </r>
  <r>
    <x v="0"/>
    <n v="237146"/>
    <n v="641815"/>
    <s v="AMAROK V6"/>
    <x v="4"/>
    <x v="3"/>
    <n v="120000"/>
    <n v="96000"/>
    <x v="2"/>
    <x v="0"/>
  </r>
  <r>
    <x v="0"/>
    <n v="237146"/>
    <n v="641816"/>
    <s v="AMAROK V6"/>
    <x v="4"/>
    <x v="3"/>
    <n v="3750"/>
    <n v="3000"/>
    <x v="2"/>
    <x v="0"/>
  </r>
  <r>
    <x v="0"/>
    <n v="237535"/>
    <n v="642718"/>
    <s v="GOLF"/>
    <x v="5"/>
    <x v="5"/>
    <n v="90375.679999999993"/>
    <n v="72300.543999999994"/>
    <x v="3"/>
    <x v="0"/>
  </r>
  <r>
    <x v="0"/>
    <n v="237537"/>
    <n v="642724"/>
    <s v="GOLF"/>
    <x v="5"/>
    <x v="6"/>
    <n v="45000"/>
    <n v="36000"/>
    <x v="3"/>
    <x v="0"/>
  </r>
  <r>
    <x v="0"/>
    <n v="237541"/>
    <n v="642728"/>
    <s v="GOLF"/>
    <x v="5"/>
    <x v="7"/>
    <n v="20000"/>
    <n v="16000"/>
    <x v="3"/>
    <x v="0"/>
  </r>
  <r>
    <x v="0"/>
    <n v="237543"/>
    <n v="642731"/>
    <s v="GOLF"/>
    <x v="5"/>
    <x v="8"/>
    <n v="9600"/>
    <n v="7680"/>
    <x v="3"/>
    <x v="0"/>
  </r>
  <r>
    <x v="0"/>
    <n v="237546"/>
    <n v="642735"/>
    <s v="GOLF"/>
    <x v="5"/>
    <x v="9"/>
    <n v="185864.55"/>
    <n v="148691.64000000001"/>
    <x v="3"/>
    <x v="0"/>
  </r>
  <r>
    <x v="0"/>
    <n v="237548"/>
    <n v="642741"/>
    <s v="GOLF"/>
    <x v="5"/>
    <x v="10"/>
    <n v="62500"/>
    <n v="50000"/>
    <x v="3"/>
    <x v="0"/>
  </r>
  <r>
    <x v="0"/>
    <n v="237550"/>
    <n v="642744"/>
    <s v="GOLF"/>
    <x v="5"/>
    <x v="10"/>
    <n v="10000"/>
    <n v="8000"/>
    <x v="3"/>
    <x v="0"/>
  </r>
  <r>
    <x v="0"/>
    <n v="237551"/>
    <n v="642745"/>
    <s v="GOLF"/>
    <x v="5"/>
    <x v="6"/>
    <n v="71872.490000000005"/>
    <n v="57497.991999999998"/>
    <x v="3"/>
    <x v="0"/>
  </r>
  <r>
    <x v="0"/>
    <n v="237553"/>
    <n v="642747"/>
    <s v="GOLF"/>
    <x v="5"/>
    <x v="6"/>
    <n v="33599.760000000002"/>
    <n v="26879.808000000001"/>
    <x v="3"/>
    <x v="0"/>
  </r>
  <r>
    <x v="0"/>
    <n v="237555"/>
    <n v="642749"/>
    <s v="GOLF"/>
    <x v="5"/>
    <x v="11"/>
    <n v="17500"/>
    <n v="14000"/>
    <x v="3"/>
    <x v="0"/>
  </r>
  <r>
    <x v="0"/>
    <n v="237556"/>
    <n v="642751"/>
    <s v="GOLF"/>
    <x v="5"/>
    <x v="12"/>
    <n v="25000"/>
    <n v="20000"/>
    <x v="3"/>
    <x v="0"/>
  </r>
  <r>
    <x v="0"/>
    <n v="237557"/>
    <n v="642752"/>
    <s v="GOLF"/>
    <x v="5"/>
    <x v="13"/>
    <n v="87500"/>
    <n v="70000"/>
    <x v="3"/>
    <x v="0"/>
  </r>
  <r>
    <x v="0"/>
    <n v="237558"/>
    <n v="642753"/>
    <s v="GOLF"/>
    <x v="5"/>
    <x v="14"/>
    <n v="20000"/>
    <n v="16000"/>
    <x v="3"/>
    <x v="0"/>
  </r>
  <r>
    <x v="0"/>
    <n v="237559"/>
    <n v="642754"/>
    <s v="GOLF"/>
    <x v="5"/>
    <x v="15"/>
    <n v="22524.73"/>
    <n v="18019.784"/>
    <x v="3"/>
    <x v="0"/>
  </r>
  <r>
    <x v="0"/>
    <n v="237560"/>
    <n v="642755"/>
    <s v="GOLF"/>
    <x v="5"/>
    <x v="16"/>
    <n v="6099.22"/>
    <n v="4879.3760000000002"/>
    <x v="3"/>
    <x v="0"/>
  </r>
  <r>
    <x v="0"/>
    <n v="237562"/>
    <n v="642757"/>
    <s v="GOLF"/>
    <x v="5"/>
    <x v="17"/>
    <n v="60"/>
    <n v="48"/>
    <x v="3"/>
    <x v="0"/>
  </r>
  <r>
    <x v="0"/>
    <n v="237606"/>
    <n v="642818"/>
    <s v="P. VAREJO (R5)"/>
    <x v="6"/>
    <x v="18"/>
    <n v="16000"/>
    <n v="12800"/>
    <x v="4"/>
    <x v="0"/>
  </r>
  <r>
    <x v="0"/>
    <n v="237660"/>
    <n v="642920"/>
    <s v="T-CROSS"/>
    <x v="3"/>
    <x v="19"/>
    <n v="124831.13"/>
    <n v="99864.903999999995"/>
    <x v="1"/>
    <x v="0"/>
  </r>
  <r>
    <x v="0"/>
    <n v="237663"/>
    <n v="642934"/>
    <s v="VENDAS CORPORATIVAS"/>
    <x v="0"/>
    <x v="20"/>
    <n v="25625"/>
    <n v="20500"/>
    <x v="0"/>
    <x v="0"/>
  </r>
  <r>
    <x v="0"/>
    <n v="237682"/>
    <n v="642961"/>
    <s v="AMAROK"/>
    <x v="7"/>
    <x v="9"/>
    <n v="287500"/>
    <n v="230000"/>
    <x v="2"/>
    <x v="0"/>
  </r>
  <r>
    <x v="0"/>
    <n v="237683"/>
    <n v="642962"/>
    <s v="AMAROK"/>
    <x v="7"/>
    <x v="6"/>
    <n v="50000"/>
    <n v="40000"/>
    <x v="2"/>
    <x v="0"/>
  </r>
  <r>
    <x v="0"/>
    <n v="237684"/>
    <n v="642963"/>
    <s v="AMAROK"/>
    <x v="7"/>
    <x v="5"/>
    <n v="162500"/>
    <n v="130000"/>
    <x v="2"/>
    <x v="0"/>
  </r>
  <r>
    <x v="0"/>
    <n v="237685"/>
    <n v="642964"/>
    <s v="AMAROK"/>
    <x v="7"/>
    <x v="16"/>
    <n v="1419.66"/>
    <n v="1135.7280000000001"/>
    <x v="2"/>
    <x v="0"/>
  </r>
  <r>
    <x v="0"/>
    <n v="237686"/>
    <n v="642965"/>
    <s v="AMAROK"/>
    <x v="7"/>
    <x v="15"/>
    <n v="6800"/>
    <n v="5440"/>
    <x v="2"/>
    <x v="0"/>
  </r>
  <r>
    <x v="0"/>
    <n v="237687"/>
    <n v="642966"/>
    <s v="VAREJO NACIONAL AMAROK"/>
    <x v="8"/>
    <x v="6"/>
    <n v="425000"/>
    <n v="340000"/>
    <x v="2"/>
    <x v="0"/>
  </r>
  <r>
    <x v="0"/>
    <n v="237688"/>
    <n v="642967"/>
    <s v="VAREJO NACIONAL AMAROK"/>
    <x v="8"/>
    <x v="9"/>
    <n v="300000"/>
    <n v="240000"/>
    <x v="2"/>
    <x v="0"/>
  </r>
  <r>
    <x v="0"/>
    <n v="237689"/>
    <n v="642968"/>
    <s v="VAREJO NACIONAL AMAROK"/>
    <x v="8"/>
    <x v="13"/>
    <n v="75000"/>
    <n v="60000"/>
    <x v="2"/>
    <x v="0"/>
  </r>
  <r>
    <x v="0"/>
    <n v="237690"/>
    <n v="642969"/>
    <s v="VAREJO NACIONAL AMAROK"/>
    <x v="8"/>
    <x v="21"/>
    <n v="130000"/>
    <n v="104000"/>
    <x v="2"/>
    <x v="0"/>
  </r>
  <r>
    <x v="0"/>
    <n v="237691"/>
    <n v="642970"/>
    <s v="VAREJO NACIONAL AMAROK"/>
    <x v="8"/>
    <x v="16"/>
    <n v="7828.05"/>
    <n v="6262.44"/>
    <x v="2"/>
    <x v="0"/>
  </r>
  <r>
    <x v="0"/>
    <n v="237692"/>
    <n v="642971"/>
    <s v="VAREJO NACIONAL AMAROK"/>
    <x v="8"/>
    <x v="15"/>
    <n v="30937.5"/>
    <n v="24750"/>
    <x v="2"/>
    <x v="0"/>
  </r>
  <r>
    <x v="0"/>
    <n v="237698"/>
    <n v="642980"/>
    <s v="INSTITUCIONAL"/>
    <x v="2"/>
    <x v="22"/>
    <n v="15625"/>
    <n v="12500"/>
    <x v="0"/>
    <x v="0"/>
  </r>
  <r>
    <x v="0"/>
    <n v="237700"/>
    <n v="642982"/>
    <s v="INSTITUCIONAL"/>
    <x v="2"/>
    <x v="23"/>
    <n v="9375"/>
    <n v="7500"/>
    <x v="0"/>
    <x v="0"/>
  </r>
  <r>
    <x v="0"/>
    <n v="237701"/>
    <n v="642983"/>
    <s v="INSTITUCIONAL"/>
    <x v="2"/>
    <x v="24"/>
    <n v="8333.33"/>
    <n v="6666.6639999999998"/>
    <x v="0"/>
    <x v="0"/>
  </r>
  <r>
    <x v="1"/>
    <n v="237729"/>
    <n v="643022"/>
    <s v="VENDAS CORPORATIVAS"/>
    <x v="0"/>
    <x v="14"/>
    <n v="105940"/>
    <n v="84752"/>
    <x v="0"/>
    <x v="0"/>
  </r>
  <r>
    <x v="1"/>
    <n v="237731"/>
    <n v="643024"/>
    <s v="VENDAS CORPORATIVAS"/>
    <x v="0"/>
    <x v="9"/>
    <n v="45322.13"/>
    <n v="36257.703999999998"/>
    <x v="0"/>
    <x v="0"/>
  </r>
  <r>
    <x v="1"/>
    <n v="237735"/>
    <n v="643031"/>
    <s v="VENDAS CORPORATIVAS"/>
    <x v="0"/>
    <x v="16"/>
    <n v="158.69999999999999"/>
    <n v="126.96"/>
    <x v="0"/>
    <x v="0"/>
  </r>
  <r>
    <x v="1"/>
    <n v="237736"/>
    <n v="643033"/>
    <s v="PÓS-VENDAS"/>
    <x v="9"/>
    <x v="14"/>
    <n v="100000"/>
    <n v="80000"/>
    <x v="0"/>
    <x v="0"/>
  </r>
  <r>
    <x v="1"/>
    <n v="237738"/>
    <n v="643039"/>
    <s v="PÓS-VENDAS"/>
    <x v="9"/>
    <x v="25"/>
    <n v="100000"/>
    <n v="80000"/>
    <x v="0"/>
    <x v="0"/>
  </r>
  <r>
    <x v="1"/>
    <n v="237739"/>
    <n v="643035"/>
    <s v="PÓS-VENDAS"/>
    <x v="9"/>
    <x v="6"/>
    <n v="100000.01"/>
    <n v="80000.008000000002"/>
    <x v="0"/>
    <x v="0"/>
  </r>
  <r>
    <x v="1"/>
    <n v="237743"/>
    <n v="643042"/>
    <s v="PÓS-VENDAS"/>
    <x v="9"/>
    <x v="16"/>
    <n v="113.26"/>
    <n v="90.608000000000004"/>
    <x v="0"/>
    <x v="0"/>
  </r>
  <r>
    <x v="1"/>
    <n v="237744"/>
    <n v="643043"/>
    <s v="PÓS-VENDAS"/>
    <x v="9"/>
    <x v="15"/>
    <n v="1900.68"/>
    <n v="1520.5440000000001"/>
    <x v="0"/>
    <x v="0"/>
  </r>
  <r>
    <x v="1"/>
    <n v="237745"/>
    <n v="643045"/>
    <s v="PÓS-VENDAS"/>
    <x v="9"/>
    <x v="9"/>
    <n v="62500"/>
    <n v="50000"/>
    <x v="0"/>
    <x v="0"/>
  </r>
  <r>
    <x v="1"/>
    <n v="237746"/>
    <n v="643046"/>
    <s v="PÓS-VENDAS"/>
    <x v="9"/>
    <x v="15"/>
    <n v="51.7"/>
    <n v="41.36"/>
    <x v="0"/>
    <x v="0"/>
  </r>
  <r>
    <x v="1"/>
    <n v="237747"/>
    <n v="643047"/>
    <s v="PÓS-VENDAS"/>
    <x v="9"/>
    <x v="17"/>
    <n v="300"/>
    <n v="240"/>
    <x v="0"/>
    <x v="0"/>
  </r>
  <r>
    <x v="1"/>
    <n v="237835"/>
    <n v="643138"/>
    <s v="VAREJO NACIONAL AMAROK"/>
    <x v="8"/>
    <x v="10"/>
    <n v="100000"/>
    <n v="80000"/>
    <x v="2"/>
    <x v="0"/>
  </r>
  <r>
    <x v="1"/>
    <n v="237874"/>
    <n v="643197"/>
    <s v="ALWAYS ON"/>
    <x v="10"/>
    <x v="26"/>
    <n v="37500"/>
    <n v="30000"/>
    <x v="0"/>
    <x v="0"/>
  </r>
  <r>
    <x v="1"/>
    <n v="237875"/>
    <n v="643198"/>
    <s v="ALWAYS ON"/>
    <x v="10"/>
    <x v="14"/>
    <n v="1675000"/>
    <n v="1340000"/>
    <x v="0"/>
    <x v="0"/>
  </r>
  <r>
    <x v="1"/>
    <n v="237877"/>
    <n v="643200"/>
    <s v="ALWAYS ON"/>
    <x v="10"/>
    <x v="9"/>
    <n v="925000"/>
    <n v="740000"/>
    <x v="0"/>
    <x v="0"/>
  </r>
  <r>
    <x v="1"/>
    <n v="237879"/>
    <n v="643202"/>
    <s v="ALWAYS ON"/>
    <x v="10"/>
    <x v="13"/>
    <n v="681250"/>
    <n v="545000"/>
    <x v="0"/>
    <x v="0"/>
  </r>
  <r>
    <x v="1"/>
    <n v="237880"/>
    <n v="643203"/>
    <s v="ALWAYS ON"/>
    <x v="10"/>
    <x v="6"/>
    <n v="494375"/>
    <n v="395500"/>
    <x v="0"/>
    <x v="0"/>
  </r>
  <r>
    <x v="1"/>
    <n v="237881"/>
    <n v="643205"/>
    <s v="ALWAYS ON"/>
    <x v="10"/>
    <x v="16"/>
    <n v="23884.46"/>
    <n v="19107.567999999999"/>
    <x v="0"/>
    <x v="0"/>
  </r>
  <r>
    <x v="1"/>
    <n v="237882"/>
    <n v="643206"/>
    <s v="ALWAYS ON"/>
    <x v="10"/>
    <x v="15"/>
    <n v="45923.44"/>
    <n v="36738.752"/>
    <x v="0"/>
    <x v="0"/>
  </r>
  <r>
    <x v="1"/>
    <n v="237883"/>
    <n v="643207"/>
    <s v="ALWAYS ON"/>
    <x v="10"/>
    <x v="15"/>
    <n v="24718.75"/>
    <n v="19775"/>
    <x v="0"/>
    <x v="0"/>
  </r>
  <r>
    <x v="1"/>
    <n v="237884"/>
    <n v="643208"/>
    <s v="ALWAYS ON"/>
    <x v="10"/>
    <x v="17"/>
    <n v="5137.5"/>
    <n v="4110"/>
    <x v="0"/>
    <x v="0"/>
  </r>
  <r>
    <x v="1"/>
    <n v="237886"/>
    <n v="643213"/>
    <s v="VAREJO NACIONAL CARS"/>
    <x v="11"/>
    <x v="9"/>
    <n v="218750"/>
    <n v="175000"/>
    <x v="4"/>
    <x v="0"/>
  </r>
  <r>
    <x v="1"/>
    <n v="237889"/>
    <n v="643216"/>
    <s v="VAREJO NACIONAL CARS"/>
    <x v="11"/>
    <x v="6"/>
    <n v="1206420"/>
    <n v="965136"/>
    <x v="4"/>
    <x v="0"/>
  </r>
  <r>
    <x v="1"/>
    <n v="237890"/>
    <n v="643217"/>
    <s v="VAREJO NACIONAL CARS"/>
    <x v="11"/>
    <x v="16"/>
    <n v="42029.43"/>
    <n v="33623.544000000002"/>
    <x v="4"/>
    <x v="0"/>
  </r>
  <r>
    <x v="1"/>
    <n v="237891"/>
    <n v="643218"/>
    <s v="VAREJO NACIONAL CARS"/>
    <x v="11"/>
    <x v="15"/>
    <n v="81795.570000000007"/>
    <n v="65436.455999999998"/>
    <x v="4"/>
    <x v="0"/>
  </r>
  <r>
    <x v="1"/>
    <n v="237892"/>
    <n v="643219"/>
    <s v="VAREJO NACIONAL CARS"/>
    <x v="11"/>
    <x v="15"/>
    <n v="12500"/>
    <n v="10000"/>
    <x v="4"/>
    <x v="0"/>
  </r>
  <r>
    <x v="1"/>
    <n v="237907"/>
    <n v="643241"/>
    <s v="P. VAREJO (R3)"/>
    <x v="6"/>
    <x v="9"/>
    <n v="10000"/>
    <n v="8000"/>
    <x v="4"/>
    <x v="0"/>
  </r>
  <r>
    <x v="1"/>
    <n v="237908"/>
    <n v="643242"/>
    <s v="P. VAREJO (R3)"/>
    <x v="6"/>
    <x v="16"/>
    <n v="22.93"/>
    <n v="18.344000000000001"/>
    <x v="4"/>
    <x v="0"/>
  </r>
  <r>
    <x v="1"/>
    <n v="237969"/>
    <n v="643473"/>
    <s v="VAREJO NACIONAL CARS"/>
    <x v="11"/>
    <x v="10"/>
    <n v="125000"/>
    <n v="100000"/>
    <x v="4"/>
    <x v="0"/>
  </r>
  <r>
    <x v="1"/>
    <n v="237972"/>
    <n v="643476"/>
    <s v="BRANDED CONTENT"/>
    <x v="12"/>
    <x v="14"/>
    <n v="5000"/>
    <n v="4000"/>
    <x v="0"/>
    <x v="0"/>
  </r>
  <r>
    <x v="1"/>
    <n v="237973"/>
    <n v="643477"/>
    <s v="BRANDED CONTENT"/>
    <x v="12"/>
    <x v="9"/>
    <n v="245000"/>
    <n v="196000"/>
    <x v="0"/>
    <x v="0"/>
  </r>
  <r>
    <x v="1"/>
    <n v="237974"/>
    <n v="643478"/>
    <s v="BRANDED CONTENT"/>
    <x v="12"/>
    <x v="16"/>
    <n v="8056.81"/>
    <n v="6445.4480000000003"/>
    <x v="0"/>
    <x v="0"/>
  </r>
  <r>
    <x v="1"/>
    <n v="237980"/>
    <n v="643484"/>
    <s v="BRANDED CONTENT"/>
    <x v="12"/>
    <x v="17"/>
    <n v="15"/>
    <n v="12"/>
    <x v="0"/>
    <x v="0"/>
  </r>
  <r>
    <x v="2"/>
    <n v="238001"/>
    <n v="643511"/>
    <s v="ALWAYS ON"/>
    <x v="10"/>
    <x v="27"/>
    <n v="131250"/>
    <n v="105000"/>
    <x v="0"/>
    <x v="0"/>
  </r>
  <r>
    <x v="2"/>
    <n v="237736"/>
    <n v="643033"/>
    <s v="PÓS-VENDAS"/>
    <x v="9"/>
    <x v="14"/>
    <n v="100000"/>
    <n v="80000"/>
    <x v="0"/>
    <x v="0"/>
  </r>
  <r>
    <x v="2"/>
    <n v="237738"/>
    <n v="643039"/>
    <s v="PÓS-VENDAS"/>
    <x v="9"/>
    <x v="25"/>
    <n v="100000"/>
    <n v="80000"/>
    <x v="0"/>
    <x v="0"/>
  </r>
  <r>
    <x v="2"/>
    <n v="237739"/>
    <n v="643035"/>
    <s v="PÓS-VENDAS"/>
    <x v="9"/>
    <x v="6"/>
    <n v="100000.01"/>
    <n v="80000.008000000002"/>
    <x v="0"/>
    <x v="0"/>
  </r>
  <r>
    <x v="2"/>
    <n v="237743"/>
    <n v="643042"/>
    <s v="PÓS-VENDAS"/>
    <x v="9"/>
    <x v="16"/>
    <n v="113.26"/>
    <n v="90.608000000000004"/>
    <x v="0"/>
    <x v="0"/>
  </r>
  <r>
    <x v="2"/>
    <n v="237744"/>
    <n v="643043"/>
    <s v="PÓS-VENDAS"/>
    <x v="9"/>
    <x v="15"/>
    <n v="1900.68"/>
    <n v="1520.5440000000001"/>
    <x v="0"/>
    <x v="0"/>
  </r>
  <r>
    <x v="2"/>
    <n v="237745"/>
    <n v="643045"/>
    <s v="PÓS-VENDAS"/>
    <x v="9"/>
    <x v="9"/>
    <n v="62500"/>
    <n v="50000"/>
    <x v="0"/>
    <x v="0"/>
  </r>
  <r>
    <x v="2"/>
    <n v="237746"/>
    <n v="643046"/>
    <s v="PÓS-VENDAS"/>
    <x v="9"/>
    <x v="15"/>
    <n v="51.7"/>
    <n v="41.36"/>
    <x v="0"/>
    <x v="0"/>
  </r>
  <r>
    <x v="2"/>
    <n v="237747"/>
    <n v="643047"/>
    <s v="PÓS-VENDAS"/>
    <x v="9"/>
    <x v="17"/>
    <n v="300"/>
    <n v="240"/>
    <x v="0"/>
    <x v="0"/>
  </r>
  <r>
    <x v="2"/>
    <n v="237835"/>
    <n v="643138"/>
    <s v="VAREJO NACIONAL AMAROK"/>
    <x v="8"/>
    <x v="10"/>
    <n v="100000"/>
    <n v="80000"/>
    <x v="2"/>
    <x v="0"/>
  </r>
  <r>
    <x v="2"/>
    <n v="237874"/>
    <n v="643197"/>
    <s v="ALWAYS ON"/>
    <x v="10"/>
    <x v="26"/>
    <n v="37500"/>
    <n v="30000"/>
    <x v="0"/>
    <x v="0"/>
  </r>
  <r>
    <x v="2"/>
    <n v="237875"/>
    <n v="643198"/>
    <s v="ALWAYS ON"/>
    <x v="10"/>
    <x v="14"/>
    <n v="1675000"/>
    <n v="1340000"/>
    <x v="0"/>
    <x v="0"/>
  </r>
  <r>
    <x v="2"/>
    <n v="237877"/>
    <n v="643200"/>
    <s v="ALWAYS ON"/>
    <x v="10"/>
    <x v="9"/>
    <n v="925000"/>
    <n v="740000"/>
    <x v="0"/>
    <x v="0"/>
  </r>
  <r>
    <x v="2"/>
    <n v="237879"/>
    <n v="643202"/>
    <s v="ALWAYS ON"/>
    <x v="10"/>
    <x v="13"/>
    <n v="681250"/>
    <n v="545000"/>
    <x v="0"/>
    <x v="0"/>
  </r>
  <r>
    <x v="2"/>
    <n v="237880"/>
    <n v="643203"/>
    <s v="ALWAYS ON"/>
    <x v="10"/>
    <x v="6"/>
    <n v="494375"/>
    <n v="395500"/>
    <x v="0"/>
    <x v="0"/>
  </r>
  <r>
    <x v="2"/>
    <n v="237881"/>
    <n v="643205"/>
    <s v="ALWAYS ON"/>
    <x v="10"/>
    <x v="16"/>
    <n v="23884.46"/>
    <n v="19107.567999999999"/>
    <x v="0"/>
    <x v="0"/>
  </r>
  <r>
    <x v="2"/>
    <n v="237882"/>
    <n v="643206"/>
    <s v="ALWAYS ON"/>
    <x v="10"/>
    <x v="15"/>
    <n v="45923.44"/>
    <n v="36738.752"/>
    <x v="0"/>
    <x v="0"/>
  </r>
  <r>
    <x v="2"/>
    <n v="237883"/>
    <n v="643207"/>
    <s v="ALWAYS ON"/>
    <x v="10"/>
    <x v="15"/>
    <n v="24718.75"/>
    <n v="19775"/>
    <x v="0"/>
    <x v="0"/>
  </r>
  <r>
    <x v="2"/>
    <n v="237884"/>
    <n v="643208"/>
    <s v="ALWAYS ON"/>
    <x v="10"/>
    <x v="17"/>
    <n v="5137.5"/>
    <n v="4110"/>
    <x v="0"/>
    <x v="0"/>
  </r>
  <r>
    <x v="2"/>
    <n v="237886"/>
    <n v="643213"/>
    <s v="VAREJO NACIONAL CARS"/>
    <x v="11"/>
    <x v="9"/>
    <n v="218750"/>
    <n v="175000"/>
    <x v="4"/>
    <x v="0"/>
  </r>
  <r>
    <x v="3"/>
    <n v="237889"/>
    <n v="643216"/>
    <s v="VAREJO NACIONAL CARS"/>
    <x v="11"/>
    <x v="6"/>
    <n v="1206420"/>
    <n v="965136"/>
    <x v="4"/>
    <x v="0"/>
  </r>
  <r>
    <x v="3"/>
    <n v="237890"/>
    <n v="643217"/>
    <s v="VAREJO NACIONAL CARS"/>
    <x v="11"/>
    <x v="16"/>
    <n v="42029.43"/>
    <n v="33623.544000000002"/>
    <x v="4"/>
    <x v="0"/>
  </r>
  <r>
    <x v="3"/>
    <n v="237891"/>
    <n v="643218"/>
    <s v="VAREJO NACIONAL CARS"/>
    <x v="11"/>
    <x v="15"/>
    <n v="81795.570000000007"/>
    <n v="65436.455999999998"/>
    <x v="4"/>
    <x v="0"/>
  </r>
  <r>
    <x v="3"/>
    <n v="237892"/>
    <n v="643219"/>
    <s v="VAREJO NACIONAL CARS"/>
    <x v="11"/>
    <x v="15"/>
    <n v="12500"/>
    <n v="10000"/>
    <x v="4"/>
    <x v="0"/>
  </r>
  <r>
    <x v="3"/>
    <n v="237907"/>
    <n v="643241"/>
    <s v="P. VAREJO (R3)"/>
    <x v="6"/>
    <x v="9"/>
    <n v="10000"/>
    <n v="8000"/>
    <x v="4"/>
    <x v="0"/>
  </r>
  <r>
    <x v="3"/>
    <n v="237908"/>
    <n v="643242"/>
    <s v="P. VAREJO (R3)"/>
    <x v="6"/>
    <x v="16"/>
    <n v="22.93"/>
    <n v="18.344000000000001"/>
    <x v="4"/>
    <x v="0"/>
  </r>
  <r>
    <x v="3"/>
    <n v="237969"/>
    <n v="643473"/>
    <s v="VAREJO NACIONAL CARS"/>
    <x v="11"/>
    <x v="10"/>
    <n v="125000"/>
    <n v="100000"/>
    <x v="4"/>
    <x v="0"/>
  </r>
  <r>
    <x v="3"/>
    <n v="237972"/>
    <n v="643476"/>
    <s v="BRANDED CONTENT"/>
    <x v="12"/>
    <x v="14"/>
    <n v="5000"/>
    <n v="4000"/>
    <x v="0"/>
    <x v="0"/>
  </r>
  <r>
    <x v="3"/>
    <n v="237973"/>
    <n v="643477"/>
    <s v="BRANDED CONTENT"/>
    <x v="12"/>
    <x v="9"/>
    <n v="245000"/>
    <n v="196000"/>
    <x v="0"/>
    <x v="0"/>
  </r>
  <r>
    <x v="3"/>
    <n v="237974"/>
    <n v="643478"/>
    <s v="BRANDED CONTENT"/>
    <x v="12"/>
    <x v="16"/>
    <n v="8056.81"/>
    <n v="6445.4480000000003"/>
    <x v="0"/>
    <x v="0"/>
  </r>
  <r>
    <x v="3"/>
    <n v="237980"/>
    <n v="643484"/>
    <s v="BRANDED CONTENT"/>
    <x v="12"/>
    <x v="17"/>
    <n v="15"/>
    <n v="12"/>
    <x v="0"/>
    <x v="0"/>
  </r>
  <r>
    <x v="3"/>
    <n v="238001"/>
    <n v="643511"/>
    <s v="ALWAYS ON"/>
    <x v="10"/>
    <x v="27"/>
    <n v="131250"/>
    <n v="105000"/>
    <x v="0"/>
    <x v="0"/>
  </r>
  <r>
    <x v="3"/>
    <n v="237886"/>
    <n v="643213"/>
    <s v="VAREJO NACIONAL CARS"/>
    <x v="11"/>
    <x v="9"/>
    <n v="218750"/>
    <n v="175000"/>
    <x v="4"/>
    <x v="0"/>
  </r>
  <r>
    <x v="3"/>
    <n v="237889"/>
    <n v="643216"/>
    <s v="VAREJO NACIONAL CARS"/>
    <x v="11"/>
    <x v="6"/>
    <n v="1206420"/>
    <n v="965136"/>
    <x v="4"/>
    <x v="0"/>
  </r>
  <r>
    <x v="3"/>
    <n v="237890"/>
    <n v="643217"/>
    <s v="VAREJO NACIONAL CARS"/>
    <x v="11"/>
    <x v="16"/>
    <n v="42029.43"/>
    <n v="33623.544000000002"/>
    <x v="4"/>
    <x v="0"/>
  </r>
  <r>
    <x v="3"/>
    <n v="237891"/>
    <n v="643218"/>
    <s v="VAREJO NACIONAL CARS"/>
    <x v="11"/>
    <x v="15"/>
    <n v="81795.570000000007"/>
    <n v="65436.455999999998"/>
    <x v="4"/>
    <x v="0"/>
  </r>
  <r>
    <x v="3"/>
    <n v="237892"/>
    <n v="643219"/>
    <s v="VAREJO NACIONAL CARS"/>
    <x v="11"/>
    <x v="15"/>
    <n v="12500"/>
    <n v="10000"/>
    <x v="4"/>
    <x v="0"/>
  </r>
  <r>
    <x v="3"/>
    <n v="237907"/>
    <n v="643241"/>
    <s v="P. VAREJO (R3)"/>
    <x v="6"/>
    <x v="9"/>
    <n v="10000"/>
    <n v="8000"/>
    <x v="4"/>
    <x v="0"/>
  </r>
  <r>
    <x v="3"/>
    <n v="237908"/>
    <n v="643242"/>
    <s v="P. VAREJO (R3)"/>
    <x v="6"/>
    <x v="16"/>
    <n v="22.93"/>
    <n v="18.344000000000001"/>
    <x v="4"/>
    <x v="0"/>
  </r>
  <r>
    <x v="3"/>
    <n v="237969"/>
    <n v="643473"/>
    <s v="VAREJO NACIONAL CARS"/>
    <x v="11"/>
    <x v="10"/>
    <n v="125000"/>
    <n v="100000"/>
    <x v="4"/>
    <x v="0"/>
  </r>
  <r>
    <x v="3"/>
    <n v="237972"/>
    <n v="643476"/>
    <s v="BRANDED CONTENT"/>
    <x v="12"/>
    <x v="14"/>
    <n v="5000"/>
    <n v="4000"/>
    <x v="0"/>
    <x v="0"/>
  </r>
  <r>
    <x v="3"/>
    <n v="237973"/>
    <n v="643477"/>
    <s v="BRANDED CONTENT"/>
    <x v="12"/>
    <x v="9"/>
    <n v="245000"/>
    <n v="196000"/>
    <x v="0"/>
    <x v="0"/>
  </r>
  <r>
    <x v="3"/>
    <n v="237974"/>
    <n v="643478"/>
    <s v="BRANDED CONTENT"/>
    <x v="12"/>
    <x v="16"/>
    <n v="8056.81"/>
    <n v="6445.4480000000003"/>
    <x v="0"/>
    <x v="0"/>
  </r>
  <r>
    <x v="3"/>
    <n v="237980"/>
    <n v="643484"/>
    <s v="BRANDED CONTENT"/>
    <x v="12"/>
    <x v="17"/>
    <n v="15"/>
    <n v="12"/>
    <x v="0"/>
    <x v="0"/>
  </r>
  <r>
    <x v="3"/>
    <n v="238001"/>
    <n v="643511"/>
    <s v="ALWAYS ON"/>
    <x v="10"/>
    <x v="27"/>
    <n v="131250"/>
    <n v="105000"/>
    <x v="0"/>
    <x v="0"/>
  </r>
  <r>
    <x v="3"/>
    <n v="237736"/>
    <n v="643033"/>
    <s v="PÓS-VENDAS"/>
    <x v="9"/>
    <x v="14"/>
    <n v="100000"/>
    <n v="80000"/>
    <x v="0"/>
    <x v="0"/>
  </r>
  <r>
    <x v="3"/>
    <n v="237738"/>
    <n v="643039"/>
    <s v="PÓS-VENDAS"/>
    <x v="9"/>
    <x v="25"/>
    <n v="100000"/>
    <n v="80000"/>
    <x v="0"/>
    <x v="0"/>
  </r>
  <r>
    <x v="3"/>
    <n v="237739"/>
    <n v="643035"/>
    <s v="PÓS-VENDAS"/>
    <x v="9"/>
    <x v="6"/>
    <n v="100000.01"/>
    <n v="80000.008000000002"/>
    <x v="0"/>
    <x v="0"/>
  </r>
  <r>
    <x v="3"/>
    <n v="237743"/>
    <n v="643042"/>
    <s v="PÓS-VENDAS"/>
    <x v="9"/>
    <x v="16"/>
    <n v="113.26"/>
    <n v="90.608000000000004"/>
    <x v="0"/>
    <x v="0"/>
  </r>
  <r>
    <x v="3"/>
    <n v="237744"/>
    <n v="643043"/>
    <s v="PÓS-VENDAS"/>
    <x v="9"/>
    <x v="15"/>
    <n v="1900.68"/>
    <n v="1520.5440000000001"/>
    <x v="0"/>
    <x v="0"/>
  </r>
  <r>
    <x v="3"/>
    <n v="237745"/>
    <n v="643045"/>
    <s v="PÓS-VENDAS"/>
    <x v="9"/>
    <x v="9"/>
    <n v="62500"/>
    <n v="50000"/>
    <x v="0"/>
    <x v="0"/>
  </r>
  <r>
    <x v="3"/>
    <n v="237746"/>
    <n v="643046"/>
    <s v="PÓS-VENDAS"/>
    <x v="9"/>
    <x v="15"/>
    <n v="51.7"/>
    <n v="41.36"/>
    <x v="0"/>
    <x v="0"/>
  </r>
  <r>
    <x v="3"/>
    <n v="237747"/>
    <n v="643047"/>
    <s v="PÓS-VENDAS"/>
    <x v="9"/>
    <x v="17"/>
    <n v="300"/>
    <n v="240"/>
    <x v="0"/>
    <x v="0"/>
  </r>
  <r>
    <x v="3"/>
    <n v="237835"/>
    <n v="643138"/>
    <s v="VAREJO NACIONAL AMAROK"/>
    <x v="8"/>
    <x v="10"/>
    <n v="100000"/>
    <n v="80000"/>
    <x v="2"/>
    <x v="0"/>
  </r>
  <r>
    <x v="3"/>
    <n v="237874"/>
    <n v="643197"/>
    <s v="ALWAYS ON"/>
    <x v="10"/>
    <x v="26"/>
    <n v="37500"/>
    <n v="30000"/>
    <x v="0"/>
    <x v="0"/>
  </r>
  <r>
    <x v="3"/>
    <n v="237875"/>
    <n v="643198"/>
    <s v="ALWAYS ON"/>
    <x v="10"/>
    <x v="14"/>
    <n v="1675000"/>
    <n v="1340000"/>
    <x v="0"/>
    <x v="0"/>
  </r>
  <r>
    <x v="3"/>
    <n v="237877"/>
    <n v="643200"/>
    <s v="ALWAYS ON"/>
    <x v="10"/>
    <x v="9"/>
    <n v="925000"/>
    <n v="740000"/>
    <x v="0"/>
    <x v="0"/>
  </r>
  <r>
    <x v="3"/>
    <n v="237879"/>
    <n v="643202"/>
    <s v="ALWAYS ON"/>
    <x v="10"/>
    <x v="13"/>
    <n v="681250"/>
    <n v="545000"/>
    <x v="0"/>
    <x v="0"/>
  </r>
  <r>
    <x v="3"/>
    <n v="237880"/>
    <n v="643203"/>
    <s v="ALWAYS ON"/>
    <x v="10"/>
    <x v="6"/>
    <n v="494375"/>
    <n v="395500"/>
    <x v="0"/>
    <x v="0"/>
  </r>
  <r>
    <x v="3"/>
    <n v="237881"/>
    <n v="643205"/>
    <s v="ALWAYS ON"/>
    <x v="10"/>
    <x v="16"/>
    <n v="23884.46"/>
    <n v="19107.567999999999"/>
    <x v="0"/>
    <x v="0"/>
  </r>
  <r>
    <x v="3"/>
    <n v="237882"/>
    <n v="643206"/>
    <s v="ALWAYS ON"/>
    <x v="10"/>
    <x v="15"/>
    <n v="45923.44"/>
    <n v="36738.752"/>
    <x v="0"/>
    <x v="0"/>
  </r>
  <r>
    <x v="3"/>
    <n v="237883"/>
    <n v="643207"/>
    <s v="ALWAYS ON"/>
    <x v="10"/>
    <x v="15"/>
    <n v="24718.75"/>
    <n v="19775"/>
    <x v="0"/>
    <x v="0"/>
  </r>
  <r>
    <x v="3"/>
    <n v="237884"/>
    <n v="643208"/>
    <s v="ALWAYS ON"/>
    <x v="10"/>
    <x v="17"/>
    <n v="5137.5"/>
    <n v="4110"/>
    <x v="0"/>
    <x v="0"/>
  </r>
  <r>
    <x v="3"/>
    <n v="237886"/>
    <n v="643213"/>
    <s v="VAREJO NACIONAL CARS"/>
    <x v="11"/>
    <x v="9"/>
    <n v="218750"/>
    <n v="175000"/>
    <x v="4"/>
    <x v="0"/>
  </r>
  <r>
    <x v="4"/>
    <n v="237889"/>
    <n v="643216"/>
    <s v="VAREJO NACIONAL CARS"/>
    <x v="11"/>
    <x v="6"/>
    <n v="1206420"/>
    <n v="965136"/>
    <x v="4"/>
    <x v="0"/>
  </r>
  <r>
    <x v="4"/>
    <n v="237890"/>
    <n v="643217"/>
    <s v="VAREJO NACIONAL CARS"/>
    <x v="11"/>
    <x v="16"/>
    <n v="42029.43"/>
    <n v="33623.544000000002"/>
    <x v="4"/>
    <x v="0"/>
  </r>
  <r>
    <x v="4"/>
    <n v="237891"/>
    <n v="643218"/>
    <s v="VAREJO NACIONAL CARS"/>
    <x v="11"/>
    <x v="15"/>
    <n v="81795.570000000007"/>
    <n v="65436.455999999998"/>
    <x v="4"/>
    <x v="0"/>
  </r>
  <r>
    <x v="4"/>
    <n v="237892"/>
    <n v="643219"/>
    <s v="VAREJO NACIONAL CARS"/>
    <x v="11"/>
    <x v="15"/>
    <n v="12500"/>
    <n v="10000"/>
    <x v="4"/>
    <x v="0"/>
  </r>
  <r>
    <x v="4"/>
    <n v="237907"/>
    <n v="643241"/>
    <s v="P. VAREJO (R3)"/>
    <x v="6"/>
    <x v="9"/>
    <n v="10000"/>
    <n v="8000"/>
    <x v="4"/>
    <x v="0"/>
  </r>
  <r>
    <x v="4"/>
    <n v="237908"/>
    <n v="643242"/>
    <s v="P. VAREJO (R3)"/>
    <x v="6"/>
    <x v="16"/>
    <n v="22.93"/>
    <n v="18.344000000000001"/>
    <x v="4"/>
    <x v="0"/>
  </r>
  <r>
    <x v="4"/>
    <n v="237969"/>
    <n v="643473"/>
    <s v="VAREJO NACIONAL CARS"/>
    <x v="11"/>
    <x v="10"/>
    <n v="125000"/>
    <n v="100000"/>
    <x v="4"/>
    <x v="0"/>
  </r>
  <r>
    <x v="4"/>
    <n v="237972"/>
    <n v="643476"/>
    <s v="BRANDED CONTENT"/>
    <x v="12"/>
    <x v="14"/>
    <n v="5000"/>
    <n v="4000"/>
    <x v="0"/>
    <x v="0"/>
  </r>
  <r>
    <x v="4"/>
    <n v="237973"/>
    <n v="643477"/>
    <s v="BRANDED CONTENT"/>
    <x v="12"/>
    <x v="9"/>
    <n v="245000"/>
    <n v="196000"/>
    <x v="0"/>
    <x v="0"/>
  </r>
  <r>
    <x v="4"/>
    <n v="237974"/>
    <n v="643478"/>
    <s v="BRANDED CONTENT"/>
    <x v="12"/>
    <x v="16"/>
    <n v="8056.81"/>
    <n v="6445.4480000000003"/>
    <x v="0"/>
    <x v="0"/>
  </r>
  <r>
    <x v="4"/>
    <n v="237980"/>
    <n v="643484"/>
    <s v="BRANDED CONTENT"/>
    <x v="12"/>
    <x v="17"/>
    <n v="15"/>
    <n v="12"/>
    <x v="0"/>
    <x v="0"/>
  </r>
  <r>
    <x v="4"/>
    <n v="238001"/>
    <n v="643511"/>
    <s v="ALWAYS ON"/>
    <x v="10"/>
    <x v="27"/>
    <n v="131250"/>
    <n v="105000"/>
    <x v="0"/>
    <x v="0"/>
  </r>
  <r>
    <x v="4"/>
    <n v="237746"/>
    <n v="643046"/>
    <s v="PÓS-VENDAS"/>
    <x v="9"/>
    <x v="15"/>
    <n v="51.7"/>
    <n v="41.36"/>
    <x v="0"/>
    <x v="0"/>
  </r>
  <r>
    <x v="4"/>
    <n v="237747"/>
    <n v="643047"/>
    <s v="PÓS-VENDAS"/>
    <x v="9"/>
    <x v="17"/>
    <n v="300"/>
    <n v="240"/>
    <x v="0"/>
    <x v="0"/>
  </r>
  <r>
    <x v="4"/>
    <n v="237835"/>
    <n v="643138"/>
    <s v="VAREJO NACIONAL AMAROK"/>
    <x v="8"/>
    <x v="10"/>
    <n v="100000"/>
    <n v="80000"/>
    <x v="2"/>
    <x v="0"/>
  </r>
  <r>
    <x v="4"/>
    <n v="237874"/>
    <n v="643197"/>
    <s v="ALWAYS ON"/>
    <x v="10"/>
    <x v="26"/>
    <n v="37500"/>
    <n v="30000"/>
    <x v="0"/>
    <x v="0"/>
  </r>
  <r>
    <x v="4"/>
    <n v="237875"/>
    <n v="643198"/>
    <s v="ALWAYS ON"/>
    <x v="10"/>
    <x v="14"/>
    <n v="1675000"/>
    <n v="1340000"/>
    <x v="0"/>
    <x v="0"/>
  </r>
  <r>
    <x v="4"/>
    <n v="237877"/>
    <n v="643200"/>
    <s v="ALWAYS ON"/>
    <x v="10"/>
    <x v="9"/>
    <n v="925000"/>
    <n v="740000"/>
    <x v="0"/>
    <x v="0"/>
  </r>
  <r>
    <x v="4"/>
    <n v="237879"/>
    <n v="643202"/>
    <s v="ALWAYS ON"/>
    <x v="10"/>
    <x v="13"/>
    <n v="681250"/>
    <n v="545000"/>
    <x v="0"/>
    <x v="0"/>
  </r>
  <r>
    <x v="4"/>
    <n v="237880"/>
    <n v="643203"/>
    <s v="ALWAYS ON"/>
    <x v="10"/>
    <x v="6"/>
    <n v="494375"/>
    <n v="395500"/>
    <x v="0"/>
    <x v="0"/>
  </r>
  <r>
    <x v="4"/>
    <n v="237881"/>
    <n v="643205"/>
    <s v="ALWAYS ON"/>
    <x v="10"/>
    <x v="16"/>
    <n v="23884.46"/>
    <n v="19107.567999999999"/>
    <x v="0"/>
    <x v="0"/>
  </r>
  <r>
    <x v="4"/>
    <n v="237882"/>
    <n v="643206"/>
    <s v="ALWAYS ON"/>
    <x v="10"/>
    <x v="15"/>
    <n v="45923.44"/>
    <n v="36738.752"/>
    <x v="0"/>
    <x v="0"/>
  </r>
  <r>
    <x v="4"/>
    <n v="237883"/>
    <n v="643207"/>
    <s v="ALWAYS ON"/>
    <x v="10"/>
    <x v="15"/>
    <n v="24718.75"/>
    <n v="19775"/>
    <x v="0"/>
    <x v="0"/>
  </r>
  <r>
    <x v="4"/>
    <n v="237884"/>
    <n v="643208"/>
    <s v="ALWAYS ON"/>
    <x v="10"/>
    <x v="17"/>
    <n v="5137.5"/>
    <n v="4110"/>
    <x v="0"/>
    <x v="0"/>
  </r>
  <r>
    <x v="4"/>
    <n v="237886"/>
    <n v="643213"/>
    <s v="VAREJO NACIONAL CARS"/>
    <x v="11"/>
    <x v="9"/>
    <n v="218750"/>
    <n v="175000"/>
    <x v="4"/>
    <x v="0"/>
  </r>
  <r>
    <x v="4"/>
    <n v="237889"/>
    <n v="643216"/>
    <s v="VAREJO NACIONAL CARS"/>
    <x v="11"/>
    <x v="6"/>
    <n v="1206420"/>
    <n v="965136"/>
    <x v="4"/>
    <x v="0"/>
  </r>
  <r>
    <x v="4"/>
    <n v="237890"/>
    <n v="643217"/>
    <s v="VAREJO NACIONAL CARS"/>
    <x v="11"/>
    <x v="16"/>
    <n v="42029.43"/>
    <n v="33623.544000000002"/>
    <x v="4"/>
    <x v="0"/>
  </r>
  <r>
    <x v="4"/>
    <n v="237891"/>
    <n v="643218"/>
    <s v="VAREJO NACIONAL CARS"/>
    <x v="11"/>
    <x v="15"/>
    <n v="81795.570000000007"/>
    <n v="65436.455999999998"/>
    <x v="4"/>
    <x v="0"/>
  </r>
  <r>
    <x v="3"/>
    <n v="237892"/>
    <n v="643219"/>
    <s v="VAREJO NACIONAL CARS"/>
    <x v="11"/>
    <x v="15"/>
    <n v="12500"/>
    <n v="10000"/>
    <x v="4"/>
    <x v="0"/>
  </r>
  <r>
    <x v="3"/>
    <n v="237907"/>
    <n v="643241"/>
    <s v="P. VAREJO (R3)"/>
    <x v="6"/>
    <x v="9"/>
    <n v="10000"/>
    <n v="8000"/>
    <x v="4"/>
    <x v="0"/>
  </r>
  <r>
    <x v="3"/>
    <n v="237908"/>
    <n v="643242"/>
    <s v="P. VAREJO (R3)"/>
    <x v="6"/>
    <x v="16"/>
    <n v="22.93"/>
    <n v="18.344000000000001"/>
    <x v="4"/>
    <x v="0"/>
  </r>
  <r>
    <x v="5"/>
    <n v="237969"/>
    <n v="643473"/>
    <s v="VAREJO NACIONAL CARS"/>
    <x v="11"/>
    <x v="10"/>
    <n v="125000"/>
    <n v="100000"/>
    <x v="4"/>
    <x v="0"/>
  </r>
  <r>
    <x v="5"/>
    <n v="237972"/>
    <n v="643476"/>
    <s v="BRANDED CONTENT"/>
    <x v="12"/>
    <x v="14"/>
    <n v="5000"/>
    <n v="4000"/>
    <x v="0"/>
    <x v="0"/>
  </r>
  <r>
    <x v="5"/>
    <n v="237973"/>
    <n v="643477"/>
    <s v="BRANDED CONTENT"/>
    <x v="12"/>
    <x v="9"/>
    <n v="245000"/>
    <n v="196000"/>
    <x v="0"/>
    <x v="0"/>
  </r>
  <r>
    <x v="5"/>
    <n v="237974"/>
    <n v="643478"/>
    <s v="BRANDED CONTENT"/>
    <x v="12"/>
    <x v="16"/>
    <n v="8056.81"/>
    <n v="6445.4480000000003"/>
    <x v="0"/>
    <x v="0"/>
  </r>
  <r>
    <x v="5"/>
    <n v="237980"/>
    <n v="643484"/>
    <s v="BRANDED CONTENT"/>
    <x v="12"/>
    <x v="17"/>
    <n v="15"/>
    <n v="12"/>
    <x v="0"/>
    <x v="0"/>
  </r>
  <r>
    <x v="5"/>
    <n v="238001"/>
    <n v="643511"/>
    <s v="ALWAYS ON"/>
    <x v="10"/>
    <x v="27"/>
    <n v="131250"/>
    <n v="105000"/>
    <x v="0"/>
    <x v="0"/>
  </r>
  <r>
    <x v="5"/>
    <n v="229491"/>
    <n v="624844"/>
    <s v="VENDAS CORPORATIVAS"/>
    <x v="0"/>
    <x v="0"/>
    <n v="1225"/>
    <n v="980"/>
    <x v="0"/>
    <x v="0"/>
  </r>
  <r>
    <x v="5"/>
    <n v="232042"/>
    <n v="630473"/>
    <s v="INSTITUCIONAL"/>
    <x v="1"/>
    <x v="1"/>
    <n v="125000"/>
    <n v="100000"/>
    <x v="0"/>
    <x v="0"/>
  </r>
  <r>
    <x v="5"/>
    <n v="233123"/>
    <n v="632974"/>
    <s v="INSTITUCIONAL"/>
    <x v="2"/>
    <x v="2"/>
    <n v="5555.56"/>
    <n v="4444.4480000000003"/>
    <x v="0"/>
    <x v="0"/>
  </r>
  <r>
    <x v="5"/>
    <n v="236414"/>
    <n v="640323"/>
    <s v="T-CROSS"/>
    <x v="3"/>
    <x v="3"/>
    <n v="200000"/>
    <n v="160000"/>
    <x v="1"/>
    <x v="0"/>
  </r>
  <r>
    <x v="5"/>
    <n v="236882"/>
    <n v="641246"/>
    <s v="INSTITUCIONAL"/>
    <x v="2"/>
    <x v="4"/>
    <n v="1248.1099999999999"/>
    <n v="998.48800000000006"/>
    <x v="0"/>
    <x v="0"/>
  </r>
  <r>
    <x v="5"/>
    <n v="237146"/>
    <n v="641815"/>
    <s v="AMAROK V6"/>
    <x v="4"/>
    <x v="3"/>
    <n v="120000"/>
    <n v="96000"/>
    <x v="2"/>
    <x v="0"/>
  </r>
  <r>
    <x v="5"/>
    <n v="237146"/>
    <n v="641816"/>
    <s v="AMAROK V6"/>
    <x v="4"/>
    <x v="3"/>
    <n v="3750"/>
    <n v="3000"/>
    <x v="2"/>
    <x v="0"/>
  </r>
  <r>
    <x v="5"/>
    <n v="237535"/>
    <n v="642718"/>
    <s v="GOLF"/>
    <x v="5"/>
    <x v="5"/>
    <n v="90375.679999999993"/>
    <n v="72300.543999999994"/>
    <x v="3"/>
    <x v="0"/>
  </r>
  <r>
    <x v="5"/>
    <n v="237537"/>
    <n v="642724"/>
    <s v="GOLF"/>
    <x v="5"/>
    <x v="6"/>
    <n v="45000"/>
    <n v="36000"/>
    <x v="3"/>
    <x v="0"/>
  </r>
  <r>
    <x v="5"/>
    <n v="237541"/>
    <n v="642728"/>
    <s v="GOLF"/>
    <x v="5"/>
    <x v="7"/>
    <n v="20000"/>
    <n v="16000"/>
    <x v="3"/>
    <x v="0"/>
  </r>
  <r>
    <x v="5"/>
    <n v="237543"/>
    <n v="642731"/>
    <s v="GOLF"/>
    <x v="5"/>
    <x v="8"/>
    <n v="9600"/>
    <n v="7680"/>
    <x v="3"/>
    <x v="0"/>
  </r>
  <r>
    <x v="5"/>
    <n v="237546"/>
    <n v="642735"/>
    <s v="GOLF"/>
    <x v="5"/>
    <x v="9"/>
    <n v="185864.55"/>
    <n v="148691.64000000001"/>
    <x v="3"/>
    <x v="0"/>
  </r>
  <r>
    <x v="5"/>
    <n v="237548"/>
    <n v="642741"/>
    <s v="GOLF"/>
    <x v="5"/>
    <x v="10"/>
    <n v="62500"/>
    <n v="50000"/>
    <x v="3"/>
    <x v="0"/>
  </r>
  <r>
    <x v="5"/>
    <n v="237550"/>
    <n v="642744"/>
    <s v="GOLF"/>
    <x v="5"/>
    <x v="10"/>
    <n v="10000"/>
    <n v="8000"/>
    <x v="3"/>
    <x v="0"/>
  </r>
  <r>
    <x v="5"/>
    <n v="237551"/>
    <n v="642745"/>
    <s v="GOLF"/>
    <x v="5"/>
    <x v="6"/>
    <n v="71872.490000000005"/>
    <n v="57497.991999999998"/>
    <x v="3"/>
    <x v="0"/>
  </r>
  <r>
    <x v="6"/>
    <n v="237553"/>
    <n v="642747"/>
    <s v="GOLF"/>
    <x v="5"/>
    <x v="6"/>
    <n v="33599.760000000002"/>
    <n v="26879.808000000001"/>
    <x v="3"/>
    <x v="0"/>
  </r>
  <r>
    <x v="6"/>
    <n v="237555"/>
    <n v="642749"/>
    <s v="GOLF"/>
    <x v="5"/>
    <x v="11"/>
    <n v="17500"/>
    <n v="14000"/>
    <x v="3"/>
    <x v="0"/>
  </r>
  <r>
    <x v="6"/>
    <n v="237556"/>
    <n v="642751"/>
    <s v="GOLF"/>
    <x v="5"/>
    <x v="12"/>
    <n v="25000"/>
    <n v="20000"/>
    <x v="3"/>
    <x v="0"/>
  </r>
  <r>
    <x v="6"/>
    <n v="237557"/>
    <n v="642752"/>
    <s v="GOLF"/>
    <x v="5"/>
    <x v="13"/>
    <n v="87500"/>
    <n v="70000"/>
    <x v="3"/>
    <x v="0"/>
  </r>
  <r>
    <x v="6"/>
    <n v="237558"/>
    <n v="642753"/>
    <s v="GOLF"/>
    <x v="5"/>
    <x v="14"/>
    <n v="20000"/>
    <n v="16000"/>
    <x v="3"/>
    <x v="0"/>
  </r>
  <r>
    <x v="6"/>
    <n v="237559"/>
    <n v="642754"/>
    <s v="GOLF"/>
    <x v="5"/>
    <x v="15"/>
    <n v="22524.73"/>
    <n v="18019.784"/>
    <x v="3"/>
    <x v="0"/>
  </r>
  <r>
    <x v="6"/>
    <n v="237560"/>
    <n v="642755"/>
    <s v="GOLF"/>
    <x v="5"/>
    <x v="16"/>
    <n v="6099.22"/>
    <n v="4879.3760000000002"/>
    <x v="3"/>
    <x v="0"/>
  </r>
  <r>
    <x v="6"/>
    <n v="237562"/>
    <n v="642757"/>
    <s v="GOLF"/>
    <x v="5"/>
    <x v="17"/>
    <n v="60"/>
    <n v="48"/>
    <x v="3"/>
    <x v="0"/>
  </r>
  <r>
    <x v="6"/>
    <n v="237606"/>
    <n v="642818"/>
    <s v="P. VAREJO (R5)"/>
    <x v="6"/>
    <x v="18"/>
    <n v="16000"/>
    <n v="12800"/>
    <x v="4"/>
    <x v="0"/>
  </r>
  <r>
    <x v="6"/>
    <n v="237660"/>
    <n v="642920"/>
    <s v="T-CROSS"/>
    <x v="3"/>
    <x v="19"/>
    <n v="124831.13"/>
    <n v="99864.903999999995"/>
    <x v="1"/>
    <x v="0"/>
  </r>
  <r>
    <x v="6"/>
    <n v="237663"/>
    <n v="642934"/>
    <s v="VENDAS CORPORATIVAS"/>
    <x v="0"/>
    <x v="20"/>
    <n v="25625"/>
    <n v="20500"/>
    <x v="0"/>
    <x v="0"/>
  </r>
  <r>
    <x v="6"/>
    <n v="237682"/>
    <n v="642961"/>
    <s v="AMAROK"/>
    <x v="7"/>
    <x v="9"/>
    <n v="287500"/>
    <n v="230000"/>
    <x v="2"/>
    <x v="0"/>
  </r>
  <r>
    <x v="6"/>
    <n v="237683"/>
    <n v="642962"/>
    <s v="AMAROK"/>
    <x v="7"/>
    <x v="6"/>
    <n v="50000"/>
    <n v="40000"/>
    <x v="2"/>
    <x v="0"/>
  </r>
  <r>
    <x v="6"/>
    <n v="237684"/>
    <n v="642963"/>
    <s v="AMAROK"/>
    <x v="7"/>
    <x v="5"/>
    <n v="162500"/>
    <n v="130000"/>
    <x v="2"/>
    <x v="0"/>
  </r>
  <r>
    <x v="6"/>
    <n v="237685"/>
    <n v="642964"/>
    <s v="AMAROK"/>
    <x v="7"/>
    <x v="16"/>
    <n v="1419.66"/>
    <n v="1135.7280000000001"/>
    <x v="2"/>
    <x v="0"/>
  </r>
  <r>
    <x v="6"/>
    <n v="237686"/>
    <n v="642965"/>
    <s v="AMAROK"/>
    <x v="7"/>
    <x v="15"/>
    <n v="6800"/>
    <n v="5440"/>
    <x v="2"/>
    <x v="0"/>
  </r>
  <r>
    <x v="6"/>
    <n v="237687"/>
    <n v="642966"/>
    <s v="VAREJO NACIONAL AMAROK"/>
    <x v="8"/>
    <x v="6"/>
    <n v="425000"/>
    <n v="340000"/>
    <x v="2"/>
    <x v="0"/>
  </r>
  <r>
    <x v="6"/>
    <n v="237688"/>
    <n v="642967"/>
    <s v="VAREJO NACIONAL AMAROK"/>
    <x v="8"/>
    <x v="9"/>
    <n v="300000"/>
    <n v="240000"/>
    <x v="2"/>
    <x v="0"/>
  </r>
  <r>
    <x v="6"/>
    <n v="237689"/>
    <n v="642968"/>
    <s v="VAREJO NACIONAL AMAROK"/>
    <x v="8"/>
    <x v="13"/>
    <n v="75000"/>
    <n v="60000"/>
    <x v="2"/>
    <x v="0"/>
  </r>
  <r>
    <x v="6"/>
    <n v="237690"/>
    <n v="642969"/>
    <s v="VAREJO NACIONAL AMAROK"/>
    <x v="8"/>
    <x v="21"/>
    <n v="130000"/>
    <n v="104000"/>
    <x v="2"/>
    <x v="0"/>
  </r>
  <r>
    <x v="6"/>
    <n v="237691"/>
    <n v="642970"/>
    <s v="VAREJO NACIONAL AMAROK"/>
    <x v="8"/>
    <x v="16"/>
    <n v="7828.05"/>
    <n v="6262.44"/>
    <x v="2"/>
    <x v="0"/>
  </r>
  <r>
    <x v="6"/>
    <n v="237692"/>
    <n v="642971"/>
    <s v="VAREJO NACIONAL AMAROK"/>
    <x v="8"/>
    <x v="15"/>
    <n v="30937.5"/>
    <n v="24750"/>
    <x v="2"/>
    <x v="0"/>
  </r>
  <r>
    <x v="6"/>
    <n v="237698"/>
    <n v="642980"/>
    <s v="INSTITUCIONAL"/>
    <x v="2"/>
    <x v="22"/>
    <n v="15625"/>
    <n v="12500"/>
    <x v="0"/>
    <x v="0"/>
  </r>
  <r>
    <x v="6"/>
    <n v="237700"/>
    <n v="642982"/>
    <s v="INSTITUCIONAL"/>
    <x v="2"/>
    <x v="23"/>
    <n v="9375"/>
    <n v="7500"/>
    <x v="0"/>
    <x v="0"/>
  </r>
  <r>
    <x v="6"/>
    <n v="237701"/>
    <n v="642983"/>
    <s v="INSTITUCIONAL"/>
    <x v="2"/>
    <x v="24"/>
    <n v="8333.33"/>
    <n v="6666.6639999999998"/>
    <x v="0"/>
    <x v="0"/>
  </r>
  <r>
    <x v="6"/>
    <n v="237729"/>
    <n v="643022"/>
    <s v="VENDAS CORPORATIVAS"/>
    <x v="0"/>
    <x v="14"/>
    <n v="105940"/>
    <n v="84752"/>
    <x v="0"/>
    <x v="0"/>
  </r>
  <r>
    <x v="6"/>
    <n v="237731"/>
    <n v="643024"/>
    <s v="VENDAS CORPORATIVAS"/>
    <x v="0"/>
    <x v="9"/>
    <n v="45322.13"/>
    <n v="36257.703999999998"/>
    <x v="0"/>
    <x v="0"/>
  </r>
  <r>
    <x v="6"/>
    <n v="237735"/>
    <n v="643031"/>
    <s v="VENDAS CORPORATIVAS"/>
    <x v="0"/>
    <x v="16"/>
    <n v="158.69999999999999"/>
    <n v="126.96"/>
    <x v="0"/>
    <x v="0"/>
  </r>
  <r>
    <x v="6"/>
    <n v="237736"/>
    <n v="643033"/>
    <s v="PÓS-VENDAS"/>
    <x v="9"/>
    <x v="14"/>
    <n v="100000"/>
    <n v="80000"/>
    <x v="0"/>
    <x v="0"/>
  </r>
  <r>
    <x v="6"/>
    <n v="237738"/>
    <n v="643039"/>
    <s v="PÓS-VENDAS"/>
    <x v="9"/>
    <x v="25"/>
    <n v="100000"/>
    <n v="80000"/>
    <x v="0"/>
    <x v="0"/>
  </r>
  <r>
    <x v="6"/>
    <n v="237739"/>
    <n v="643035"/>
    <s v="PÓS-VENDAS"/>
    <x v="9"/>
    <x v="6"/>
    <n v="100000.01"/>
    <n v="80000.008000000002"/>
    <x v="0"/>
    <x v="0"/>
  </r>
  <r>
    <x v="6"/>
    <n v="237743"/>
    <n v="643042"/>
    <s v="PÓS-VENDAS"/>
    <x v="9"/>
    <x v="16"/>
    <n v="113.26"/>
    <n v="90.608000000000004"/>
    <x v="0"/>
    <x v="0"/>
  </r>
  <r>
    <x v="7"/>
    <n v="237744"/>
    <n v="643043"/>
    <s v="PÓS-VENDAS"/>
    <x v="9"/>
    <x v="15"/>
    <n v="1900.68"/>
    <n v="1520.5440000000001"/>
    <x v="0"/>
    <x v="0"/>
  </r>
  <r>
    <x v="7"/>
    <n v="237745"/>
    <n v="643045"/>
    <s v="PÓS-VENDAS"/>
    <x v="9"/>
    <x v="9"/>
    <n v="62500"/>
    <n v="50000"/>
    <x v="0"/>
    <x v="0"/>
  </r>
  <r>
    <x v="7"/>
    <n v="237746"/>
    <n v="643046"/>
    <s v="PÓS-VENDAS"/>
    <x v="9"/>
    <x v="15"/>
    <n v="51.7"/>
    <n v="41.36"/>
    <x v="0"/>
    <x v="0"/>
  </r>
  <r>
    <x v="7"/>
    <n v="237747"/>
    <n v="643047"/>
    <s v="PÓS-VENDAS"/>
    <x v="9"/>
    <x v="17"/>
    <n v="300"/>
    <n v="240"/>
    <x v="0"/>
    <x v="0"/>
  </r>
  <r>
    <x v="7"/>
    <n v="237835"/>
    <n v="643138"/>
    <s v="VAREJO NACIONAL AMAROK"/>
    <x v="8"/>
    <x v="10"/>
    <n v="100000"/>
    <n v="80000"/>
    <x v="2"/>
    <x v="0"/>
  </r>
  <r>
    <x v="7"/>
    <n v="237874"/>
    <n v="643197"/>
    <s v="ALWAYS ON"/>
    <x v="10"/>
    <x v="26"/>
    <n v="37500"/>
    <n v="30000"/>
    <x v="0"/>
    <x v="0"/>
  </r>
  <r>
    <x v="7"/>
    <n v="237875"/>
    <n v="643198"/>
    <s v="ALWAYS ON"/>
    <x v="10"/>
    <x v="14"/>
    <n v="1675000"/>
    <n v="1340000"/>
    <x v="0"/>
    <x v="0"/>
  </r>
  <r>
    <x v="7"/>
    <n v="237877"/>
    <n v="643200"/>
    <s v="ALWAYS ON"/>
    <x v="10"/>
    <x v="9"/>
    <n v="925000"/>
    <n v="740000"/>
    <x v="0"/>
    <x v="0"/>
  </r>
  <r>
    <x v="7"/>
    <n v="237879"/>
    <n v="643202"/>
    <s v="ALWAYS ON"/>
    <x v="10"/>
    <x v="13"/>
    <n v="681250"/>
    <n v="545000"/>
    <x v="0"/>
    <x v="0"/>
  </r>
  <r>
    <x v="7"/>
    <n v="237880"/>
    <n v="643203"/>
    <s v="ALWAYS ON"/>
    <x v="10"/>
    <x v="6"/>
    <n v="494375"/>
    <n v="395500"/>
    <x v="0"/>
    <x v="0"/>
  </r>
  <r>
    <x v="7"/>
    <n v="237881"/>
    <n v="643205"/>
    <s v="ALWAYS ON"/>
    <x v="10"/>
    <x v="16"/>
    <n v="23884.46"/>
    <n v="19107.567999999999"/>
    <x v="0"/>
    <x v="0"/>
  </r>
  <r>
    <x v="7"/>
    <n v="237882"/>
    <n v="643206"/>
    <s v="ALWAYS ON"/>
    <x v="10"/>
    <x v="15"/>
    <n v="45923.44"/>
    <n v="36738.752"/>
    <x v="0"/>
    <x v="0"/>
  </r>
  <r>
    <x v="7"/>
    <n v="237883"/>
    <n v="643207"/>
    <s v="ALWAYS ON"/>
    <x v="10"/>
    <x v="15"/>
    <n v="24718.75"/>
    <n v="19775"/>
    <x v="0"/>
    <x v="0"/>
  </r>
  <r>
    <x v="7"/>
    <n v="237884"/>
    <n v="643208"/>
    <s v="ALWAYS ON"/>
    <x v="10"/>
    <x v="17"/>
    <n v="5137.5"/>
    <n v="4110"/>
    <x v="0"/>
    <x v="0"/>
  </r>
  <r>
    <x v="7"/>
    <n v="237886"/>
    <n v="643213"/>
    <s v="VAREJO NACIONAL CARS"/>
    <x v="11"/>
    <x v="9"/>
    <n v="218750"/>
    <n v="175000"/>
    <x v="4"/>
    <x v="0"/>
  </r>
  <r>
    <x v="7"/>
    <n v="237889"/>
    <n v="643216"/>
    <s v="VAREJO NACIONAL CARS"/>
    <x v="11"/>
    <x v="6"/>
    <n v="1206420"/>
    <n v="965136"/>
    <x v="4"/>
    <x v="0"/>
  </r>
  <r>
    <x v="7"/>
    <n v="237890"/>
    <n v="643217"/>
    <s v="VAREJO NACIONAL CARS"/>
    <x v="11"/>
    <x v="16"/>
    <n v="42029.43"/>
    <n v="33623.544000000002"/>
    <x v="4"/>
    <x v="0"/>
  </r>
  <r>
    <x v="7"/>
    <n v="237891"/>
    <n v="643218"/>
    <s v="VAREJO NACIONAL CARS"/>
    <x v="11"/>
    <x v="15"/>
    <n v="81795.570000000007"/>
    <n v="65436.455999999998"/>
    <x v="4"/>
    <x v="0"/>
  </r>
  <r>
    <x v="7"/>
    <n v="237892"/>
    <n v="643219"/>
    <s v="VAREJO NACIONAL CARS"/>
    <x v="11"/>
    <x v="15"/>
    <n v="12500"/>
    <n v="10000"/>
    <x v="4"/>
    <x v="0"/>
  </r>
  <r>
    <x v="7"/>
    <n v="237907"/>
    <n v="643241"/>
    <s v="P. VAREJO (R3)"/>
    <x v="6"/>
    <x v="9"/>
    <n v="10000"/>
    <n v="8000"/>
    <x v="4"/>
    <x v="0"/>
  </r>
  <r>
    <x v="7"/>
    <n v="237908"/>
    <n v="643242"/>
    <s v="P. VAREJO (R3)"/>
    <x v="6"/>
    <x v="16"/>
    <n v="22.93"/>
    <n v="18.344000000000001"/>
    <x v="4"/>
    <x v="0"/>
  </r>
  <r>
    <x v="8"/>
    <n v="237969"/>
    <n v="643473"/>
    <s v="VAREJO NACIONAL CARS"/>
    <x v="11"/>
    <x v="10"/>
    <n v="125000"/>
    <n v="100000"/>
    <x v="4"/>
    <x v="0"/>
  </r>
  <r>
    <x v="8"/>
    <n v="237972"/>
    <n v="643476"/>
    <s v="BRANDED CONTENT"/>
    <x v="12"/>
    <x v="14"/>
    <n v="5000"/>
    <n v="4000"/>
    <x v="0"/>
    <x v="0"/>
  </r>
  <r>
    <x v="8"/>
    <n v="237973"/>
    <n v="643477"/>
    <s v="BRANDED CONTENT"/>
    <x v="12"/>
    <x v="9"/>
    <n v="245000"/>
    <n v="196000"/>
    <x v="0"/>
    <x v="0"/>
  </r>
  <r>
    <x v="8"/>
    <n v="237974"/>
    <n v="643478"/>
    <s v="BRANDED CONTENT"/>
    <x v="12"/>
    <x v="16"/>
    <n v="8056.81"/>
    <n v="6445.4480000000003"/>
    <x v="0"/>
    <x v="0"/>
  </r>
  <r>
    <x v="8"/>
    <n v="237980"/>
    <n v="643484"/>
    <s v="BRANDED CONTENT"/>
    <x v="12"/>
    <x v="17"/>
    <n v="15"/>
    <n v="12"/>
    <x v="0"/>
    <x v="0"/>
  </r>
  <r>
    <x v="8"/>
    <n v="238001"/>
    <n v="643511"/>
    <s v="ALWAYS ON"/>
    <x v="10"/>
    <x v="27"/>
    <n v="131250"/>
    <n v="105000"/>
    <x v="0"/>
    <x v="0"/>
  </r>
  <r>
    <x v="8"/>
    <n v="237736"/>
    <n v="643033"/>
    <s v="PÓS-VENDAS"/>
    <x v="9"/>
    <x v="14"/>
    <n v="100000"/>
    <n v="80000"/>
    <x v="0"/>
    <x v="0"/>
  </r>
  <r>
    <x v="8"/>
    <n v="237738"/>
    <n v="643039"/>
    <s v="PÓS-VENDAS"/>
    <x v="9"/>
    <x v="25"/>
    <n v="100000"/>
    <n v="80000"/>
    <x v="0"/>
    <x v="0"/>
  </r>
  <r>
    <x v="8"/>
    <n v="237739"/>
    <n v="643035"/>
    <s v="PÓS-VENDAS"/>
    <x v="9"/>
    <x v="6"/>
    <n v="100000.01"/>
    <n v="80000.008000000002"/>
    <x v="0"/>
    <x v="0"/>
  </r>
  <r>
    <x v="8"/>
    <n v="237743"/>
    <n v="643042"/>
    <s v="PÓS-VENDAS"/>
    <x v="9"/>
    <x v="16"/>
    <n v="113.26"/>
    <n v="90.608000000000004"/>
    <x v="0"/>
    <x v="0"/>
  </r>
  <r>
    <x v="8"/>
    <n v="237744"/>
    <n v="643043"/>
    <s v="PÓS-VENDAS"/>
    <x v="9"/>
    <x v="15"/>
    <n v="1900.68"/>
    <n v="1520.5440000000001"/>
    <x v="0"/>
    <x v="0"/>
  </r>
  <r>
    <x v="8"/>
    <n v="237745"/>
    <n v="643045"/>
    <s v="PÓS-VENDAS"/>
    <x v="9"/>
    <x v="9"/>
    <n v="62500"/>
    <n v="50000"/>
    <x v="0"/>
    <x v="0"/>
  </r>
  <r>
    <x v="8"/>
    <n v="237746"/>
    <n v="643046"/>
    <s v="PÓS-VENDAS"/>
    <x v="9"/>
    <x v="15"/>
    <n v="51.7"/>
    <n v="41.36"/>
    <x v="0"/>
    <x v="0"/>
  </r>
  <r>
    <x v="8"/>
    <n v="237747"/>
    <n v="643047"/>
    <s v="PÓS-VENDAS"/>
    <x v="9"/>
    <x v="17"/>
    <n v="300"/>
    <n v="240"/>
    <x v="0"/>
    <x v="0"/>
  </r>
  <r>
    <x v="8"/>
    <n v="237835"/>
    <n v="643138"/>
    <s v="VAREJO NACIONAL AMAROK"/>
    <x v="8"/>
    <x v="10"/>
    <n v="100000"/>
    <n v="80000"/>
    <x v="2"/>
    <x v="0"/>
  </r>
  <r>
    <x v="8"/>
    <n v="237874"/>
    <n v="643197"/>
    <s v="ALWAYS ON"/>
    <x v="10"/>
    <x v="26"/>
    <n v="37500"/>
    <n v="30000"/>
    <x v="0"/>
    <x v="0"/>
  </r>
  <r>
    <x v="8"/>
    <n v="237875"/>
    <n v="643198"/>
    <s v="ALWAYS ON"/>
    <x v="10"/>
    <x v="14"/>
    <n v="1675000"/>
    <n v="1340000"/>
    <x v="0"/>
    <x v="0"/>
  </r>
  <r>
    <x v="8"/>
    <n v="237877"/>
    <n v="643200"/>
    <s v="ALWAYS ON"/>
    <x v="10"/>
    <x v="9"/>
    <n v="925000"/>
    <n v="740000"/>
    <x v="0"/>
    <x v="0"/>
  </r>
  <r>
    <x v="8"/>
    <n v="237879"/>
    <n v="643202"/>
    <s v="ALWAYS ON"/>
    <x v="10"/>
    <x v="13"/>
    <n v="681250"/>
    <n v="545000"/>
    <x v="0"/>
    <x v="0"/>
  </r>
  <r>
    <x v="8"/>
    <n v="237880"/>
    <n v="643203"/>
    <s v="ALWAYS ON"/>
    <x v="10"/>
    <x v="6"/>
    <n v="494375"/>
    <n v="395500"/>
    <x v="0"/>
    <x v="0"/>
  </r>
  <r>
    <x v="8"/>
    <n v="237881"/>
    <n v="643205"/>
    <s v="ALWAYS ON"/>
    <x v="10"/>
    <x v="16"/>
    <n v="23884.46"/>
    <n v="19107.567999999999"/>
    <x v="0"/>
    <x v="0"/>
  </r>
  <r>
    <x v="8"/>
    <n v="237882"/>
    <n v="643206"/>
    <s v="ALWAYS ON"/>
    <x v="10"/>
    <x v="15"/>
    <n v="45923.44"/>
    <n v="36738.752"/>
    <x v="0"/>
    <x v="0"/>
  </r>
  <r>
    <x v="8"/>
    <n v="237883"/>
    <n v="643207"/>
    <s v="ALWAYS ON"/>
    <x v="10"/>
    <x v="15"/>
    <n v="24718.75"/>
    <n v="19775"/>
    <x v="0"/>
    <x v="0"/>
  </r>
  <r>
    <x v="8"/>
    <n v="237884"/>
    <n v="643208"/>
    <s v="ALWAYS ON"/>
    <x v="10"/>
    <x v="17"/>
    <n v="5137.5"/>
    <n v="4110"/>
    <x v="0"/>
    <x v="0"/>
  </r>
  <r>
    <x v="8"/>
    <n v="237886"/>
    <n v="643213"/>
    <s v="VAREJO NACIONAL CARS"/>
    <x v="11"/>
    <x v="9"/>
    <n v="218750"/>
    <n v="175000"/>
    <x v="4"/>
    <x v="0"/>
  </r>
  <r>
    <x v="8"/>
    <n v="237889"/>
    <n v="643216"/>
    <s v="VAREJO NACIONAL CARS"/>
    <x v="11"/>
    <x v="6"/>
    <n v="1206420"/>
    <n v="965136"/>
    <x v="4"/>
    <x v="0"/>
  </r>
  <r>
    <x v="8"/>
    <n v="237890"/>
    <n v="643217"/>
    <s v="VAREJO NACIONAL CARS"/>
    <x v="11"/>
    <x v="16"/>
    <n v="42029.43"/>
    <n v="33623.544000000002"/>
    <x v="4"/>
    <x v="0"/>
  </r>
  <r>
    <x v="8"/>
    <n v="237891"/>
    <n v="643218"/>
    <s v="VAREJO NACIONAL CARS"/>
    <x v="11"/>
    <x v="15"/>
    <n v="81795.570000000007"/>
    <n v="65436.455999999998"/>
    <x v="4"/>
    <x v="0"/>
  </r>
  <r>
    <x v="8"/>
    <n v="237892"/>
    <n v="643219"/>
    <s v="VAREJO NACIONAL CARS"/>
    <x v="11"/>
    <x v="15"/>
    <n v="12500"/>
    <n v="10000"/>
    <x v="4"/>
    <x v="0"/>
  </r>
  <r>
    <x v="8"/>
    <n v="237907"/>
    <n v="643241"/>
    <s v="P. VAREJO (R3)"/>
    <x v="6"/>
    <x v="9"/>
    <n v="10000"/>
    <n v="8000"/>
    <x v="4"/>
    <x v="0"/>
  </r>
  <r>
    <x v="8"/>
    <n v="237908"/>
    <n v="643242"/>
    <s v="P. VAREJO (R3)"/>
    <x v="6"/>
    <x v="16"/>
    <n v="22.93"/>
    <n v="18.344000000000001"/>
    <x v="4"/>
    <x v="0"/>
  </r>
  <r>
    <x v="8"/>
    <n v="237969"/>
    <n v="643473"/>
    <s v="VAREJO NACIONAL CARS"/>
    <x v="11"/>
    <x v="10"/>
    <n v="125000"/>
    <n v="100000"/>
    <x v="4"/>
    <x v="0"/>
  </r>
  <r>
    <x v="8"/>
    <n v="237972"/>
    <n v="643476"/>
    <s v="BRANDED CONTENT"/>
    <x v="12"/>
    <x v="14"/>
    <n v="5000"/>
    <n v="4000"/>
    <x v="0"/>
    <x v="0"/>
  </r>
  <r>
    <x v="8"/>
    <n v="237973"/>
    <n v="643477"/>
    <s v="BRANDED CONTENT"/>
    <x v="12"/>
    <x v="9"/>
    <n v="245000"/>
    <n v="196000"/>
    <x v="0"/>
    <x v="0"/>
  </r>
  <r>
    <x v="8"/>
    <n v="237974"/>
    <n v="643478"/>
    <s v="BRANDED CONTENT"/>
    <x v="12"/>
    <x v="16"/>
    <n v="8056.81"/>
    <n v="6445.4480000000003"/>
    <x v="0"/>
    <x v="0"/>
  </r>
  <r>
    <x v="7"/>
    <n v="237980"/>
    <n v="643484"/>
    <s v="BRANDED CONTENT"/>
    <x v="12"/>
    <x v="17"/>
    <n v="15"/>
    <n v="12"/>
    <x v="0"/>
    <x v="0"/>
  </r>
  <r>
    <x v="7"/>
    <n v="238001"/>
    <n v="643511"/>
    <s v="ALWAYS ON"/>
    <x v="10"/>
    <x v="27"/>
    <n v="131250"/>
    <n v="105000"/>
    <x v="0"/>
    <x v="0"/>
  </r>
  <r>
    <x v="7"/>
    <n v="237886"/>
    <n v="643213"/>
    <s v="VAREJO NACIONAL CARS"/>
    <x v="11"/>
    <x v="9"/>
    <n v="218750"/>
    <n v="175000"/>
    <x v="4"/>
    <x v="0"/>
  </r>
  <r>
    <x v="7"/>
    <n v="237889"/>
    <n v="643216"/>
    <s v="VAREJO NACIONAL CARS"/>
    <x v="11"/>
    <x v="6"/>
    <n v="1206420"/>
    <n v="965136"/>
    <x v="4"/>
    <x v="0"/>
  </r>
  <r>
    <x v="7"/>
    <n v="237890"/>
    <n v="643217"/>
    <s v="VAREJO NACIONAL CARS"/>
    <x v="11"/>
    <x v="16"/>
    <n v="42029.43"/>
    <n v="33623.544000000002"/>
    <x v="4"/>
    <x v="0"/>
  </r>
  <r>
    <x v="7"/>
    <n v="237891"/>
    <n v="643218"/>
    <s v="VAREJO NACIONAL CARS"/>
    <x v="11"/>
    <x v="15"/>
    <n v="81795.570000000007"/>
    <n v="65436.455999999998"/>
    <x v="4"/>
    <x v="0"/>
  </r>
  <r>
    <x v="7"/>
    <n v="237892"/>
    <n v="643219"/>
    <s v="VAREJO NACIONAL CARS"/>
    <x v="11"/>
    <x v="15"/>
    <n v="12500"/>
    <n v="10000"/>
    <x v="4"/>
    <x v="0"/>
  </r>
  <r>
    <x v="7"/>
    <n v="237907"/>
    <n v="643241"/>
    <s v="P. VAREJO (R3)"/>
    <x v="6"/>
    <x v="9"/>
    <n v="10000"/>
    <n v="8000"/>
    <x v="4"/>
    <x v="0"/>
  </r>
  <r>
    <x v="7"/>
    <n v="237908"/>
    <n v="643242"/>
    <s v="P. VAREJO (R3)"/>
    <x v="6"/>
    <x v="16"/>
    <n v="22.93"/>
    <n v="18.344000000000001"/>
    <x v="4"/>
    <x v="0"/>
  </r>
  <r>
    <x v="7"/>
    <n v="237969"/>
    <n v="643473"/>
    <s v="VAREJO NACIONAL CARS"/>
    <x v="11"/>
    <x v="10"/>
    <n v="125000"/>
    <n v="100000"/>
    <x v="4"/>
    <x v="0"/>
  </r>
  <r>
    <x v="7"/>
    <n v="237972"/>
    <n v="643476"/>
    <s v="BRANDED CONTENT"/>
    <x v="12"/>
    <x v="14"/>
    <n v="5000"/>
    <n v="4000"/>
    <x v="0"/>
    <x v="0"/>
  </r>
  <r>
    <x v="7"/>
    <n v="237973"/>
    <n v="643477"/>
    <s v="BRANDED CONTENT"/>
    <x v="12"/>
    <x v="9"/>
    <n v="245000"/>
    <n v="196000"/>
    <x v="0"/>
    <x v="0"/>
  </r>
  <r>
    <x v="7"/>
    <n v="237974"/>
    <n v="643478"/>
    <s v="BRANDED CONTENT"/>
    <x v="12"/>
    <x v="16"/>
    <n v="8056.81"/>
    <n v="6445.4480000000003"/>
    <x v="0"/>
    <x v="0"/>
  </r>
  <r>
    <x v="7"/>
    <n v="237980"/>
    <n v="643484"/>
    <s v="BRANDED CONTENT"/>
    <x v="12"/>
    <x v="17"/>
    <n v="15"/>
    <n v="12"/>
    <x v="0"/>
    <x v="0"/>
  </r>
  <r>
    <x v="7"/>
    <n v="238001"/>
    <n v="643511"/>
    <s v="ALWAYS ON"/>
    <x v="10"/>
    <x v="27"/>
    <n v="131250"/>
    <n v="105000"/>
    <x v="0"/>
    <x v="0"/>
  </r>
  <r>
    <x v="7"/>
    <n v="237736"/>
    <n v="643033"/>
    <s v="PÓS-VENDAS"/>
    <x v="9"/>
    <x v="14"/>
    <n v="100000"/>
    <n v="80000"/>
    <x v="0"/>
    <x v="0"/>
  </r>
  <r>
    <x v="7"/>
    <n v="237738"/>
    <n v="643039"/>
    <s v="PÓS-VENDAS"/>
    <x v="9"/>
    <x v="25"/>
    <n v="100000"/>
    <n v="80000"/>
    <x v="0"/>
    <x v="0"/>
  </r>
  <r>
    <x v="7"/>
    <n v="237739"/>
    <n v="643035"/>
    <s v="PÓS-VENDAS"/>
    <x v="9"/>
    <x v="6"/>
    <n v="100000.01"/>
    <n v="80000.008000000002"/>
    <x v="0"/>
    <x v="0"/>
  </r>
  <r>
    <x v="7"/>
    <n v="237743"/>
    <n v="643042"/>
    <s v="PÓS-VENDAS"/>
    <x v="9"/>
    <x v="16"/>
    <n v="113.26"/>
    <n v="90.608000000000004"/>
    <x v="0"/>
    <x v="0"/>
  </r>
  <r>
    <x v="7"/>
    <n v="237744"/>
    <n v="643043"/>
    <s v="PÓS-VENDAS"/>
    <x v="9"/>
    <x v="15"/>
    <n v="1900.68"/>
    <n v="1520.5440000000001"/>
    <x v="0"/>
    <x v="0"/>
  </r>
  <r>
    <x v="7"/>
    <n v="237745"/>
    <n v="643045"/>
    <s v="PÓS-VENDAS"/>
    <x v="9"/>
    <x v="9"/>
    <n v="62500"/>
    <n v="50000"/>
    <x v="0"/>
    <x v="0"/>
  </r>
  <r>
    <x v="7"/>
    <n v="237746"/>
    <n v="643046"/>
    <s v="PÓS-VENDAS"/>
    <x v="9"/>
    <x v="15"/>
    <n v="51.7"/>
    <n v="41.36"/>
    <x v="0"/>
    <x v="0"/>
  </r>
  <r>
    <x v="9"/>
    <n v="237747"/>
    <n v="643047"/>
    <s v="PÓS-VENDAS"/>
    <x v="9"/>
    <x v="17"/>
    <n v="300"/>
    <n v="240"/>
    <x v="0"/>
    <x v="0"/>
  </r>
  <r>
    <x v="9"/>
    <n v="237835"/>
    <n v="643138"/>
    <s v="VAREJO NACIONAL AMAROK"/>
    <x v="8"/>
    <x v="10"/>
    <n v="100000"/>
    <n v="80000"/>
    <x v="2"/>
    <x v="0"/>
  </r>
  <r>
    <x v="9"/>
    <n v="237874"/>
    <n v="643197"/>
    <s v="ALWAYS ON"/>
    <x v="10"/>
    <x v="26"/>
    <n v="37500"/>
    <n v="30000"/>
    <x v="0"/>
    <x v="0"/>
  </r>
  <r>
    <x v="9"/>
    <n v="237875"/>
    <n v="643198"/>
    <s v="ALWAYS ON"/>
    <x v="10"/>
    <x v="14"/>
    <n v="1675000"/>
    <n v="1340000"/>
    <x v="0"/>
    <x v="0"/>
  </r>
  <r>
    <x v="9"/>
    <n v="237877"/>
    <n v="643200"/>
    <s v="ALWAYS ON"/>
    <x v="10"/>
    <x v="9"/>
    <n v="925000"/>
    <n v="740000"/>
    <x v="0"/>
    <x v="0"/>
  </r>
  <r>
    <x v="9"/>
    <n v="237879"/>
    <n v="643202"/>
    <s v="ALWAYS ON"/>
    <x v="10"/>
    <x v="13"/>
    <n v="681250"/>
    <n v="545000"/>
    <x v="0"/>
    <x v="0"/>
  </r>
  <r>
    <x v="9"/>
    <n v="237880"/>
    <n v="643203"/>
    <s v="ALWAYS ON"/>
    <x v="10"/>
    <x v="6"/>
    <n v="494375"/>
    <n v="395500"/>
    <x v="0"/>
    <x v="0"/>
  </r>
  <r>
    <x v="9"/>
    <n v="237881"/>
    <n v="643205"/>
    <s v="ALWAYS ON"/>
    <x v="10"/>
    <x v="16"/>
    <n v="23884.46"/>
    <n v="19107.567999999999"/>
    <x v="0"/>
    <x v="0"/>
  </r>
  <r>
    <x v="9"/>
    <n v="237882"/>
    <n v="643206"/>
    <s v="ALWAYS ON"/>
    <x v="10"/>
    <x v="15"/>
    <n v="45923.44"/>
    <n v="36738.752"/>
    <x v="0"/>
    <x v="0"/>
  </r>
  <r>
    <x v="9"/>
    <n v="237883"/>
    <n v="643207"/>
    <s v="ALWAYS ON"/>
    <x v="10"/>
    <x v="15"/>
    <n v="24718.75"/>
    <n v="19775"/>
    <x v="0"/>
    <x v="0"/>
  </r>
  <r>
    <x v="9"/>
    <n v="237884"/>
    <n v="643208"/>
    <s v="ALWAYS ON"/>
    <x v="10"/>
    <x v="17"/>
    <n v="5137.5"/>
    <n v="4110"/>
    <x v="0"/>
    <x v="0"/>
  </r>
  <r>
    <x v="9"/>
    <n v="237886"/>
    <n v="643213"/>
    <s v="VAREJO NACIONAL CARS"/>
    <x v="11"/>
    <x v="9"/>
    <n v="218750"/>
    <n v="175000"/>
    <x v="4"/>
    <x v="0"/>
  </r>
  <r>
    <x v="9"/>
    <n v="237889"/>
    <n v="643216"/>
    <s v="VAREJO NACIONAL CARS"/>
    <x v="11"/>
    <x v="6"/>
    <n v="1206420"/>
    <n v="965136"/>
    <x v="4"/>
    <x v="0"/>
  </r>
  <r>
    <x v="9"/>
    <n v="237890"/>
    <n v="643217"/>
    <s v="VAREJO NACIONAL CARS"/>
    <x v="11"/>
    <x v="16"/>
    <n v="42029.43"/>
    <n v="33623.544000000002"/>
    <x v="4"/>
    <x v="0"/>
  </r>
  <r>
    <x v="9"/>
    <n v="237891"/>
    <n v="643218"/>
    <s v="VAREJO NACIONAL CARS"/>
    <x v="11"/>
    <x v="15"/>
    <n v="81795.570000000007"/>
    <n v="65436.455999999998"/>
    <x v="4"/>
    <x v="0"/>
  </r>
  <r>
    <x v="9"/>
    <n v="237892"/>
    <n v="643219"/>
    <s v="VAREJO NACIONAL CARS"/>
    <x v="11"/>
    <x v="15"/>
    <n v="12500"/>
    <n v="10000"/>
    <x v="4"/>
    <x v="0"/>
  </r>
  <r>
    <x v="9"/>
    <n v="237907"/>
    <n v="643241"/>
    <s v="P. VAREJO (R3)"/>
    <x v="6"/>
    <x v="9"/>
    <n v="10000"/>
    <n v="8000"/>
    <x v="4"/>
    <x v="0"/>
  </r>
  <r>
    <x v="9"/>
    <n v="237908"/>
    <n v="643242"/>
    <s v="P. VAREJO (R3)"/>
    <x v="6"/>
    <x v="16"/>
    <n v="22.93"/>
    <n v="18.344000000000001"/>
    <x v="4"/>
    <x v="0"/>
  </r>
  <r>
    <x v="9"/>
    <n v="237969"/>
    <n v="643473"/>
    <s v="VAREJO NACIONAL CARS"/>
    <x v="11"/>
    <x v="10"/>
    <n v="125000"/>
    <n v="100000"/>
    <x v="4"/>
    <x v="0"/>
  </r>
  <r>
    <x v="9"/>
    <n v="237972"/>
    <n v="643476"/>
    <s v="BRANDED CONTENT"/>
    <x v="12"/>
    <x v="14"/>
    <n v="5000"/>
    <n v="4000"/>
    <x v="0"/>
    <x v="0"/>
  </r>
  <r>
    <x v="9"/>
    <n v="237973"/>
    <n v="643477"/>
    <s v="BRANDED CONTENT"/>
    <x v="12"/>
    <x v="9"/>
    <n v="245000"/>
    <n v="196000"/>
    <x v="0"/>
    <x v="0"/>
  </r>
  <r>
    <x v="9"/>
    <n v="237974"/>
    <n v="643478"/>
    <s v="BRANDED CONTENT"/>
    <x v="12"/>
    <x v="16"/>
    <n v="8056.81"/>
    <n v="6445.4480000000003"/>
    <x v="0"/>
    <x v="0"/>
  </r>
  <r>
    <x v="9"/>
    <n v="237980"/>
    <n v="643484"/>
    <s v="BRANDED CONTENT"/>
    <x v="12"/>
    <x v="17"/>
    <n v="15"/>
    <n v="12"/>
    <x v="0"/>
    <x v="0"/>
  </r>
  <r>
    <x v="9"/>
    <n v="238001"/>
    <n v="643511"/>
    <s v="ALWAYS ON"/>
    <x v="10"/>
    <x v="27"/>
    <n v="131250"/>
    <n v="105000"/>
    <x v="0"/>
    <x v="0"/>
  </r>
  <r>
    <x v="9"/>
    <n v="237746"/>
    <n v="643046"/>
    <s v="PÓS-VENDAS"/>
    <x v="9"/>
    <x v="15"/>
    <n v="51.7"/>
    <n v="41.36"/>
    <x v="0"/>
    <x v="0"/>
  </r>
  <r>
    <x v="9"/>
    <n v="237747"/>
    <n v="643047"/>
    <s v="PÓS-VENDAS"/>
    <x v="9"/>
    <x v="17"/>
    <n v="300"/>
    <n v="240"/>
    <x v="0"/>
    <x v="0"/>
  </r>
  <r>
    <x v="9"/>
    <n v="237835"/>
    <n v="643138"/>
    <s v="VAREJO NACIONAL AMAROK"/>
    <x v="8"/>
    <x v="10"/>
    <n v="100000"/>
    <n v="80000"/>
    <x v="2"/>
    <x v="0"/>
  </r>
  <r>
    <x v="9"/>
    <n v="237874"/>
    <n v="643197"/>
    <s v="ALWAYS ON"/>
    <x v="10"/>
    <x v="26"/>
    <n v="37500"/>
    <n v="30000"/>
    <x v="0"/>
    <x v="0"/>
  </r>
  <r>
    <x v="9"/>
    <n v="237875"/>
    <n v="643198"/>
    <s v="ALWAYS ON"/>
    <x v="10"/>
    <x v="14"/>
    <n v="1675000"/>
    <n v="1340000"/>
    <x v="0"/>
    <x v="0"/>
  </r>
  <r>
    <x v="9"/>
    <n v="237877"/>
    <n v="643200"/>
    <s v="ALWAYS ON"/>
    <x v="10"/>
    <x v="9"/>
    <n v="925000"/>
    <n v="740000"/>
    <x v="0"/>
    <x v="0"/>
  </r>
  <r>
    <x v="9"/>
    <n v="237879"/>
    <n v="643202"/>
    <s v="ALWAYS ON"/>
    <x v="10"/>
    <x v="13"/>
    <n v="681250"/>
    <n v="545000"/>
    <x v="0"/>
    <x v="0"/>
  </r>
  <r>
    <x v="9"/>
    <n v="237880"/>
    <n v="643203"/>
    <s v="ALWAYS ON"/>
    <x v="10"/>
    <x v="6"/>
    <n v="494375"/>
    <n v="395500"/>
    <x v="0"/>
    <x v="0"/>
  </r>
  <r>
    <x v="9"/>
    <n v="237881"/>
    <n v="643205"/>
    <s v="ALWAYS ON"/>
    <x v="10"/>
    <x v="16"/>
    <n v="23884.46"/>
    <n v="19107.567999999999"/>
    <x v="0"/>
    <x v="0"/>
  </r>
  <r>
    <x v="9"/>
    <n v="237882"/>
    <n v="643206"/>
    <s v="ALWAYS ON"/>
    <x v="10"/>
    <x v="15"/>
    <n v="45923.44"/>
    <n v="36738.752"/>
    <x v="0"/>
    <x v="0"/>
  </r>
  <r>
    <x v="9"/>
    <n v="237883"/>
    <n v="643207"/>
    <s v="ALWAYS ON"/>
    <x v="10"/>
    <x v="15"/>
    <n v="24718.75"/>
    <n v="19775"/>
    <x v="0"/>
    <x v="0"/>
  </r>
  <r>
    <x v="9"/>
    <n v="237884"/>
    <n v="643208"/>
    <s v="ALWAYS ON"/>
    <x v="10"/>
    <x v="17"/>
    <n v="5137.5"/>
    <n v="4110"/>
    <x v="0"/>
    <x v="0"/>
  </r>
  <r>
    <x v="7"/>
    <n v="237886"/>
    <n v="643213"/>
    <s v="VAREJO NACIONAL CARS"/>
    <x v="11"/>
    <x v="9"/>
    <n v="218750"/>
    <n v="175000"/>
    <x v="4"/>
    <x v="0"/>
  </r>
  <r>
    <x v="7"/>
    <n v="237889"/>
    <n v="643216"/>
    <s v="VAREJO NACIONAL CARS"/>
    <x v="11"/>
    <x v="6"/>
    <n v="1206420"/>
    <n v="965136"/>
    <x v="4"/>
    <x v="0"/>
  </r>
  <r>
    <x v="7"/>
    <n v="237890"/>
    <n v="643217"/>
    <s v="VAREJO NACIONAL CARS"/>
    <x v="11"/>
    <x v="16"/>
    <n v="42029.43"/>
    <n v="33623.544000000002"/>
    <x v="4"/>
    <x v="0"/>
  </r>
  <r>
    <x v="7"/>
    <n v="237891"/>
    <n v="643218"/>
    <s v="VAREJO NACIONAL CARS"/>
    <x v="11"/>
    <x v="15"/>
    <n v="81795.570000000007"/>
    <n v="65436.455999999998"/>
    <x v="4"/>
    <x v="0"/>
  </r>
  <r>
    <x v="7"/>
    <n v="237892"/>
    <n v="643219"/>
    <s v="VAREJO NACIONAL CARS"/>
    <x v="11"/>
    <x v="15"/>
    <n v="12500"/>
    <n v="10000"/>
    <x v="4"/>
    <x v="0"/>
  </r>
  <r>
    <x v="7"/>
    <n v="237907"/>
    <n v="643241"/>
    <s v="P. VAREJO (R3)"/>
    <x v="6"/>
    <x v="9"/>
    <n v="10000"/>
    <n v="8000"/>
    <x v="4"/>
    <x v="0"/>
  </r>
  <r>
    <x v="7"/>
    <n v="237908"/>
    <n v="643242"/>
    <s v="P. VAREJO (R3)"/>
    <x v="6"/>
    <x v="16"/>
    <n v="22.93"/>
    <n v="18.344000000000001"/>
    <x v="4"/>
    <x v="0"/>
  </r>
  <r>
    <x v="7"/>
    <n v="237969"/>
    <n v="643473"/>
    <s v="VAREJO NACIONAL CARS"/>
    <x v="11"/>
    <x v="10"/>
    <n v="125000"/>
    <n v="100000"/>
    <x v="4"/>
    <x v="0"/>
  </r>
  <r>
    <x v="7"/>
    <n v="237972"/>
    <n v="643476"/>
    <s v="BRANDED CONTENT"/>
    <x v="12"/>
    <x v="14"/>
    <n v="5000"/>
    <n v="4000"/>
    <x v="0"/>
    <x v="0"/>
  </r>
  <r>
    <x v="7"/>
    <n v="237973"/>
    <n v="643477"/>
    <s v="BRANDED CONTENT"/>
    <x v="12"/>
    <x v="9"/>
    <n v="245000"/>
    <n v="196000"/>
    <x v="0"/>
    <x v="0"/>
  </r>
  <r>
    <x v="7"/>
    <n v="237974"/>
    <n v="643478"/>
    <s v="BRANDED CONTENT"/>
    <x v="12"/>
    <x v="16"/>
    <n v="8056.81"/>
    <n v="6445.4480000000003"/>
    <x v="0"/>
    <x v="0"/>
  </r>
  <r>
    <x v="7"/>
    <n v="237980"/>
    <n v="643484"/>
    <s v="BRANDED CONTENT"/>
    <x v="12"/>
    <x v="17"/>
    <n v="15"/>
    <n v="12"/>
    <x v="0"/>
    <x v="0"/>
  </r>
  <r>
    <x v="7"/>
    <n v="238001"/>
    <n v="643511"/>
    <s v="ALWAYS ON"/>
    <x v="10"/>
    <x v="27"/>
    <n v="131250"/>
    <n v="105000"/>
    <x v="0"/>
    <x v="0"/>
  </r>
  <r>
    <x v="10"/>
    <n v="237972"/>
    <n v="643476"/>
    <s v="BRANDED CONTENT"/>
    <x v="12"/>
    <x v="14"/>
    <n v="5000"/>
    <n v="4000"/>
    <x v="0"/>
    <x v="0"/>
  </r>
  <r>
    <x v="10"/>
    <n v="237973"/>
    <n v="643477"/>
    <s v="BRANDED CONTENT"/>
    <x v="12"/>
    <x v="9"/>
    <n v="245000"/>
    <n v="196000"/>
    <x v="0"/>
    <x v="0"/>
  </r>
  <r>
    <x v="10"/>
    <n v="237974"/>
    <n v="643478"/>
    <s v="BRANDED CONTENT"/>
    <x v="12"/>
    <x v="16"/>
    <n v="8056.81"/>
    <n v="6445.4480000000003"/>
    <x v="0"/>
    <x v="0"/>
  </r>
  <r>
    <x v="10"/>
    <n v="237980"/>
    <n v="643484"/>
    <s v="BRANDED CONTENT"/>
    <x v="12"/>
    <x v="17"/>
    <n v="15"/>
    <n v="12"/>
    <x v="0"/>
    <x v="0"/>
  </r>
  <r>
    <x v="10"/>
    <n v="238001"/>
    <n v="643511"/>
    <s v="ALWAYS ON"/>
    <x v="10"/>
    <x v="27"/>
    <n v="131250"/>
    <n v="105000"/>
    <x v="0"/>
    <x v="0"/>
  </r>
  <r>
    <x v="10"/>
    <n v="237736"/>
    <n v="643033"/>
    <s v="PÓS-VENDAS"/>
    <x v="9"/>
    <x v="14"/>
    <n v="100000"/>
    <n v="80000"/>
    <x v="0"/>
    <x v="0"/>
  </r>
  <r>
    <x v="10"/>
    <n v="237738"/>
    <n v="643039"/>
    <s v="PÓS-VENDAS"/>
    <x v="9"/>
    <x v="25"/>
    <n v="100000"/>
    <n v="80000"/>
    <x v="0"/>
    <x v="0"/>
  </r>
  <r>
    <x v="10"/>
    <n v="237739"/>
    <n v="643035"/>
    <s v="PÓS-VENDAS"/>
    <x v="9"/>
    <x v="6"/>
    <n v="100000.01"/>
    <n v="80000.008000000002"/>
    <x v="0"/>
    <x v="0"/>
  </r>
  <r>
    <x v="10"/>
    <n v="237743"/>
    <n v="643042"/>
    <s v="PÓS-VENDAS"/>
    <x v="9"/>
    <x v="16"/>
    <n v="113.26"/>
    <n v="90.608000000000004"/>
    <x v="0"/>
    <x v="0"/>
  </r>
  <r>
    <x v="10"/>
    <n v="237744"/>
    <n v="643043"/>
    <s v="PÓS-VENDAS"/>
    <x v="9"/>
    <x v="15"/>
    <n v="1900.68"/>
    <n v="1520.5440000000001"/>
    <x v="0"/>
    <x v="0"/>
  </r>
  <r>
    <x v="10"/>
    <n v="237745"/>
    <n v="643045"/>
    <s v="PÓS-VENDAS"/>
    <x v="9"/>
    <x v="9"/>
    <n v="62500"/>
    <n v="50000"/>
    <x v="0"/>
    <x v="0"/>
  </r>
  <r>
    <x v="10"/>
    <n v="237746"/>
    <n v="643046"/>
    <s v="PÓS-VENDAS"/>
    <x v="9"/>
    <x v="15"/>
    <n v="51.7"/>
    <n v="41.36"/>
    <x v="0"/>
    <x v="0"/>
  </r>
  <r>
    <x v="10"/>
    <n v="237747"/>
    <n v="643047"/>
    <s v="PÓS-VENDAS"/>
    <x v="9"/>
    <x v="17"/>
    <n v="300"/>
    <n v="240"/>
    <x v="0"/>
    <x v="0"/>
  </r>
  <r>
    <x v="10"/>
    <n v="237835"/>
    <n v="643138"/>
    <s v="VAREJO NACIONAL AMAROK"/>
    <x v="8"/>
    <x v="10"/>
    <n v="100000"/>
    <n v="80000"/>
    <x v="2"/>
    <x v="0"/>
  </r>
  <r>
    <x v="10"/>
    <n v="237874"/>
    <n v="643197"/>
    <s v="ALWAYS ON"/>
    <x v="10"/>
    <x v="26"/>
    <n v="37500"/>
    <n v="30000"/>
    <x v="0"/>
    <x v="0"/>
  </r>
  <r>
    <x v="11"/>
    <n v="237875"/>
    <n v="643198"/>
    <s v="ALWAYS ON"/>
    <x v="10"/>
    <x v="14"/>
    <n v="1675000"/>
    <n v="1340000"/>
    <x v="0"/>
    <x v="0"/>
  </r>
  <r>
    <x v="11"/>
    <n v="237877"/>
    <n v="643200"/>
    <s v="ALWAYS ON"/>
    <x v="10"/>
    <x v="9"/>
    <n v="925000"/>
    <n v="740000"/>
    <x v="0"/>
    <x v="0"/>
  </r>
  <r>
    <x v="11"/>
    <n v="237879"/>
    <n v="643202"/>
    <s v="ALWAYS ON"/>
    <x v="10"/>
    <x v="13"/>
    <n v="681250"/>
    <n v="545000"/>
    <x v="0"/>
    <x v="0"/>
  </r>
  <r>
    <x v="11"/>
    <n v="237880"/>
    <n v="643203"/>
    <s v="ALWAYS ON"/>
    <x v="10"/>
    <x v="6"/>
    <n v="494375"/>
    <n v="395500"/>
    <x v="0"/>
    <x v="0"/>
  </r>
  <r>
    <x v="11"/>
    <n v="237881"/>
    <n v="643205"/>
    <s v="ALWAYS ON"/>
    <x v="10"/>
    <x v="16"/>
    <n v="23884.46"/>
    <n v="19107.567999999999"/>
    <x v="0"/>
    <x v="0"/>
  </r>
  <r>
    <x v="11"/>
    <n v="237882"/>
    <n v="643206"/>
    <s v="ALWAYS ON"/>
    <x v="10"/>
    <x v="15"/>
    <n v="45923.44"/>
    <n v="36738.752"/>
    <x v="0"/>
    <x v="0"/>
  </r>
  <r>
    <x v="11"/>
    <n v="237883"/>
    <n v="643207"/>
    <s v="ALWAYS ON"/>
    <x v="10"/>
    <x v="15"/>
    <n v="24718.75"/>
    <n v="19775"/>
    <x v="0"/>
    <x v="0"/>
  </r>
  <r>
    <x v="11"/>
    <n v="237884"/>
    <n v="643208"/>
    <s v="ALWAYS ON"/>
    <x v="10"/>
    <x v="17"/>
    <n v="5137.5"/>
    <n v="4110"/>
    <x v="0"/>
    <x v="0"/>
  </r>
  <r>
    <x v="11"/>
    <n v="237886"/>
    <n v="643213"/>
    <s v="VAREJO NACIONAL CARS"/>
    <x v="11"/>
    <x v="9"/>
    <n v="218750"/>
    <n v="175000"/>
    <x v="4"/>
    <x v="0"/>
  </r>
  <r>
    <x v="11"/>
    <n v="237889"/>
    <n v="643216"/>
    <s v="VAREJO NACIONAL CARS"/>
    <x v="11"/>
    <x v="6"/>
    <n v="1206420"/>
    <n v="965136"/>
    <x v="4"/>
    <x v="0"/>
  </r>
  <r>
    <x v="11"/>
    <n v="237890"/>
    <n v="643217"/>
    <s v="VAREJO NACIONAL CARS"/>
    <x v="11"/>
    <x v="16"/>
    <n v="42029.43"/>
    <n v="33623.544000000002"/>
    <x v="4"/>
    <x v="0"/>
  </r>
  <r>
    <x v="11"/>
    <n v="237891"/>
    <n v="643218"/>
    <s v="VAREJO NACIONAL CARS"/>
    <x v="11"/>
    <x v="15"/>
    <n v="81795.570000000007"/>
    <n v="65436.455999999998"/>
    <x v="4"/>
    <x v="0"/>
  </r>
  <r>
    <x v="11"/>
    <n v="237892"/>
    <n v="643219"/>
    <s v="VAREJO NACIONAL CARS"/>
    <x v="11"/>
    <x v="15"/>
    <n v="12500"/>
    <n v="10000"/>
    <x v="4"/>
    <x v="0"/>
  </r>
  <r>
    <x v="11"/>
    <n v="237907"/>
    <n v="643241"/>
    <s v="P. VAREJO (R3)"/>
    <x v="6"/>
    <x v="9"/>
    <n v="10000"/>
    <n v="8000"/>
    <x v="4"/>
    <x v="0"/>
  </r>
  <r>
    <x v="11"/>
    <n v="237908"/>
    <n v="643242"/>
    <s v="P. VAREJO (R3)"/>
    <x v="6"/>
    <x v="16"/>
    <n v="22.93"/>
    <n v="18.344000000000001"/>
    <x v="4"/>
    <x v="0"/>
  </r>
  <r>
    <x v="11"/>
    <n v="237969"/>
    <n v="643473"/>
    <s v="VAREJO NACIONAL CARS"/>
    <x v="11"/>
    <x v="10"/>
    <n v="125000"/>
    <n v="100000"/>
    <x v="4"/>
    <x v="0"/>
  </r>
  <r>
    <x v="11"/>
    <n v="237972"/>
    <n v="643476"/>
    <s v="BRANDED CONTENT"/>
    <x v="12"/>
    <x v="14"/>
    <n v="5000"/>
    <n v="4000"/>
    <x v="0"/>
    <x v="0"/>
  </r>
  <r>
    <x v="11"/>
    <n v="237973"/>
    <n v="643477"/>
    <s v="BRANDED CONTENT"/>
    <x v="12"/>
    <x v="9"/>
    <n v="245000"/>
    <n v="196000"/>
    <x v="0"/>
    <x v="0"/>
  </r>
  <r>
    <x v="11"/>
    <n v="237974"/>
    <n v="643478"/>
    <s v="BRANDED CONTENT"/>
    <x v="12"/>
    <x v="16"/>
    <n v="8056.81"/>
    <n v="6445.4480000000003"/>
    <x v="0"/>
    <x v="0"/>
  </r>
  <r>
    <x v="11"/>
    <n v="237980"/>
    <n v="643484"/>
    <s v="BRANDED CONTENT"/>
    <x v="12"/>
    <x v="17"/>
    <n v="15"/>
    <n v="12"/>
    <x v="0"/>
    <x v="0"/>
  </r>
  <r>
    <x v="11"/>
    <n v="238001"/>
    <n v="643511"/>
    <s v="ALWAYS ON"/>
    <x v="10"/>
    <x v="27"/>
    <n v="131250"/>
    <n v="105000"/>
    <x v="0"/>
    <x v="0"/>
  </r>
  <r>
    <x v="11"/>
    <n v="237746"/>
    <n v="643046"/>
    <s v="PÓS-VENDAS"/>
    <x v="9"/>
    <x v="15"/>
    <n v="51.7"/>
    <n v="41.36"/>
    <x v="0"/>
    <x v="0"/>
  </r>
  <r>
    <x v="11"/>
    <n v="237747"/>
    <n v="643047"/>
    <s v="PÓS-VENDAS"/>
    <x v="9"/>
    <x v="17"/>
    <n v="300"/>
    <n v="240"/>
    <x v="0"/>
    <x v="0"/>
  </r>
  <r>
    <x v="11"/>
    <n v="237835"/>
    <n v="643138"/>
    <s v="VAREJO NACIONAL AMAROK"/>
    <x v="8"/>
    <x v="10"/>
    <n v="100000"/>
    <n v="80000"/>
    <x v="2"/>
    <x v="0"/>
  </r>
  <r>
    <x v="11"/>
    <n v="237874"/>
    <n v="643197"/>
    <s v="ALWAYS ON"/>
    <x v="10"/>
    <x v="26"/>
    <n v="37500"/>
    <n v="30000"/>
    <x v="0"/>
    <x v="0"/>
  </r>
  <r>
    <x v="11"/>
    <n v="237875"/>
    <n v="643198"/>
    <s v="ALWAYS ON"/>
    <x v="10"/>
    <x v="14"/>
    <n v="1675000"/>
    <n v="1340000"/>
    <x v="0"/>
    <x v="0"/>
  </r>
  <r>
    <x v="11"/>
    <n v="237877"/>
    <n v="643200"/>
    <s v="ALWAYS ON"/>
    <x v="10"/>
    <x v="9"/>
    <n v="925000"/>
    <n v="740000"/>
    <x v="0"/>
    <x v="0"/>
  </r>
  <r>
    <x v="11"/>
    <n v="237879"/>
    <n v="643202"/>
    <s v="ALWAYS ON"/>
    <x v="10"/>
    <x v="13"/>
    <n v="681250"/>
    <n v="545000"/>
    <x v="0"/>
    <x v="0"/>
  </r>
  <r>
    <x v="11"/>
    <n v="237880"/>
    <n v="643203"/>
    <s v="ALWAYS ON"/>
    <x v="10"/>
    <x v="6"/>
    <n v="494375"/>
    <n v="395500"/>
    <x v="0"/>
    <x v="0"/>
  </r>
  <r>
    <x v="10"/>
    <n v="237881"/>
    <n v="643205"/>
    <s v="ALWAYS ON"/>
    <x v="10"/>
    <x v="16"/>
    <n v="23884.46"/>
    <n v="19107.567999999999"/>
    <x v="0"/>
    <x v="0"/>
  </r>
  <r>
    <x v="10"/>
    <n v="237882"/>
    <n v="643206"/>
    <s v="ALWAYS ON"/>
    <x v="10"/>
    <x v="15"/>
    <n v="45923.44"/>
    <n v="36738.752"/>
    <x v="0"/>
    <x v="0"/>
  </r>
  <r>
    <x v="10"/>
    <n v="237883"/>
    <n v="643207"/>
    <s v="ALWAYS ON"/>
    <x v="10"/>
    <x v="15"/>
    <n v="24718.75"/>
    <n v="19775"/>
    <x v="0"/>
    <x v="0"/>
  </r>
  <r>
    <x v="10"/>
    <n v="237884"/>
    <n v="643208"/>
    <s v="ALWAYS ON"/>
    <x v="10"/>
    <x v="17"/>
    <n v="5137.5"/>
    <n v="4110"/>
    <x v="0"/>
    <x v="0"/>
  </r>
  <r>
    <x v="10"/>
    <n v="237886"/>
    <n v="643213"/>
    <s v="VAREJO NACIONAL CARS"/>
    <x v="11"/>
    <x v="9"/>
    <n v="218750"/>
    <n v="175000"/>
    <x v="4"/>
    <x v="0"/>
  </r>
  <r>
    <x v="10"/>
    <n v="237889"/>
    <n v="643216"/>
    <s v="VAREJO NACIONAL CARS"/>
    <x v="11"/>
    <x v="6"/>
    <n v="1206420"/>
    <n v="965136"/>
    <x v="4"/>
    <x v="0"/>
  </r>
  <r>
    <x v="10"/>
    <n v="237890"/>
    <n v="643217"/>
    <s v="VAREJO NACIONAL CARS"/>
    <x v="11"/>
    <x v="16"/>
    <n v="42029.43"/>
    <n v="33623.544000000002"/>
    <x v="4"/>
    <x v="0"/>
  </r>
  <r>
    <x v="10"/>
    <n v="237891"/>
    <n v="643218"/>
    <s v="VAREJO NACIONAL CARS"/>
    <x v="11"/>
    <x v="15"/>
    <n v="81795.570000000007"/>
    <n v="65436.455999999998"/>
    <x v="4"/>
    <x v="0"/>
  </r>
  <r>
    <x v="10"/>
    <n v="237892"/>
    <n v="643219"/>
    <s v="VAREJO NACIONAL CARS"/>
    <x v="11"/>
    <x v="15"/>
    <n v="12500"/>
    <n v="10000"/>
    <x v="4"/>
    <x v="0"/>
  </r>
  <r>
    <x v="10"/>
    <n v="237907"/>
    <n v="643241"/>
    <s v="P. VAREJO (R3)"/>
    <x v="6"/>
    <x v="9"/>
    <n v="10000"/>
    <n v="8000"/>
    <x v="4"/>
    <x v="0"/>
  </r>
  <r>
    <x v="10"/>
    <n v="237908"/>
    <n v="643242"/>
    <s v="P. VAREJO (R3)"/>
    <x v="6"/>
    <x v="16"/>
    <n v="22.93"/>
    <n v="18.344000000000001"/>
    <x v="4"/>
    <x v="0"/>
  </r>
  <r>
    <x v="10"/>
    <n v="237969"/>
    <n v="643473"/>
    <s v="VAREJO NACIONAL CARS"/>
    <x v="11"/>
    <x v="10"/>
    <n v="125000"/>
    <n v="100000"/>
    <x v="4"/>
    <x v="0"/>
  </r>
  <r>
    <x v="10"/>
    <n v="237972"/>
    <n v="643476"/>
    <s v="BRANDED CONTENT"/>
    <x v="12"/>
    <x v="14"/>
    <n v="5000"/>
    <n v="4000"/>
    <x v="0"/>
    <x v="0"/>
  </r>
  <r>
    <x v="10"/>
    <n v="237973"/>
    <n v="643477"/>
    <s v="BRANDED CONTENT"/>
    <x v="12"/>
    <x v="9"/>
    <n v="245000"/>
    <n v="196000"/>
    <x v="0"/>
    <x v="0"/>
  </r>
  <r>
    <x v="10"/>
    <n v="237974"/>
    <n v="643478"/>
    <s v="BRANDED CONTENT"/>
    <x v="12"/>
    <x v="16"/>
    <n v="8056.81"/>
    <n v="6445.4480000000003"/>
    <x v="0"/>
    <x v="0"/>
  </r>
  <r>
    <x v="10"/>
    <n v="237980"/>
    <n v="643484"/>
    <s v="BRANDED CONTENT"/>
    <x v="12"/>
    <x v="17"/>
    <n v="15"/>
    <n v="12"/>
    <x v="0"/>
    <x v="0"/>
  </r>
  <r>
    <x v="12"/>
    <n v="238001"/>
    <n v="643511"/>
    <s v="ALWAYS ON"/>
    <x v="10"/>
    <x v="27"/>
    <n v="402943.90327745955"/>
    <n v="322355.12262196769"/>
    <x v="0"/>
    <x v="0"/>
  </r>
  <r>
    <x v="13"/>
    <n v="229491"/>
    <n v="624844"/>
    <s v="VENDAS CORPORATIVAS"/>
    <x v="0"/>
    <x v="0"/>
    <n v="2892.8024237414852"/>
    <n v="2314.2419389931883"/>
    <x v="0"/>
    <x v="0"/>
  </r>
  <r>
    <x v="13"/>
    <n v="232042"/>
    <n v="630473"/>
    <s v="INSTITUCIONAL"/>
    <x v="1"/>
    <x v="1"/>
    <n v="231005.6073033741"/>
    <n v="184804.4858426993"/>
    <x v="0"/>
    <x v="0"/>
  </r>
  <r>
    <x v="13"/>
    <n v="233123"/>
    <n v="632974"/>
    <s v="INSTITUCIONAL"/>
    <x v="2"/>
    <x v="2"/>
    <n v="412321.05177368497"/>
    <n v="329856.84141894802"/>
    <x v="0"/>
    <x v="0"/>
  </r>
  <r>
    <x v="13"/>
    <n v="236414"/>
    <n v="640323"/>
    <s v="T-CROSS"/>
    <x v="3"/>
    <x v="3"/>
    <n v="274038.45488321787"/>
    <n v="219230.76390657431"/>
    <x v="1"/>
    <x v="0"/>
  </r>
  <r>
    <x v="13"/>
    <n v="236882"/>
    <n v="641246"/>
    <s v="INSTITUCIONAL"/>
    <x v="2"/>
    <x v="4"/>
    <n v="1908.3352457247126"/>
    <n v="1526.6681965797702"/>
    <x v="0"/>
    <x v="0"/>
  </r>
  <r>
    <x v="13"/>
    <n v="237146"/>
    <n v="641815"/>
    <s v="AMAROK V6"/>
    <x v="4"/>
    <x v="3"/>
    <n v="176376.77993153938"/>
    <n v="141101.42394523151"/>
    <x v="2"/>
    <x v="0"/>
  </r>
  <r>
    <x v="13"/>
    <n v="237146"/>
    <n v="641816"/>
    <s v="AMAROK V6"/>
    <x v="4"/>
    <x v="3"/>
    <n v="16632.94589110386"/>
    <n v="13306.356712883089"/>
    <x v="2"/>
    <x v="0"/>
  </r>
  <r>
    <x v="13"/>
    <n v="237535"/>
    <n v="642718"/>
    <s v="GOLF"/>
    <x v="5"/>
    <x v="5"/>
    <n v="166114.04681663081"/>
    <n v="132891.23745330467"/>
    <x v="3"/>
    <x v="0"/>
  </r>
  <r>
    <x v="13"/>
    <n v="237537"/>
    <n v="642724"/>
    <s v="GOLF"/>
    <x v="5"/>
    <x v="6"/>
    <n v="62056.682419515178"/>
    <n v="49645.345935612146"/>
    <x v="3"/>
    <x v="0"/>
  </r>
  <r>
    <x v="13"/>
    <n v="237541"/>
    <n v="642728"/>
    <s v="GOLF"/>
    <x v="5"/>
    <x v="7"/>
    <n v="31978.494682575172"/>
    <n v="25582.795746060139"/>
    <x v="3"/>
    <x v="0"/>
  </r>
  <r>
    <x v="13"/>
    <n v="237543"/>
    <n v="642731"/>
    <s v="GOLF"/>
    <x v="5"/>
    <x v="8"/>
    <n v="18991.001291767825"/>
    <n v="15192.80103341426"/>
    <x v="3"/>
    <x v="0"/>
  </r>
  <r>
    <x v="13"/>
    <n v="237546"/>
    <n v="642735"/>
    <s v="GOLF"/>
    <x v="5"/>
    <x v="9"/>
    <n v="192985.93478153084"/>
    <n v="154388.74782522468"/>
    <x v="3"/>
    <x v="0"/>
  </r>
  <r>
    <x v="13"/>
    <n v="237548"/>
    <n v="642741"/>
    <s v="GOLF"/>
    <x v="5"/>
    <x v="10"/>
    <n v="92805.748478868365"/>
    <n v="74244.598783094698"/>
    <x v="3"/>
    <x v="0"/>
  </r>
  <r>
    <x v="13"/>
    <n v="237550"/>
    <n v="642744"/>
    <s v="GOLF"/>
    <x v="5"/>
    <x v="10"/>
    <n v="11453.798262742941"/>
    <n v="9163.0386101943532"/>
    <x v="3"/>
    <x v="0"/>
  </r>
  <r>
    <x v="13"/>
    <n v="237551"/>
    <n v="642745"/>
    <s v="GOLF"/>
    <x v="5"/>
    <x v="6"/>
    <n v="95410.984029362531"/>
    <n v="76328.787223490028"/>
    <x v="3"/>
    <x v="0"/>
  </r>
  <r>
    <x v="13"/>
    <n v="237553"/>
    <n v="642747"/>
    <s v="GOLF"/>
    <x v="5"/>
    <x v="6"/>
    <n v="41083.635977140439"/>
    <n v="32866.908781712351"/>
    <x v="3"/>
    <x v="0"/>
  </r>
  <r>
    <x v="13"/>
    <n v="237555"/>
    <n v="642749"/>
    <s v="GOLF"/>
    <x v="5"/>
    <x v="11"/>
    <n v="49322.147818911639"/>
    <n v="39457.718255129315"/>
    <x v="3"/>
    <x v="0"/>
  </r>
  <r>
    <x v="13"/>
    <n v="237556"/>
    <n v="642751"/>
    <s v="GOLF"/>
    <x v="5"/>
    <x v="12"/>
    <n v="136460.14009454311"/>
    <n v="109168.11207563449"/>
    <x v="3"/>
    <x v="0"/>
  </r>
  <r>
    <x v="13"/>
    <n v="237557"/>
    <n v="642752"/>
    <s v="GOLF"/>
    <x v="5"/>
    <x v="13"/>
    <n v="112807.75724044279"/>
    <n v="90246.205792354245"/>
    <x v="3"/>
    <x v="0"/>
  </r>
  <r>
    <x v="13"/>
    <n v="237558"/>
    <n v="642753"/>
    <s v="GOLF"/>
    <x v="5"/>
    <x v="14"/>
    <n v="20212.781572712935"/>
    <n v="16170.225258170349"/>
    <x v="3"/>
    <x v="0"/>
  </r>
  <r>
    <x v="13"/>
    <n v="237559"/>
    <n v="642754"/>
    <s v="GOLF"/>
    <x v="5"/>
    <x v="15"/>
    <n v="94212.992681510776"/>
    <n v="75370.394145208629"/>
    <x v="3"/>
    <x v="0"/>
  </r>
  <r>
    <x v="13"/>
    <n v="237560"/>
    <n v="642755"/>
    <s v="GOLF"/>
    <x v="5"/>
    <x v="16"/>
    <n v="7042.344900597509"/>
    <n v="5633.8759204780072"/>
    <x v="3"/>
    <x v="0"/>
  </r>
  <r>
    <x v="13"/>
    <n v="237562"/>
    <n v="642757"/>
    <s v="GOLF"/>
    <x v="5"/>
    <x v="17"/>
    <n v="87.780777823886666"/>
    <n v="70.224622259109339"/>
    <x v="3"/>
    <x v="0"/>
  </r>
  <r>
    <x v="13"/>
    <n v="237606"/>
    <n v="642818"/>
    <s v="P. VAREJO (R5)"/>
    <x v="6"/>
    <x v="18"/>
    <n v="19247.471634417867"/>
    <n v="15397.977307534295"/>
    <x v="4"/>
    <x v="0"/>
  </r>
  <r>
    <x v="13"/>
    <n v="237660"/>
    <n v="642920"/>
    <s v="T-CROSS"/>
    <x v="3"/>
    <x v="19"/>
    <n v="127492.99660469449"/>
    <n v="101994.39728375559"/>
    <x v="1"/>
    <x v="0"/>
  </r>
  <r>
    <x v="13"/>
    <n v="237663"/>
    <n v="642934"/>
    <s v="VENDAS CORPORATIVAS"/>
    <x v="0"/>
    <x v="20"/>
    <n v="100676.22353790802"/>
    <n v="80540.978830326421"/>
    <x v="0"/>
    <x v="0"/>
  </r>
  <r>
    <x v="13"/>
    <n v="237682"/>
    <n v="642961"/>
    <s v="AMAROK"/>
    <x v="7"/>
    <x v="9"/>
    <n v="321925.26648604526"/>
    <n v="257540.21318883623"/>
    <x v="2"/>
    <x v="0"/>
  </r>
  <r>
    <x v="13"/>
    <n v="237683"/>
    <n v="642962"/>
    <s v="AMAROK"/>
    <x v="7"/>
    <x v="6"/>
    <n v="232994.61019962066"/>
    <n v="186395.68815969652"/>
    <x v="2"/>
    <x v="0"/>
  </r>
  <r>
    <x v="13"/>
    <n v="237684"/>
    <n v="642963"/>
    <s v="AMAROK"/>
    <x v="7"/>
    <x v="5"/>
    <n v="608111.87621595198"/>
    <n v="486489.5009727616"/>
    <x v="2"/>
    <x v="0"/>
  </r>
  <r>
    <x v="13"/>
    <n v="237685"/>
    <n v="642964"/>
    <s v="AMAROK"/>
    <x v="7"/>
    <x v="16"/>
    <n v="19803.374696442705"/>
    <n v="15842.699757154165"/>
    <x v="2"/>
    <x v="0"/>
  </r>
  <r>
    <x v="13"/>
    <n v="237686"/>
    <n v="642965"/>
    <s v="AMAROK"/>
    <x v="7"/>
    <x v="15"/>
    <n v="12108.778539941977"/>
    <n v="9687.0228319535818"/>
    <x v="2"/>
    <x v="0"/>
  </r>
  <r>
    <x v="13"/>
    <n v="237687"/>
    <n v="642966"/>
    <s v="VAREJO NACIONAL AMAROK"/>
    <x v="8"/>
    <x v="6"/>
    <n v="515178.47577374015"/>
    <n v="412142.78061899217"/>
    <x v="2"/>
    <x v="0"/>
  </r>
  <r>
    <x v="13"/>
    <n v="237688"/>
    <n v="642967"/>
    <s v="VAREJO NACIONAL AMAROK"/>
    <x v="8"/>
    <x v="9"/>
    <n v="5436022.8791811951"/>
    <n v="4348818.3033449566"/>
    <x v="2"/>
    <x v="0"/>
  </r>
  <r>
    <x v="13"/>
    <n v="237689"/>
    <n v="642968"/>
    <s v="VAREJO NACIONAL AMAROK"/>
    <x v="8"/>
    <x v="13"/>
    <n v="111280.71259094476"/>
    <n v="89024.570072755814"/>
    <x v="2"/>
    <x v="0"/>
  </r>
  <r>
    <x v="13"/>
    <n v="237690"/>
    <n v="642969"/>
    <s v="VAREJO NACIONAL AMAROK"/>
    <x v="8"/>
    <x v="21"/>
    <n v="163527.90839309641"/>
    <n v="130822.32671447714"/>
    <x v="2"/>
    <x v="0"/>
  </r>
  <r>
    <x v="13"/>
    <n v="237691"/>
    <n v="642970"/>
    <s v="VAREJO NACIONAL AMAROK"/>
    <x v="8"/>
    <x v="16"/>
    <n v="53826.552485956243"/>
    <n v="43061.241988764996"/>
    <x v="2"/>
    <x v="0"/>
  </r>
  <r>
    <x v="13"/>
    <n v="237692"/>
    <n v="642971"/>
    <s v="VAREJO NACIONAL AMAROK"/>
    <x v="8"/>
    <x v="15"/>
    <n v="206907.08518883464"/>
    <n v="165525.66815106772"/>
    <x v="2"/>
    <x v="0"/>
  </r>
  <r>
    <x v="13"/>
    <n v="237698"/>
    <n v="642980"/>
    <s v="INSTITUCIONAL"/>
    <x v="2"/>
    <x v="22"/>
    <n v="16453.496712473425"/>
    <n v="13162.79736997874"/>
    <x v="0"/>
    <x v="0"/>
  </r>
  <r>
    <x v="13"/>
    <n v="237700"/>
    <n v="642982"/>
    <s v="INSTITUCIONAL"/>
    <x v="2"/>
    <x v="23"/>
    <n v="26531.930600881908"/>
    <n v="21225.544480705528"/>
    <x v="0"/>
    <x v="0"/>
  </r>
  <r>
    <x v="13"/>
    <n v="237701"/>
    <n v="642983"/>
    <s v="INSTITUCIONAL"/>
    <x v="2"/>
    <x v="24"/>
    <n v="8664.5536208920075"/>
    <n v="6931.6428967136062"/>
    <x v="0"/>
    <x v="0"/>
  </r>
  <r>
    <x v="14"/>
    <n v="237729"/>
    <n v="643022"/>
    <s v="VENDAS CORPORATIVAS"/>
    <x v="0"/>
    <x v="14"/>
    <n v="114442.33904053073"/>
    <n v="91553.871232424586"/>
    <x v="0"/>
    <x v="0"/>
  </r>
  <r>
    <x v="14"/>
    <n v="237731"/>
    <n v="643024"/>
    <s v="VENDAS CORPORATIVAS"/>
    <x v="0"/>
    <x v="9"/>
    <n v="82954.303800541704"/>
    <n v="66363.443040433369"/>
    <x v="0"/>
    <x v="0"/>
  </r>
  <r>
    <x v="14"/>
    <n v="237735"/>
    <n v="643031"/>
    <s v="VENDAS CORPORATIVAS"/>
    <x v="0"/>
    <x v="16"/>
    <n v="990.10202966379188"/>
    <n v="792.08162373103357"/>
    <x v="0"/>
    <x v="0"/>
  </r>
  <r>
    <x v="14"/>
    <n v="237736"/>
    <n v="643033"/>
    <s v="PÓS-VENDAS"/>
    <x v="9"/>
    <x v="14"/>
    <n v="106074.26391062472"/>
    <n v="84859.411128499778"/>
    <x v="0"/>
    <x v="0"/>
  </r>
  <r>
    <x v="14"/>
    <n v="237738"/>
    <n v="643039"/>
    <s v="PÓS-VENDAS"/>
    <x v="9"/>
    <x v="25"/>
    <n v="181745.53715829682"/>
    <n v="145396.42972663746"/>
    <x v="0"/>
    <x v="0"/>
  </r>
  <r>
    <x v="14"/>
    <n v="237739"/>
    <n v="643035"/>
    <s v="PÓS-VENDAS"/>
    <x v="9"/>
    <x v="6"/>
    <n v="102161708.90234303"/>
    <n v="81729367.121874437"/>
    <x v="0"/>
    <x v="0"/>
  </r>
  <r>
    <x v="14"/>
    <n v="237743"/>
    <n v="643042"/>
    <s v="PÓS-VENDAS"/>
    <x v="9"/>
    <x v="16"/>
    <n v="312.41612190935865"/>
    <n v="249.93289752748694"/>
    <x v="0"/>
    <x v="0"/>
  </r>
  <r>
    <x v="14"/>
    <n v="237744"/>
    <n v="643043"/>
    <s v="PÓS-VENDAS"/>
    <x v="9"/>
    <x v="15"/>
    <n v="3246.4534015984455"/>
    <n v="2597.1627212787566"/>
    <x v="0"/>
    <x v="0"/>
  </r>
  <r>
    <x v="14"/>
    <n v="237745"/>
    <n v="643045"/>
    <s v="PÓS-VENDAS"/>
    <x v="9"/>
    <x v="9"/>
    <n v="464465.9718737427"/>
    <n v="371572.7774989942"/>
    <x v="0"/>
    <x v="0"/>
  </r>
  <r>
    <x v="14"/>
    <n v="237746"/>
    <n v="643046"/>
    <s v="PÓS-VENDAS"/>
    <x v="9"/>
    <x v="15"/>
    <n v="144.16215077621862"/>
    <n v="115.32972062097491"/>
    <x v="0"/>
    <x v="0"/>
  </r>
  <r>
    <x v="14"/>
    <n v="237747"/>
    <n v="643047"/>
    <s v="PÓS-VENDAS"/>
    <x v="9"/>
    <x v="17"/>
    <n v="313.77030393800197"/>
    <n v="251.01624315040158"/>
    <x v="0"/>
    <x v="0"/>
  </r>
  <r>
    <x v="14"/>
    <n v="237835"/>
    <n v="643138"/>
    <s v="VAREJO NACIONAL AMAROK"/>
    <x v="8"/>
    <x v="10"/>
    <n v="163804.26319766603"/>
    <n v="131043.41055813283"/>
    <x v="2"/>
    <x v="0"/>
  </r>
  <r>
    <x v="14"/>
    <n v="237874"/>
    <n v="643197"/>
    <s v="ALWAYS ON"/>
    <x v="10"/>
    <x v="26"/>
    <n v="135994.91156595066"/>
    <n v="108795.92925276054"/>
    <x v="0"/>
    <x v="0"/>
  </r>
  <r>
    <x v="14"/>
    <n v="237875"/>
    <n v="643198"/>
    <s v="ALWAYS ON"/>
    <x v="10"/>
    <x v="14"/>
    <n v="6482506.74359506"/>
    <n v="5186005.394876048"/>
    <x v="0"/>
    <x v="0"/>
  </r>
  <r>
    <x v="14"/>
    <n v="237877"/>
    <n v="643200"/>
    <s v="ALWAYS ON"/>
    <x v="10"/>
    <x v="9"/>
    <n v="2035567.9078917145"/>
    <n v="1628454.3263133718"/>
    <x v="0"/>
    <x v="0"/>
  </r>
  <r>
    <x v="14"/>
    <n v="237879"/>
    <n v="643202"/>
    <s v="ALWAYS ON"/>
    <x v="10"/>
    <x v="13"/>
    <n v="942878.96112505463"/>
    <n v="754303.1689000437"/>
    <x v="0"/>
    <x v="0"/>
  </r>
  <r>
    <x v="14"/>
    <n v="237880"/>
    <n v="643203"/>
    <s v="ALWAYS ON"/>
    <x v="10"/>
    <x v="6"/>
    <n v="13445224.530395139"/>
    <n v="10756179.624316111"/>
    <x v="0"/>
    <x v="0"/>
  </r>
  <r>
    <x v="14"/>
    <n v="237881"/>
    <n v="643205"/>
    <s v="ALWAYS ON"/>
    <x v="10"/>
    <x v="16"/>
    <n v="28510.687349686839"/>
    <n v="22808.549879749473"/>
    <x v="0"/>
    <x v="0"/>
  </r>
  <r>
    <x v="14"/>
    <n v="237882"/>
    <n v="643206"/>
    <s v="ALWAYS ON"/>
    <x v="10"/>
    <x v="15"/>
    <n v="251874.57937371117"/>
    <n v="201499.66349896893"/>
    <x v="0"/>
    <x v="0"/>
  </r>
  <r>
    <x v="14"/>
    <n v="237883"/>
    <n v="643207"/>
    <s v="ALWAYS ON"/>
    <x v="10"/>
    <x v="15"/>
    <n v="445725.39320512139"/>
    <n v="356580.31456409715"/>
    <x v="0"/>
    <x v="0"/>
  </r>
  <r>
    <x v="14"/>
    <n v="237884"/>
    <n v="643208"/>
    <s v="ALWAYS ON"/>
    <x v="10"/>
    <x v="17"/>
    <n v="12233.938377570799"/>
    <n v="9787.1507020566405"/>
    <x v="0"/>
    <x v="0"/>
  </r>
  <r>
    <x v="14"/>
    <n v="237886"/>
    <n v="643213"/>
    <s v="VAREJO NACIONAL CARS"/>
    <x v="11"/>
    <x v="9"/>
    <n v="362742.83486653067"/>
    <n v="290194.26789322455"/>
    <x v="4"/>
    <x v="0"/>
  </r>
  <r>
    <x v="14"/>
    <n v="237889"/>
    <n v="643216"/>
    <s v="VAREJO NACIONAL CARS"/>
    <x v="11"/>
    <x v="6"/>
    <n v="11731883.471539514"/>
    <n v="9385506.7772316113"/>
    <x v="4"/>
    <x v="0"/>
  </r>
  <r>
    <x v="14"/>
    <n v="237890"/>
    <n v="643217"/>
    <s v="VAREJO NACIONAL CARS"/>
    <x v="11"/>
    <x v="16"/>
    <n v="214958.11050431465"/>
    <n v="171966.48840345175"/>
    <x v="4"/>
    <x v="0"/>
  </r>
  <r>
    <x v="14"/>
    <n v="237891"/>
    <n v="643218"/>
    <s v="VAREJO NACIONAL CARS"/>
    <x v="11"/>
    <x v="15"/>
    <n v="2374662.2837064564"/>
    <n v="1899729.8269651653"/>
    <x v="4"/>
    <x v="0"/>
  </r>
  <r>
    <x v="14"/>
    <n v="237892"/>
    <n v="643219"/>
    <s v="VAREJO NACIONAL CARS"/>
    <x v="11"/>
    <x v="15"/>
    <n v="19942.509610878315"/>
    <n v="15954.007688702652"/>
    <x v="4"/>
    <x v="0"/>
  </r>
  <r>
    <x v="14"/>
    <n v="237907"/>
    <n v="643241"/>
    <s v="P. VAREJO (R3)"/>
    <x v="6"/>
    <x v="9"/>
    <n v="13144.617719564885"/>
    <n v="10515.694175651908"/>
    <x v="4"/>
    <x v="0"/>
  </r>
  <r>
    <x v="14"/>
    <n v="237908"/>
    <n v="643242"/>
    <s v="P. VAREJO (R3)"/>
    <x v="6"/>
    <x v="16"/>
    <n v="918.96974460526542"/>
    <n v="735.1757956842124"/>
    <x v="4"/>
    <x v="0"/>
  </r>
  <r>
    <x v="14"/>
    <n v="237969"/>
    <n v="643473"/>
    <s v="VAREJO NACIONAL CARS"/>
    <x v="11"/>
    <x v="10"/>
    <n v="519092.85633770452"/>
    <n v="415274.28507016366"/>
    <x v="4"/>
    <x v="0"/>
  </r>
  <r>
    <x v="14"/>
    <n v="237972"/>
    <n v="643476"/>
    <s v="BRANDED CONTENT"/>
    <x v="12"/>
    <x v="14"/>
    <n v="7022.3697341807638"/>
    <n v="5617.8957873446116"/>
    <x v="0"/>
    <x v="0"/>
  </r>
  <r>
    <x v="14"/>
    <n v="237973"/>
    <n v="643477"/>
    <s v="BRANDED CONTENT"/>
    <x v="12"/>
    <x v="9"/>
    <n v="668246.47418799123"/>
    <n v="534597.17935039301"/>
    <x v="0"/>
    <x v="0"/>
  </r>
  <r>
    <x v="14"/>
    <n v="237974"/>
    <n v="643478"/>
    <s v="BRANDED CONTENT"/>
    <x v="12"/>
    <x v="16"/>
    <n v="8891.6203722366899"/>
    <n v="7113.2962977893521"/>
    <x v="0"/>
    <x v="0"/>
  </r>
  <r>
    <x v="14"/>
    <n v="237980"/>
    <n v="643484"/>
    <s v="BRANDED CONTENT"/>
    <x v="12"/>
    <x v="17"/>
    <n v="45.049938725891053"/>
    <n v="36.039950980712845"/>
    <x v="0"/>
    <x v="0"/>
  </r>
  <r>
    <x v="15"/>
    <n v="238001"/>
    <n v="643511"/>
    <s v="ALWAYS ON"/>
    <x v="10"/>
    <x v="27"/>
    <n v="424452.74155871337"/>
    <n v="339562.19324697071"/>
    <x v="0"/>
    <x v="0"/>
  </r>
  <r>
    <x v="15"/>
    <n v="237736"/>
    <n v="643033"/>
    <s v="PÓS-VENDAS"/>
    <x v="9"/>
    <x v="14"/>
    <n v="138585.25153159475"/>
    <n v="110868.20122527581"/>
    <x v="0"/>
    <x v="0"/>
  </r>
  <r>
    <x v="15"/>
    <n v="237738"/>
    <n v="643039"/>
    <s v="PÓS-VENDAS"/>
    <x v="9"/>
    <x v="25"/>
    <n v="147144.49467129062"/>
    <n v="117715.5957370325"/>
    <x v="0"/>
    <x v="0"/>
  </r>
  <r>
    <x v="15"/>
    <n v="237739"/>
    <n v="643035"/>
    <s v="PÓS-VENDAS"/>
    <x v="9"/>
    <x v="6"/>
    <n v="220026.56604691883"/>
    <n v="176021.25283753508"/>
    <x v="0"/>
    <x v="0"/>
  </r>
  <r>
    <x v="15"/>
    <n v="237743"/>
    <n v="643042"/>
    <s v="PÓS-VENDAS"/>
    <x v="9"/>
    <x v="16"/>
    <n v="182.95497931747533"/>
    <n v="146.36398345398027"/>
    <x v="0"/>
    <x v="0"/>
  </r>
  <r>
    <x v="15"/>
    <n v="237744"/>
    <n v="643043"/>
    <s v="PÓS-VENDAS"/>
    <x v="9"/>
    <x v="15"/>
    <n v="2792.897077249801"/>
    <n v="2234.3176617998411"/>
    <x v="0"/>
    <x v="0"/>
  </r>
  <r>
    <x v="15"/>
    <n v="237745"/>
    <n v="643045"/>
    <s v="PÓS-VENDAS"/>
    <x v="9"/>
    <x v="9"/>
    <n v="90192.321271980894"/>
    <n v="72153.857017584713"/>
    <x v="0"/>
    <x v="0"/>
  </r>
  <r>
    <x v="15"/>
    <n v="237746"/>
    <n v="643046"/>
    <s v="PÓS-VENDAS"/>
    <x v="9"/>
    <x v="15"/>
    <n v="152.93369409312439"/>
    <n v="122.34695527449952"/>
    <x v="0"/>
    <x v="0"/>
  </r>
  <r>
    <x v="15"/>
    <n v="237747"/>
    <n v="643047"/>
    <s v="PÓS-VENDAS"/>
    <x v="9"/>
    <x v="17"/>
    <n v="813.33948956763834"/>
    <n v="650.67159165411067"/>
    <x v="0"/>
    <x v="0"/>
  </r>
  <r>
    <x v="15"/>
    <n v="237835"/>
    <n v="643138"/>
    <s v="VAREJO NACIONAL AMAROK"/>
    <x v="8"/>
    <x v="10"/>
    <n v="576748.20854345488"/>
    <n v="461398.56683476391"/>
    <x v="2"/>
    <x v="0"/>
  </r>
  <r>
    <x v="15"/>
    <n v="237874"/>
    <n v="643197"/>
    <s v="ALWAYS ON"/>
    <x v="10"/>
    <x v="26"/>
    <n v="38443.404601950853"/>
    <n v="30754.723681560685"/>
    <x v="0"/>
    <x v="0"/>
  </r>
  <r>
    <x v="15"/>
    <n v="237875"/>
    <n v="643198"/>
    <s v="ALWAYS ON"/>
    <x v="10"/>
    <x v="14"/>
    <n v="2466789.2377702924"/>
    <n v="1973431.3902162341"/>
    <x v="0"/>
    <x v="0"/>
  </r>
  <r>
    <x v="15"/>
    <n v="237877"/>
    <n v="643200"/>
    <s v="ALWAYS ON"/>
    <x v="10"/>
    <x v="9"/>
    <n v="1478482.8566696169"/>
    <n v="1182786.2853356935"/>
    <x v="0"/>
    <x v="0"/>
  </r>
  <r>
    <x v="15"/>
    <n v="237879"/>
    <n v="643202"/>
    <s v="ALWAYS ON"/>
    <x v="10"/>
    <x v="13"/>
    <n v="708947.87789843639"/>
    <n v="567158.30231874913"/>
    <x v="0"/>
    <x v="0"/>
  </r>
  <r>
    <x v="15"/>
    <n v="237880"/>
    <n v="643203"/>
    <s v="ALWAYS ON"/>
    <x v="10"/>
    <x v="6"/>
    <n v="1325170.9363832017"/>
    <n v="1060136.7491065615"/>
    <x v="0"/>
    <x v="0"/>
  </r>
  <r>
    <x v="15"/>
    <n v="237881"/>
    <n v="643205"/>
    <s v="ALWAYS ON"/>
    <x v="10"/>
    <x v="16"/>
    <n v="796641.80208668252"/>
    <n v="637313.44166934607"/>
    <x v="0"/>
    <x v="0"/>
  </r>
  <r>
    <x v="15"/>
    <n v="237882"/>
    <n v="643206"/>
    <s v="ALWAYS ON"/>
    <x v="10"/>
    <x v="15"/>
    <n v="104883.66227013103"/>
    <n v="83906.929816104821"/>
    <x v="0"/>
    <x v="0"/>
  </r>
  <r>
    <x v="15"/>
    <n v="237883"/>
    <n v="643207"/>
    <s v="ALWAYS ON"/>
    <x v="10"/>
    <x v="15"/>
    <n v="79981.960450026978"/>
    <n v="63985.568360021585"/>
    <x v="0"/>
    <x v="0"/>
  </r>
  <r>
    <x v="15"/>
    <n v="237884"/>
    <n v="643208"/>
    <s v="ALWAYS ON"/>
    <x v="10"/>
    <x v="17"/>
    <n v="10348.15161612167"/>
    <n v="8278.521292897336"/>
    <x v="0"/>
    <x v="0"/>
  </r>
  <r>
    <x v="15"/>
    <n v="237886"/>
    <n v="643213"/>
    <s v="VAREJO NACIONAL CARS"/>
    <x v="11"/>
    <x v="9"/>
    <n v="604221.09655027383"/>
    <n v="483376.8772402191"/>
    <x v="4"/>
    <x v="0"/>
  </r>
  <r>
    <x v="16"/>
    <n v="237889"/>
    <n v="643216"/>
    <s v="VAREJO NACIONAL CARS"/>
    <x v="11"/>
    <x v="6"/>
    <n v="3163669.2789308256"/>
    <n v="2530935.4231446609"/>
    <x v="4"/>
    <x v="0"/>
  </r>
  <r>
    <x v="16"/>
    <n v="237890"/>
    <n v="643217"/>
    <s v="VAREJO NACIONAL CARS"/>
    <x v="11"/>
    <x v="16"/>
    <n v="63603.703571445723"/>
    <n v="50882.962857156585"/>
    <x v="4"/>
    <x v="0"/>
  </r>
  <r>
    <x v="16"/>
    <n v="237891"/>
    <n v="643218"/>
    <s v="VAREJO NACIONAL CARS"/>
    <x v="11"/>
    <x v="15"/>
    <n v="119572.84502700869"/>
    <n v="95658.276021606958"/>
    <x v="4"/>
    <x v="0"/>
  </r>
  <r>
    <x v="16"/>
    <n v="237892"/>
    <n v="643219"/>
    <s v="VAREJO NACIONAL CARS"/>
    <x v="11"/>
    <x v="15"/>
    <n v="13698.23290086726"/>
    <n v="10958.586320693808"/>
    <x v="4"/>
    <x v="0"/>
  </r>
  <r>
    <x v="16"/>
    <n v="237907"/>
    <n v="643241"/>
    <s v="P. VAREJO (R3)"/>
    <x v="6"/>
    <x v="9"/>
    <n v="29530.166045426176"/>
    <n v="23624.132836340941"/>
    <x v="4"/>
    <x v="0"/>
  </r>
  <r>
    <x v="16"/>
    <n v="237908"/>
    <n v="643242"/>
    <s v="P. VAREJO (R3)"/>
    <x v="6"/>
    <x v="16"/>
    <n v="34.614447612281452"/>
    <n v="27.691558089825165"/>
    <x v="4"/>
    <x v="0"/>
  </r>
  <r>
    <x v="16"/>
    <n v="237969"/>
    <n v="643473"/>
    <s v="VAREJO NACIONAL CARS"/>
    <x v="11"/>
    <x v="10"/>
    <n v="315050.18842920545"/>
    <n v="252040.15074336436"/>
    <x v="4"/>
    <x v="0"/>
  </r>
  <r>
    <x v="16"/>
    <n v="237972"/>
    <n v="643476"/>
    <s v="BRANDED CONTENT"/>
    <x v="12"/>
    <x v="14"/>
    <n v="21510.118585024047"/>
    <n v="17208.094868019238"/>
    <x v="0"/>
    <x v="0"/>
  </r>
  <r>
    <x v="16"/>
    <n v="237973"/>
    <n v="643477"/>
    <s v="BRANDED CONTENT"/>
    <x v="12"/>
    <x v="9"/>
    <n v="305931.45383134676"/>
    <n v="244745.16306507742"/>
    <x v="0"/>
    <x v="0"/>
  </r>
  <r>
    <x v="16"/>
    <n v="237974"/>
    <n v="643478"/>
    <s v="BRANDED CONTENT"/>
    <x v="12"/>
    <x v="16"/>
    <n v="8113.5671024324738"/>
    <n v="6490.8536819459796"/>
    <x v="0"/>
    <x v="0"/>
  </r>
  <r>
    <x v="16"/>
    <n v="237980"/>
    <n v="643484"/>
    <s v="BRANDED CONTENT"/>
    <x v="12"/>
    <x v="17"/>
    <n v="39.140868902416123"/>
    <n v="31.312695121932901"/>
    <x v="0"/>
    <x v="0"/>
  </r>
  <r>
    <x v="16"/>
    <n v="238001"/>
    <n v="643511"/>
    <s v="ALWAYS ON"/>
    <x v="10"/>
    <x v="27"/>
    <n v="199531.7763570082"/>
    <n v="159625.42108560656"/>
    <x v="0"/>
    <x v="0"/>
  </r>
  <r>
    <x v="16"/>
    <n v="237886"/>
    <n v="643213"/>
    <s v="VAREJO NACIONAL CARS"/>
    <x v="11"/>
    <x v="9"/>
    <n v="327786.42759446474"/>
    <n v="262229.14207557181"/>
    <x v="4"/>
    <x v="0"/>
  </r>
  <r>
    <x v="16"/>
    <n v="237889"/>
    <n v="643216"/>
    <s v="VAREJO NACIONAL CARS"/>
    <x v="11"/>
    <x v="6"/>
    <n v="1414576.8006386256"/>
    <n v="1131661.4405109005"/>
    <x v="4"/>
    <x v="0"/>
  </r>
  <r>
    <x v="16"/>
    <n v="237890"/>
    <n v="643217"/>
    <s v="VAREJO NACIONAL CARS"/>
    <x v="11"/>
    <x v="16"/>
    <n v="209488.6890660983"/>
    <n v="167590.95125287864"/>
    <x v="4"/>
    <x v="0"/>
  </r>
  <r>
    <x v="16"/>
    <n v="237891"/>
    <n v="643218"/>
    <s v="VAREJO NACIONAL CARS"/>
    <x v="11"/>
    <x v="15"/>
    <n v="87298.502862165289"/>
    <n v="69838.802289732237"/>
    <x v="4"/>
    <x v="0"/>
  </r>
  <r>
    <x v="16"/>
    <n v="237892"/>
    <n v="643219"/>
    <s v="VAREJO NACIONAL CARS"/>
    <x v="11"/>
    <x v="15"/>
    <n v="25023.432068524733"/>
    <n v="20018.745654819788"/>
    <x v="4"/>
    <x v="0"/>
  </r>
  <r>
    <x v="16"/>
    <n v="237907"/>
    <n v="643241"/>
    <s v="P. VAREJO (R3)"/>
    <x v="6"/>
    <x v="9"/>
    <n v="22925.431229965514"/>
    <n v="18340.344983972413"/>
    <x v="4"/>
    <x v="0"/>
  </r>
  <r>
    <x v="16"/>
    <n v="237908"/>
    <n v="643242"/>
    <s v="P. VAREJO (R3)"/>
    <x v="6"/>
    <x v="16"/>
    <n v="23.434095286276122"/>
    <n v="18.747276229020898"/>
    <x v="4"/>
    <x v="0"/>
  </r>
  <r>
    <x v="16"/>
    <n v="237969"/>
    <n v="643473"/>
    <s v="VAREJO NACIONAL CARS"/>
    <x v="11"/>
    <x v="10"/>
    <n v="168353.85902594653"/>
    <n v="134683.08722075724"/>
    <x v="4"/>
    <x v="0"/>
  </r>
  <r>
    <x v="16"/>
    <n v="237972"/>
    <n v="643476"/>
    <s v="BRANDED CONTENT"/>
    <x v="12"/>
    <x v="14"/>
    <n v="7754.9999062877623"/>
    <n v="6203.9999250302099"/>
    <x v="0"/>
    <x v="0"/>
  </r>
  <r>
    <x v="16"/>
    <n v="237973"/>
    <n v="643477"/>
    <s v="BRANDED CONTENT"/>
    <x v="12"/>
    <x v="9"/>
    <n v="254689.41792394489"/>
    <n v="203751.53433915591"/>
    <x v="0"/>
    <x v="0"/>
  </r>
  <r>
    <x v="16"/>
    <n v="237974"/>
    <n v="643478"/>
    <s v="BRANDED CONTENT"/>
    <x v="12"/>
    <x v="16"/>
    <n v="41073.325253286566"/>
    <n v="32858.660202629253"/>
    <x v="0"/>
    <x v="0"/>
  </r>
  <r>
    <x v="16"/>
    <n v="237980"/>
    <n v="643484"/>
    <s v="BRANDED CONTENT"/>
    <x v="12"/>
    <x v="17"/>
    <n v="73.918586547337341"/>
    <n v="59.134869237869879"/>
    <x v="0"/>
    <x v="0"/>
  </r>
  <r>
    <x v="16"/>
    <n v="238001"/>
    <n v="643511"/>
    <s v="ALWAYS ON"/>
    <x v="10"/>
    <x v="27"/>
    <n v="228462.23380612556"/>
    <n v="182769.78704490047"/>
    <x v="0"/>
    <x v="0"/>
  </r>
  <r>
    <x v="16"/>
    <n v="237736"/>
    <n v="643033"/>
    <s v="PÓS-VENDAS"/>
    <x v="9"/>
    <x v="14"/>
    <n v="339528.15612510033"/>
    <n v="271622.52490008029"/>
    <x v="0"/>
    <x v="0"/>
  </r>
  <r>
    <x v="16"/>
    <n v="237738"/>
    <n v="643039"/>
    <s v="PÓS-VENDAS"/>
    <x v="9"/>
    <x v="25"/>
    <n v="133778.86526118056"/>
    <n v="107023.09220894445"/>
    <x v="0"/>
    <x v="0"/>
  </r>
  <r>
    <x v="16"/>
    <n v="237739"/>
    <n v="643035"/>
    <s v="PÓS-VENDAS"/>
    <x v="9"/>
    <x v="6"/>
    <n v="107937.45051157575"/>
    <n v="86349.960409260602"/>
    <x v="0"/>
    <x v="0"/>
  </r>
  <r>
    <x v="16"/>
    <n v="237743"/>
    <n v="643042"/>
    <s v="PÓS-VENDAS"/>
    <x v="9"/>
    <x v="16"/>
    <n v="435.70029631520396"/>
    <n v="348.56023705216319"/>
    <x v="0"/>
    <x v="0"/>
  </r>
  <r>
    <x v="16"/>
    <n v="237744"/>
    <n v="643043"/>
    <s v="PÓS-VENDAS"/>
    <x v="9"/>
    <x v="15"/>
    <n v="9107.6634193670361"/>
    <n v="7286.1307354936289"/>
    <x v="0"/>
    <x v="0"/>
  </r>
  <r>
    <x v="16"/>
    <n v="237745"/>
    <n v="643045"/>
    <s v="PÓS-VENDAS"/>
    <x v="9"/>
    <x v="9"/>
    <n v="72059.077909441417"/>
    <n v="57647.262327553137"/>
    <x v="0"/>
    <x v="0"/>
  </r>
  <r>
    <x v="16"/>
    <n v="237746"/>
    <n v="643046"/>
    <s v="PÓS-VENDAS"/>
    <x v="9"/>
    <x v="15"/>
    <n v="209.2540678555238"/>
    <n v="167.40325428441906"/>
    <x v="0"/>
    <x v="0"/>
  </r>
  <r>
    <x v="16"/>
    <n v="237747"/>
    <n v="643047"/>
    <s v="PÓS-VENDAS"/>
    <x v="9"/>
    <x v="17"/>
    <n v="1637.3863313619752"/>
    <n v="1309.9090650895803"/>
    <x v="0"/>
    <x v="0"/>
  </r>
  <r>
    <x v="16"/>
    <n v="237835"/>
    <n v="643138"/>
    <s v="VAREJO NACIONAL AMAROK"/>
    <x v="8"/>
    <x v="10"/>
    <n v="459571.828455346"/>
    <n v="367657.46276427683"/>
    <x v="2"/>
    <x v="0"/>
  </r>
  <r>
    <x v="16"/>
    <n v="237874"/>
    <n v="643197"/>
    <s v="ALWAYS ON"/>
    <x v="10"/>
    <x v="26"/>
    <n v="52333.893702197813"/>
    <n v="41867.114961758256"/>
    <x v="0"/>
    <x v="0"/>
  </r>
  <r>
    <x v="16"/>
    <n v="237875"/>
    <n v="643198"/>
    <s v="ALWAYS ON"/>
    <x v="10"/>
    <x v="14"/>
    <n v="3190400.4224024052"/>
    <n v="2552320.3379219244"/>
    <x v="0"/>
    <x v="0"/>
  </r>
  <r>
    <x v="16"/>
    <n v="237877"/>
    <n v="643200"/>
    <s v="ALWAYS ON"/>
    <x v="10"/>
    <x v="9"/>
    <n v="984323.41217893688"/>
    <n v="787458.7297431496"/>
    <x v="0"/>
    <x v="0"/>
  </r>
  <r>
    <x v="16"/>
    <n v="237879"/>
    <n v="643202"/>
    <s v="ALWAYS ON"/>
    <x v="10"/>
    <x v="13"/>
    <n v="746810.94225285586"/>
    <n v="597448.75380228471"/>
    <x v="0"/>
    <x v="0"/>
  </r>
  <r>
    <x v="16"/>
    <n v="237880"/>
    <n v="643203"/>
    <s v="ALWAYS ON"/>
    <x v="10"/>
    <x v="6"/>
    <n v="1242978.3241403524"/>
    <n v="994382.65931228199"/>
    <x v="0"/>
    <x v="0"/>
  </r>
  <r>
    <x v="16"/>
    <n v="237881"/>
    <n v="643205"/>
    <s v="ALWAYS ON"/>
    <x v="10"/>
    <x v="16"/>
    <n v="41080.24724601378"/>
    <n v="32864.197796811022"/>
    <x v="0"/>
    <x v="0"/>
  </r>
  <r>
    <x v="16"/>
    <n v="237882"/>
    <n v="643206"/>
    <s v="ALWAYS ON"/>
    <x v="10"/>
    <x v="15"/>
    <n v="47755.301576873346"/>
    <n v="38204.241261498675"/>
    <x v="0"/>
    <x v="0"/>
  </r>
  <r>
    <x v="16"/>
    <n v="237883"/>
    <n v="643207"/>
    <s v="ALWAYS ON"/>
    <x v="10"/>
    <x v="15"/>
    <n v="40708.401390592095"/>
    <n v="32566.721112473679"/>
    <x v="0"/>
    <x v="0"/>
  </r>
  <r>
    <x v="16"/>
    <n v="237884"/>
    <n v="643208"/>
    <s v="ALWAYS ON"/>
    <x v="10"/>
    <x v="17"/>
    <n v="5710.3982889155468"/>
    <n v="4568.318631132438"/>
    <x v="0"/>
    <x v="0"/>
  </r>
  <r>
    <x v="16"/>
    <n v="237886"/>
    <n v="643213"/>
    <s v="VAREJO NACIONAL CARS"/>
    <x v="11"/>
    <x v="9"/>
    <n v="265698.89067856182"/>
    <n v="212559.11254284947"/>
    <x v="4"/>
    <x v="0"/>
  </r>
  <r>
    <x v="17"/>
    <n v="237889"/>
    <n v="643216"/>
    <s v="VAREJO NACIONAL CARS"/>
    <x v="11"/>
    <x v="6"/>
    <n v="1229925.5350188341"/>
    <n v="983940.42801506724"/>
    <x v="4"/>
    <x v="0"/>
  </r>
  <r>
    <x v="17"/>
    <n v="237890"/>
    <n v="643217"/>
    <s v="VAREJO NACIONAL CARS"/>
    <x v="11"/>
    <x v="16"/>
    <n v="43992.067699819141"/>
    <n v="35193.654159855316"/>
    <x v="4"/>
    <x v="0"/>
  </r>
  <r>
    <x v="17"/>
    <n v="237891"/>
    <n v="643218"/>
    <s v="VAREJO NACIONAL CARS"/>
    <x v="11"/>
    <x v="15"/>
    <n v="127096.5668323665"/>
    <n v="101677.25346589321"/>
    <x v="4"/>
    <x v="0"/>
  </r>
  <r>
    <x v="17"/>
    <n v="237892"/>
    <n v="643219"/>
    <s v="VAREJO NACIONAL CARS"/>
    <x v="11"/>
    <x v="15"/>
    <n v="37127.646573947335"/>
    <n v="29702.117259157869"/>
    <x v="4"/>
    <x v="0"/>
  </r>
  <r>
    <x v="17"/>
    <n v="237907"/>
    <n v="643241"/>
    <s v="P. VAREJO (R3)"/>
    <x v="6"/>
    <x v="9"/>
    <n v="13484.491554987802"/>
    <n v="10787.593243990243"/>
    <x v="4"/>
    <x v="0"/>
  </r>
  <r>
    <x v="17"/>
    <n v="237908"/>
    <n v="643242"/>
    <s v="P. VAREJO (R3)"/>
    <x v="6"/>
    <x v="16"/>
    <n v="50.082655650747355"/>
    <n v="40.066124520597889"/>
    <x v="4"/>
    <x v="0"/>
  </r>
  <r>
    <x v="17"/>
    <n v="237969"/>
    <n v="643473"/>
    <s v="VAREJO NACIONAL CARS"/>
    <x v="11"/>
    <x v="10"/>
    <n v="198244.9727925967"/>
    <n v="158595.97823407737"/>
    <x v="4"/>
    <x v="0"/>
  </r>
  <r>
    <x v="17"/>
    <n v="237972"/>
    <n v="643476"/>
    <s v="BRANDED CONTENT"/>
    <x v="12"/>
    <x v="14"/>
    <n v="5267.1495563549825"/>
    <n v="4213.7196450839865"/>
    <x v="0"/>
    <x v="0"/>
  </r>
  <r>
    <x v="17"/>
    <n v="237973"/>
    <n v="643477"/>
    <s v="BRANDED CONTENT"/>
    <x v="12"/>
    <x v="9"/>
    <n v="338565.16302348161"/>
    <n v="270852.13041878532"/>
    <x v="0"/>
    <x v="0"/>
  </r>
  <r>
    <x v="17"/>
    <n v="237974"/>
    <n v="643478"/>
    <s v="BRANDED CONTENT"/>
    <x v="12"/>
    <x v="16"/>
    <n v="15075.785903004526"/>
    <n v="12060.62872240362"/>
    <x v="0"/>
    <x v="0"/>
  </r>
  <r>
    <x v="17"/>
    <n v="237980"/>
    <n v="643484"/>
    <s v="BRANDED CONTENT"/>
    <x v="12"/>
    <x v="17"/>
    <n v="40.026709032111626"/>
    <n v="32.021367225689303"/>
    <x v="0"/>
    <x v="0"/>
  </r>
  <r>
    <x v="17"/>
    <n v="238001"/>
    <n v="643511"/>
    <s v="ALWAYS ON"/>
    <x v="10"/>
    <x v="27"/>
    <n v="326461.42591236328"/>
    <n v="261169.14072989064"/>
    <x v="0"/>
    <x v="0"/>
  </r>
  <r>
    <x v="17"/>
    <n v="237746"/>
    <n v="643046"/>
    <s v="PÓS-VENDAS"/>
    <x v="9"/>
    <x v="15"/>
    <n v="126.96473981093384"/>
    <n v="101.57179184874707"/>
    <x v="0"/>
    <x v="0"/>
  </r>
  <r>
    <x v="17"/>
    <n v="237747"/>
    <n v="643047"/>
    <s v="PÓS-VENDAS"/>
    <x v="9"/>
    <x v="17"/>
    <n v="17941.288558975448"/>
    <n v="14353.030847180358"/>
    <x v="0"/>
    <x v="0"/>
  </r>
  <r>
    <x v="17"/>
    <n v="237835"/>
    <n v="643138"/>
    <s v="VAREJO NACIONAL AMAROK"/>
    <x v="8"/>
    <x v="10"/>
    <n v="296501.75981703622"/>
    <n v="237201.40785362897"/>
    <x v="2"/>
    <x v="0"/>
  </r>
  <r>
    <x v="17"/>
    <n v="237874"/>
    <n v="643197"/>
    <s v="ALWAYS ON"/>
    <x v="10"/>
    <x v="26"/>
    <n v="70367.169181749545"/>
    <n v="56293.73534539964"/>
    <x v="0"/>
    <x v="0"/>
  </r>
  <r>
    <x v="17"/>
    <n v="237875"/>
    <n v="643198"/>
    <s v="ALWAYS ON"/>
    <x v="10"/>
    <x v="14"/>
    <n v="1856587.7412640967"/>
    <n v="1485270.1930112774"/>
    <x v="0"/>
    <x v="0"/>
  </r>
  <r>
    <x v="17"/>
    <n v="237877"/>
    <n v="643200"/>
    <s v="ALWAYS ON"/>
    <x v="10"/>
    <x v="9"/>
    <n v="1033747.0637652978"/>
    <n v="826997.65101223823"/>
    <x v="0"/>
    <x v="0"/>
  </r>
  <r>
    <x v="17"/>
    <n v="237879"/>
    <n v="643202"/>
    <s v="ALWAYS ON"/>
    <x v="10"/>
    <x v="13"/>
    <n v="760655.78530037182"/>
    <n v="608524.62824029743"/>
    <x v="0"/>
    <x v="0"/>
  </r>
  <r>
    <x v="17"/>
    <n v="237880"/>
    <n v="643203"/>
    <s v="ALWAYS ON"/>
    <x v="10"/>
    <x v="6"/>
    <n v="6090052.7533745887"/>
    <n v="4872042.2026996715"/>
    <x v="0"/>
    <x v="0"/>
  </r>
  <r>
    <x v="17"/>
    <n v="237881"/>
    <n v="643205"/>
    <s v="ALWAYS ON"/>
    <x v="10"/>
    <x v="16"/>
    <n v="543727.22909014428"/>
    <n v="434981.78327211546"/>
    <x v="0"/>
    <x v="0"/>
  </r>
  <r>
    <x v="17"/>
    <n v="237882"/>
    <n v="643206"/>
    <s v="ALWAYS ON"/>
    <x v="10"/>
    <x v="15"/>
    <n v="127709.14717348822"/>
    <n v="102167.31773879059"/>
    <x v="0"/>
    <x v="0"/>
  </r>
  <r>
    <x v="17"/>
    <n v="237883"/>
    <n v="643207"/>
    <s v="ALWAYS ON"/>
    <x v="10"/>
    <x v="15"/>
    <n v="84892.91847503891"/>
    <n v="67914.334780031131"/>
    <x v="0"/>
    <x v="0"/>
  </r>
  <r>
    <x v="17"/>
    <n v="237884"/>
    <n v="643208"/>
    <s v="ALWAYS ON"/>
    <x v="10"/>
    <x v="17"/>
    <n v="8037.2795919849023"/>
    <n v="6429.8236735879218"/>
    <x v="0"/>
    <x v="0"/>
  </r>
  <r>
    <x v="17"/>
    <n v="237886"/>
    <n v="643213"/>
    <s v="VAREJO NACIONAL CARS"/>
    <x v="11"/>
    <x v="9"/>
    <n v="659889.93005271489"/>
    <n v="527911.94404217193"/>
    <x v="4"/>
    <x v="0"/>
  </r>
  <r>
    <x v="17"/>
    <n v="237889"/>
    <n v="643216"/>
    <s v="VAREJO NACIONAL CARS"/>
    <x v="11"/>
    <x v="6"/>
    <n v="3393961.3734336309"/>
    <n v="2715169.0987469051"/>
    <x v="4"/>
    <x v="0"/>
  </r>
  <r>
    <x v="17"/>
    <n v="237890"/>
    <n v="643217"/>
    <s v="VAREJO NACIONAL CARS"/>
    <x v="11"/>
    <x v="16"/>
    <n v="169715.69168344498"/>
    <n v="135772.553346756"/>
    <x v="4"/>
    <x v="0"/>
  </r>
  <r>
    <x v="17"/>
    <n v="237891"/>
    <n v="643218"/>
    <s v="VAREJO NACIONAL CARS"/>
    <x v="11"/>
    <x v="15"/>
    <n v="235052.77160327372"/>
    <n v="188042.21728261898"/>
    <x v="4"/>
    <x v="0"/>
  </r>
  <r>
    <x v="16"/>
    <n v="237892"/>
    <n v="643219"/>
    <s v="VAREJO NACIONAL CARS"/>
    <x v="11"/>
    <x v="15"/>
    <n v="1894096.6124509152"/>
    <n v="1515277.2899607322"/>
    <x v="4"/>
    <x v="0"/>
  </r>
  <r>
    <x v="16"/>
    <n v="237907"/>
    <n v="643241"/>
    <s v="P. VAREJO (R3)"/>
    <x v="6"/>
    <x v="9"/>
    <n v="14742.85661200665"/>
    <n v="11794.285289605321"/>
    <x v="4"/>
    <x v="0"/>
  </r>
  <r>
    <x v="16"/>
    <n v="237908"/>
    <n v="643242"/>
    <s v="P. VAREJO (R3)"/>
    <x v="6"/>
    <x v="16"/>
    <n v="30.971179515724071"/>
    <n v="24.776943612579259"/>
    <x v="4"/>
    <x v="0"/>
  </r>
  <r>
    <x v="18"/>
    <n v="237969"/>
    <n v="643473"/>
    <s v="VAREJO NACIONAL CARS"/>
    <x v="11"/>
    <x v="10"/>
    <n v="191170.57897695052"/>
    <n v="152936.46318156042"/>
    <x v="4"/>
    <x v="0"/>
  </r>
  <r>
    <x v="18"/>
    <n v="237972"/>
    <n v="643476"/>
    <s v="BRANDED CONTENT"/>
    <x v="12"/>
    <x v="14"/>
    <n v="7143.5320375401589"/>
    <n v="5714.8256300321273"/>
    <x v="0"/>
    <x v="0"/>
  </r>
  <r>
    <x v="18"/>
    <n v="237973"/>
    <n v="643477"/>
    <s v="BRANDED CONTENT"/>
    <x v="12"/>
    <x v="9"/>
    <n v="318285.8235704425"/>
    <n v="254628.65885635401"/>
    <x v="0"/>
    <x v="0"/>
  </r>
  <r>
    <x v="18"/>
    <n v="237974"/>
    <n v="643478"/>
    <s v="BRANDED CONTENT"/>
    <x v="12"/>
    <x v="16"/>
    <n v="43826.140992585963"/>
    <n v="35060.912794068769"/>
    <x v="0"/>
    <x v="0"/>
  </r>
  <r>
    <x v="18"/>
    <n v="237980"/>
    <n v="643484"/>
    <s v="BRANDED CONTENT"/>
    <x v="12"/>
    <x v="17"/>
    <n v="23.04876844530142"/>
    <n v="18.439014756241136"/>
    <x v="0"/>
    <x v="0"/>
  </r>
  <r>
    <x v="18"/>
    <n v="238001"/>
    <n v="643511"/>
    <s v="ALWAYS ON"/>
    <x v="10"/>
    <x v="27"/>
    <n v="427880.7191541557"/>
    <n v="342304.57532332459"/>
    <x v="0"/>
    <x v="0"/>
  </r>
  <r>
    <x v="18"/>
    <n v="229491"/>
    <n v="624844"/>
    <s v="VENDAS CORPORATIVAS"/>
    <x v="0"/>
    <x v="0"/>
    <n v="1435.0519362340644"/>
    <n v="1148.0415489872516"/>
    <x v="0"/>
    <x v="0"/>
  </r>
  <r>
    <x v="18"/>
    <n v="232042"/>
    <n v="630473"/>
    <s v="INSTITUCIONAL"/>
    <x v="1"/>
    <x v="1"/>
    <n v="126534.22043296281"/>
    <n v="101227.37634637026"/>
    <x v="0"/>
    <x v="0"/>
  </r>
  <r>
    <x v="18"/>
    <n v="233123"/>
    <n v="632974"/>
    <s v="INSTITUCIONAL"/>
    <x v="2"/>
    <x v="2"/>
    <n v="6022.3790556749072"/>
    <n v="4817.9032445399262"/>
    <x v="0"/>
    <x v="0"/>
  </r>
  <r>
    <x v="18"/>
    <n v="236414"/>
    <n v="640323"/>
    <s v="T-CROSS"/>
    <x v="3"/>
    <x v="3"/>
    <n v="211085.37042013981"/>
    <n v="168868.29633611185"/>
    <x v="1"/>
    <x v="0"/>
  </r>
  <r>
    <x v="18"/>
    <n v="236882"/>
    <n v="641246"/>
    <s v="INSTITUCIONAL"/>
    <x v="2"/>
    <x v="4"/>
    <n v="1827.6942860184893"/>
    <n v="1462.1554288147915"/>
    <x v="0"/>
    <x v="0"/>
  </r>
  <r>
    <x v="18"/>
    <n v="237146"/>
    <n v="641815"/>
    <s v="AMAROK V6"/>
    <x v="4"/>
    <x v="3"/>
    <n v="1276213.8584935477"/>
    <n v="1020971.0867948382"/>
    <x v="2"/>
    <x v="0"/>
  </r>
  <r>
    <x v="18"/>
    <n v="237146"/>
    <n v="641816"/>
    <s v="AMAROK V6"/>
    <x v="4"/>
    <x v="3"/>
    <n v="4168.4111575666966"/>
    <n v="3334.7289260533576"/>
    <x v="2"/>
    <x v="0"/>
  </r>
  <r>
    <x v="18"/>
    <n v="237535"/>
    <n v="642718"/>
    <s v="GOLF"/>
    <x v="5"/>
    <x v="5"/>
    <n v="568736.95043764764"/>
    <n v="454989.56035011815"/>
    <x v="3"/>
    <x v="0"/>
  </r>
  <r>
    <x v="18"/>
    <n v="237537"/>
    <n v="642724"/>
    <s v="GOLF"/>
    <x v="5"/>
    <x v="6"/>
    <n v="90552.468094621639"/>
    <n v="72441.974475697309"/>
    <x v="3"/>
    <x v="0"/>
  </r>
  <r>
    <x v="18"/>
    <n v="237541"/>
    <n v="642728"/>
    <s v="GOLF"/>
    <x v="5"/>
    <x v="7"/>
    <n v="28008.452767931554"/>
    <n v="22406.762214345246"/>
    <x v="3"/>
    <x v="0"/>
  </r>
  <r>
    <x v="18"/>
    <n v="237543"/>
    <n v="642731"/>
    <s v="GOLF"/>
    <x v="5"/>
    <x v="8"/>
    <n v="32875.819735390694"/>
    <n v="26300.655788312557"/>
    <x v="3"/>
    <x v="0"/>
  </r>
  <r>
    <x v="18"/>
    <n v="237546"/>
    <n v="642735"/>
    <s v="GOLF"/>
    <x v="5"/>
    <x v="9"/>
    <n v="231853.78164507562"/>
    <n v="185483.02531606052"/>
    <x v="3"/>
    <x v="0"/>
  </r>
  <r>
    <x v="18"/>
    <n v="237548"/>
    <n v="642741"/>
    <s v="GOLF"/>
    <x v="5"/>
    <x v="10"/>
    <n v="92814.934353979814"/>
    <n v="74251.94748318386"/>
    <x v="3"/>
    <x v="0"/>
  </r>
  <r>
    <x v="18"/>
    <n v="237550"/>
    <n v="642744"/>
    <s v="GOLF"/>
    <x v="5"/>
    <x v="10"/>
    <n v="14461.023563789637"/>
    <n v="11568.81885103171"/>
    <x v="3"/>
    <x v="0"/>
  </r>
  <r>
    <x v="18"/>
    <n v="237551"/>
    <n v="642745"/>
    <s v="GOLF"/>
    <x v="5"/>
    <x v="6"/>
    <n v="151071.88836383942"/>
    <n v="120857.51069107154"/>
    <x v="3"/>
    <x v="0"/>
  </r>
  <r>
    <x v="19"/>
    <n v="237553"/>
    <n v="642747"/>
    <s v="GOLF"/>
    <x v="5"/>
    <x v="6"/>
    <n v="66379.941536555416"/>
    <n v="53103.953229244333"/>
    <x v="3"/>
    <x v="0"/>
  </r>
  <r>
    <x v="19"/>
    <n v="237555"/>
    <n v="642749"/>
    <s v="GOLF"/>
    <x v="5"/>
    <x v="11"/>
    <n v="49464.278175347012"/>
    <n v="39571.422540277614"/>
    <x v="3"/>
    <x v="0"/>
  </r>
  <r>
    <x v="19"/>
    <n v="237556"/>
    <n v="642751"/>
    <s v="GOLF"/>
    <x v="5"/>
    <x v="12"/>
    <n v="2913695.5337963728"/>
    <n v="2330956.4270370984"/>
    <x v="3"/>
    <x v="0"/>
  </r>
  <r>
    <x v="19"/>
    <n v="237557"/>
    <n v="642752"/>
    <s v="GOLF"/>
    <x v="5"/>
    <x v="13"/>
    <n v="102023.82197675582"/>
    <n v="81619.057581404661"/>
    <x v="3"/>
    <x v="0"/>
  </r>
  <r>
    <x v="19"/>
    <n v="237558"/>
    <n v="642753"/>
    <s v="GOLF"/>
    <x v="5"/>
    <x v="14"/>
    <n v="35912.135331950347"/>
    <n v="28729.708265560279"/>
    <x v="3"/>
    <x v="0"/>
  </r>
  <r>
    <x v="19"/>
    <n v="237559"/>
    <n v="642754"/>
    <s v="GOLF"/>
    <x v="5"/>
    <x v="15"/>
    <n v="163688.91280368267"/>
    <n v="130951.13024294615"/>
    <x v="3"/>
    <x v="0"/>
  </r>
  <r>
    <x v="19"/>
    <n v="237560"/>
    <n v="642755"/>
    <s v="GOLF"/>
    <x v="5"/>
    <x v="16"/>
    <n v="13280.818401412203"/>
    <n v="10624.654721129764"/>
    <x v="3"/>
    <x v="0"/>
  </r>
  <r>
    <x v="19"/>
    <n v="237562"/>
    <n v="642757"/>
    <s v="GOLF"/>
    <x v="5"/>
    <x v="17"/>
    <n v="169.15501903283888"/>
    <n v="135.32401522627111"/>
    <x v="3"/>
    <x v="0"/>
  </r>
  <r>
    <x v="19"/>
    <n v="237606"/>
    <n v="642818"/>
    <s v="P. VAREJO (R5)"/>
    <x v="6"/>
    <x v="18"/>
    <n v="162875.02468549879"/>
    <n v="130300.01974839903"/>
    <x v="4"/>
    <x v="0"/>
  </r>
  <r>
    <x v="19"/>
    <n v="237660"/>
    <n v="642920"/>
    <s v="T-CROSS"/>
    <x v="3"/>
    <x v="19"/>
    <n v="172565.69474343446"/>
    <n v="138052.55579474758"/>
    <x v="1"/>
    <x v="0"/>
  </r>
  <r>
    <x v="19"/>
    <n v="237663"/>
    <n v="642934"/>
    <s v="VENDAS CORPORATIVAS"/>
    <x v="0"/>
    <x v="20"/>
    <n v="27894.711514259328"/>
    <n v="22315.769211407463"/>
    <x v="0"/>
    <x v="0"/>
  </r>
  <r>
    <x v="19"/>
    <n v="237682"/>
    <n v="642961"/>
    <s v="AMAROK"/>
    <x v="7"/>
    <x v="9"/>
    <n v="1216607.2092781584"/>
    <n v="973285.76742252673"/>
    <x v="2"/>
    <x v="0"/>
  </r>
  <r>
    <x v="19"/>
    <n v="237683"/>
    <n v="642962"/>
    <s v="AMAROK"/>
    <x v="7"/>
    <x v="6"/>
    <n v="69604.840923721466"/>
    <n v="55683.872738977174"/>
    <x v="2"/>
    <x v="0"/>
  </r>
  <r>
    <x v="19"/>
    <n v="237684"/>
    <n v="642963"/>
    <s v="AMAROK"/>
    <x v="7"/>
    <x v="5"/>
    <n v="531083.59633441095"/>
    <n v="424866.87706752878"/>
    <x v="2"/>
    <x v="0"/>
  </r>
  <r>
    <x v="19"/>
    <n v="237685"/>
    <n v="642964"/>
    <s v="AMAROK"/>
    <x v="7"/>
    <x v="16"/>
    <n v="8656.6619196895517"/>
    <n v="6925.3295357516417"/>
    <x v="2"/>
    <x v="0"/>
  </r>
  <r>
    <x v="19"/>
    <n v="237686"/>
    <n v="642965"/>
    <s v="AMAROK"/>
    <x v="7"/>
    <x v="15"/>
    <n v="24611.244475431733"/>
    <n v="19688.995580345389"/>
    <x v="2"/>
    <x v="0"/>
  </r>
  <r>
    <x v="19"/>
    <n v="237687"/>
    <n v="642966"/>
    <s v="VAREJO NACIONAL AMAROK"/>
    <x v="8"/>
    <x v="6"/>
    <n v="490298.5036598458"/>
    <n v="392238.80292787665"/>
    <x v="2"/>
    <x v="0"/>
  </r>
  <r>
    <x v="19"/>
    <n v="237688"/>
    <n v="642967"/>
    <s v="VAREJO NACIONAL AMAROK"/>
    <x v="8"/>
    <x v="9"/>
    <n v="686587.71009693365"/>
    <n v="549270.16807754699"/>
    <x v="2"/>
    <x v="0"/>
  </r>
  <r>
    <x v="19"/>
    <n v="237689"/>
    <n v="642968"/>
    <s v="VAREJO NACIONAL AMAROK"/>
    <x v="8"/>
    <x v="13"/>
    <n v="126179.94475251998"/>
    <n v="100943.95580201599"/>
    <x v="2"/>
    <x v="0"/>
  </r>
  <r>
    <x v="19"/>
    <n v="237690"/>
    <n v="642969"/>
    <s v="VAREJO NACIONAL AMAROK"/>
    <x v="8"/>
    <x v="21"/>
    <n v="462391.56102181127"/>
    <n v="369913.24881744903"/>
    <x v="2"/>
    <x v="0"/>
  </r>
  <r>
    <x v="19"/>
    <n v="237691"/>
    <n v="642970"/>
    <s v="VAREJO NACIONAL AMAROK"/>
    <x v="8"/>
    <x v="16"/>
    <n v="12323.602037875298"/>
    <n v="9858.8816303002386"/>
    <x v="2"/>
    <x v="0"/>
  </r>
  <r>
    <x v="19"/>
    <n v="237692"/>
    <n v="642971"/>
    <s v="VAREJO NACIONAL AMAROK"/>
    <x v="8"/>
    <x v="15"/>
    <n v="41982.976389637326"/>
    <n v="33586.381111709859"/>
    <x v="2"/>
    <x v="0"/>
  </r>
  <r>
    <x v="19"/>
    <n v="237698"/>
    <n v="642980"/>
    <s v="INSTITUCIONAL"/>
    <x v="2"/>
    <x v="22"/>
    <n v="32305.461530629655"/>
    <n v="25844.369224503724"/>
    <x v="0"/>
    <x v="0"/>
  </r>
  <r>
    <x v="19"/>
    <n v="237700"/>
    <n v="642982"/>
    <s v="INSTITUCIONAL"/>
    <x v="2"/>
    <x v="23"/>
    <n v="20470.19360361193"/>
    <n v="16376.154882889545"/>
    <x v="0"/>
    <x v="0"/>
  </r>
  <r>
    <x v="19"/>
    <n v="237701"/>
    <n v="642983"/>
    <s v="INSTITUCIONAL"/>
    <x v="2"/>
    <x v="24"/>
    <n v="20695.819317322694"/>
    <n v="16556.655453858155"/>
    <x v="0"/>
    <x v="0"/>
  </r>
  <r>
    <x v="19"/>
    <n v="237729"/>
    <n v="643022"/>
    <s v="VENDAS CORPORATIVAS"/>
    <x v="0"/>
    <x v="14"/>
    <n v="404876.82093427697"/>
    <n v="323901.45674742159"/>
    <x v="0"/>
    <x v="0"/>
  </r>
  <r>
    <x v="19"/>
    <n v="237731"/>
    <n v="643024"/>
    <s v="VENDAS CORPORATIVAS"/>
    <x v="0"/>
    <x v="9"/>
    <n v="53811.691564103421"/>
    <n v="43049.353251282737"/>
    <x v="0"/>
    <x v="0"/>
  </r>
  <r>
    <x v="19"/>
    <n v="237735"/>
    <n v="643031"/>
    <s v="VENDAS CORPORATIVAS"/>
    <x v="0"/>
    <x v="16"/>
    <n v="161.3305798207117"/>
    <n v="129.06446385656938"/>
    <x v="0"/>
    <x v="0"/>
  </r>
  <r>
    <x v="19"/>
    <n v="237736"/>
    <n v="643033"/>
    <s v="PÓS-VENDAS"/>
    <x v="9"/>
    <x v="14"/>
    <n v="297122.67976929614"/>
    <n v="237698.14381543692"/>
    <x v="0"/>
    <x v="0"/>
  </r>
  <r>
    <x v="19"/>
    <n v="237738"/>
    <n v="643039"/>
    <s v="PÓS-VENDAS"/>
    <x v="9"/>
    <x v="25"/>
    <n v="1546567.8957110851"/>
    <n v="1237254.316568868"/>
    <x v="0"/>
    <x v="0"/>
  </r>
  <r>
    <x v="19"/>
    <n v="237739"/>
    <n v="643035"/>
    <s v="PÓS-VENDAS"/>
    <x v="9"/>
    <x v="6"/>
    <n v="11804949.005825445"/>
    <n v="9443959.204660356"/>
    <x v="0"/>
    <x v="0"/>
  </r>
  <r>
    <x v="19"/>
    <n v="237743"/>
    <n v="643042"/>
    <s v="PÓS-VENDAS"/>
    <x v="9"/>
    <x v="16"/>
    <n v="576.17654352595503"/>
    <n v="460.94123482076407"/>
    <x v="0"/>
    <x v="0"/>
  </r>
  <r>
    <x v="20"/>
    <n v="237744"/>
    <n v="643043"/>
    <s v="PÓS-VENDAS"/>
    <x v="9"/>
    <x v="15"/>
    <n v="3716.8761469920923"/>
    <n v="2973.5009175936739"/>
    <x v="0"/>
    <x v="0"/>
  </r>
  <r>
    <x v="20"/>
    <n v="237745"/>
    <n v="643045"/>
    <s v="PÓS-VENDAS"/>
    <x v="9"/>
    <x v="9"/>
    <n v="90220.096231163538"/>
    <n v="72176.076984930827"/>
    <x v="0"/>
    <x v="0"/>
  </r>
  <r>
    <x v="20"/>
    <n v="237746"/>
    <n v="643046"/>
    <s v="PÓS-VENDAS"/>
    <x v="9"/>
    <x v="15"/>
    <n v="145.39109415873466"/>
    <n v="116.31287532698774"/>
    <x v="0"/>
    <x v="0"/>
  </r>
  <r>
    <x v="20"/>
    <n v="237747"/>
    <n v="643047"/>
    <s v="PÓS-VENDAS"/>
    <x v="9"/>
    <x v="17"/>
    <n v="681.75703916045757"/>
    <n v="545.4056313283661"/>
    <x v="0"/>
    <x v="0"/>
  </r>
  <r>
    <x v="20"/>
    <n v="237835"/>
    <n v="643138"/>
    <s v="VAREJO NACIONAL AMAROK"/>
    <x v="8"/>
    <x v="10"/>
    <n v="232696.82952193994"/>
    <n v="186157.46361755196"/>
    <x v="2"/>
    <x v="0"/>
  </r>
  <r>
    <x v="20"/>
    <n v="237874"/>
    <n v="643197"/>
    <s v="ALWAYS ON"/>
    <x v="10"/>
    <x v="26"/>
    <n v="53517.202647905055"/>
    <n v="42813.762118324048"/>
    <x v="0"/>
    <x v="0"/>
  </r>
  <r>
    <x v="20"/>
    <n v="237875"/>
    <n v="643198"/>
    <s v="ALWAYS ON"/>
    <x v="10"/>
    <x v="14"/>
    <n v="1852510.2949641119"/>
    <n v="1482008.2359712897"/>
    <x v="0"/>
    <x v="0"/>
  </r>
  <r>
    <x v="20"/>
    <n v="237877"/>
    <n v="643200"/>
    <s v="ALWAYS ON"/>
    <x v="10"/>
    <x v="9"/>
    <n v="25330722.019003026"/>
    <n v="20264577.615202423"/>
    <x v="0"/>
    <x v="0"/>
  </r>
  <r>
    <x v="20"/>
    <n v="237879"/>
    <n v="643202"/>
    <s v="ALWAYS ON"/>
    <x v="10"/>
    <x v="13"/>
    <n v="6477228.5745862257"/>
    <n v="5181782.8596689813"/>
    <x v="0"/>
    <x v="0"/>
  </r>
  <r>
    <x v="20"/>
    <n v="237880"/>
    <n v="643203"/>
    <s v="ALWAYS ON"/>
    <x v="10"/>
    <x v="6"/>
    <n v="1232170.8843027723"/>
    <n v="985736.70744221797"/>
    <x v="0"/>
    <x v="0"/>
  </r>
  <r>
    <x v="20"/>
    <n v="237881"/>
    <n v="643205"/>
    <s v="ALWAYS ON"/>
    <x v="10"/>
    <x v="16"/>
    <n v="49276.098581047154"/>
    <n v="39420.878864837723"/>
    <x v="0"/>
    <x v="0"/>
  </r>
  <r>
    <x v="20"/>
    <n v="237882"/>
    <n v="643206"/>
    <s v="ALWAYS ON"/>
    <x v="10"/>
    <x v="15"/>
    <n v="57559.460050023088"/>
    <n v="46047.568040018472"/>
    <x v="0"/>
    <x v="0"/>
  </r>
  <r>
    <x v="20"/>
    <n v="237883"/>
    <n v="643207"/>
    <s v="ALWAYS ON"/>
    <x v="10"/>
    <x v="15"/>
    <n v="54162.394868294548"/>
    <n v="43329.91589463564"/>
    <x v="0"/>
    <x v="0"/>
  </r>
  <r>
    <x v="20"/>
    <n v="237884"/>
    <n v="643208"/>
    <s v="ALWAYS ON"/>
    <x v="10"/>
    <x v="17"/>
    <n v="66641.90540220312"/>
    <n v="53313.524321762496"/>
    <x v="0"/>
    <x v="0"/>
  </r>
  <r>
    <x v="20"/>
    <n v="237886"/>
    <n v="643213"/>
    <s v="VAREJO NACIONAL CARS"/>
    <x v="11"/>
    <x v="9"/>
    <n v="379531.04914119776"/>
    <n v="303624.83931295824"/>
    <x v="4"/>
    <x v="0"/>
  </r>
  <r>
    <x v="20"/>
    <n v="237889"/>
    <n v="643216"/>
    <s v="VAREJO NACIONAL CARS"/>
    <x v="11"/>
    <x v="6"/>
    <n v="2228301.7106819679"/>
    <n v="1782641.3685455744"/>
    <x v="4"/>
    <x v="0"/>
  </r>
  <r>
    <x v="20"/>
    <n v="237890"/>
    <n v="643217"/>
    <s v="VAREJO NACIONAL CARS"/>
    <x v="11"/>
    <x v="16"/>
    <n v="59973.607459173698"/>
    <n v="47978.88596733896"/>
    <x v="4"/>
    <x v="0"/>
  </r>
  <r>
    <x v="20"/>
    <n v="237891"/>
    <n v="643218"/>
    <s v="VAREJO NACIONAL CARS"/>
    <x v="11"/>
    <x v="15"/>
    <n v="91164.905252077413"/>
    <n v="72931.924201661939"/>
    <x v="4"/>
    <x v="0"/>
  </r>
  <r>
    <x v="20"/>
    <n v="237892"/>
    <n v="643219"/>
    <s v="VAREJO NACIONAL CARS"/>
    <x v="11"/>
    <x v="15"/>
    <n v="14036.913562842799"/>
    <n v="11229.530850274241"/>
    <x v="4"/>
    <x v="0"/>
  </r>
  <r>
    <x v="20"/>
    <n v="237907"/>
    <n v="643241"/>
    <s v="P. VAREJO (R3)"/>
    <x v="6"/>
    <x v="9"/>
    <n v="409420.64974787453"/>
    <n v="327536.51979829965"/>
    <x v="4"/>
    <x v="0"/>
  </r>
  <r>
    <x v="20"/>
    <n v="237908"/>
    <n v="643242"/>
    <s v="P. VAREJO (R3)"/>
    <x v="6"/>
    <x v="16"/>
    <n v="225.49652592583345"/>
    <n v="180.39722074066677"/>
    <x v="4"/>
    <x v="0"/>
  </r>
  <r>
    <x v="21"/>
    <n v="237969"/>
    <n v="643473"/>
    <s v="VAREJO NACIONAL CARS"/>
    <x v="11"/>
    <x v="10"/>
    <n v="1325384.1390240733"/>
    <n v="1060307.3112192587"/>
    <x v="4"/>
    <x v="0"/>
  </r>
  <r>
    <x v="21"/>
    <n v="237972"/>
    <n v="643476"/>
    <s v="BRANDED CONTENT"/>
    <x v="12"/>
    <x v="14"/>
    <n v="5049.6146115213724"/>
    <n v="4039.691689217098"/>
    <x v="0"/>
    <x v="0"/>
  </r>
  <r>
    <x v="21"/>
    <n v="237973"/>
    <n v="643477"/>
    <s v="BRANDED CONTENT"/>
    <x v="12"/>
    <x v="9"/>
    <n v="1314646.488299774"/>
    <n v="1051717.1906398193"/>
    <x v="0"/>
    <x v="0"/>
  </r>
  <r>
    <x v="21"/>
    <n v="237974"/>
    <n v="643478"/>
    <s v="BRANDED CONTENT"/>
    <x v="12"/>
    <x v="16"/>
    <n v="11701.340219478441"/>
    <n v="9361.0721755827526"/>
    <x v="0"/>
    <x v="0"/>
  </r>
  <r>
    <x v="21"/>
    <n v="237980"/>
    <n v="643484"/>
    <s v="BRANDED CONTENT"/>
    <x v="12"/>
    <x v="17"/>
    <n v="16.470852388612805"/>
    <n v="13.176681910890245"/>
    <x v="0"/>
    <x v="0"/>
  </r>
  <r>
    <x v="21"/>
    <n v="238001"/>
    <n v="643511"/>
    <s v="ALWAYS ON"/>
    <x v="10"/>
    <x v="27"/>
    <n v="142487.61032697404"/>
    <n v="113990.08826157924"/>
    <x v="0"/>
    <x v="0"/>
  </r>
  <r>
    <x v="21"/>
    <n v="237736"/>
    <n v="643033"/>
    <s v="PÓS-VENDAS"/>
    <x v="9"/>
    <x v="14"/>
    <n v="124504.40503924264"/>
    <n v="99603.524031394118"/>
    <x v="0"/>
    <x v="0"/>
  </r>
  <r>
    <x v="21"/>
    <n v="237738"/>
    <n v="643039"/>
    <s v="PÓS-VENDAS"/>
    <x v="9"/>
    <x v="25"/>
    <n v="140159.67049027563"/>
    <n v="112127.73639222051"/>
    <x v="0"/>
    <x v="0"/>
  </r>
  <r>
    <x v="21"/>
    <n v="237739"/>
    <n v="643035"/>
    <s v="PÓS-VENDAS"/>
    <x v="9"/>
    <x v="6"/>
    <n v="157817.83257275322"/>
    <n v="126254.26605820259"/>
    <x v="0"/>
    <x v="0"/>
  </r>
  <r>
    <x v="21"/>
    <n v="237743"/>
    <n v="643042"/>
    <s v="PÓS-VENDAS"/>
    <x v="9"/>
    <x v="16"/>
    <n v="152.79572717739185"/>
    <n v="122.23658174191348"/>
    <x v="0"/>
    <x v="0"/>
  </r>
  <r>
    <x v="21"/>
    <n v="237744"/>
    <n v="643043"/>
    <s v="PÓS-VENDAS"/>
    <x v="9"/>
    <x v="15"/>
    <n v="2422.5535168931506"/>
    <n v="1938.0428135145205"/>
    <x v="0"/>
    <x v="0"/>
  </r>
  <r>
    <x v="21"/>
    <n v="237745"/>
    <n v="643045"/>
    <s v="PÓS-VENDAS"/>
    <x v="9"/>
    <x v="9"/>
    <n v="203058.94517026088"/>
    <n v="162447.15613620871"/>
    <x v="0"/>
    <x v="0"/>
  </r>
  <r>
    <x v="21"/>
    <n v="237746"/>
    <n v="643046"/>
    <s v="PÓS-VENDAS"/>
    <x v="9"/>
    <x v="15"/>
    <n v="57.975305414353443"/>
    <n v="46.380244331482757"/>
    <x v="0"/>
    <x v="0"/>
  </r>
  <r>
    <x v="21"/>
    <n v="237747"/>
    <n v="643047"/>
    <s v="PÓS-VENDAS"/>
    <x v="9"/>
    <x v="17"/>
    <n v="575.43173124672035"/>
    <n v="460.3453849973763"/>
    <x v="0"/>
    <x v="0"/>
  </r>
  <r>
    <x v="21"/>
    <n v="237835"/>
    <n v="643138"/>
    <s v="VAREJO NACIONAL AMAROK"/>
    <x v="8"/>
    <x v="10"/>
    <n v="387502.16680061055"/>
    <n v="310001.73344048846"/>
    <x v="2"/>
    <x v="0"/>
  </r>
  <r>
    <x v="21"/>
    <n v="237874"/>
    <n v="643197"/>
    <s v="ALWAYS ON"/>
    <x v="10"/>
    <x v="26"/>
    <n v="77021.19408865225"/>
    <n v="61616.955270921804"/>
    <x v="0"/>
    <x v="0"/>
  </r>
  <r>
    <x v="21"/>
    <n v="237875"/>
    <n v="643198"/>
    <s v="ALWAYS ON"/>
    <x v="10"/>
    <x v="14"/>
    <n v="2659388.5729103475"/>
    <n v="2127510.8583282782"/>
    <x v="0"/>
    <x v="0"/>
  </r>
  <r>
    <x v="21"/>
    <n v="237877"/>
    <n v="643200"/>
    <s v="ALWAYS ON"/>
    <x v="10"/>
    <x v="9"/>
    <n v="1585307.6431689414"/>
    <n v="1268246.1145351531"/>
    <x v="0"/>
    <x v="0"/>
  </r>
  <r>
    <x v="21"/>
    <n v="237879"/>
    <n v="643202"/>
    <s v="ALWAYS ON"/>
    <x v="10"/>
    <x v="13"/>
    <n v="805272.10009048518"/>
    <n v="644217.68007238815"/>
    <x v="0"/>
    <x v="0"/>
  </r>
  <r>
    <x v="21"/>
    <n v="237880"/>
    <n v="643203"/>
    <s v="ALWAYS ON"/>
    <x v="10"/>
    <x v="6"/>
    <n v="66781846.111107849"/>
    <n v="53425476.88888628"/>
    <x v="0"/>
    <x v="0"/>
  </r>
  <r>
    <x v="21"/>
    <n v="237881"/>
    <n v="643205"/>
    <s v="ALWAYS ON"/>
    <x v="10"/>
    <x v="16"/>
    <n v="62650.8711937021"/>
    <n v="50120.696954961684"/>
    <x v="0"/>
    <x v="0"/>
  </r>
  <r>
    <x v="21"/>
    <n v="237882"/>
    <n v="643206"/>
    <s v="ALWAYS ON"/>
    <x v="10"/>
    <x v="15"/>
    <n v="59769.757099439375"/>
    <n v="47815.8056795515"/>
    <x v="0"/>
    <x v="0"/>
  </r>
  <r>
    <x v="21"/>
    <n v="237883"/>
    <n v="643207"/>
    <s v="ALWAYS ON"/>
    <x v="10"/>
    <x v="15"/>
    <n v="84129.427604667173"/>
    <n v="67303.542083733744"/>
    <x v="0"/>
    <x v="0"/>
  </r>
  <r>
    <x v="21"/>
    <n v="237884"/>
    <n v="643208"/>
    <s v="ALWAYS ON"/>
    <x v="10"/>
    <x v="17"/>
    <n v="37334.445824444294"/>
    <n v="29867.556659555437"/>
    <x v="0"/>
    <x v="0"/>
  </r>
  <r>
    <x v="21"/>
    <n v="237886"/>
    <n v="643213"/>
    <s v="VAREJO NACIONAL CARS"/>
    <x v="11"/>
    <x v="9"/>
    <n v="1781533.8651673463"/>
    <n v="1425227.0921338771"/>
    <x v="4"/>
    <x v="0"/>
  </r>
  <r>
    <x v="21"/>
    <n v="237889"/>
    <n v="643216"/>
    <s v="VAREJO NACIONAL CARS"/>
    <x v="11"/>
    <x v="6"/>
    <n v="1811278.0979445893"/>
    <n v="1449022.4783556715"/>
    <x v="4"/>
    <x v="0"/>
  </r>
  <r>
    <x v="21"/>
    <n v="237890"/>
    <n v="643217"/>
    <s v="VAREJO NACIONAL CARS"/>
    <x v="11"/>
    <x v="16"/>
    <n v="47604.210391154789"/>
    <n v="38083.368312923834"/>
    <x v="4"/>
    <x v="0"/>
  </r>
  <r>
    <x v="21"/>
    <n v="237891"/>
    <n v="643218"/>
    <s v="VAREJO NACIONAL CARS"/>
    <x v="11"/>
    <x v="15"/>
    <n v="170796.27242732965"/>
    <n v="136637.01794186371"/>
    <x v="4"/>
    <x v="0"/>
  </r>
  <r>
    <x v="21"/>
    <n v="237892"/>
    <n v="643219"/>
    <s v="VAREJO NACIONAL CARS"/>
    <x v="11"/>
    <x v="15"/>
    <n v="17897.639159652863"/>
    <n v="14318.11132772229"/>
    <x v="4"/>
    <x v="0"/>
  </r>
  <r>
    <x v="21"/>
    <n v="237907"/>
    <n v="643241"/>
    <s v="P. VAREJO (R3)"/>
    <x v="6"/>
    <x v="9"/>
    <n v="27756.892137038387"/>
    <n v="22205.513709630712"/>
    <x v="4"/>
    <x v="0"/>
  </r>
  <r>
    <x v="21"/>
    <n v="237908"/>
    <n v="643242"/>
    <s v="P. VAREJO (R3)"/>
    <x v="6"/>
    <x v="16"/>
    <n v="24.454561620115211"/>
    <n v="19.563649296092169"/>
    <x v="4"/>
    <x v="0"/>
  </r>
  <r>
    <x v="21"/>
    <n v="237969"/>
    <n v="643473"/>
    <s v="VAREJO NACIONAL CARS"/>
    <x v="11"/>
    <x v="10"/>
    <n v="204815.12963097086"/>
    <n v="163852.1037047767"/>
    <x v="4"/>
    <x v="0"/>
  </r>
  <r>
    <x v="21"/>
    <n v="237972"/>
    <n v="643476"/>
    <s v="BRANDED CONTENT"/>
    <x v="12"/>
    <x v="14"/>
    <n v="5192.8467127774647"/>
    <n v="4154.277370221972"/>
    <x v="0"/>
    <x v="0"/>
  </r>
  <r>
    <x v="21"/>
    <n v="237973"/>
    <n v="643477"/>
    <s v="BRANDED CONTENT"/>
    <x v="12"/>
    <x v="9"/>
    <n v="657013.85901049606"/>
    <n v="525611.08720839687"/>
    <x v="0"/>
    <x v="0"/>
  </r>
  <r>
    <x v="21"/>
    <n v="237974"/>
    <n v="643478"/>
    <s v="BRANDED CONTENT"/>
    <x v="12"/>
    <x v="16"/>
    <n v="14586.318914448579"/>
    <n v="11669.055131558864"/>
    <x v="0"/>
    <x v="0"/>
  </r>
  <r>
    <x v="20"/>
    <n v="237980"/>
    <n v="643484"/>
    <s v="BRANDED CONTENT"/>
    <x v="12"/>
    <x v="17"/>
    <n v="16.148076361160825"/>
    <n v="12.918461088928661"/>
    <x v="0"/>
    <x v="0"/>
  </r>
  <r>
    <x v="20"/>
    <n v="238001"/>
    <n v="643511"/>
    <s v="ALWAYS ON"/>
    <x v="10"/>
    <x v="27"/>
    <n v="2550148.208210208"/>
    <n v="2040118.5665681665"/>
    <x v="0"/>
    <x v="0"/>
  </r>
  <r>
    <x v="20"/>
    <n v="237886"/>
    <n v="643213"/>
    <s v="VAREJO NACIONAL CARS"/>
    <x v="11"/>
    <x v="9"/>
    <n v="1016879.8698478076"/>
    <n v="813503.89587824605"/>
    <x v="4"/>
    <x v="0"/>
  </r>
  <r>
    <x v="20"/>
    <n v="237889"/>
    <n v="643216"/>
    <s v="VAREJO NACIONAL CARS"/>
    <x v="11"/>
    <x v="6"/>
    <n v="1841290.8780904531"/>
    <n v="1473032.7024723627"/>
    <x v="4"/>
    <x v="0"/>
  </r>
  <r>
    <x v="20"/>
    <n v="237890"/>
    <n v="643217"/>
    <s v="VAREJO NACIONAL CARS"/>
    <x v="11"/>
    <x v="16"/>
    <n v="75255.524180834924"/>
    <n v="60204.419344667942"/>
    <x v="4"/>
    <x v="0"/>
  </r>
  <r>
    <x v="20"/>
    <n v="237891"/>
    <n v="643218"/>
    <s v="VAREJO NACIONAL CARS"/>
    <x v="11"/>
    <x v="15"/>
    <n v="144406.04183718137"/>
    <n v="115524.83346974511"/>
    <x v="4"/>
    <x v="0"/>
  </r>
  <r>
    <x v="20"/>
    <n v="237892"/>
    <n v="643219"/>
    <s v="VAREJO NACIONAL CARS"/>
    <x v="11"/>
    <x v="15"/>
    <n v="12915.296189997838"/>
    <n v="10332.236951998271"/>
    <x v="4"/>
    <x v="0"/>
  </r>
  <r>
    <x v="20"/>
    <n v="237907"/>
    <n v="643241"/>
    <s v="P. VAREJO (R3)"/>
    <x v="6"/>
    <x v="9"/>
    <n v="55893.624772953997"/>
    <n v="44714.899818363199"/>
    <x v="4"/>
    <x v="0"/>
  </r>
  <r>
    <x v="20"/>
    <n v="237908"/>
    <n v="643242"/>
    <s v="P. VAREJO (R3)"/>
    <x v="6"/>
    <x v="16"/>
    <n v="62.886279085709106"/>
    <n v="50.309023268567287"/>
    <x v="4"/>
    <x v="0"/>
  </r>
  <r>
    <x v="20"/>
    <n v="237969"/>
    <n v="643473"/>
    <s v="VAREJO NACIONAL CARS"/>
    <x v="11"/>
    <x v="10"/>
    <n v="513398.62872167036"/>
    <n v="410718.90297733631"/>
    <x v="4"/>
    <x v="0"/>
  </r>
  <r>
    <x v="20"/>
    <n v="237972"/>
    <n v="643476"/>
    <s v="BRANDED CONTENT"/>
    <x v="12"/>
    <x v="14"/>
    <n v="6681.6340506692413"/>
    <n v="5345.3072405353932"/>
    <x v="0"/>
    <x v="0"/>
  </r>
  <r>
    <x v="20"/>
    <n v="237973"/>
    <n v="643477"/>
    <s v="BRANDED CONTENT"/>
    <x v="12"/>
    <x v="9"/>
    <n v="812962.43694813689"/>
    <n v="650369.94955850951"/>
    <x v="0"/>
    <x v="0"/>
  </r>
  <r>
    <x v="20"/>
    <n v="237974"/>
    <n v="643478"/>
    <s v="BRANDED CONTENT"/>
    <x v="12"/>
    <x v="16"/>
    <n v="32484.951538631845"/>
    <n v="25987.961230905479"/>
    <x v="0"/>
    <x v="0"/>
  </r>
  <r>
    <x v="20"/>
    <n v="237980"/>
    <n v="643484"/>
    <s v="BRANDED CONTENT"/>
    <x v="12"/>
    <x v="17"/>
    <n v="15.95896973748834"/>
    <n v="12.767175789990674"/>
    <x v="0"/>
    <x v="0"/>
  </r>
  <r>
    <x v="20"/>
    <n v="238001"/>
    <n v="643511"/>
    <s v="ALWAYS ON"/>
    <x v="10"/>
    <x v="27"/>
    <n v="451424.48740554054"/>
    <n v="361139.58992443245"/>
    <x v="0"/>
    <x v="0"/>
  </r>
  <r>
    <x v="20"/>
    <n v="237736"/>
    <n v="643033"/>
    <s v="PÓS-VENDAS"/>
    <x v="9"/>
    <x v="14"/>
    <n v="107818.1361661772"/>
    <n v="86254.508932941768"/>
    <x v="0"/>
    <x v="0"/>
  </r>
  <r>
    <x v="20"/>
    <n v="237738"/>
    <n v="643039"/>
    <s v="PÓS-VENDAS"/>
    <x v="9"/>
    <x v="25"/>
    <n v="151440.215179347"/>
    <n v="121152.1721434776"/>
    <x v="0"/>
    <x v="0"/>
  </r>
  <r>
    <x v="20"/>
    <n v="237739"/>
    <n v="643035"/>
    <s v="PÓS-VENDAS"/>
    <x v="9"/>
    <x v="6"/>
    <n v="100270.66707065664"/>
    <n v="80216.533656525309"/>
    <x v="0"/>
    <x v="0"/>
  </r>
  <r>
    <x v="20"/>
    <n v="237743"/>
    <n v="643042"/>
    <s v="PÓS-VENDAS"/>
    <x v="9"/>
    <x v="16"/>
    <n v="154.00676458094838"/>
    <n v="123.20541166475871"/>
    <x v="0"/>
    <x v="0"/>
  </r>
  <r>
    <x v="20"/>
    <n v="237744"/>
    <n v="643043"/>
    <s v="PÓS-VENDAS"/>
    <x v="9"/>
    <x v="15"/>
    <n v="60369.07753947255"/>
    <n v="48295.262031578044"/>
    <x v="0"/>
    <x v="0"/>
  </r>
  <r>
    <x v="20"/>
    <n v="237745"/>
    <n v="643045"/>
    <s v="PÓS-VENDAS"/>
    <x v="9"/>
    <x v="9"/>
    <n v="74382.208166558223"/>
    <n v="59505.766533246584"/>
    <x v="0"/>
    <x v="0"/>
  </r>
  <r>
    <x v="20"/>
    <n v="237746"/>
    <n v="643046"/>
    <s v="PÓS-VENDAS"/>
    <x v="9"/>
    <x v="15"/>
    <n v="77.936826415490003"/>
    <n v="62.349461132392008"/>
    <x v="0"/>
    <x v="0"/>
  </r>
  <r>
    <x v="22"/>
    <n v="237747"/>
    <n v="643047"/>
    <s v="PÓS-VENDAS"/>
    <x v="9"/>
    <x v="17"/>
    <n v="886.41626461160502"/>
    <n v="709.1330116892841"/>
    <x v="0"/>
    <x v="0"/>
  </r>
  <r>
    <x v="22"/>
    <n v="237835"/>
    <n v="643138"/>
    <s v="VAREJO NACIONAL AMAROK"/>
    <x v="8"/>
    <x v="10"/>
    <n v="212912.67685251267"/>
    <n v="170330.14148201013"/>
    <x v="2"/>
    <x v="0"/>
  </r>
  <r>
    <x v="22"/>
    <n v="237874"/>
    <n v="643197"/>
    <s v="ALWAYS ON"/>
    <x v="10"/>
    <x v="26"/>
    <n v="486423.95164612192"/>
    <n v="389139.16131689755"/>
    <x v="0"/>
    <x v="0"/>
  </r>
  <r>
    <x v="22"/>
    <n v="237875"/>
    <n v="643198"/>
    <s v="ALWAYS ON"/>
    <x v="10"/>
    <x v="14"/>
    <n v="2471799.0936005814"/>
    <n v="1977439.2748804651"/>
    <x v="0"/>
    <x v="0"/>
  </r>
  <r>
    <x v="22"/>
    <n v="237877"/>
    <n v="643200"/>
    <s v="ALWAYS ON"/>
    <x v="10"/>
    <x v="9"/>
    <n v="2464716.6350887655"/>
    <n v="1971773.3080710126"/>
    <x v="0"/>
    <x v="0"/>
  </r>
  <r>
    <x v="22"/>
    <n v="237879"/>
    <n v="643202"/>
    <s v="ALWAYS ON"/>
    <x v="10"/>
    <x v="13"/>
    <n v="762137.18338855228"/>
    <n v="609709.74671084189"/>
    <x v="0"/>
    <x v="0"/>
  </r>
  <r>
    <x v="22"/>
    <n v="237880"/>
    <n v="643203"/>
    <s v="ALWAYS ON"/>
    <x v="10"/>
    <x v="6"/>
    <n v="2164934.5520897629"/>
    <n v="1731947.6416718103"/>
    <x v="0"/>
    <x v="0"/>
  </r>
  <r>
    <x v="22"/>
    <n v="237881"/>
    <n v="643205"/>
    <s v="ALWAYS ON"/>
    <x v="10"/>
    <x v="16"/>
    <n v="261430.44149130333"/>
    <n v="209144.35319304268"/>
    <x v="0"/>
    <x v="0"/>
  </r>
  <r>
    <x v="22"/>
    <n v="237882"/>
    <n v="643206"/>
    <s v="ALWAYS ON"/>
    <x v="10"/>
    <x v="15"/>
    <n v="104140.03360876664"/>
    <n v="83312.026887013315"/>
    <x v="0"/>
    <x v="0"/>
  </r>
  <r>
    <x v="22"/>
    <n v="237883"/>
    <n v="643207"/>
    <s v="ALWAYS ON"/>
    <x v="10"/>
    <x v="15"/>
    <n v="36210.963670728299"/>
    <n v="28968.770936582641"/>
    <x v="0"/>
    <x v="0"/>
  </r>
  <r>
    <x v="22"/>
    <n v="237884"/>
    <n v="643208"/>
    <s v="ALWAYS ON"/>
    <x v="10"/>
    <x v="17"/>
    <n v="25650.879294396364"/>
    <n v="20520.703435517091"/>
    <x v="0"/>
    <x v="0"/>
  </r>
  <r>
    <x v="22"/>
    <n v="237886"/>
    <n v="643213"/>
    <s v="VAREJO NACIONAL CARS"/>
    <x v="11"/>
    <x v="9"/>
    <n v="298609.8678566665"/>
    <n v="238887.89428533323"/>
    <x v="4"/>
    <x v="0"/>
  </r>
  <r>
    <x v="22"/>
    <n v="237889"/>
    <n v="643216"/>
    <s v="VAREJO NACIONAL CARS"/>
    <x v="11"/>
    <x v="6"/>
    <n v="229221234.71914878"/>
    <n v="183376987.77531904"/>
    <x v="4"/>
    <x v="0"/>
  </r>
  <r>
    <x v="22"/>
    <n v="237890"/>
    <n v="643217"/>
    <s v="VAREJO NACIONAL CARS"/>
    <x v="11"/>
    <x v="16"/>
    <n v="95158.615746581621"/>
    <n v="76126.892597265294"/>
    <x v="4"/>
    <x v="0"/>
  </r>
  <r>
    <x v="22"/>
    <n v="237891"/>
    <n v="643218"/>
    <s v="VAREJO NACIONAL CARS"/>
    <x v="11"/>
    <x v="15"/>
    <n v="152883.30850925355"/>
    <n v="122306.64680740284"/>
    <x v="4"/>
    <x v="0"/>
  </r>
  <r>
    <x v="22"/>
    <n v="237892"/>
    <n v="643219"/>
    <s v="VAREJO NACIONAL CARS"/>
    <x v="11"/>
    <x v="15"/>
    <n v="14679.931081393252"/>
    <n v="11743.944865114601"/>
    <x v="4"/>
    <x v="0"/>
  </r>
  <r>
    <x v="22"/>
    <n v="237907"/>
    <n v="643241"/>
    <s v="P. VAREJO (R3)"/>
    <x v="6"/>
    <x v="9"/>
    <n v="50184.559613595447"/>
    <n v="40147.647690876358"/>
    <x v="4"/>
    <x v="0"/>
  </r>
  <r>
    <x v="22"/>
    <n v="237908"/>
    <n v="643242"/>
    <s v="P. VAREJO (R3)"/>
    <x v="6"/>
    <x v="16"/>
    <n v="32.69037607341113"/>
    <n v="26.152300858728907"/>
    <x v="4"/>
    <x v="0"/>
  </r>
  <r>
    <x v="22"/>
    <n v="237969"/>
    <n v="643473"/>
    <s v="VAREJO NACIONAL CARS"/>
    <x v="11"/>
    <x v="10"/>
    <n v="126056.27389457203"/>
    <n v="100845.01911565763"/>
    <x v="4"/>
    <x v="0"/>
  </r>
  <r>
    <x v="22"/>
    <n v="237972"/>
    <n v="643476"/>
    <s v="BRANDED CONTENT"/>
    <x v="12"/>
    <x v="14"/>
    <n v="6724.4239473141524"/>
    <n v="5379.5391578513227"/>
    <x v="0"/>
    <x v="0"/>
  </r>
  <r>
    <x v="22"/>
    <n v="237973"/>
    <n v="643477"/>
    <s v="BRANDED CONTENT"/>
    <x v="12"/>
    <x v="9"/>
    <n v="1087981.9187409698"/>
    <n v="870385.53499277588"/>
    <x v="0"/>
    <x v="0"/>
  </r>
  <r>
    <x v="22"/>
    <n v="237974"/>
    <n v="643478"/>
    <s v="BRANDED CONTENT"/>
    <x v="12"/>
    <x v="16"/>
    <n v="16833.834349722412"/>
    <n v="13467.06747977793"/>
    <x v="0"/>
    <x v="0"/>
  </r>
  <r>
    <x v="22"/>
    <n v="237980"/>
    <n v="643484"/>
    <s v="BRANDED CONTENT"/>
    <x v="12"/>
    <x v="17"/>
    <n v="15.799822092876575"/>
    <n v="12.639857674301261"/>
    <x v="0"/>
    <x v="0"/>
  </r>
  <r>
    <x v="22"/>
    <n v="238001"/>
    <n v="643511"/>
    <s v="ALWAYS ON"/>
    <x v="10"/>
    <x v="27"/>
    <n v="232880.059616477"/>
    <n v="186304.04769318161"/>
    <x v="0"/>
    <x v="0"/>
  </r>
  <r>
    <x v="22"/>
    <n v="237746"/>
    <n v="643046"/>
    <s v="PÓS-VENDAS"/>
    <x v="9"/>
    <x v="15"/>
    <n v="63.024133134820978"/>
    <n v="50.419306507856788"/>
    <x v="0"/>
    <x v="0"/>
  </r>
  <r>
    <x v="22"/>
    <n v="237747"/>
    <n v="643047"/>
    <s v="PÓS-VENDAS"/>
    <x v="9"/>
    <x v="17"/>
    <n v="746.64423162489902"/>
    <n v="597.31538529991928"/>
    <x v="0"/>
    <x v="0"/>
  </r>
  <r>
    <x v="22"/>
    <n v="237835"/>
    <n v="643138"/>
    <s v="VAREJO NACIONAL AMAROK"/>
    <x v="8"/>
    <x v="10"/>
    <n v="485046.64767733956"/>
    <n v="388037.31814187166"/>
    <x v="2"/>
    <x v="0"/>
  </r>
  <r>
    <x v="22"/>
    <n v="237874"/>
    <n v="643197"/>
    <s v="ALWAYS ON"/>
    <x v="10"/>
    <x v="26"/>
    <n v="39094.999450960218"/>
    <n v="31275.999560768178"/>
    <x v="0"/>
    <x v="0"/>
  </r>
  <r>
    <x v="22"/>
    <n v="237875"/>
    <n v="643198"/>
    <s v="ALWAYS ON"/>
    <x v="10"/>
    <x v="14"/>
    <n v="4862276.7043275116"/>
    <n v="3889821.3634620095"/>
    <x v="0"/>
    <x v="0"/>
  </r>
  <r>
    <x v="22"/>
    <n v="237877"/>
    <n v="643200"/>
    <s v="ALWAYS ON"/>
    <x v="10"/>
    <x v="9"/>
    <n v="3953936.2751510483"/>
    <n v="3163149.0201208387"/>
    <x v="0"/>
    <x v="0"/>
  </r>
  <r>
    <x v="22"/>
    <n v="237879"/>
    <n v="643202"/>
    <s v="ALWAYS ON"/>
    <x v="10"/>
    <x v="13"/>
    <n v="952299.14009637234"/>
    <n v="761839.31207709794"/>
    <x v="0"/>
    <x v="0"/>
  </r>
  <r>
    <x v="22"/>
    <n v="237880"/>
    <n v="643203"/>
    <s v="ALWAYS ON"/>
    <x v="10"/>
    <x v="6"/>
    <n v="716163.86146019015"/>
    <n v="572931.08916815219"/>
    <x v="0"/>
    <x v="0"/>
  </r>
  <r>
    <x v="22"/>
    <n v="237881"/>
    <n v="643205"/>
    <s v="ALWAYS ON"/>
    <x v="10"/>
    <x v="16"/>
    <n v="261347.43391496741"/>
    <n v="209077.94713197392"/>
    <x v="0"/>
    <x v="0"/>
  </r>
  <r>
    <x v="22"/>
    <n v="237882"/>
    <n v="643206"/>
    <s v="ALWAYS ON"/>
    <x v="10"/>
    <x v="15"/>
    <n v="115199.91897759412"/>
    <n v="92159.935182075307"/>
    <x v="0"/>
    <x v="0"/>
  </r>
  <r>
    <x v="22"/>
    <n v="237883"/>
    <n v="643207"/>
    <s v="ALWAYS ON"/>
    <x v="10"/>
    <x v="15"/>
    <n v="27212.452359727613"/>
    <n v="21769.96188778209"/>
    <x v="0"/>
    <x v="0"/>
  </r>
  <r>
    <x v="22"/>
    <n v="237884"/>
    <n v="643208"/>
    <s v="ALWAYS ON"/>
    <x v="10"/>
    <x v="17"/>
    <n v="7496.7543107183064"/>
    <n v="5997.4034485746452"/>
    <x v="0"/>
    <x v="0"/>
  </r>
  <r>
    <x v="20"/>
    <n v="237886"/>
    <n v="643213"/>
    <s v="VAREJO NACIONAL CARS"/>
    <x v="11"/>
    <x v="9"/>
    <n v="618538.08516340645"/>
    <n v="494830.4681307252"/>
    <x v="4"/>
    <x v="0"/>
  </r>
  <r>
    <x v="20"/>
    <n v="237889"/>
    <n v="643216"/>
    <s v="VAREJO NACIONAL CARS"/>
    <x v="11"/>
    <x v="6"/>
    <n v="1675089.2882391105"/>
    <n v="1340071.4305912885"/>
    <x v="4"/>
    <x v="0"/>
  </r>
  <r>
    <x v="20"/>
    <n v="237890"/>
    <n v="643217"/>
    <s v="VAREJO NACIONAL CARS"/>
    <x v="11"/>
    <x v="16"/>
    <n v="52205.654912097525"/>
    <n v="41764.52392967802"/>
    <x v="4"/>
    <x v="0"/>
  </r>
  <r>
    <x v="20"/>
    <n v="237891"/>
    <n v="643218"/>
    <s v="VAREJO NACIONAL CARS"/>
    <x v="11"/>
    <x v="15"/>
    <n v="135165.27970421291"/>
    <n v="108132.22376337033"/>
    <x v="4"/>
    <x v="0"/>
  </r>
  <r>
    <x v="20"/>
    <n v="237892"/>
    <n v="643219"/>
    <s v="VAREJO NACIONAL CARS"/>
    <x v="11"/>
    <x v="15"/>
    <n v="165226.03531445938"/>
    <n v="132180.82825156752"/>
    <x v="4"/>
    <x v="0"/>
  </r>
  <r>
    <x v="20"/>
    <n v="237907"/>
    <n v="643241"/>
    <s v="P. VAREJO (R3)"/>
    <x v="6"/>
    <x v="9"/>
    <n v="21186.081830685776"/>
    <n v="16948.86546454862"/>
    <x v="4"/>
    <x v="0"/>
  </r>
  <r>
    <x v="20"/>
    <n v="237908"/>
    <n v="643242"/>
    <s v="P. VAREJO (R3)"/>
    <x v="6"/>
    <x v="16"/>
    <n v="178.47099403723439"/>
    <n v="142.77679522978752"/>
    <x v="4"/>
    <x v="0"/>
  </r>
  <r>
    <x v="20"/>
    <n v="237969"/>
    <n v="643473"/>
    <s v="VAREJO NACIONAL CARS"/>
    <x v="11"/>
    <x v="10"/>
    <n v="276666.61091952317"/>
    <n v="221333.28873561855"/>
    <x v="4"/>
    <x v="0"/>
  </r>
  <r>
    <x v="20"/>
    <n v="237972"/>
    <n v="643476"/>
    <s v="BRANDED CONTENT"/>
    <x v="12"/>
    <x v="14"/>
    <n v="12035.755107343943"/>
    <n v="9628.6040858751549"/>
    <x v="0"/>
    <x v="0"/>
  </r>
  <r>
    <x v="20"/>
    <n v="237973"/>
    <n v="643477"/>
    <s v="BRANDED CONTENT"/>
    <x v="12"/>
    <x v="9"/>
    <n v="395683.75895643083"/>
    <n v="316547.00716514466"/>
    <x v="0"/>
    <x v="0"/>
  </r>
  <r>
    <x v="20"/>
    <n v="237974"/>
    <n v="643478"/>
    <s v="BRANDED CONTENT"/>
    <x v="12"/>
    <x v="16"/>
    <n v="8880.5055443404872"/>
    <n v="7104.4044354723901"/>
    <x v="0"/>
    <x v="0"/>
  </r>
  <r>
    <x v="20"/>
    <n v="237980"/>
    <n v="643484"/>
    <s v="BRANDED CONTENT"/>
    <x v="12"/>
    <x v="17"/>
    <n v="26.039574846771078"/>
    <n v="20.831659877416865"/>
    <x v="0"/>
    <x v="0"/>
  </r>
  <r>
    <x v="20"/>
    <n v="238001"/>
    <n v="643511"/>
    <s v="ALWAYS ON"/>
    <x v="10"/>
    <x v="27"/>
    <n v="261036.15874616549"/>
    <n v="208828.92699693239"/>
    <x v="0"/>
    <x v="0"/>
  </r>
  <r>
    <x v="12"/>
    <n v="237972"/>
    <n v="643476"/>
    <s v="BRANDED CONTENT"/>
    <x v="12"/>
    <x v="14"/>
    <n v="14875.82420778177"/>
    <n v="11900.659366225416"/>
    <x v="0"/>
    <x v="0"/>
  </r>
  <r>
    <x v="12"/>
    <n v="237973"/>
    <n v="643477"/>
    <s v="BRANDED CONTENT"/>
    <x v="12"/>
    <x v="9"/>
    <n v="1310389.5445489951"/>
    <n v="1048311.6356391961"/>
    <x v="0"/>
    <x v="0"/>
  </r>
  <r>
    <x v="12"/>
    <n v="237974"/>
    <n v="643478"/>
    <s v="BRANDED CONTENT"/>
    <x v="12"/>
    <x v="16"/>
    <n v="10015.996121861748"/>
    <n v="8012.7968974893993"/>
    <x v="0"/>
    <x v="0"/>
  </r>
  <r>
    <x v="12"/>
    <n v="237980"/>
    <n v="643484"/>
    <s v="BRANDED CONTENT"/>
    <x v="12"/>
    <x v="17"/>
    <n v="32.940032524945032"/>
    <n v="26.352026019956028"/>
    <x v="0"/>
    <x v="0"/>
  </r>
  <r>
    <x v="12"/>
    <n v="238001"/>
    <n v="643511"/>
    <s v="ALWAYS ON"/>
    <x v="10"/>
    <x v="27"/>
    <n v="276133.3891885617"/>
    <n v="220906.71135084936"/>
    <x v="0"/>
    <x v="0"/>
  </r>
  <r>
    <x v="12"/>
    <n v="237736"/>
    <n v="643033"/>
    <s v="PÓS-VENDAS"/>
    <x v="9"/>
    <x v="14"/>
    <n v="146531.27523710168"/>
    <n v="117225.02018968135"/>
    <x v="0"/>
    <x v="0"/>
  </r>
  <r>
    <x v="12"/>
    <n v="237738"/>
    <n v="643039"/>
    <s v="PÓS-VENDAS"/>
    <x v="9"/>
    <x v="25"/>
    <n v="890932.84791814769"/>
    <n v="712746.2783345182"/>
    <x v="0"/>
    <x v="0"/>
  </r>
  <r>
    <x v="12"/>
    <n v="237739"/>
    <n v="643035"/>
    <s v="PÓS-VENDAS"/>
    <x v="9"/>
    <x v="6"/>
    <n v="236062.26756851847"/>
    <n v="188849.81405481478"/>
    <x v="0"/>
    <x v="0"/>
  </r>
  <r>
    <x v="12"/>
    <n v="237743"/>
    <n v="643042"/>
    <s v="PÓS-VENDAS"/>
    <x v="9"/>
    <x v="16"/>
    <n v="186.46726741287395"/>
    <n v="149.17381393029916"/>
    <x v="0"/>
    <x v="0"/>
  </r>
  <r>
    <x v="12"/>
    <n v="237744"/>
    <n v="643043"/>
    <s v="PÓS-VENDAS"/>
    <x v="9"/>
    <x v="15"/>
    <n v="68233.953503473575"/>
    <n v="54587.162802778861"/>
    <x v="0"/>
    <x v="0"/>
  </r>
  <r>
    <x v="12"/>
    <n v="237745"/>
    <n v="643045"/>
    <s v="PÓS-VENDAS"/>
    <x v="9"/>
    <x v="9"/>
    <n v="140136.70374494905"/>
    <n v="112109.36299595924"/>
    <x v="0"/>
    <x v="0"/>
  </r>
  <r>
    <x v="12"/>
    <n v="237746"/>
    <n v="643046"/>
    <s v="PÓS-VENDAS"/>
    <x v="9"/>
    <x v="15"/>
    <n v="561.10601948167721"/>
    <n v="448.88481558534181"/>
    <x v="0"/>
    <x v="0"/>
  </r>
  <r>
    <x v="12"/>
    <n v="237747"/>
    <n v="643047"/>
    <s v="PÓS-VENDAS"/>
    <x v="9"/>
    <x v="17"/>
    <n v="382.81078789338522"/>
    <n v="306.24863031470818"/>
    <x v="0"/>
    <x v="0"/>
  </r>
  <r>
    <x v="12"/>
    <n v="237835"/>
    <n v="643138"/>
    <s v="VAREJO NACIONAL AMAROK"/>
    <x v="8"/>
    <x v="10"/>
    <n v="266877.00347745261"/>
    <n v="213501.60278196211"/>
    <x v="2"/>
    <x v="0"/>
  </r>
  <r>
    <x v="12"/>
    <n v="237874"/>
    <n v="643197"/>
    <s v="ALWAYS ON"/>
    <x v="10"/>
    <x v="26"/>
    <n v="52287.176511667996"/>
    <n v="41829.741209334403"/>
    <x v="0"/>
    <x v="0"/>
  </r>
  <r>
    <x v="23"/>
    <n v="237875"/>
    <n v="643198"/>
    <s v="ALWAYS ON"/>
    <x v="10"/>
    <x v="14"/>
    <n v="2838723.1187341469"/>
    <n v="2270978.4949873178"/>
    <x v="0"/>
    <x v="0"/>
  </r>
  <r>
    <x v="23"/>
    <n v="237877"/>
    <n v="643200"/>
    <s v="ALWAYS ON"/>
    <x v="10"/>
    <x v="9"/>
    <n v="2502402.3806269169"/>
    <n v="2001921.9045015336"/>
    <x v="0"/>
    <x v="0"/>
  </r>
  <r>
    <x v="23"/>
    <n v="237879"/>
    <n v="643202"/>
    <s v="ALWAYS ON"/>
    <x v="10"/>
    <x v="13"/>
    <n v="3368769.623216738"/>
    <n v="2695015.6985733905"/>
    <x v="0"/>
    <x v="0"/>
  </r>
  <r>
    <x v="23"/>
    <n v="237880"/>
    <n v="643203"/>
    <s v="ALWAYS ON"/>
    <x v="10"/>
    <x v="6"/>
    <n v="564504.92516493925"/>
    <n v="451603.94013195141"/>
    <x v="0"/>
    <x v="0"/>
  </r>
  <r>
    <x v="23"/>
    <n v="237881"/>
    <n v="643205"/>
    <s v="ALWAYS ON"/>
    <x v="10"/>
    <x v="16"/>
    <n v="200092.88683014916"/>
    <n v="160074.30946411935"/>
    <x v="0"/>
    <x v="0"/>
  </r>
  <r>
    <x v="23"/>
    <n v="237882"/>
    <n v="643206"/>
    <s v="ALWAYS ON"/>
    <x v="10"/>
    <x v="15"/>
    <n v="57988.526147207507"/>
    <n v="46390.82091776601"/>
    <x v="0"/>
    <x v="0"/>
  </r>
  <r>
    <x v="23"/>
    <n v="237883"/>
    <n v="643207"/>
    <s v="ALWAYS ON"/>
    <x v="10"/>
    <x v="15"/>
    <n v="64262.0641232091"/>
    <n v="51409.651298567282"/>
    <x v="0"/>
    <x v="0"/>
  </r>
  <r>
    <x v="23"/>
    <n v="237884"/>
    <n v="643208"/>
    <s v="ALWAYS ON"/>
    <x v="10"/>
    <x v="17"/>
    <n v="22606.415874664435"/>
    <n v="18085.132699731548"/>
    <x v="0"/>
    <x v="0"/>
  </r>
  <r>
    <x v="23"/>
    <n v="237886"/>
    <n v="643213"/>
    <s v="VAREJO NACIONAL CARS"/>
    <x v="11"/>
    <x v="9"/>
    <n v="277360.13255301892"/>
    <n v="221888.10604241514"/>
    <x v="4"/>
    <x v="0"/>
  </r>
  <r>
    <x v="23"/>
    <n v="237889"/>
    <n v="643216"/>
    <s v="VAREJO NACIONAL CARS"/>
    <x v="11"/>
    <x v="6"/>
    <n v="2950698.0571848117"/>
    <n v="2360558.4457478495"/>
    <x v="4"/>
    <x v="0"/>
  </r>
  <r>
    <x v="23"/>
    <n v="237890"/>
    <n v="643217"/>
    <s v="VAREJO NACIONAL CARS"/>
    <x v="11"/>
    <x v="16"/>
    <n v="95208.209351922371"/>
    <n v="76166.567481537902"/>
    <x v="4"/>
    <x v="0"/>
  </r>
  <r>
    <x v="23"/>
    <n v="237891"/>
    <n v="643218"/>
    <s v="VAREJO NACIONAL CARS"/>
    <x v="11"/>
    <x v="15"/>
    <n v="97264.243585125543"/>
    <n v="77811.39486810044"/>
    <x v="4"/>
    <x v="0"/>
  </r>
  <r>
    <x v="23"/>
    <n v="237892"/>
    <n v="643219"/>
    <s v="VAREJO NACIONAL CARS"/>
    <x v="11"/>
    <x v="15"/>
    <n v="129707.8302085873"/>
    <n v="103766.26416686985"/>
    <x v="4"/>
    <x v="0"/>
  </r>
  <r>
    <x v="23"/>
    <n v="237907"/>
    <n v="643241"/>
    <s v="P. VAREJO (R3)"/>
    <x v="6"/>
    <x v="9"/>
    <n v="23749.923628491262"/>
    <n v="18999.938902793012"/>
    <x v="4"/>
    <x v="0"/>
  </r>
  <r>
    <x v="23"/>
    <n v="237908"/>
    <n v="643242"/>
    <s v="P. VAREJO (R3)"/>
    <x v="6"/>
    <x v="16"/>
    <n v="50.030339945323448"/>
    <n v="40.024271956258758"/>
    <x v="4"/>
    <x v="0"/>
  </r>
  <r>
    <x v="23"/>
    <n v="237969"/>
    <n v="643473"/>
    <s v="VAREJO NACIONAL CARS"/>
    <x v="11"/>
    <x v="10"/>
    <n v="187055.58679104017"/>
    <n v="149644.46943283215"/>
    <x v="4"/>
    <x v="0"/>
  </r>
  <r>
    <x v="23"/>
    <n v="237972"/>
    <n v="643476"/>
    <s v="BRANDED CONTENT"/>
    <x v="12"/>
    <x v="14"/>
    <n v="5333.0755573826773"/>
    <n v="4266.460445906142"/>
    <x v="0"/>
    <x v="0"/>
  </r>
  <r>
    <x v="23"/>
    <n v="237973"/>
    <n v="643477"/>
    <s v="BRANDED CONTENT"/>
    <x v="12"/>
    <x v="9"/>
    <n v="359014.69507398817"/>
    <n v="287211.75605919055"/>
    <x v="0"/>
    <x v="0"/>
  </r>
  <r>
    <x v="23"/>
    <n v="237974"/>
    <n v="643478"/>
    <s v="BRANDED CONTENT"/>
    <x v="12"/>
    <x v="16"/>
    <n v="17638.732812428174"/>
    <n v="14110.98624994254"/>
    <x v="0"/>
    <x v="0"/>
  </r>
  <r>
    <x v="23"/>
    <n v="237980"/>
    <n v="643484"/>
    <s v="BRANDED CONTENT"/>
    <x v="12"/>
    <x v="17"/>
    <n v="36.298864133912488"/>
    <n v="29.039091307129993"/>
    <x v="0"/>
    <x v="0"/>
  </r>
  <r>
    <x v="23"/>
    <n v="238001"/>
    <n v="643511"/>
    <s v="ALWAYS ON"/>
    <x v="10"/>
    <x v="27"/>
    <n v="193580.09437538165"/>
    <n v="154864.07550030533"/>
    <x v="0"/>
    <x v="0"/>
  </r>
  <r>
    <x v="23"/>
    <n v="237746"/>
    <n v="643046"/>
    <s v="PÓS-VENDAS"/>
    <x v="9"/>
    <x v="15"/>
    <n v="110.14235956888685"/>
    <n v="88.11388765510948"/>
    <x v="0"/>
    <x v="0"/>
  </r>
  <r>
    <x v="23"/>
    <n v="237747"/>
    <n v="643047"/>
    <s v="PÓS-VENDAS"/>
    <x v="9"/>
    <x v="17"/>
    <n v="397.60717406053965"/>
    <n v="318.08573924843176"/>
    <x v="0"/>
    <x v="0"/>
  </r>
  <r>
    <x v="23"/>
    <n v="237835"/>
    <n v="643138"/>
    <s v="VAREJO NACIONAL AMAROK"/>
    <x v="8"/>
    <x v="10"/>
    <n v="205747.67421926037"/>
    <n v="164598.1393754083"/>
    <x v="2"/>
    <x v="0"/>
  </r>
  <r>
    <x v="23"/>
    <n v="237874"/>
    <n v="643197"/>
    <s v="ALWAYS ON"/>
    <x v="10"/>
    <x v="26"/>
    <n v="1023712.5462492985"/>
    <n v="818970.03699943889"/>
    <x v="0"/>
    <x v="0"/>
  </r>
  <r>
    <x v="23"/>
    <n v="237875"/>
    <n v="643198"/>
    <s v="ALWAYS ON"/>
    <x v="10"/>
    <x v="14"/>
    <n v="1712966.4909581367"/>
    <n v="1370373.1927665095"/>
    <x v="0"/>
    <x v="0"/>
  </r>
  <r>
    <x v="23"/>
    <n v="237877"/>
    <n v="643200"/>
    <s v="ALWAYS ON"/>
    <x v="10"/>
    <x v="9"/>
    <n v="8778390.9510604497"/>
    <n v="7022712.7608483601"/>
    <x v="0"/>
    <x v="0"/>
  </r>
  <r>
    <x v="23"/>
    <n v="237879"/>
    <n v="643202"/>
    <s v="ALWAYS ON"/>
    <x v="10"/>
    <x v="13"/>
    <n v="1508486.8987683582"/>
    <n v="1206789.5190146866"/>
    <x v="0"/>
    <x v="0"/>
  </r>
  <r>
    <x v="23"/>
    <n v="237880"/>
    <n v="643203"/>
    <s v="ALWAYS ON"/>
    <x v="10"/>
    <x v="6"/>
    <n v="539895.94778794574"/>
    <n v="431916.75823035662"/>
    <x v="0"/>
    <x v="0"/>
  </r>
  <r>
    <x v="12"/>
    <n v="237881"/>
    <n v="643205"/>
    <s v="ALWAYS ON"/>
    <x v="10"/>
    <x v="16"/>
    <n v="46444.884098036964"/>
    <n v="37155.907278429571"/>
    <x v="0"/>
    <x v="0"/>
  </r>
  <r>
    <x v="12"/>
    <n v="237882"/>
    <n v="643206"/>
    <s v="ALWAYS ON"/>
    <x v="10"/>
    <x v="15"/>
    <n v="301208.27298058255"/>
    <n v="240966.61838446604"/>
    <x v="0"/>
    <x v="0"/>
  </r>
  <r>
    <x v="12"/>
    <n v="237883"/>
    <n v="643207"/>
    <s v="ALWAYS ON"/>
    <x v="10"/>
    <x v="15"/>
    <n v="30932.173923062146"/>
    <n v="24745.739138449717"/>
    <x v="0"/>
    <x v="0"/>
  </r>
  <r>
    <x v="12"/>
    <n v="237884"/>
    <n v="643208"/>
    <s v="ALWAYS ON"/>
    <x v="10"/>
    <x v="17"/>
    <n v="69560.204544558306"/>
    <n v="55648.163635646648"/>
    <x v="0"/>
    <x v="0"/>
  </r>
  <r>
    <x v="12"/>
    <n v="237886"/>
    <n v="643213"/>
    <s v="VAREJO NACIONAL CARS"/>
    <x v="11"/>
    <x v="9"/>
    <n v="584245.32406431995"/>
    <n v="467396.25925145601"/>
    <x v="4"/>
    <x v="0"/>
  </r>
  <r>
    <x v="12"/>
    <n v="237889"/>
    <n v="643216"/>
    <s v="VAREJO NACIONAL CARS"/>
    <x v="11"/>
    <x v="6"/>
    <n v="1583685.367441809"/>
    <n v="1266948.2939534474"/>
    <x v="4"/>
    <x v="0"/>
  </r>
  <r>
    <x v="12"/>
    <n v="237890"/>
    <n v="643217"/>
    <s v="VAREJO NACIONAL CARS"/>
    <x v="11"/>
    <x v="16"/>
    <n v="189445.40817064024"/>
    <n v="151556.32653651221"/>
    <x v="4"/>
    <x v="0"/>
  </r>
  <r>
    <x v="12"/>
    <n v="237891"/>
    <n v="643218"/>
    <s v="VAREJO NACIONAL CARS"/>
    <x v="11"/>
    <x v="15"/>
    <n v="281840.80413628923"/>
    <n v="225472.64330903138"/>
    <x v="4"/>
    <x v="0"/>
  </r>
  <r>
    <x v="12"/>
    <n v="237892"/>
    <n v="643219"/>
    <s v="VAREJO NACIONAL CARS"/>
    <x v="11"/>
    <x v="15"/>
    <n v="175046.96322911861"/>
    <n v="140037.5705832949"/>
    <x v="4"/>
    <x v="0"/>
  </r>
  <r>
    <x v="12"/>
    <n v="237907"/>
    <n v="643241"/>
    <s v="P. VAREJO (R3)"/>
    <x v="6"/>
    <x v="9"/>
    <n v="24253.976945613937"/>
    <n v="19403.181556491149"/>
    <x v="4"/>
    <x v="0"/>
  </r>
  <r>
    <x v="12"/>
    <n v="237908"/>
    <n v="643242"/>
    <s v="P. VAREJO (R3)"/>
    <x v="6"/>
    <x v="16"/>
    <n v="29.779662358532718"/>
    <n v="23.823729886826175"/>
    <x v="4"/>
    <x v="0"/>
  </r>
  <r>
    <x v="12"/>
    <n v="237969"/>
    <n v="643473"/>
    <s v="VAREJO NACIONAL CARS"/>
    <x v="11"/>
    <x v="10"/>
    <n v="627197.02647054312"/>
    <n v="501757.62117643451"/>
    <x v="4"/>
    <x v="0"/>
  </r>
  <r>
    <x v="12"/>
    <n v="237972"/>
    <n v="643476"/>
    <s v="BRANDED CONTENT"/>
    <x v="12"/>
    <x v="14"/>
    <n v="12710.30263950882"/>
    <n v="10168.242111607056"/>
    <x v="0"/>
    <x v="0"/>
  </r>
  <r>
    <x v="12"/>
    <n v="237973"/>
    <n v="643477"/>
    <s v="BRANDED CONTENT"/>
    <x v="12"/>
    <x v="9"/>
    <n v="808736.27482778474"/>
    <n v="646989.01986222784"/>
    <x v="0"/>
    <x v="0"/>
  </r>
  <r>
    <x v="12"/>
    <n v="237974"/>
    <n v="643478"/>
    <s v="BRANDED CONTENT"/>
    <x v="12"/>
    <x v="16"/>
    <n v="14507.477098010901"/>
    <n v="11605.981678408722"/>
    <x v="0"/>
    <x v="0"/>
  </r>
  <r>
    <x v="12"/>
    <n v="237980"/>
    <n v="643484"/>
    <s v="BRANDED CONTENT"/>
    <x v="12"/>
    <x v="17"/>
    <n v="422.293518057021"/>
    <n v="337.83481444561681"/>
    <x v="0"/>
    <x v="0"/>
  </r>
  <r>
    <x v="12"/>
    <n v="238001"/>
    <n v="643511"/>
    <s v="ALWAYS ON"/>
    <x v="10"/>
    <x v="27"/>
    <n v="131386.42437567792"/>
    <n v="105109.13950054234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67F74-46B4-4976-871A-30EDF756EEB3}" name="Tabela dinâmica1" cacheId="0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>
  <location ref="A3:L13" firstHeaderRow="1" firstDataRow="2" firstDataCol="1" rowPageCount="1" colPageCount="1"/>
  <pivotFields count="12">
    <pivotField name="Período - Meses"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14">
        <item x="10"/>
        <item x="6"/>
        <item x="5"/>
        <item x="2"/>
        <item x="7"/>
        <item x="4"/>
        <item x="9"/>
        <item x="1"/>
        <item x="11"/>
        <item x="12"/>
        <item x="3"/>
        <item x="8"/>
        <item x="0"/>
        <item t="default"/>
      </items>
    </pivotField>
    <pivotField showAll="0"/>
    <pivotField dataField="1" numFmtId="164" showAll="0"/>
    <pivotField numFmtId="164" showAll="0"/>
    <pivotField axis="axisRow" showAll="0">
      <items count="6">
        <item x="2"/>
        <item sd="0" x="3"/>
        <item sd="0" x="0"/>
        <item sd="0" x="1"/>
        <item sd="0" x="4"/>
        <item t="default"/>
      </items>
    </pivotField>
    <pivotField showAll="0"/>
    <pivotField name="Período - Anos" axis="axisPage" showAll="0">
      <items count="5">
        <item sd="0" x="0"/>
        <item sd="0" x="1"/>
        <item x="2"/>
        <item x="3"/>
        <item t="default"/>
      </items>
    </pivotField>
    <pivotField dragToRow="0" dragToCol="0" dragToPage="0" showAll="0" defaultSubtotal="0"/>
  </pivotFields>
  <rowFields count="2">
    <field x="8"/>
    <field x="4"/>
  </rowFields>
  <rowItems count="9">
    <i>
      <x/>
    </i>
    <i r="1">
      <x v="4"/>
    </i>
    <i r="1">
      <x v="5"/>
    </i>
    <i r="1">
      <x v="11"/>
    </i>
    <i>
      <x v="1"/>
    </i>
    <i>
      <x v="2"/>
    </i>
    <i>
      <x v="3"/>
    </i>
    <i>
      <x v="4"/>
    </i>
    <i t="grand">
      <x/>
    </i>
  </rowItems>
  <colFields count="1">
    <field x="0"/>
  </colFields>
  <colItems count="11"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0" hier="-1"/>
  </pageFields>
  <dataFields count="1">
    <dataField name="Soma de Valor Bruto 20%" fld="6" baseField="4" baseItem="4" numFmtId="165"/>
  </dataFields>
  <pivotTableStyleInfo name="PivotStyleMedium13" showRowHeaders="1" showColHeaders="1" showRowStripes="0" showColStripes="0" showLastColumn="1"/>
  <filters count="1">
    <filter fld="0" type="dateBetween" evalOrder="-1" id="42" name="Período">
      <autoFilter ref="A1">
        <filterColumn colId="0">
          <customFilters and="1">
            <customFilter operator="greaterThanOrEqual" val="43586"/>
            <customFilter operator="lessThanOrEqual" val="4389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CB827-0F4C-43A3-BC1E-DA498DEFC516}" name="Tabela dinâmica2" cacheId="0" applyNumberFormats="0" applyBorderFormats="0" applyFontFormats="0" applyPatternFormats="0" applyAlignmentFormats="0" applyWidthHeightFormats="1" dataCaption="Valores" updatedVersion="6" minRefreshableVersion="3" showDrill="0" useAutoFormatting="1" itemPrintTitles="1" createdVersion="6" indent="0" compact="0" compactData="0" multipleFieldFilters="0">
  <location ref="A1:E50" firstHeaderRow="0" firstDataRow="1" firstDataCol="2"/>
  <pivotFields count="12">
    <pivotField compact="0" numFmtId="1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sortType="descending" defaultSubtotal="0"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28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sortType="descending" defaultSubtotal="0">
      <items count="5">
        <item x="4"/>
        <item x="1"/>
        <item x="0"/>
        <item x="3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8"/>
    <field x="5"/>
  </rowFields>
  <rowItems count="49">
    <i>
      <x/>
      <x v="10"/>
    </i>
    <i r="1">
      <x v="4"/>
    </i>
    <i r="1">
      <x v="7"/>
    </i>
    <i r="1">
      <x v="25"/>
    </i>
    <i r="1">
      <x v="8"/>
    </i>
    <i r="1">
      <x v="5"/>
    </i>
    <i>
      <x v="1"/>
      <x v="19"/>
    </i>
    <i r="1">
      <x v="20"/>
    </i>
    <i>
      <x v="2"/>
      <x v="10"/>
    </i>
    <i r="1">
      <x v="4"/>
    </i>
    <i r="1">
      <x v="12"/>
    </i>
    <i r="1">
      <x v="11"/>
    </i>
    <i r="1">
      <x v="18"/>
    </i>
    <i r="1">
      <x v="17"/>
    </i>
    <i r="1">
      <x v="7"/>
    </i>
    <i r="1">
      <x v="8"/>
    </i>
    <i r="1">
      <x v="2"/>
    </i>
    <i r="1">
      <x v="6"/>
    </i>
    <i r="1">
      <x v="1"/>
    </i>
    <i r="1">
      <x v="9"/>
    </i>
    <i r="1">
      <x v="15"/>
    </i>
    <i r="1">
      <x v="3"/>
    </i>
    <i r="1">
      <x/>
    </i>
    <i r="1">
      <x v="16"/>
    </i>
    <i r="1">
      <x v="21"/>
    </i>
    <i r="1">
      <x v="23"/>
    </i>
    <i>
      <x v="3"/>
      <x v="22"/>
    </i>
    <i r="1">
      <x v="14"/>
    </i>
    <i r="1">
      <x v="10"/>
    </i>
    <i r="1">
      <x v="4"/>
    </i>
    <i r="1">
      <x v="11"/>
    </i>
    <i r="1">
      <x v="25"/>
    </i>
    <i r="1">
      <x v="7"/>
    </i>
    <i r="1">
      <x v="24"/>
    </i>
    <i r="1">
      <x v="26"/>
    </i>
    <i r="1">
      <x v="12"/>
    </i>
    <i r="1">
      <x v="27"/>
    </i>
    <i r="1">
      <x v="8"/>
    </i>
    <i r="1">
      <x v="9"/>
    </i>
    <i>
      <x v="4"/>
      <x v="4"/>
    </i>
    <i r="1">
      <x v="25"/>
    </i>
    <i r="1">
      <x v="10"/>
    </i>
    <i r="1">
      <x v="19"/>
    </i>
    <i r="1">
      <x v="14"/>
    </i>
    <i r="1">
      <x v="13"/>
    </i>
    <i r="1">
      <x v="11"/>
    </i>
    <i r="1">
      <x v="7"/>
    </i>
    <i r="1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Bruto 20%" fld="6" baseField="8" baseItem="0" numFmtId="165"/>
    <dataField name="Soma de Valor Líquido" fld="7" baseField="8" baseItem="0" numFmtId="165"/>
    <dataField name="Contagem de Nº PI" fld="2" subtotal="count" baseField="5" baseItem="4"/>
  </dataField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3FEDC-FFF9-4D90-B1A6-4E1C2CAA9067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C7" firstHeaderRow="0" firstDataRow="1" firstDataCol="1"/>
  <pivotFields count="12">
    <pivotField numFmtId="14" showAll="0"/>
    <pivotField showAll="0"/>
    <pivotField showAll="0"/>
    <pivotField showAll="0"/>
    <pivotField showAll="0"/>
    <pivotField showAll="0">
      <items count="29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  <item t="default"/>
      </items>
    </pivotField>
    <pivotField dataField="1" numFmtId="43" showAll="0"/>
    <pivotField numFmtId="164"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 defaultSubtotal="0"/>
    <pivotField dragToRow="0" dragToCol="0" dragToPage="0" showAll="0" defaultSubtotal="0"/>
  </pivotFields>
  <rowFields count="1">
    <field x="8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Bruto 20%" fld="6" baseField="8" baseItem="0" numFmtId="165"/>
    <dataField name="Soma de Qtd Linha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A4188-9F34-437A-AE3C-7FEC5243035F}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G1:J7" firstHeaderRow="0" firstDataRow="1" firstDataCol="1"/>
  <pivotFields count="12">
    <pivotField numFmtId="14" showAll="0"/>
    <pivotField showAll="0"/>
    <pivotField showAll="0"/>
    <pivotField showAll="0"/>
    <pivotField showAll="0"/>
    <pivotField showAll="0"/>
    <pivotField dataField="1" numFmtId="43" showAll="0"/>
    <pivotField numFmtId="164" showAll="0"/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 defaultSubtotal="0"/>
    <pivotField dataField="1" dragToRow="0" dragToCol="0" dragToPage="0" showAll="0" defaultSubtotal="0"/>
  </pivotFields>
  <rowFields count="1">
    <field x="8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or Bruto 20%" fld="6" baseField="8" baseItem="0" numFmtId="165"/>
    <dataField name="Soma de Qtd Linha" fld="9" baseField="8" baseItem="0" numFmtId="165"/>
    <dataField name="Soma de Valor Médio do PI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6DC82-C59F-4586-90A2-B09B68B99A37}" name="Tabela dinâmica9" cacheId="0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>
  <location ref="D23:E33" firstHeaderRow="1" firstDataRow="1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 sortType="descending">
      <items count="14">
        <item x="10"/>
        <item x="6"/>
        <item x="5"/>
        <item x="2"/>
        <item x="7"/>
        <item x="4"/>
        <item x="9"/>
        <item x="1"/>
        <item x="11"/>
        <item x="12"/>
        <item x="3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9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3" showAll="0"/>
    <pivotField numFmtId="164" showAll="0"/>
    <pivotField showAll="0">
      <items count="6">
        <item x="2"/>
        <item h="1" x="3"/>
        <item h="1" x="0"/>
        <item h="1" x="1"/>
        <item h="1" x="4"/>
        <item t="default"/>
      </items>
    </pivotField>
    <pivotField showAll="0"/>
    <pivotField showAll="0" defaultSubtotal="0"/>
    <pivotField dragToRow="0" dragToCol="0" dragToPage="0" showAll="0" defaultSubtotal="0"/>
  </pivotFields>
  <rowFields count="1">
    <field x="5"/>
  </rowFields>
  <rowItems count="10">
    <i>
      <x v="4"/>
    </i>
    <i>
      <x v="25"/>
    </i>
    <i>
      <x v="10"/>
    </i>
    <i>
      <x v="19"/>
    </i>
    <i>
      <x v="14"/>
    </i>
    <i>
      <x v="13"/>
    </i>
    <i>
      <x v="11"/>
    </i>
    <i>
      <x v="7"/>
    </i>
    <i>
      <x v="8"/>
    </i>
    <i t="grand">
      <x/>
    </i>
  </rowItems>
  <colItems count="1">
    <i/>
  </colItems>
  <dataFields count="1">
    <dataField name="Soma de Valor Bruto 20%" fld="6" baseField="4" baseItem="2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A95D3-BF1C-4536-8BAA-9D534A29CC79}" name="Tabela dinâmica5" cacheId="0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>
  <location ref="B2:C6" firstHeaderRow="1" firstDataRow="1" firstDataCol="1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sortType="descending">
      <items count="14">
        <item x="10"/>
        <item x="6"/>
        <item x="5"/>
        <item x="2"/>
        <item x="7"/>
        <item x="4"/>
        <item x="9"/>
        <item x="1"/>
        <item x="11"/>
        <item x="12"/>
        <item x="3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9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  <item t="default"/>
      </items>
    </pivotField>
    <pivotField dataField="1" numFmtId="43" showAll="0"/>
    <pivotField numFmtId="164" showAll="0"/>
    <pivotField showAll="0">
      <items count="6">
        <item x="2"/>
        <item h="1" x="3"/>
        <item h="1" x="0"/>
        <item h="1" x="1"/>
        <item h="1" x="4"/>
        <item t="default"/>
      </items>
    </pivotField>
    <pivotField showAll="0"/>
    <pivotField showAll="0" defaultSubtotal="0"/>
    <pivotField dragToRow="0" dragToCol="0" dragToPage="0" showAll="0" defaultSubtotal="0"/>
  </pivotFields>
  <rowFields count="1">
    <field x="4"/>
  </rowFields>
  <rowItems count="4">
    <i>
      <x v="11"/>
    </i>
    <i>
      <x v="4"/>
    </i>
    <i>
      <x v="5"/>
    </i>
    <i t="grand">
      <x/>
    </i>
  </rowItems>
  <colItems count="1">
    <i/>
  </colItems>
  <dataFields count="1">
    <dataField name="Soma de Valor Bruto 20%" fld="6" baseField="4" baseItem="2" numFmtId="16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F6ABC-4C75-41EF-A388-95F4A943B8DB}" name="Tabela dinâmica8" cacheId="0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>
  <location ref="K2:K3" firstHeaderRow="1" firstDataRow="1" firstDataCol="0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14">
        <item x="10"/>
        <item x="6"/>
        <item x="5"/>
        <item x="2"/>
        <item x="7"/>
        <item x="4"/>
        <item x="9"/>
        <item x="1"/>
        <item x="11"/>
        <item x="12"/>
        <item x="3"/>
        <item x="8"/>
        <item x="0"/>
        <item t="default"/>
      </items>
    </pivotField>
    <pivotField showAll="0">
      <items count="29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  <item t="default"/>
      </items>
    </pivotField>
    <pivotField numFmtId="43" showAll="0"/>
    <pivotField numFmtId="164" showAll="0"/>
    <pivotField showAll="0">
      <items count="6">
        <item x="2"/>
        <item h="1" x="3"/>
        <item h="1" x="0"/>
        <item h="1" x="1"/>
        <item h="1" x="4"/>
        <item t="default"/>
      </items>
    </pivotField>
    <pivotField showAll="0">
      <items count="2">
        <item x="0"/>
        <item t="default"/>
      </items>
    </pivotField>
    <pivotField showAll="0" defaultSubtotal="0"/>
    <pivotField dataField="1" dragToRow="0" dragToCol="0" dragToPage="0" showAll="0" defaultSubtotal="0"/>
  </pivotFields>
  <rowItems count="1">
    <i/>
  </rowItems>
  <colItems count="1">
    <i/>
  </colItems>
  <dataFields count="1">
    <dataField name="Valor Médio do PI " fld="11" baseField="0" baseItem="0" numFmtId="3"/>
  </dataFields>
  <formats count="6"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17175F-3BA7-49C5-B4DA-1AB80F11C908}" name="Tabela dinâmica6" cacheId="0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>
  <location ref="G2:G3" firstHeaderRow="1" firstDataRow="1" firstDataCol="0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 sortType="descending">
      <items count="14">
        <item x="10"/>
        <item x="6"/>
        <item x="5"/>
        <item x="2"/>
        <item x="7"/>
        <item x="4"/>
        <item x="9"/>
        <item x="1"/>
        <item x="11"/>
        <item x="12"/>
        <item x="3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9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  <item t="default"/>
      </items>
    </pivotField>
    <pivotField dataField="1" numFmtId="43" showAll="0"/>
    <pivotField numFmtId="164" showAll="0"/>
    <pivotField showAll="0">
      <items count="6">
        <item x="2"/>
        <item h="1" x="3"/>
        <item h="1" x="0"/>
        <item h="1" x="1"/>
        <item h="1" x="4"/>
        <item t="default"/>
      </items>
    </pivotField>
    <pivotField showAll="0"/>
    <pivotField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Valor Bruto 20% " fld="6" baseField="0" baseItem="0" numFmtId="165"/>
  </dataFields>
  <formats count="6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49E86-63B2-4DE9-A022-E1B8455C09CE}" name="Tabela dinâmica7" cacheId="0" applyNumberFormats="0" applyBorderFormats="0" applyFontFormats="0" applyPatternFormats="0" applyAlignmentFormats="0" applyWidthHeightFormats="1" dataCaption="Valores" updatedVersion="6" minRefreshableVersion="5" itemPrintTitles="1" createdVersion="6" indent="0" outline="1" outlineData="1" multipleFieldFilters="0" chartFormat="1">
  <location ref="I2:I3" firstHeaderRow="1" firstDataRow="1" firstDataCol="0"/>
  <pivotFields count="12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14">
        <item x="10"/>
        <item x="6"/>
        <item x="5"/>
        <item x="2"/>
        <item x="7"/>
        <item x="4"/>
        <item x="9"/>
        <item x="1"/>
        <item x="11"/>
        <item x="12"/>
        <item x="3"/>
        <item x="8"/>
        <item x="0"/>
        <item t="default"/>
      </items>
    </pivotField>
    <pivotField showAll="0">
      <items count="29">
        <item x="23"/>
        <item x="2"/>
        <item x="26"/>
        <item x="22"/>
        <item x="9"/>
        <item x="18"/>
        <item x="1"/>
        <item x="15"/>
        <item x="16"/>
        <item x="17"/>
        <item x="6"/>
        <item x="13"/>
        <item x="14"/>
        <item x="21"/>
        <item x="5"/>
        <item x="20"/>
        <item x="24"/>
        <item x="25"/>
        <item x="27"/>
        <item x="3"/>
        <item x="19"/>
        <item x="0"/>
        <item x="12"/>
        <item x="4"/>
        <item x="11"/>
        <item x="10"/>
        <item x="7"/>
        <item x="8"/>
        <item t="default"/>
      </items>
    </pivotField>
    <pivotField numFmtId="43" showAll="0"/>
    <pivotField numFmtId="164" showAll="0"/>
    <pivotField showAll="0">
      <items count="6">
        <item x="2"/>
        <item h="1" x="3"/>
        <item h="1" x="0"/>
        <item h="1" x="1"/>
        <item h="1" x="4"/>
        <item t="default"/>
      </items>
    </pivotField>
    <pivotField dataField="1" showAll="0">
      <items count="2">
        <item x="0"/>
        <item t="default"/>
      </items>
    </pivotField>
    <pivotField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Qtd PIs" fld="9" baseField="0" baseItem="0"/>
  </dataFields>
  <formats count="4">
    <format dxfId="15">
      <pivotArea dataOnly="0" labelOnly="1" outline="0" axis="axisValues" fieldPosition="0"/>
    </format>
    <format dxfId="14">
      <pivotArea outline="0" collapsedLevelsAreSubtotals="1" fieldPosition="0"/>
    </format>
    <format dxfId="13">
      <pivotArea outline="0" collapsedLevelsAreSubtotals="1" fieldPosition="0"/>
    </format>
    <format dxfId="12">
      <pivotArea outline="0" collapsedLevelsAreSubtotals="1" fieldPosition="0"/>
    </format>
  </formats>
  <pivotTableStyleInfo name="PivotStyleLight16"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_ok" xr10:uid="{2E01270A-4EC5-4618-B2DE-8F9254572BDF}" sourceName="Produto ok">
  <pivotTables>
    <pivotTable tabId="13" name="Tabela dinâmica9"/>
    <pivotTable tabId="14" name="Tabela dinâmica5"/>
    <pivotTable tabId="14" name="Tabela dinâmica8"/>
    <pivotTable tabId="14" name="Tabela dinâmica7"/>
    <pivotTable tabId="14" name="Tabela dinâmica6"/>
  </pivotTables>
  <data>
    <tabular pivotCacheId="749078598">
      <items count="5">
        <i x="2" s="1"/>
        <i x="3"/>
        <i x="0"/>
        <i x="1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to ok" xr10:uid="{841DC8EC-08C5-43F1-BD5D-009A5DBB32BC}" cache="SegmentaçãodeDados_Produto_ok" caption="Produto ok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B0FF7E-3E82-450E-857E-91B347193B29}" name="DePara_Produto" displayName="DePara_Produto" ref="A2:B15" totalsRowShown="0">
  <autoFilter ref="A2:B15" xr:uid="{063BB8D0-6F4F-4AE6-B202-67785A886EB0}"/>
  <tableColumns count="2">
    <tableColumn id="1" xr3:uid="{7C57E6E0-7DE3-4E87-8E75-7DDCC1EB1E95}" name="De"/>
    <tableColumn id="2" xr3:uid="{B8C770E3-6DC8-4028-99F3-D164EC00B0BA}" name="Para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45B2D-8C47-45E3-845B-AF581B80824C}" name="BasePIs" displayName="BasePIs" ref="A1:J819" totalsRowShown="0">
  <autoFilter ref="A1:J819" xr:uid="{1ED16740-72B8-4DC1-AB3F-F821E6D3D51E}"/>
  <tableColumns count="10">
    <tableColumn id="1" xr3:uid="{A8684B04-1D43-4002-A435-9BD5818F1605}" name="Período" dataDxfId="20"/>
    <tableColumn id="2" xr3:uid="{46AA3C8D-B527-4F5D-8702-C8528AFF6E34}" name="Nº AP"/>
    <tableColumn id="3" xr3:uid="{0C06ABB5-4320-4811-8CA9-53B617A7E8B3}" name="Nº PI"/>
    <tableColumn id="4" xr3:uid="{BAE07778-E5A8-480E-B3FB-077407E9C238}" name="Produto"/>
    <tableColumn id="5" xr3:uid="{570D94CF-CE05-42A9-A030-3D878ACFC1BA}" name="Campanha"/>
    <tableColumn id="6" xr3:uid="{F521111F-BC5A-4176-AF9C-33187FBCDD13}" name="Veículo"/>
    <tableColumn id="7" xr3:uid="{30188C71-6F62-4CAF-B53C-FF5A6E50819C}" name="Valor Bruto 20%" dataDxfId="19" dataCellStyle="Vírgula"/>
    <tableColumn id="8" xr3:uid="{CFF239E2-76D0-4668-BC50-4A530AB742FE}" name="Valor Líquido" dataDxfId="18" dataCellStyle="Vírgula"/>
    <tableColumn id="9" xr3:uid="{CFA3356C-433B-46FF-BBFB-39AC936894F4}" name="Produto ok" dataDxfId="17">
      <calculatedColumnFormula>VLOOKUP(BasePIs[[#This Row],[Produto]],DePara_Produto[],2,0)</calculatedColumnFormula>
    </tableColumn>
    <tableColumn id="10" xr3:uid="{E829E6A9-6A92-4E26-B9FB-03E9BA1380D2}" name="Qtd Linha" dataDxfId="16">
      <calculatedColumnFormula>1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Período" xr10:uid="{4EA499DD-7C71-4A00-A274-612936FBB960}" sourceName="Período">
  <pivotTables>
    <pivotTable tabId="13" name="Tabela dinâmica9"/>
    <pivotTable tabId="14" name="Tabela dinâmica5"/>
    <pivotTable tabId="14" name="Tabela dinâmica6"/>
    <pivotTable tabId="14" name="Tabela dinâmica7"/>
    <pivotTable tabId="14" name="Tabela dinâmica8"/>
  </pivotTables>
  <state minimalRefreshVersion="6" lastRefreshVersion="6" pivotCacheId="749078598" filterType="unknown">
    <bounds startDate="2019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Período" xr10:uid="{5D51042E-94BE-4724-8302-C4ADAC54DAA0}" cache="NativeTimeline_Período" caption="Período" level="2" selectionLevel="2" scrollPosition="2019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vmlDrawing" Target="../drawings/vmlDrawing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9D3D-7533-42AB-A4BF-151A0928339C}">
  <sheetPr>
    <tabColor theme="5"/>
  </sheetPr>
  <dimension ref="A1:B15"/>
  <sheetViews>
    <sheetView workbookViewId="0">
      <selection sqref="A1:B15"/>
    </sheetView>
  </sheetViews>
  <sheetFormatPr defaultRowHeight="15" x14ac:dyDescent="0.25"/>
  <cols>
    <col min="1" max="1" width="26.7109375" bestFit="1" customWidth="1"/>
    <col min="2" max="2" width="12.140625" customWidth="1"/>
  </cols>
  <sheetData>
    <row r="1" spans="1:2" x14ac:dyDescent="0.25">
      <c r="A1" s="4" t="s">
        <v>60</v>
      </c>
      <c r="B1" s="4"/>
    </row>
    <row r="2" spans="1:2" x14ac:dyDescent="0.25">
      <c r="A2" t="s">
        <v>61</v>
      </c>
      <c r="B2" t="s">
        <v>62</v>
      </c>
    </row>
    <row r="3" spans="1:2" x14ac:dyDescent="0.25">
      <c r="A3" t="s">
        <v>51</v>
      </c>
      <c r="B3" t="s">
        <v>63</v>
      </c>
    </row>
    <row r="4" spans="1:2" x14ac:dyDescent="0.25">
      <c r="A4" t="s">
        <v>42</v>
      </c>
      <c r="B4" t="s">
        <v>64</v>
      </c>
    </row>
    <row r="5" spans="1:2" x14ac:dyDescent="0.25">
      <c r="A5" t="s">
        <v>20</v>
      </c>
      <c r="B5" t="s">
        <v>64</v>
      </c>
    </row>
    <row r="6" spans="1:2" x14ac:dyDescent="0.25">
      <c r="A6" t="s">
        <v>57</v>
      </c>
      <c r="B6" t="s">
        <v>63</v>
      </c>
    </row>
    <row r="7" spans="1:2" x14ac:dyDescent="0.25">
      <c r="A7" t="s">
        <v>22</v>
      </c>
      <c r="B7" t="s">
        <v>65</v>
      </c>
    </row>
    <row r="8" spans="1:2" x14ac:dyDescent="0.25">
      <c r="A8" t="s">
        <v>11</v>
      </c>
      <c r="B8" t="s">
        <v>63</v>
      </c>
    </row>
    <row r="9" spans="1:2" x14ac:dyDescent="0.25">
      <c r="A9" t="s">
        <v>56</v>
      </c>
      <c r="B9" t="s">
        <v>66</v>
      </c>
    </row>
    <row r="10" spans="1:2" x14ac:dyDescent="0.25">
      <c r="A10" t="s">
        <v>37</v>
      </c>
      <c r="B10" t="s">
        <v>66</v>
      </c>
    </row>
    <row r="11" spans="1:2" x14ac:dyDescent="0.25">
      <c r="A11" t="s">
        <v>49</v>
      </c>
      <c r="B11" t="s">
        <v>63</v>
      </c>
    </row>
    <row r="12" spans="1:2" x14ac:dyDescent="0.25">
      <c r="A12" t="s">
        <v>16</v>
      </c>
      <c r="B12" t="s">
        <v>67</v>
      </c>
    </row>
    <row r="13" spans="1:2" x14ac:dyDescent="0.25">
      <c r="A13" t="s">
        <v>44</v>
      </c>
      <c r="B13" t="s">
        <v>64</v>
      </c>
    </row>
    <row r="14" spans="1:2" x14ac:dyDescent="0.25">
      <c r="A14" t="s">
        <v>54</v>
      </c>
      <c r="B14" t="s">
        <v>66</v>
      </c>
    </row>
    <row r="15" spans="1:2" x14ac:dyDescent="0.25">
      <c r="A15" t="s">
        <v>8</v>
      </c>
      <c r="B15" t="s">
        <v>63</v>
      </c>
    </row>
  </sheetData>
  <sortState xmlns:xlrd2="http://schemas.microsoft.com/office/spreadsheetml/2017/richdata2" ref="A3:A411">
    <sortCondition ref="A3"/>
  </sortState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J819"/>
  <sheetViews>
    <sheetView workbookViewId="0"/>
  </sheetViews>
  <sheetFormatPr defaultRowHeight="15" x14ac:dyDescent="0.25"/>
  <cols>
    <col min="1" max="1" width="11.5703125" customWidth="1"/>
    <col min="2" max="3" width="10.140625" customWidth="1"/>
    <col min="4" max="4" width="26.7109375" bestFit="1" customWidth="1"/>
    <col min="5" max="5" width="27.5703125" bestFit="1" customWidth="1"/>
    <col min="6" max="6" width="25.28515625" bestFit="1" customWidth="1"/>
    <col min="7" max="7" width="18.7109375" customWidth="1"/>
    <col min="8" max="8" width="16.7109375" customWidth="1"/>
    <col min="9" max="9" width="13.85546875" customWidth="1"/>
    <col min="10" max="10" width="12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68</v>
      </c>
      <c r="J1" s="14" t="s">
        <v>102</v>
      </c>
    </row>
    <row r="2" spans="1:10" x14ac:dyDescent="0.25">
      <c r="A2" s="3">
        <v>43800</v>
      </c>
      <c r="B2">
        <v>229491</v>
      </c>
      <c r="C2">
        <v>624844</v>
      </c>
      <c r="D2" t="s">
        <v>8</v>
      </c>
      <c r="E2" t="s">
        <v>9</v>
      </c>
      <c r="F2" t="s">
        <v>10</v>
      </c>
      <c r="G2" s="1">
        <v>1225</v>
      </c>
      <c r="H2" s="2">
        <v>980</v>
      </c>
      <c r="I2" s="5" t="str">
        <f>VLOOKUP(BasePIs[[#This Row],[Produto]],DePara_Produto[],2,0)</f>
        <v>Outros</v>
      </c>
      <c r="J2" s="13">
        <f>1</f>
        <v>1</v>
      </c>
    </row>
    <row r="3" spans="1:10" x14ac:dyDescent="0.25">
      <c r="A3" s="3">
        <v>43800</v>
      </c>
      <c r="B3">
        <v>232042</v>
      </c>
      <c r="C3">
        <v>630473</v>
      </c>
      <c r="D3" t="s">
        <v>11</v>
      </c>
      <c r="E3" t="s">
        <v>12</v>
      </c>
      <c r="F3" t="s">
        <v>13</v>
      </c>
      <c r="G3" s="1">
        <v>125000</v>
      </c>
      <c r="H3" s="2">
        <v>100000</v>
      </c>
      <c r="I3" s="5" t="str">
        <f>VLOOKUP(BasePIs[[#This Row],[Produto]],DePara_Produto[],2,0)</f>
        <v>Outros</v>
      </c>
      <c r="J3" s="13">
        <f>1</f>
        <v>1</v>
      </c>
    </row>
    <row r="4" spans="1:10" x14ac:dyDescent="0.25">
      <c r="A4" s="3">
        <v>43800</v>
      </c>
      <c r="B4">
        <v>233123</v>
      </c>
      <c r="C4">
        <v>632974</v>
      </c>
      <c r="D4" t="s">
        <v>11</v>
      </c>
      <c r="E4" t="s">
        <v>14</v>
      </c>
      <c r="F4" t="s">
        <v>15</v>
      </c>
      <c r="G4" s="1">
        <v>5555.56</v>
      </c>
      <c r="H4" s="2">
        <v>4444.4480000000003</v>
      </c>
      <c r="I4" s="5" t="str">
        <f>VLOOKUP(BasePIs[[#This Row],[Produto]],DePara_Produto[],2,0)</f>
        <v>Outros</v>
      </c>
      <c r="J4" s="13">
        <f>1</f>
        <v>1</v>
      </c>
    </row>
    <row r="5" spans="1:10" x14ac:dyDescent="0.25">
      <c r="A5" s="3">
        <v>43800</v>
      </c>
      <c r="B5">
        <v>236414</v>
      </c>
      <c r="C5">
        <v>640323</v>
      </c>
      <c r="D5" t="s">
        <v>16</v>
      </c>
      <c r="E5" t="s">
        <v>17</v>
      </c>
      <c r="F5" t="s">
        <v>18</v>
      </c>
      <c r="G5" s="1">
        <v>200000</v>
      </c>
      <c r="H5" s="2">
        <v>160000</v>
      </c>
      <c r="I5" s="5" t="str">
        <f>VLOOKUP(BasePIs[[#This Row],[Produto]],DePara_Produto[],2,0)</f>
        <v>T-Cross</v>
      </c>
      <c r="J5" s="13">
        <f>1</f>
        <v>1</v>
      </c>
    </row>
    <row r="6" spans="1:10" x14ac:dyDescent="0.25">
      <c r="A6" s="3">
        <v>43800</v>
      </c>
      <c r="B6">
        <v>236882</v>
      </c>
      <c r="C6">
        <v>641246</v>
      </c>
      <c r="D6" t="s">
        <v>11</v>
      </c>
      <c r="E6" t="s">
        <v>14</v>
      </c>
      <c r="F6" t="s">
        <v>19</v>
      </c>
      <c r="G6" s="1">
        <v>1248.1099999999999</v>
      </c>
      <c r="H6" s="2">
        <v>998.48800000000006</v>
      </c>
      <c r="I6" s="5" t="str">
        <f>VLOOKUP(BasePIs[[#This Row],[Produto]],DePara_Produto[],2,0)</f>
        <v>Outros</v>
      </c>
      <c r="J6" s="13">
        <f>1</f>
        <v>1</v>
      </c>
    </row>
    <row r="7" spans="1:10" x14ac:dyDescent="0.25">
      <c r="A7" s="3">
        <v>43800</v>
      </c>
      <c r="B7">
        <v>237146</v>
      </c>
      <c r="C7">
        <v>641815</v>
      </c>
      <c r="D7" t="s">
        <v>20</v>
      </c>
      <c r="E7" t="s">
        <v>21</v>
      </c>
      <c r="F7" t="s">
        <v>18</v>
      </c>
      <c r="G7" s="1">
        <v>120000</v>
      </c>
      <c r="H7" s="2">
        <v>96000</v>
      </c>
      <c r="I7" s="5" t="str">
        <f>VLOOKUP(BasePIs[[#This Row],[Produto]],DePara_Produto[],2,0)</f>
        <v>Amarok</v>
      </c>
      <c r="J7" s="13">
        <f>1</f>
        <v>1</v>
      </c>
    </row>
    <row r="8" spans="1:10" x14ac:dyDescent="0.25">
      <c r="A8" s="3">
        <v>43800</v>
      </c>
      <c r="B8">
        <v>237146</v>
      </c>
      <c r="C8">
        <v>641816</v>
      </c>
      <c r="D8" t="s">
        <v>20</v>
      </c>
      <c r="E8" t="s">
        <v>21</v>
      </c>
      <c r="F8" t="s">
        <v>18</v>
      </c>
      <c r="G8" s="1">
        <v>3750</v>
      </c>
      <c r="H8" s="2">
        <v>3000</v>
      </c>
      <c r="I8" s="5" t="str">
        <f>VLOOKUP(BasePIs[[#This Row],[Produto]],DePara_Produto[],2,0)</f>
        <v>Amarok</v>
      </c>
      <c r="J8" s="13">
        <f>1</f>
        <v>1</v>
      </c>
    </row>
    <row r="9" spans="1:10" x14ac:dyDescent="0.25">
      <c r="A9" s="3">
        <v>43800</v>
      </c>
      <c r="B9">
        <v>237535</v>
      </c>
      <c r="C9">
        <v>642718</v>
      </c>
      <c r="D9" t="s">
        <v>22</v>
      </c>
      <c r="E9" t="s">
        <v>23</v>
      </c>
      <c r="F9" t="s">
        <v>24</v>
      </c>
      <c r="G9" s="1">
        <v>90375.679999999993</v>
      </c>
      <c r="H9" s="2">
        <v>72300.543999999994</v>
      </c>
      <c r="I9" s="5" t="str">
        <f>VLOOKUP(BasePIs[[#This Row],[Produto]],DePara_Produto[],2,0)</f>
        <v>Golf</v>
      </c>
      <c r="J9" s="13">
        <f>1</f>
        <v>1</v>
      </c>
    </row>
    <row r="10" spans="1:10" x14ac:dyDescent="0.25">
      <c r="A10" s="3">
        <v>43800</v>
      </c>
      <c r="B10">
        <v>237537</v>
      </c>
      <c r="C10">
        <v>642724</v>
      </c>
      <c r="D10" t="s">
        <v>22</v>
      </c>
      <c r="E10" t="s">
        <v>23</v>
      </c>
      <c r="F10" t="s">
        <v>25</v>
      </c>
      <c r="G10" s="1">
        <v>45000</v>
      </c>
      <c r="H10" s="2">
        <v>36000</v>
      </c>
      <c r="I10" s="5" t="str">
        <f>VLOOKUP(BasePIs[[#This Row],[Produto]],DePara_Produto[],2,0)</f>
        <v>Golf</v>
      </c>
      <c r="J10" s="13">
        <f>1</f>
        <v>1</v>
      </c>
    </row>
    <row r="11" spans="1:10" x14ac:dyDescent="0.25">
      <c r="A11" s="3">
        <v>43800</v>
      </c>
      <c r="B11">
        <v>237541</v>
      </c>
      <c r="C11">
        <v>642728</v>
      </c>
      <c r="D11" t="s">
        <v>22</v>
      </c>
      <c r="E11" t="s">
        <v>23</v>
      </c>
      <c r="F11" t="s">
        <v>26</v>
      </c>
      <c r="G11" s="1">
        <v>20000</v>
      </c>
      <c r="H11" s="2">
        <v>16000</v>
      </c>
      <c r="I11" s="5" t="str">
        <f>VLOOKUP(BasePIs[[#This Row],[Produto]],DePara_Produto[],2,0)</f>
        <v>Golf</v>
      </c>
      <c r="J11" s="13">
        <f>1</f>
        <v>1</v>
      </c>
    </row>
    <row r="12" spans="1:10" x14ac:dyDescent="0.25">
      <c r="A12" s="3">
        <v>43800</v>
      </c>
      <c r="B12">
        <v>237543</v>
      </c>
      <c r="C12">
        <v>642731</v>
      </c>
      <c r="D12" t="s">
        <v>22</v>
      </c>
      <c r="E12" t="s">
        <v>23</v>
      </c>
      <c r="F12" t="s">
        <v>27</v>
      </c>
      <c r="G12" s="1">
        <v>9600</v>
      </c>
      <c r="H12" s="2">
        <v>7680</v>
      </c>
      <c r="I12" s="5" t="str">
        <f>VLOOKUP(BasePIs[[#This Row],[Produto]],DePara_Produto[],2,0)</f>
        <v>Golf</v>
      </c>
      <c r="J12" s="13">
        <f>1</f>
        <v>1</v>
      </c>
    </row>
    <row r="13" spans="1:10" x14ac:dyDescent="0.25">
      <c r="A13" s="3">
        <v>43800</v>
      </c>
      <c r="B13">
        <v>237546</v>
      </c>
      <c r="C13">
        <v>642735</v>
      </c>
      <c r="D13" t="s">
        <v>22</v>
      </c>
      <c r="E13" t="s">
        <v>23</v>
      </c>
      <c r="F13" t="s">
        <v>28</v>
      </c>
      <c r="G13" s="1">
        <v>185864.55</v>
      </c>
      <c r="H13" s="2">
        <v>148691.64000000001</v>
      </c>
      <c r="I13" s="5" t="str">
        <f>VLOOKUP(BasePIs[[#This Row],[Produto]],DePara_Produto[],2,0)</f>
        <v>Golf</v>
      </c>
      <c r="J13" s="13">
        <f>1</f>
        <v>1</v>
      </c>
    </row>
    <row r="14" spans="1:10" x14ac:dyDescent="0.25">
      <c r="A14" s="3">
        <v>43800</v>
      </c>
      <c r="B14">
        <v>237548</v>
      </c>
      <c r="C14">
        <v>642741</v>
      </c>
      <c r="D14" t="s">
        <v>22</v>
      </c>
      <c r="E14" t="s">
        <v>23</v>
      </c>
      <c r="F14" t="s">
        <v>29</v>
      </c>
      <c r="G14" s="1">
        <v>62500</v>
      </c>
      <c r="H14" s="2">
        <v>50000</v>
      </c>
      <c r="I14" s="5" t="str">
        <f>VLOOKUP(BasePIs[[#This Row],[Produto]],DePara_Produto[],2,0)</f>
        <v>Golf</v>
      </c>
      <c r="J14" s="13">
        <f>1</f>
        <v>1</v>
      </c>
    </row>
    <row r="15" spans="1:10" x14ac:dyDescent="0.25">
      <c r="A15" s="3">
        <v>43800</v>
      </c>
      <c r="B15">
        <v>237550</v>
      </c>
      <c r="C15">
        <v>642744</v>
      </c>
      <c r="D15" t="s">
        <v>22</v>
      </c>
      <c r="E15" t="s">
        <v>23</v>
      </c>
      <c r="F15" t="s">
        <v>29</v>
      </c>
      <c r="G15" s="1">
        <v>10000</v>
      </c>
      <c r="H15" s="2">
        <v>8000</v>
      </c>
      <c r="I15" s="5" t="str">
        <f>VLOOKUP(BasePIs[[#This Row],[Produto]],DePara_Produto[],2,0)</f>
        <v>Golf</v>
      </c>
      <c r="J15" s="13">
        <f>1</f>
        <v>1</v>
      </c>
    </row>
    <row r="16" spans="1:10" x14ac:dyDescent="0.25">
      <c r="A16" s="3">
        <v>43800</v>
      </c>
      <c r="B16">
        <v>237551</v>
      </c>
      <c r="C16">
        <v>642745</v>
      </c>
      <c r="D16" t="s">
        <v>22</v>
      </c>
      <c r="E16" t="s">
        <v>23</v>
      </c>
      <c r="F16" t="s">
        <v>25</v>
      </c>
      <c r="G16" s="1">
        <v>71872.490000000005</v>
      </c>
      <c r="H16" s="2">
        <v>57497.991999999998</v>
      </c>
      <c r="I16" s="5" t="str">
        <f>VLOOKUP(BasePIs[[#This Row],[Produto]],DePara_Produto[],2,0)</f>
        <v>Golf</v>
      </c>
      <c r="J16" s="13">
        <f>1</f>
        <v>1</v>
      </c>
    </row>
    <row r="17" spans="1:10" x14ac:dyDescent="0.25">
      <c r="A17" s="3">
        <v>43800</v>
      </c>
      <c r="B17">
        <v>237553</v>
      </c>
      <c r="C17">
        <v>642747</v>
      </c>
      <c r="D17" t="s">
        <v>22</v>
      </c>
      <c r="E17" t="s">
        <v>23</v>
      </c>
      <c r="F17" t="s">
        <v>25</v>
      </c>
      <c r="G17" s="1">
        <v>33599.760000000002</v>
      </c>
      <c r="H17" s="2">
        <v>26879.808000000001</v>
      </c>
      <c r="I17" s="5" t="str">
        <f>VLOOKUP(BasePIs[[#This Row],[Produto]],DePara_Produto[],2,0)</f>
        <v>Golf</v>
      </c>
      <c r="J17" s="13">
        <f>1</f>
        <v>1</v>
      </c>
    </row>
    <row r="18" spans="1:10" x14ac:dyDescent="0.25">
      <c r="A18" s="3">
        <v>43800</v>
      </c>
      <c r="B18">
        <v>237555</v>
      </c>
      <c r="C18">
        <v>642749</v>
      </c>
      <c r="D18" t="s">
        <v>22</v>
      </c>
      <c r="E18" t="s">
        <v>23</v>
      </c>
      <c r="F18" t="s">
        <v>30</v>
      </c>
      <c r="G18" s="1">
        <v>17500</v>
      </c>
      <c r="H18" s="2">
        <v>14000</v>
      </c>
      <c r="I18" s="5" t="str">
        <f>VLOOKUP(BasePIs[[#This Row],[Produto]],DePara_Produto[],2,0)</f>
        <v>Golf</v>
      </c>
      <c r="J18" s="13">
        <f>1</f>
        <v>1</v>
      </c>
    </row>
    <row r="19" spans="1:10" x14ac:dyDescent="0.25">
      <c r="A19" s="3">
        <v>43800</v>
      </c>
      <c r="B19">
        <v>237556</v>
      </c>
      <c r="C19">
        <v>642751</v>
      </c>
      <c r="D19" t="s">
        <v>22</v>
      </c>
      <c r="E19" t="s">
        <v>23</v>
      </c>
      <c r="F19" t="s">
        <v>31</v>
      </c>
      <c r="G19" s="1">
        <v>25000</v>
      </c>
      <c r="H19" s="2">
        <v>20000</v>
      </c>
      <c r="I19" s="5" t="str">
        <f>VLOOKUP(BasePIs[[#This Row],[Produto]],DePara_Produto[],2,0)</f>
        <v>Golf</v>
      </c>
      <c r="J19" s="13">
        <f>1</f>
        <v>1</v>
      </c>
    </row>
    <row r="20" spans="1:10" x14ac:dyDescent="0.25">
      <c r="A20" s="3">
        <v>43800</v>
      </c>
      <c r="B20">
        <v>237557</v>
      </c>
      <c r="C20">
        <v>642752</v>
      </c>
      <c r="D20" t="s">
        <v>22</v>
      </c>
      <c r="E20" t="s">
        <v>23</v>
      </c>
      <c r="F20" t="s">
        <v>32</v>
      </c>
      <c r="G20" s="1">
        <v>87500</v>
      </c>
      <c r="H20" s="2">
        <v>70000</v>
      </c>
      <c r="I20" s="5" t="str">
        <f>VLOOKUP(BasePIs[[#This Row],[Produto]],DePara_Produto[],2,0)</f>
        <v>Golf</v>
      </c>
      <c r="J20" s="13">
        <f>1</f>
        <v>1</v>
      </c>
    </row>
    <row r="21" spans="1:10" x14ac:dyDescent="0.25">
      <c r="A21" s="3">
        <v>43800</v>
      </c>
      <c r="B21">
        <v>237558</v>
      </c>
      <c r="C21">
        <v>642753</v>
      </c>
      <c r="D21" t="s">
        <v>22</v>
      </c>
      <c r="E21" t="s">
        <v>23</v>
      </c>
      <c r="F21" t="s">
        <v>33</v>
      </c>
      <c r="G21" s="1">
        <v>20000</v>
      </c>
      <c r="H21" s="2">
        <v>16000</v>
      </c>
      <c r="I21" s="5" t="str">
        <f>VLOOKUP(BasePIs[[#This Row],[Produto]],DePara_Produto[],2,0)</f>
        <v>Golf</v>
      </c>
      <c r="J21" s="13">
        <f>1</f>
        <v>1</v>
      </c>
    </row>
    <row r="22" spans="1:10" x14ac:dyDescent="0.25">
      <c r="A22" s="3">
        <v>43800</v>
      </c>
      <c r="B22">
        <v>237559</v>
      </c>
      <c r="C22">
        <v>642754</v>
      </c>
      <c r="D22" t="s">
        <v>22</v>
      </c>
      <c r="E22" t="s">
        <v>23</v>
      </c>
      <c r="F22" t="s">
        <v>34</v>
      </c>
      <c r="G22" s="1">
        <v>22524.73</v>
      </c>
      <c r="H22" s="2">
        <v>18019.784</v>
      </c>
      <c r="I22" s="5" t="str">
        <f>VLOOKUP(BasePIs[[#This Row],[Produto]],DePara_Produto[],2,0)</f>
        <v>Golf</v>
      </c>
      <c r="J22" s="13">
        <f>1</f>
        <v>1</v>
      </c>
    </row>
    <row r="23" spans="1:10" x14ac:dyDescent="0.25">
      <c r="A23" s="3">
        <v>43800</v>
      </c>
      <c r="B23">
        <v>237560</v>
      </c>
      <c r="C23">
        <v>642755</v>
      </c>
      <c r="D23" t="s">
        <v>22</v>
      </c>
      <c r="E23" t="s">
        <v>23</v>
      </c>
      <c r="F23" t="s">
        <v>35</v>
      </c>
      <c r="G23" s="1">
        <v>6099.22</v>
      </c>
      <c r="H23" s="2">
        <v>4879.3760000000002</v>
      </c>
      <c r="I23" s="5" t="str">
        <f>VLOOKUP(BasePIs[[#This Row],[Produto]],DePara_Produto[],2,0)</f>
        <v>Golf</v>
      </c>
      <c r="J23" s="13">
        <f>1</f>
        <v>1</v>
      </c>
    </row>
    <row r="24" spans="1:10" x14ac:dyDescent="0.25">
      <c r="A24" s="3">
        <v>43800</v>
      </c>
      <c r="B24">
        <v>237562</v>
      </c>
      <c r="C24">
        <v>642757</v>
      </c>
      <c r="D24" t="s">
        <v>22</v>
      </c>
      <c r="E24" t="s">
        <v>23</v>
      </c>
      <c r="F24" t="s">
        <v>36</v>
      </c>
      <c r="G24" s="1">
        <v>60</v>
      </c>
      <c r="H24" s="2">
        <v>48</v>
      </c>
      <c r="I24" s="5" t="str">
        <f>VLOOKUP(BasePIs[[#This Row],[Produto]],DePara_Produto[],2,0)</f>
        <v>Golf</v>
      </c>
      <c r="J24" s="13">
        <f>1</f>
        <v>1</v>
      </c>
    </row>
    <row r="25" spans="1:10" x14ac:dyDescent="0.25">
      <c r="A25" s="3">
        <v>43800</v>
      </c>
      <c r="B25">
        <v>237606</v>
      </c>
      <c r="C25">
        <v>642818</v>
      </c>
      <c r="D25" t="s">
        <v>37</v>
      </c>
      <c r="E25" t="s">
        <v>38</v>
      </c>
      <c r="F25" t="s">
        <v>39</v>
      </c>
      <c r="G25" s="1">
        <v>16000</v>
      </c>
      <c r="H25" s="2">
        <v>12800</v>
      </c>
      <c r="I25" s="5" t="str">
        <f>VLOOKUP(BasePIs[[#This Row],[Produto]],DePara_Produto[],2,0)</f>
        <v>Varejo</v>
      </c>
      <c r="J25" s="13">
        <f>1</f>
        <v>1</v>
      </c>
    </row>
    <row r="26" spans="1:10" x14ac:dyDescent="0.25">
      <c r="A26" s="3">
        <v>43800</v>
      </c>
      <c r="B26">
        <v>237660</v>
      </c>
      <c r="C26">
        <v>642920</v>
      </c>
      <c r="D26" t="s">
        <v>16</v>
      </c>
      <c r="E26" t="s">
        <v>17</v>
      </c>
      <c r="F26" t="s">
        <v>40</v>
      </c>
      <c r="G26" s="1">
        <v>124831.13</v>
      </c>
      <c r="H26" s="2">
        <v>99864.903999999995</v>
      </c>
      <c r="I26" s="5" t="str">
        <f>VLOOKUP(BasePIs[[#This Row],[Produto]],DePara_Produto[],2,0)</f>
        <v>T-Cross</v>
      </c>
      <c r="J26" s="13">
        <f>1</f>
        <v>1</v>
      </c>
    </row>
    <row r="27" spans="1:10" x14ac:dyDescent="0.25">
      <c r="A27" s="3">
        <v>43800</v>
      </c>
      <c r="B27">
        <v>237663</v>
      </c>
      <c r="C27">
        <v>642934</v>
      </c>
      <c r="D27" t="s">
        <v>8</v>
      </c>
      <c r="E27" t="s">
        <v>9</v>
      </c>
      <c r="F27" t="s">
        <v>41</v>
      </c>
      <c r="G27" s="1">
        <v>25625</v>
      </c>
      <c r="H27" s="2">
        <v>20500</v>
      </c>
      <c r="I27" s="5" t="str">
        <f>VLOOKUP(BasePIs[[#This Row],[Produto]],DePara_Produto[],2,0)</f>
        <v>Outros</v>
      </c>
      <c r="J27" s="13">
        <f>1</f>
        <v>1</v>
      </c>
    </row>
    <row r="28" spans="1:10" x14ac:dyDescent="0.25">
      <c r="A28" s="3">
        <v>43800</v>
      </c>
      <c r="B28">
        <v>237682</v>
      </c>
      <c r="C28">
        <v>642961</v>
      </c>
      <c r="D28" t="s">
        <v>42</v>
      </c>
      <c r="E28" t="s">
        <v>43</v>
      </c>
      <c r="F28" t="s">
        <v>28</v>
      </c>
      <c r="G28" s="1">
        <v>287500</v>
      </c>
      <c r="H28" s="2">
        <v>230000</v>
      </c>
      <c r="I28" s="5" t="str">
        <f>VLOOKUP(BasePIs[[#This Row],[Produto]],DePara_Produto[],2,0)</f>
        <v>Amarok</v>
      </c>
      <c r="J28" s="13">
        <f>1</f>
        <v>1</v>
      </c>
    </row>
    <row r="29" spans="1:10" x14ac:dyDescent="0.25">
      <c r="A29" s="3">
        <v>43800</v>
      </c>
      <c r="B29">
        <v>237683</v>
      </c>
      <c r="C29">
        <v>642962</v>
      </c>
      <c r="D29" t="s">
        <v>42</v>
      </c>
      <c r="E29" t="s">
        <v>43</v>
      </c>
      <c r="F29" t="s">
        <v>25</v>
      </c>
      <c r="G29" s="1">
        <v>50000</v>
      </c>
      <c r="H29" s="2">
        <v>40000</v>
      </c>
      <c r="I29" s="5" t="str">
        <f>VLOOKUP(BasePIs[[#This Row],[Produto]],DePara_Produto[],2,0)</f>
        <v>Amarok</v>
      </c>
      <c r="J29" s="13">
        <f>1</f>
        <v>1</v>
      </c>
    </row>
    <row r="30" spans="1:10" x14ac:dyDescent="0.25">
      <c r="A30" s="3">
        <v>43800</v>
      </c>
      <c r="B30">
        <v>237684</v>
      </c>
      <c r="C30">
        <v>642963</v>
      </c>
      <c r="D30" t="s">
        <v>42</v>
      </c>
      <c r="E30" t="s">
        <v>43</v>
      </c>
      <c r="F30" t="s">
        <v>24</v>
      </c>
      <c r="G30" s="1">
        <v>162500</v>
      </c>
      <c r="H30" s="2">
        <v>130000</v>
      </c>
      <c r="I30" s="5" t="str">
        <f>VLOOKUP(BasePIs[[#This Row],[Produto]],DePara_Produto[],2,0)</f>
        <v>Amarok</v>
      </c>
      <c r="J30" s="13">
        <f>1</f>
        <v>1</v>
      </c>
    </row>
    <row r="31" spans="1:10" x14ac:dyDescent="0.25">
      <c r="A31" s="3">
        <v>43800</v>
      </c>
      <c r="B31">
        <v>237685</v>
      </c>
      <c r="C31">
        <v>642964</v>
      </c>
      <c r="D31" t="s">
        <v>42</v>
      </c>
      <c r="E31" t="s">
        <v>43</v>
      </c>
      <c r="F31" t="s">
        <v>35</v>
      </c>
      <c r="G31" s="1">
        <v>1419.66</v>
      </c>
      <c r="H31" s="2">
        <v>1135.7280000000001</v>
      </c>
      <c r="I31" s="5" t="str">
        <f>VLOOKUP(BasePIs[[#This Row],[Produto]],DePara_Produto[],2,0)</f>
        <v>Amarok</v>
      </c>
      <c r="J31" s="13">
        <f>1</f>
        <v>1</v>
      </c>
    </row>
    <row r="32" spans="1:10" x14ac:dyDescent="0.25">
      <c r="A32" s="3">
        <v>43800</v>
      </c>
      <c r="B32">
        <v>237686</v>
      </c>
      <c r="C32">
        <v>642965</v>
      </c>
      <c r="D32" t="s">
        <v>42</v>
      </c>
      <c r="E32" t="s">
        <v>43</v>
      </c>
      <c r="F32" t="s">
        <v>34</v>
      </c>
      <c r="G32" s="1">
        <v>6800</v>
      </c>
      <c r="H32" s="2">
        <v>5440</v>
      </c>
      <c r="I32" s="5" t="str">
        <f>VLOOKUP(BasePIs[[#This Row],[Produto]],DePara_Produto[],2,0)</f>
        <v>Amarok</v>
      </c>
      <c r="J32" s="13">
        <f>1</f>
        <v>1</v>
      </c>
    </row>
    <row r="33" spans="1:10" x14ac:dyDescent="0.25">
      <c r="A33" s="3">
        <v>43800</v>
      </c>
      <c r="B33">
        <v>237687</v>
      </c>
      <c r="C33">
        <v>642966</v>
      </c>
      <c r="D33" t="s">
        <v>44</v>
      </c>
      <c r="E33" t="s">
        <v>44</v>
      </c>
      <c r="F33" t="s">
        <v>25</v>
      </c>
      <c r="G33" s="1">
        <v>425000</v>
      </c>
      <c r="H33" s="2">
        <v>340000</v>
      </c>
      <c r="I33" s="5" t="str">
        <f>VLOOKUP(BasePIs[[#This Row],[Produto]],DePara_Produto[],2,0)</f>
        <v>Amarok</v>
      </c>
      <c r="J33" s="13">
        <f>1</f>
        <v>1</v>
      </c>
    </row>
    <row r="34" spans="1:10" x14ac:dyDescent="0.25">
      <c r="A34" s="3">
        <v>43800</v>
      </c>
      <c r="B34">
        <v>237688</v>
      </c>
      <c r="C34">
        <v>642967</v>
      </c>
      <c r="D34" t="s">
        <v>44</v>
      </c>
      <c r="E34" t="s">
        <v>44</v>
      </c>
      <c r="F34" t="s">
        <v>28</v>
      </c>
      <c r="G34" s="1">
        <v>300000</v>
      </c>
      <c r="H34" s="2">
        <v>240000</v>
      </c>
      <c r="I34" s="5" t="str">
        <f>VLOOKUP(BasePIs[[#This Row],[Produto]],DePara_Produto[],2,0)</f>
        <v>Amarok</v>
      </c>
      <c r="J34" s="13">
        <f>1</f>
        <v>1</v>
      </c>
    </row>
    <row r="35" spans="1:10" x14ac:dyDescent="0.25">
      <c r="A35" s="3">
        <v>43800</v>
      </c>
      <c r="B35">
        <v>237689</v>
      </c>
      <c r="C35">
        <v>642968</v>
      </c>
      <c r="D35" t="s">
        <v>44</v>
      </c>
      <c r="E35" t="s">
        <v>44</v>
      </c>
      <c r="F35" t="s">
        <v>32</v>
      </c>
      <c r="G35" s="1">
        <v>75000</v>
      </c>
      <c r="H35" s="2">
        <v>60000</v>
      </c>
      <c r="I35" s="5" t="str">
        <f>VLOOKUP(BasePIs[[#This Row],[Produto]],DePara_Produto[],2,0)</f>
        <v>Amarok</v>
      </c>
      <c r="J35" s="13">
        <f>1</f>
        <v>1</v>
      </c>
    </row>
    <row r="36" spans="1:10" x14ac:dyDescent="0.25">
      <c r="A36" s="3">
        <v>43800</v>
      </c>
      <c r="B36">
        <v>237690</v>
      </c>
      <c r="C36">
        <v>642969</v>
      </c>
      <c r="D36" t="s">
        <v>44</v>
      </c>
      <c r="E36" t="s">
        <v>44</v>
      </c>
      <c r="F36" t="s">
        <v>45</v>
      </c>
      <c r="G36" s="1">
        <v>130000</v>
      </c>
      <c r="H36" s="2">
        <v>104000</v>
      </c>
      <c r="I36" s="5" t="str">
        <f>VLOOKUP(BasePIs[[#This Row],[Produto]],DePara_Produto[],2,0)</f>
        <v>Amarok</v>
      </c>
      <c r="J36" s="13">
        <f>1</f>
        <v>1</v>
      </c>
    </row>
    <row r="37" spans="1:10" x14ac:dyDescent="0.25">
      <c r="A37" s="3">
        <v>43800</v>
      </c>
      <c r="B37">
        <v>237691</v>
      </c>
      <c r="C37">
        <v>642970</v>
      </c>
      <c r="D37" t="s">
        <v>44</v>
      </c>
      <c r="E37" t="s">
        <v>44</v>
      </c>
      <c r="F37" t="s">
        <v>35</v>
      </c>
      <c r="G37" s="1">
        <v>7828.05</v>
      </c>
      <c r="H37" s="2">
        <v>6262.44</v>
      </c>
      <c r="I37" s="5" t="str">
        <f>VLOOKUP(BasePIs[[#This Row],[Produto]],DePara_Produto[],2,0)</f>
        <v>Amarok</v>
      </c>
      <c r="J37" s="13">
        <f>1</f>
        <v>1</v>
      </c>
    </row>
    <row r="38" spans="1:10" x14ac:dyDescent="0.25">
      <c r="A38" s="3">
        <v>43800</v>
      </c>
      <c r="B38">
        <v>237692</v>
      </c>
      <c r="C38">
        <v>642971</v>
      </c>
      <c r="D38" t="s">
        <v>44</v>
      </c>
      <c r="E38" t="s">
        <v>44</v>
      </c>
      <c r="F38" t="s">
        <v>34</v>
      </c>
      <c r="G38" s="1">
        <v>30937.5</v>
      </c>
      <c r="H38" s="2">
        <v>24750</v>
      </c>
      <c r="I38" s="5" t="str">
        <f>VLOOKUP(BasePIs[[#This Row],[Produto]],DePara_Produto[],2,0)</f>
        <v>Amarok</v>
      </c>
      <c r="J38" s="13">
        <f>1</f>
        <v>1</v>
      </c>
    </row>
    <row r="39" spans="1:10" x14ac:dyDescent="0.25">
      <c r="A39" s="3">
        <v>43800</v>
      </c>
      <c r="B39">
        <v>237698</v>
      </c>
      <c r="C39">
        <v>642980</v>
      </c>
      <c r="D39" t="s">
        <v>11</v>
      </c>
      <c r="E39" t="s">
        <v>14</v>
      </c>
      <c r="F39" t="s">
        <v>46</v>
      </c>
      <c r="G39" s="1">
        <v>15625</v>
      </c>
      <c r="H39" s="2">
        <v>12500</v>
      </c>
      <c r="I39" s="5" t="str">
        <f>VLOOKUP(BasePIs[[#This Row],[Produto]],DePara_Produto[],2,0)</f>
        <v>Outros</v>
      </c>
      <c r="J39" s="13">
        <f>1</f>
        <v>1</v>
      </c>
    </row>
    <row r="40" spans="1:10" x14ac:dyDescent="0.25">
      <c r="A40" s="3">
        <v>43800</v>
      </c>
      <c r="B40">
        <v>237700</v>
      </c>
      <c r="C40">
        <v>642982</v>
      </c>
      <c r="D40" t="s">
        <v>11</v>
      </c>
      <c r="E40" t="s">
        <v>14</v>
      </c>
      <c r="F40" t="s">
        <v>47</v>
      </c>
      <c r="G40" s="1">
        <v>9375</v>
      </c>
      <c r="H40" s="2">
        <v>7500</v>
      </c>
      <c r="I40" s="5" t="str">
        <f>VLOOKUP(BasePIs[[#This Row],[Produto]],DePara_Produto[],2,0)</f>
        <v>Outros</v>
      </c>
      <c r="J40" s="13">
        <f>1</f>
        <v>1</v>
      </c>
    </row>
    <row r="41" spans="1:10" x14ac:dyDescent="0.25">
      <c r="A41" s="3">
        <v>43800</v>
      </c>
      <c r="B41">
        <v>237701</v>
      </c>
      <c r="C41">
        <v>642983</v>
      </c>
      <c r="D41" t="s">
        <v>11</v>
      </c>
      <c r="E41" t="s">
        <v>14</v>
      </c>
      <c r="F41" t="s">
        <v>48</v>
      </c>
      <c r="G41" s="1">
        <v>8333.33</v>
      </c>
      <c r="H41" s="2">
        <v>6666.6639999999998</v>
      </c>
      <c r="I41" s="5" t="str">
        <f>VLOOKUP(BasePIs[[#This Row],[Produto]],DePara_Produto[],2,0)</f>
        <v>Outros</v>
      </c>
      <c r="J41" s="13">
        <f>1</f>
        <v>1</v>
      </c>
    </row>
    <row r="42" spans="1:10" x14ac:dyDescent="0.25">
      <c r="A42" s="3">
        <v>43739</v>
      </c>
      <c r="B42">
        <v>237729</v>
      </c>
      <c r="C42">
        <v>643022</v>
      </c>
      <c r="D42" t="s">
        <v>8</v>
      </c>
      <c r="E42" t="s">
        <v>9</v>
      </c>
      <c r="F42" t="s">
        <v>33</v>
      </c>
      <c r="G42" s="1">
        <v>105940</v>
      </c>
      <c r="H42" s="2">
        <v>84752</v>
      </c>
      <c r="I42" s="5" t="str">
        <f>VLOOKUP(BasePIs[[#This Row],[Produto]],DePara_Produto[],2,0)</f>
        <v>Outros</v>
      </c>
      <c r="J42" s="13">
        <f>1</f>
        <v>1</v>
      </c>
    </row>
    <row r="43" spans="1:10" x14ac:dyDescent="0.25">
      <c r="A43" s="3">
        <v>43739</v>
      </c>
      <c r="B43">
        <v>237731</v>
      </c>
      <c r="C43">
        <v>643024</v>
      </c>
      <c r="D43" t="s">
        <v>8</v>
      </c>
      <c r="E43" t="s">
        <v>9</v>
      </c>
      <c r="F43" t="s">
        <v>28</v>
      </c>
      <c r="G43" s="1">
        <v>45322.13</v>
      </c>
      <c r="H43" s="2">
        <v>36257.703999999998</v>
      </c>
      <c r="I43" s="5" t="str">
        <f>VLOOKUP(BasePIs[[#This Row],[Produto]],DePara_Produto[],2,0)</f>
        <v>Outros</v>
      </c>
      <c r="J43" s="13">
        <f>1</f>
        <v>1</v>
      </c>
    </row>
    <row r="44" spans="1:10" x14ac:dyDescent="0.25">
      <c r="A44" s="3">
        <v>43739</v>
      </c>
      <c r="B44">
        <v>237735</v>
      </c>
      <c r="C44">
        <v>643031</v>
      </c>
      <c r="D44" t="s">
        <v>8</v>
      </c>
      <c r="E44" t="s">
        <v>9</v>
      </c>
      <c r="F44" t="s">
        <v>35</v>
      </c>
      <c r="G44" s="1">
        <v>158.69999999999999</v>
      </c>
      <c r="H44" s="2">
        <v>126.96</v>
      </c>
      <c r="I44" s="5" t="str">
        <f>VLOOKUP(BasePIs[[#This Row],[Produto]],DePara_Produto[],2,0)</f>
        <v>Outros</v>
      </c>
      <c r="J44" s="13">
        <f>1</f>
        <v>1</v>
      </c>
    </row>
    <row r="45" spans="1:10" x14ac:dyDescent="0.25">
      <c r="A45" s="3">
        <v>43739</v>
      </c>
      <c r="B45">
        <v>237736</v>
      </c>
      <c r="C45">
        <v>643033</v>
      </c>
      <c r="D45" t="s">
        <v>49</v>
      </c>
      <c r="E45" t="s">
        <v>49</v>
      </c>
      <c r="F45" t="s">
        <v>33</v>
      </c>
      <c r="G45" s="1">
        <v>100000</v>
      </c>
      <c r="H45" s="2">
        <v>80000</v>
      </c>
      <c r="I45" s="5" t="str">
        <f>VLOOKUP(BasePIs[[#This Row],[Produto]],DePara_Produto[],2,0)</f>
        <v>Outros</v>
      </c>
      <c r="J45" s="13">
        <f>1</f>
        <v>1</v>
      </c>
    </row>
    <row r="46" spans="1:10" x14ac:dyDescent="0.25">
      <c r="A46" s="3">
        <v>43739</v>
      </c>
      <c r="B46">
        <v>237738</v>
      </c>
      <c r="C46">
        <v>643039</v>
      </c>
      <c r="D46" t="s">
        <v>49</v>
      </c>
      <c r="E46" t="s">
        <v>49</v>
      </c>
      <c r="F46" t="s">
        <v>50</v>
      </c>
      <c r="G46" s="1">
        <v>100000</v>
      </c>
      <c r="H46" s="2">
        <v>80000</v>
      </c>
      <c r="I46" s="5" t="str">
        <f>VLOOKUP(BasePIs[[#This Row],[Produto]],DePara_Produto[],2,0)</f>
        <v>Outros</v>
      </c>
      <c r="J46" s="13">
        <f>1</f>
        <v>1</v>
      </c>
    </row>
    <row r="47" spans="1:10" x14ac:dyDescent="0.25">
      <c r="A47" s="3">
        <v>43739</v>
      </c>
      <c r="B47">
        <v>237739</v>
      </c>
      <c r="C47">
        <v>643035</v>
      </c>
      <c r="D47" t="s">
        <v>49</v>
      </c>
      <c r="E47" t="s">
        <v>49</v>
      </c>
      <c r="F47" t="s">
        <v>25</v>
      </c>
      <c r="G47" s="1">
        <v>100000.01</v>
      </c>
      <c r="H47" s="2">
        <v>80000.008000000002</v>
      </c>
      <c r="I47" s="5" t="str">
        <f>VLOOKUP(BasePIs[[#This Row],[Produto]],DePara_Produto[],2,0)</f>
        <v>Outros</v>
      </c>
      <c r="J47" s="13">
        <f>1</f>
        <v>1</v>
      </c>
    </row>
    <row r="48" spans="1:10" x14ac:dyDescent="0.25">
      <c r="A48" s="3">
        <v>43739</v>
      </c>
      <c r="B48">
        <v>237743</v>
      </c>
      <c r="C48">
        <v>643042</v>
      </c>
      <c r="D48" t="s">
        <v>49</v>
      </c>
      <c r="E48" t="s">
        <v>49</v>
      </c>
      <c r="F48" t="s">
        <v>35</v>
      </c>
      <c r="G48" s="1">
        <v>113.26</v>
      </c>
      <c r="H48" s="2">
        <v>90.608000000000004</v>
      </c>
      <c r="I48" s="5" t="str">
        <f>VLOOKUP(BasePIs[[#This Row],[Produto]],DePara_Produto[],2,0)</f>
        <v>Outros</v>
      </c>
      <c r="J48" s="13">
        <f>1</f>
        <v>1</v>
      </c>
    </row>
    <row r="49" spans="1:10" x14ac:dyDescent="0.25">
      <c r="A49" s="3">
        <v>43739</v>
      </c>
      <c r="B49">
        <v>237744</v>
      </c>
      <c r="C49">
        <v>643043</v>
      </c>
      <c r="D49" t="s">
        <v>49</v>
      </c>
      <c r="E49" t="s">
        <v>49</v>
      </c>
      <c r="F49" t="s">
        <v>34</v>
      </c>
      <c r="G49" s="1">
        <v>1900.68</v>
      </c>
      <c r="H49" s="2">
        <v>1520.5440000000001</v>
      </c>
      <c r="I49" s="5" t="str">
        <f>VLOOKUP(BasePIs[[#This Row],[Produto]],DePara_Produto[],2,0)</f>
        <v>Outros</v>
      </c>
      <c r="J49" s="13">
        <f>1</f>
        <v>1</v>
      </c>
    </row>
    <row r="50" spans="1:10" x14ac:dyDescent="0.25">
      <c r="A50" s="3">
        <v>43739</v>
      </c>
      <c r="B50">
        <v>237745</v>
      </c>
      <c r="C50">
        <v>643045</v>
      </c>
      <c r="D50" t="s">
        <v>49</v>
      </c>
      <c r="E50" t="s">
        <v>49</v>
      </c>
      <c r="F50" t="s">
        <v>28</v>
      </c>
      <c r="G50" s="1">
        <v>62500</v>
      </c>
      <c r="H50" s="2">
        <v>50000</v>
      </c>
      <c r="I50" s="5" t="str">
        <f>VLOOKUP(BasePIs[[#This Row],[Produto]],DePara_Produto[],2,0)</f>
        <v>Outros</v>
      </c>
      <c r="J50" s="13">
        <f>1</f>
        <v>1</v>
      </c>
    </row>
    <row r="51" spans="1:10" x14ac:dyDescent="0.25">
      <c r="A51" s="3">
        <v>43739</v>
      </c>
      <c r="B51">
        <v>237746</v>
      </c>
      <c r="C51">
        <v>643046</v>
      </c>
      <c r="D51" t="s">
        <v>49</v>
      </c>
      <c r="E51" t="s">
        <v>49</v>
      </c>
      <c r="F51" t="s">
        <v>34</v>
      </c>
      <c r="G51" s="1">
        <v>51.7</v>
      </c>
      <c r="H51" s="2">
        <v>41.36</v>
      </c>
      <c r="I51" s="5" t="str">
        <f>VLOOKUP(BasePIs[[#This Row],[Produto]],DePara_Produto[],2,0)</f>
        <v>Outros</v>
      </c>
      <c r="J51" s="13">
        <f>1</f>
        <v>1</v>
      </c>
    </row>
    <row r="52" spans="1:10" x14ac:dyDescent="0.25">
      <c r="A52" s="3">
        <v>43739</v>
      </c>
      <c r="B52">
        <v>237747</v>
      </c>
      <c r="C52">
        <v>643047</v>
      </c>
      <c r="D52" t="s">
        <v>49</v>
      </c>
      <c r="E52" t="s">
        <v>49</v>
      </c>
      <c r="F52" t="s">
        <v>36</v>
      </c>
      <c r="G52" s="1">
        <v>300</v>
      </c>
      <c r="H52" s="2">
        <v>240</v>
      </c>
      <c r="I52" s="5" t="str">
        <f>VLOOKUP(BasePIs[[#This Row],[Produto]],DePara_Produto[],2,0)</f>
        <v>Outros</v>
      </c>
      <c r="J52" s="13">
        <f>1</f>
        <v>1</v>
      </c>
    </row>
    <row r="53" spans="1:10" x14ac:dyDescent="0.25">
      <c r="A53" s="3">
        <v>43739</v>
      </c>
      <c r="B53">
        <v>237835</v>
      </c>
      <c r="C53">
        <v>643138</v>
      </c>
      <c r="D53" t="s">
        <v>44</v>
      </c>
      <c r="E53" t="s">
        <v>44</v>
      </c>
      <c r="F53" t="s">
        <v>29</v>
      </c>
      <c r="G53" s="1">
        <v>100000</v>
      </c>
      <c r="H53" s="2">
        <v>80000</v>
      </c>
      <c r="I53" s="5" t="str">
        <f>VLOOKUP(BasePIs[[#This Row],[Produto]],DePara_Produto[],2,0)</f>
        <v>Amarok</v>
      </c>
      <c r="J53" s="13">
        <f>1</f>
        <v>1</v>
      </c>
    </row>
    <row r="54" spans="1:10" x14ac:dyDescent="0.25">
      <c r="A54" s="3">
        <v>43739</v>
      </c>
      <c r="B54">
        <v>237874</v>
      </c>
      <c r="C54">
        <v>643197</v>
      </c>
      <c r="D54" t="s">
        <v>51</v>
      </c>
      <c r="E54" t="s">
        <v>52</v>
      </c>
      <c r="F54" t="s">
        <v>53</v>
      </c>
      <c r="G54" s="1">
        <v>37500</v>
      </c>
      <c r="H54" s="2">
        <v>30000</v>
      </c>
      <c r="I54" s="5" t="str">
        <f>VLOOKUP(BasePIs[[#This Row],[Produto]],DePara_Produto[],2,0)</f>
        <v>Outros</v>
      </c>
      <c r="J54" s="13">
        <f>1</f>
        <v>1</v>
      </c>
    </row>
    <row r="55" spans="1:10" x14ac:dyDescent="0.25">
      <c r="A55" s="3">
        <v>43739</v>
      </c>
      <c r="B55">
        <v>237875</v>
      </c>
      <c r="C55">
        <v>643198</v>
      </c>
      <c r="D55" t="s">
        <v>51</v>
      </c>
      <c r="E55" t="s">
        <v>52</v>
      </c>
      <c r="F55" t="s">
        <v>33</v>
      </c>
      <c r="G55" s="1">
        <v>1675000</v>
      </c>
      <c r="H55" s="2">
        <v>1340000</v>
      </c>
      <c r="I55" s="5" t="str">
        <f>VLOOKUP(BasePIs[[#This Row],[Produto]],DePara_Produto[],2,0)</f>
        <v>Outros</v>
      </c>
      <c r="J55" s="13">
        <f>1</f>
        <v>1</v>
      </c>
    </row>
    <row r="56" spans="1:10" x14ac:dyDescent="0.25">
      <c r="A56" s="3">
        <v>43739</v>
      </c>
      <c r="B56">
        <v>237877</v>
      </c>
      <c r="C56">
        <v>643200</v>
      </c>
      <c r="D56" t="s">
        <v>51</v>
      </c>
      <c r="E56" t="s">
        <v>52</v>
      </c>
      <c r="F56" t="s">
        <v>28</v>
      </c>
      <c r="G56" s="1">
        <v>925000</v>
      </c>
      <c r="H56" s="2">
        <v>740000</v>
      </c>
      <c r="I56" s="5" t="str">
        <f>VLOOKUP(BasePIs[[#This Row],[Produto]],DePara_Produto[],2,0)</f>
        <v>Outros</v>
      </c>
      <c r="J56" s="13">
        <f>1</f>
        <v>1</v>
      </c>
    </row>
    <row r="57" spans="1:10" x14ac:dyDescent="0.25">
      <c r="A57" s="3">
        <v>43739</v>
      </c>
      <c r="B57">
        <v>237879</v>
      </c>
      <c r="C57">
        <v>643202</v>
      </c>
      <c r="D57" t="s">
        <v>51</v>
      </c>
      <c r="E57" t="s">
        <v>52</v>
      </c>
      <c r="F57" t="s">
        <v>32</v>
      </c>
      <c r="G57" s="1">
        <v>681250</v>
      </c>
      <c r="H57" s="2">
        <v>545000</v>
      </c>
      <c r="I57" s="5" t="str">
        <f>VLOOKUP(BasePIs[[#This Row],[Produto]],DePara_Produto[],2,0)</f>
        <v>Outros</v>
      </c>
      <c r="J57" s="13">
        <f>1</f>
        <v>1</v>
      </c>
    </row>
    <row r="58" spans="1:10" x14ac:dyDescent="0.25">
      <c r="A58" s="3">
        <v>43739</v>
      </c>
      <c r="B58">
        <v>237880</v>
      </c>
      <c r="C58">
        <v>643203</v>
      </c>
      <c r="D58" t="s">
        <v>51</v>
      </c>
      <c r="E58" t="s">
        <v>52</v>
      </c>
      <c r="F58" t="s">
        <v>25</v>
      </c>
      <c r="G58" s="1">
        <v>494375</v>
      </c>
      <c r="H58" s="2">
        <v>395500</v>
      </c>
      <c r="I58" s="5" t="str">
        <f>VLOOKUP(BasePIs[[#This Row],[Produto]],DePara_Produto[],2,0)</f>
        <v>Outros</v>
      </c>
      <c r="J58" s="13">
        <f>1</f>
        <v>1</v>
      </c>
    </row>
    <row r="59" spans="1:10" x14ac:dyDescent="0.25">
      <c r="A59" s="3">
        <v>43739</v>
      </c>
      <c r="B59">
        <v>237881</v>
      </c>
      <c r="C59">
        <v>643205</v>
      </c>
      <c r="D59" t="s">
        <v>51</v>
      </c>
      <c r="E59" t="s">
        <v>52</v>
      </c>
      <c r="F59" t="s">
        <v>35</v>
      </c>
      <c r="G59" s="1">
        <v>23884.46</v>
      </c>
      <c r="H59" s="2">
        <v>19107.567999999999</v>
      </c>
      <c r="I59" s="5" t="str">
        <f>VLOOKUP(BasePIs[[#This Row],[Produto]],DePara_Produto[],2,0)</f>
        <v>Outros</v>
      </c>
      <c r="J59" s="13">
        <f>1</f>
        <v>1</v>
      </c>
    </row>
    <row r="60" spans="1:10" x14ac:dyDescent="0.25">
      <c r="A60" s="3">
        <v>43739</v>
      </c>
      <c r="B60">
        <v>237882</v>
      </c>
      <c r="C60">
        <v>643206</v>
      </c>
      <c r="D60" t="s">
        <v>51</v>
      </c>
      <c r="E60" t="s">
        <v>52</v>
      </c>
      <c r="F60" t="s">
        <v>34</v>
      </c>
      <c r="G60" s="1">
        <v>45923.44</v>
      </c>
      <c r="H60" s="2">
        <v>36738.752</v>
      </c>
      <c r="I60" s="5" t="str">
        <f>VLOOKUP(BasePIs[[#This Row],[Produto]],DePara_Produto[],2,0)</f>
        <v>Outros</v>
      </c>
      <c r="J60" s="13">
        <f>1</f>
        <v>1</v>
      </c>
    </row>
    <row r="61" spans="1:10" x14ac:dyDescent="0.25">
      <c r="A61" s="3">
        <v>43739</v>
      </c>
      <c r="B61">
        <v>237883</v>
      </c>
      <c r="C61">
        <v>643207</v>
      </c>
      <c r="D61" t="s">
        <v>51</v>
      </c>
      <c r="E61" t="s">
        <v>52</v>
      </c>
      <c r="F61" t="s">
        <v>34</v>
      </c>
      <c r="G61" s="1">
        <v>24718.75</v>
      </c>
      <c r="H61" s="2">
        <v>19775</v>
      </c>
      <c r="I61" s="5" t="str">
        <f>VLOOKUP(BasePIs[[#This Row],[Produto]],DePara_Produto[],2,0)</f>
        <v>Outros</v>
      </c>
      <c r="J61" s="13">
        <f>1</f>
        <v>1</v>
      </c>
    </row>
    <row r="62" spans="1:10" x14ac:dyDescent="0.25">
      <c r="A62" s="3">
        <v>43739</v>
      </c>
      <c r="B62">
        <v>237884</v>
      </c>
      <c r="C62">
        <v>643208</v>
      </c>
      <c r="D62" t="s">
        <v>51</v>
      </c>
      <c r="E62" t="s">
        <v>52</v>
      </c>
      <c r="F62" t="s">
        <v>36</v>
      </c>
      <c r="G62" s="1">
        <v>5137.5</v>
      </c>
      <c r="H62" s="2">
        <v>4110</v>
      </c>
      <c r="I62" s="5" t="str">
        <f>VLOOKUP(BasePIs[[#This Row],[Produto]],DePara_Produto[],2,0)</f>
        <v>Outros</v>
      </c>
      <c r="J62" s="13">
        <f>1</f>
        <v>1</v>
      </c>
    </row>
    <row r="63" spans="1:10" x14ac:dyDescent="0.25">
      <c r="A63" s="3">
        <v>43739</v>
      </c>
      <c r="B63">
        <v>237886</v>
      </c>
      <c r="C63">
        <v>643213</v>
      </c>
      <c r="D63" t="s">
        <v>54</v>
      </c>
      <c r="E63" t="s">
        <v>55</v>
      </c>
      <c r="F63" t="s">
        <v>28</v>
      </c>
      <c r="G63" s="1">
        <v>218750</v>
      </c>
      <c r="H63" s="2">
        <v>175000</v>
      </c>
      <c r="I63" s="5" t="str">
        <f>VLOOKUP(BasePIs[[#This Row],[Produto]],DePara_Produto[],2,0)</f>
        <v>Varejo</v>
      </c>
      <c r="J63" s="13">
        <f>1</f>
        <v>1</v>
      </c>
    </row>
    <row r="64" spans="1:10" x14ac:dyDescent="0.25">
      <c r="A64" s="3">
        <v>43739</v>
      </c>
      <c r="B64">
        <v>237889</v>
      </c>
      <c r="C64">
        <v>643216</v>
      </c>
      <c r="D64" t="s">
        <v>54</v>
      </c>
      <c r="E64" t="s">
        <v>55</v>
      </c>
      <c r="F64" t="s">
        <v>25</v>
      </c>
      <c r="G64" s="1">
        <v>1206420</v>
      </c>
      <c r="H64" s="2">
        <v>965136</v>
      </c>
      <c r="I64" s="5" t="str">
        <f>VLOOKUP(BasePIs[[#This Row],[Produto]],DePara_Produto[],2,0)</f>
        <v>Varejo</v>
      </c>
      <c r="J64" s="13">
        <f>1</f>
        <v>1</v>
      </c>
    </row>
    <row r="65" spans="1:10" x14ac:dyDescent="0.25">
      <c r="A65" s="3">
        <v>43739</v>
      </c>
      <c r="B65">
        <v>237890</v>
      </c>
      <c r="C65">
        <v>643217</v>
      </c>
      <c r="D65" t="s">
        <v>54</v>
      </c>
      <c r="E65" t="s">
        <v>55</v>
      </c>
      <c r="F65" t="s">
        <v>35</v>
      </c>
      <c r="G65" s="1">
        <v>42029.43</v>
      </c>
      <c r="H65" s="2">
        <v>33623.544000000002</v>
      </c>
      <c r="I65" s="5" t="str">
        <f>VLOOKUP(BasePIs[[#This Row],[Produto]],DePara_Produto[],2,0)</f>
        <v>Varejo</v>
      </c>
      <c r="J65" s="13">
        <f>1</f>
        <v>1</v>
      </c>
    </row>
    <row r="66" spans="1:10" x14ac:dyDescent="0.25">
      <c r="A66" s="3">
        <v>43739</v>
      </c>
      <c r="B66">
        <v>237891</v>
      </c>
      <c r="C66">
        <v>643218</v>
      </c>
      <c r="D66" t="s">
        <v>54</v>
      </c>
      <c r="E66" t="s">
        <v>55</v>
      </c>
      <c r="F66" t="s">
        <v>34</v>
      </c>
      <c r="G66" s="1">
        <v>81795.570000000007</v>
      </c>
      <c r="H66" s="2">
        <v>65436.455999999998</v>
      </c>
      <c r="I66" s="5" t="str">
        <f>VLOOKUP(BasePIs[[#This Row],[Produto]],DePara_Produto[],2,0)</f>
        <v>Varejo</v>
      </c>
      <c r="J66" s="13">
        <f>1</f>
        <v>1</v>
      </c>
    </row>
    <row r="67" spans="1:10" x14ac:dyDescent="0.25">
      <c r="A67" s="3">
        <v>43739</v>
      </c>
      <c r="B67">
        <v>237892</v>
      </c>
      <c r="C67">
        <v>643219</v>
      </c>
      <c r="D67" t="s">
        <v>54</v>
      </c>
      <c r="E67" t="s">
        <v>55</v>
      </c>
      <c r="F67" t="s">
        <v>34</v>
      </c>
      <c r="G67" s="1">
        <v>12500</v>
      </c>
      <c r="H67" s="2">
        <v>10000</v>
      </c>
      <c r="I67" s="5" t="str">
        <f>VLOOKUP(BasePIs[[#This Row],[Produto]],DePara_Produto[],2,0)</f>
        <v>Varejo</v>
      </c>
      <c r="J67" s="13">
        <f>1</f>
        <v>1</v>
      </c>
    </row>
    <row r="68" spans="1:10" x14ac:dyDescent="0.25">
      <c r="A68" s="3">
        <v>43739</v>
      </c>
      <c r="B68">
        <v>237907</v>
      </c>
      <c r="C68">
        <v>643241</v>
      </c>
      <c r="D68" t="s">
        <v>56</v>
      </c>
      <c r="E68" t="s">
        <v>38</v>
      </c>
      <c r="F68" t="s">
        <v>28</v>
      </c>
      <c r="G68" s="1">
        <v>10000</v>
      </c>
      <c r="H68" s="2">
        <v>8000</v>
      </c>
      <c r="I68" s="5" t="str">
        <f>VLOOKUP(BasePIs[[#This Row],[Produto]],DePara_Produto[],2,0)</f>
        <v>Varejo</v>
      </c>
      <c r="J68" s="13">
        <f>1</f>
        <v>1</v>
      </c>
    </row>
    <row r="69" spans="1:10" x14ac:dyDescent="0.25">
      <c r="A69" s="3">
        <v>43739</v>
      </c>
      <c r="B69">
        <v>237908</v>
      </c>
      <c r="C69">
        <v>643242</v>
      </c>
      <c r="D69" t="s">
        <v>56</v>
      </c>
      <c r="E69" t="s">
        <v>38</v>
      </c>
      <c r="F69" t="s">
        <v>35</v>
      </c>
      <c r="G69" s="1">
        <v>22.93</v>
      </c>
      <c r="H69" s="2">
        <v>18.344000000000001</v>
      </c>
      <c r="I69" s="5" t="str">
        <f>VLOOKUP(BasePIs[[#This Row],[Produto]],DePara_Produto[],2,0)</f>
        <v>Varejo</v>
      </c>
      <c r="J69" s="13">
        <f>1</f>
        <v>1</v>
      </c>
    </row>
    <row r="70" spans="1:10" x14ac:dyDescent="0.25">
      <c r="A70" s="3">
        <v>43739</v>
      </c>
      <c r="B70">
        <v>237969</v>
      </c>
      <c r="C70">
        <v>643473</v>
      </c>
      <c r="D70" t="s">
        <v>54</v>
      </c>
      <c r="E70" t="s">
        <v>55</v>
      </c>
      <c r="F70" t="s">
        <v>29</v>
      </c>
      <c r="G70" s="1">
        <v>125000</v>
      </c>
      <c r="H70" s="2">
        <v>100000</v>
      </c>
      <c r="I70" s="5" t="str">
        <f>VLOOKUP(BasePIs[[#This Row],[Produto]],DePara_Produto[],2,0)</f>
        <v>Varejo</v>
      </c>
      <c r="J70" s="13">
        <f>1</f>
        <v>1</v>
      </c>
    </row>
    <row r="71" spans="1:10" x14ac:dyDescent="0.25">
      <c r="A71" s="3">
        <v>43739</v>
      </c>
      <c r="B71">
        <v>237972</v>
      </c>
      <c r="C71">
        <v>643476</v>
      </c>
      <c r="D71" t="s">
        <v>57</v>
      </c>
      <c r="E71" t="s">
        <v>58</v>
      </c>
      <c r="F71" t="s">
        <v>33</v>
      </c>
      <c r="G71" s="1">
        <v>5000</v>
      </c>
      <c r="H71" s="2">
        <v>4000</v>
      </c>
      <c r="I71" s="5" t="str">
        <f>VLOOKUP(BasePIs[[#This Row],[Produto]],DePara_Produto[],2,0)</f>
        <v>Outros</v>
      </c>
      <c r="J71" s="13">
        <f>1</f>
        <v>1</v>
      </c>
    </row>
    <row r="72" spans="1:10" x14ac:dyDescent="0.25">
      <c r="A72" s="3">
        <v>43739</v>
      </c>
      <c r="B72">
        <v>237973</v>
      </c>
      <c r="C72">
        <v>643477</v>
      </c>
      <c r="D72" t="s">
        <v>57</v>
      </c>
      <c r="E72" t="s">
        <v>58</v>
      </c>
      <c r="F72" t="s">
        <v>28</v>
      </c>
      <c r="G72" s="1">
        <v>245000</v>
      </c>
      <c r="H72" s="2">
        <v>196000</v>
      </c>
      <c r="I72" s="5" t="str">
        <f>VLOOKUP(BasePIs[[#This Row],[Produto]],DePara_Produto[],2,0)</f>
        <v>Outros</v>
      </c>
      <c r="J72" s="13">
        <f>1</f>
        <v>1</v>
      </c>
    </row>
    <row r="73" spans="1:10" x14ac:dyDescent="0.25">
      <c r="A73" s="3">
        <v>43739</v>
      </c>
      <c r="B73">
        <v>237974</v>
      </c>
      <c r="C73">
        <v>643478</v>
      </c>
      <c r="D73" t="s">
        <v>57</v>
      </c>
      <c r="E73" t="s">
        <v>58</v>
      </c>
      <c r="F73" t="s">
        <v>35</v>
      </c>
      <c r="G73" s="1">
        <v>8056.81</v>
      </c>
      <c r="H73" s="2">
        <v>6445.4480000000003</v>
      </c>
      <c r="I73" s="5" t="str">
        <f>VLOOKUP(BasePIs[[#This Row],[Produto]],DePara_Produto[],2,0)</f>
        <v>Outros</v>
      </c>
      <c r="J73" s="13">
        <f>1</f>
        <v>1</v>
      </c>
    </row>
    <row r="74" spans="1:10" x14ac:dyDescent="0.25">
      <c r="A74" s="3">
        <v>43739</v>
      </c>
      <c r="B74">
        <v>237980</v>
      </c>
      <c r="C74">
        <v>643484</v>
      </c>
      <c r="D74" t="s">
        <v>57</v>
      </c>
      <c r="E74" t="s">
        <v>58</v>
      </c>
      <c r="F74" t="s">
        <v>36</v>
      </c>
      <c r="G74" s="1">
        <v>15</v>
      </c>
      <c r="H74" s="2">
        <v>12</v>
      </c>
      <c r="I74" s="5" t="str">
        <f>VLOOKUP(BasePIs[[#This Row],[Produto]],DePara_Produto[],2,0)</f>
        <v>Outros</v>
      </c>
      <c r="J74" s="13">
        <f>1</f>
        <v>1</v>
      </c>
    </row>
    <row r="75" spans="1:10" x14ac:dyDescent="0.25">
      <c r="A75" s="3">
        <v>43709</v>
      </c>
      <c r="B75">
        <v>238001</v>
      </c>
      <c r="C75">
        <v>643511</v>
      </c>
      <c r="D75" t="s">
        <v>51</v>
      </c>
      <c r="E75" t="s">
        <v>52</v>
      </c>
      <c r="F75" t="s">
        <v>59</v>
      </c>
      <c r="G75" s="1">
        <v>131250</v>
      </c>
      <c r="H75" s="2">
        <v>105000</v>
      </c>
      <c r="I75" s="5" t="str">
        <f>VLOOKUP(BasePIs[[#This Row],[Produto]],DePara_Produto[],2,0)</f>
        <v>Outros</v>
      </c>
      <c r="J75" s="13">
        <f>1</f>
        <v>1</v>
      </c>
    </row>
    <row r="76" spans="1:10" x14ac:dyDescent="0.25">
      <c r="A76" s="3">
        <v>43709</v>
      </c>
      <c r="B76">
        <v>237736</v>
      </c>
      <c r="C76">
        <v>643033</v>
      </c>
      <c r="D76" t="s">
        <v>49</v>
      </c>
      <c r="E76" t="s">
        <v>49</v>
      </c>
      <c r="F76" t="s">
        <v>33</v>
      </c>
      <c r="G76" s="1">
        <v>100000</v>
      </c>
      <c r="H76" s="2">
        <v>80000</v>
      </c>
      <c r="I76" s="5" t="str">
        <f>VLOOKUP(BasePIs[[#This Row],[Produto]],DePara_Produto[],2,0)</f>
        <v>Outros</v>
      </c>
      <c r="J76" s="13">
        <f>1</f>
        <v>1</v>
      </c>
    </row>
    <row r="77" spans="1:10" x14ac:dyDescent="0.25">
      <c r="A77" s="3">
        <v>43709</v>
      </c>
      <c r="B77">
        <v>237738</v>
      </c>
      <c r="C77">
        <v>643039</v>
      </c>
      <c r="D77" t="s">
        <v>49</v>
      </c>
      <c r="E77" t="s">
        <v>49</v>
      </c>
      <c r="F77" t="s">
        <v>50</v>
      </c>
      <c r="G77" s="1">
        <v>100000</v>
      </c>
      <c r="H77" s="2">
        <v>80000</v>
      </c>
      <c r="I77" s="5" t="str">
        <f>VLOOKUP(BasePIs[[#This Row],[Produto]],DePara_Produto[],2,0)</f>
        <v>Outros</v>
      </c>
      <c r="J77" s="13">
        <f>1</f>
        <v>1</v>
      </c>
    </row>
    <row r="78" spans="1:10" x14ac:dyDescent="0.25">
      <c r="A78" s="3">
        <v>43709</v>
      </c>
      <c r="B78">
        <v>237739</v>
      </c>
      <c r="C78">
        <v>643035</v>
      </c>
      <c r="D78" t="s">
        <v>49</v>
      </c>
      <c r="E78" t="s">
        <v>49</v>
      </c>
      <c r="F78" t="s">
        <v>25</v>
      </c>
      <c r="G78" s="1">
        <v>100000.01</v>
      </c>
      <c r="H78" s="2">
        <v>80000.008000000002</v>
      </c>
      <c r="I78" s="5" t="str">
        <f>VLOOKUP(BasePIs[[#This Row],[Produto]],DePara_Produto[],2,0)</f>
        <v>Outros</v>
      </c>
      <c r="J78" s="13">
        <f>1</f>
        <v>1</v>
      </c>
    </row>
    <row r="79" spans="1:10" x14ac:dyDescent="0.25">
      <c r="A79" s="3">
        <v>43709</v>
      </c>
      <c r="B79">
        <v>237743</v>
      </c>
      <c r="C79">
        <v>643042</v>
      </c>
      <c r="D79" t="s">
        <v>49</v>
      </c>
      <c r="E79" t="s">
        <v>49</v>
      </c>
      <c r="F79" t="s">
        <v>35</v>
      </c>
      <c r="G79" s="1">
        <v>113.26</v>
      </c>
      <c r="H79" s="2">
        <v>90.608000000000004</v>
      </c>
      <c r="I79" s="5" t="str">
        <f>VLOOKUP(BasePIs[[#This Row],[Produto]],DePara_Produto[],2,0)</f>
        <v>Outros</v>
      </c>
      <c r="J79" s="13">
        <f>1</f>
        <v>1</v>
      </c>
    </row>
    <row r="80" spans="1:10" x14ac:dyDescent="0.25">
      <c r="A80" s="3">
        <v>43709</v>
      </c>
      <c r="B80">
        <v>237744</v>
      </c>
      <c r="C80">
        <v>643043</v>
      </c>
      <c r="D80" t="s">
        <v>49</v>
      </c>
      <c r="E80" t="s">
        <v>49</v>
      </c>
      <c r="F80" t="s">
        <v>34</v>
      </c>
      <c r="G80" s="1">
        <v>1900.68</v>
      </c>
      <c r="H80" s="2">
        <v>1520.5440000000001</v>
      </c>
      <c r="I80" s="5" t="str">
        <f>VLOOKUP(BasePIs[[#This Row],[Produto]],DePara_Produto[],2,0)</f>
        <v>Outros</v>
      </c>
      <c r="J80" s="13">
        <f>1</f>
        <v>1</v>
      </c>
    </row>
    <row r="81" spans="1:10" x14ac:dyDescent="0.25">
      <c r="A81" s="3">
        <v>43709</v>
      </c>
      <c r="B81">
        <v>237745</v>
      </c>
      <c r="C81">
        <v>643045</v>
      </c>
      <c r="D81" t="s">
        <v>49</v>
      </c>
      <c r="E81" t="s">
        <v>49</v>
      </c>
      <c r="F81" t="s">
        <v>28</v>
      </c>
      <c r="G81" s="1">
        <v>62500</v>
      </c>
      <c r="H81" s="2">
        <v>50000</v>
      </c>
      <c r="I81" s="5" t="str">
        <f>VLOOKUP(BasePIs[[#This Row],[Produto]],DePara_Produto[],2,0)</f>
        <v>Outros</v>
      </c>
      <c r="J81" s="13">
        <f>1</f>
        <v>1</v>
      </c>
    </row>
    <row r="82" spans="1:10" x14ac:dyDescent="0.25">
      <c r="A82" s="3">
        <v>43709</v>
      </c>
      <c r="B82">
        <v>237746</v>
      </c>
      <c r="C82">
        <v>643046</v>
      </c>
      <c r="D82" t="s">
        <v>49</v>
      </c>
      <c r="E82" t="s">
        <v>49</v>
      </c>
      <c r="F82" t="s">
        <v>34</v>
      </c>
      <c r="G82" s="1">
        <v>51.7</v>
      </c>
      <c r="H82" s="2">
        <v>41.36</v>
      </c>
      <c r="I82" s="5" t="str">
        <f>VLOOKUP(BasePIs[[#This Row],[Produto]],DePara_Produto[],2,0)</f>
        <v>Outros</v>
      </c>
      <c r="J82" s="13">
        <f>1</f>
        <v>1</v>
      </c>
    </row>
    <row r="83" spans="1:10" x14ac:dyDescent="0.25">
      <c r="A83" s="3">
        <v>43709</v>
      </c>
      <c r="B83">
        <v>237747</v>
      </c>
      <c r="C83">
        <v>643047</v>
      </c>
      <c r="D83" t="s">
        <v>49</v>
      </c>
      <c r="E83" t="s">
        <v>49</v>
      </c>
      <c r="F83" t="s">
        <v>36</v>
      </c>
      <c r="G83" s="1">
        <v>300</v>
      </c>
      <c r="H83" s="2">
        <v>240</v>
      </c>
      <c r="I83" s="5" t="str">
        <f>VLOOKUP(BasePIs[[#This Row],[Produto]],DePara_Produto[],2,0)</f>
        <v>Outros</v>
      </c>
      <c r="J83" s="13">
        <f>1</f>
        <v>1</v>
      </c>
    </row>
    <row r="84" spans="1:10" x14ac:dyDescent="0.25">
      <c r="A84" s="3">
        <v>43709</v>
      </c>
      <c r="B84">
        <v>237835</v>
      </c>
      <c r="C84">
        <v>643138</v>
      </c>
      <c r="D84" t="s">
        <v>44</v>
      </c>
      <c r="E84" t="s">
        <v>44</v>
      </c>
      <c r="F84" t="s">
        <v>29</v>
      </c>
      <c r="G84" s="1">
        <v>100000</v>
      </c>
      <c r="H84" s="2">
        <v>80000</v>
      </c>
      <c r="I84" s="5" t="str">
        <f>VLOOKUP(BasePIs[[#This Row],[Produto]],DePara_Produto[],2,0)</f>
        <v>Amarok</v>
      </c>
      <c r="J84" s="13">
        <f>1</f>
        <v>1</v>
      </c>
    </row>
    <row r="85" spans="1:10" x14ac:dyDescent="0.25">
      <c r="A85" s="3">
        <v>43709</v>
      </c>
      <c r="B85">
        <v>237874</v>
      </c>
      <c r="C85">
        <v>643197</v>
      </c>
      <c r="D85" t="s">
        <v>51</v>
      </c>
      <c r="E85" t="s">
        <v>52</v>
      </c>
      <c r="F85" t="s">
        <v>53</v>
      </c>
      <c r="G85" s="1">
        <v>37500</v>
      </c>
      <c r="H85" s="2">
        <v>30000</v>
      </c>
      <c r="I85" s="5" t="str">
        <f>VLOOKUP(BasePIs[[#This Row],[Produto]],DePara_Produto[],2,0)</f>
        <v>Outros</v>
      </c>
      <c r="J85" s="13">
        <f>1</f>
        <v>1</v>
      </c>
    </row>
    <row r="86" spans="1:10" x14ac:dyDescent="0.25">
      <c r="A86" s="3">
        <v>43709</v>
      </c>
      <c r="B86">
        <v>237875</v>
      </c>
      <c r="C86">
        <v>643198</v>
      </c>
      <c r="D86" t="s">
        <v>51</v>
      </c>
      <c r="E86" t="s">
        <v>52</v>
      </c>
      <c r="F86" t="s">
        <v>33</v>
      </c>
      <c r="G86" s="1">
        <v>1675000</v>
      </c>
      <c r="H86" s="2">
        <v>1340000</v>
      </c>
      <c r="I86" s="5" t="str">
        <f>VLOOKUP(BasePIs[[#This Row],[Produto]],DePara_Produto[],2,0)</f>
        <v>Outros</v>
      </c>
      <c r="J86" s="13">
        <f>1</f>
        <v>1</v>
      </c>
    </row>
    <row r="87" spans="1:10" x14ac:dyDescent="0.25">
      <c r="A87" s="3">
        <v>43709</v>
      </c>
      <c r="B87">
        <v>237877</v>
      </c>
      <c r="C87">
        <v>643200</v>
      </c>
      <c r="D87" t="s">
        <v>51</v>
      </c>
      <c r="E87" t="s">
        <v>52</v>
      </c>
      <c r="F87" t="s">
        <v>28</v>
      </c>
      <c r="G87" s="1">
        <v>925000</v>
      </c>
      <c r="H87" s="2">
        <v>740000</v>
      </c>
      <c r="I87" s="5" t="str">
        <f>VLOOKUP(BasePIs[[#This Row],[Produto]],DePara_Produto[],2,0)</f>
        <v>Outros</v>
      </c>
      <c r="J87" s="13">
        <f>1</f>
        <v>1</v>
      </c>
    </row>
    <row r="88" spans="1:10" x14ac:dyDescent="0.25">
      <c r="A88" s="3">
        <v>43709</v>
      </c>
      <c r="B88">
        <v>237879</v>
      </c>
      <c r="C88">
        <v>643202</v>
      </c>
      <c r="D88" t="s">
        <v>51</v>
      </c>
      <c r="E88" t="s">
        <v>52</v>
      </c>
      <c r="F88" t="s">
        <v>32</v>
      </c>
      <c r="G88" s="1">
        <v>681250</v>
      </c>
      <c r="H88" s="2">
        <v>545000</v>
      </c>
      <c r="I88" s="5" t="str">
        <f>VLOOKUP(BasePIs[[#This Row],[Produto]],DePara_Produto[],2,0)</f>
        <v>Outros</v>
      </c>
      <c r="J88" s="13">
        <f>1</f>
        <v>1</v>
      </c>
    </row>
    <row r="89" spans="1:10" x14ac:dyDescent="0.25">
      <c r="A89" s="3">
        <v>43709</v>
      </c>
      <c r="B89">
        <v>237880</v>
      </c>
      <c r="C89">
        <v>643203</v>
      </c>
      <c r="D89" t="s">
        <v>51</v>
      </c>
      <c r="E89" t="s">
        <v>52</v>
      </c>
      <c r="F89" t="s">
        <v>25</v>
      </c>
      <c r="G89" s="1">
        <v>494375</v>
      </c>
      <c r="H89" s="2">
        <v>395500</v>
      </c>
      <c r="I89" s="5" t="str">
        <f>VLOOKUP(BasePIs[[#This Row],[Produto]],DePara_Produto[],2,0)</f>
        <v>Outros</v>
      </c>
      <c r="J89" s="13">
        <f>1</f>
        <v>1</v>
      </c>
    </row>
    <row r="90" spans="1:10" x14ac:dyDescent="0.25">
      <c r="A90" s="3">
        <v>43709</v>
      </c>
      <c r="B90">
        <v>237881</v>
      </c>
      <c r="C90">
        <v>643205</v>
      </c>
      <c r="D90" t="s">
        <v>51</v>
      </c>
      <c r="E90" t="s">
        <v>52</v>
      </c>
      <c r="F90" t="s">
        <v>35</v>
      </c>
      <c r="G90" s="1">
        <v>23884.46</v>
      </c>
      <c r="H90" s="2">
        <v>19107.567999999999</v>
      </c>
      <c r="I90" s="5" t="str">
        <f>VLOOKUP(BasePIs[[#This Row],[Produto]],DePara_Produto[],2,0)</f>
        <v>Outros</v>
      </c>
      <c r="J90" s="13">
        <f>1</f>
        <v>1</v>
      </c>
    </row>
    <row r="91" spans="1:10" x14ac:dyDescent="0.25">
      <c r="A91" s="3">
        <v>43709</v>
      </c>
      <c r="B91">
        <v>237882</v>
      </c>
      <c r="C91">
        <v>643206</v>
      </c>
      <c r="D91" t="s">
        <v>51</v>
      </c>
      <c r="E91" t="s">
        <v>52</v>
      </c>
      <c r="F91" t="s">
        <v>34</v>
      </c>
      <c r="G91" s="1">
        <v>45923.44</v>
      </c>
      <c r="H91" s="2">
        <v>36738.752</v>
      </c>
      <c r="I91" s="5" t="str">
        <f>VLOOKUP(BasePIs[[#This Row],[Produto]],DePara_Produto[],2,0)</f>
        <v>Outros</v>
      </c>
      <c r="J91" s="13">
        <f>1</f>
        <v>1</v>
      </c>
    </row>
    <row r="92" spans="1:10" x14ac:dyDescent="0.25">
      <c r="A92" s="3">
        <v>43709</v>
      </c>
      <c r="B92">
        <v>237883</v>
      </c>
      <c r="C92">
        <v>643207</v>
      </c>
      <c r="D92" t="s">
        <v>51</v>
      </c>
      <c r="E92" t="s">
        <v>52</v>
      </c>
      <c r="F92" t="s">
        <v>34</v>
      </c>
      <c r="G92" s="1">
        <v>24718.75</v>
      </c>
      <c r="H92" s="2">
        <v>19775</v>
      </c>
      <c r="I92" s="5" t="str">
        <f>VLOOKUP(BasePIs[[#This Row],[Produto]],DePara_Produto[],2,0)</f>
        <v>Outros</v>
      </c>
      <c r="J92" s="13">
        <f>1</f>
        <v>1</v>
      </c>
    </row>
    <row r="93" spans="1:10" x14ac:dyDescent="0.25">
      <c r="A93" s="3">
        <v>43709</v>
      </c>
      <c r="B93">
        <v>237884</v>
      </c>
      <c r="C93">
        <v>643208</v>
      </c>
      <c r="D93" t="s">
        <v>51</v>
      </c>
      <c r="E93" t="s">
        <v>52</v>
      </c>
      <c r="F93" t="s">
        <v>36</v>
      </c>
      <c r="G93" s="1">
        <v>5137.5</v>
      </c>
      <c r="H93" s="2">
        <v>4110</v>
      </c>
      <c r="I93" s="5" t="str">
        <f>VLOOKUP(BasePIs[[#This Row],[Produto]],DePara_Produto[],2,0)</f>
        <v>Outros</v>
      </c>
      <c r="J93" s="13">
        <f>1</f>
        <v>1</v>
      </c>
    </row>
    <row r="94" spans="1:10" x14ac:dyDescent="0.25">
      <c r="A94" s="3">
        <v>43709</v>
      </c>
      <c r="B94">
        <v>237886</v>
      </c>
      <c r="C94">
        <v>643213</v>
      </c>
      <c r="D94" t="s">
        <v>54</v>
      </c>
      <c r="E94" t="s">
        <v>55</v>
      </c>
      <c r="F94" t="s">
        <v>28</v>
      </c>
      <c r="G94" s="1">
        <v>218750</v>
      </c>
      <c r="H94" s="2">
        <v>175000</v>
      </c>
      <c r="I94" s="5" t="str">
        <f>VLOOKUP(BasePIs[[#This Row],[Produto]],DePara_Produto[],2,0)</f>
        <v>Varejo</v>
      </c>
      <c r="J94" s="13">
        <f>1</f>
        <v>1</v>
      </c>
    </row>
    <row r="95" spans="1:10" x14ac:dyDescent="0.25">
      <c r="A95" s="3">
        <v>43556</v>
      </c>
      <c r="B95">
        <v>237889</v>
      </c>
      <c r="C95">
        <v>643216</v>
      </c>
      <c r="D95" t="s">
        <v>54</v>
      </c>
      <c r="E95" t="s">
        <v>55</v>
      </c>
      <c r="F95" t="s">
        <v>25</v>
      </c>
      <c r="G95" s="1">
        <v>1206420</v>
      </c>
      <c r="H95" s="2">
        <v>965136</v>
      </c>
      <c r="I95" s="5" t="str">
        <f>VLOOKUP(BasePIs[[#This Row],[Produto]],DePara_Produto[],2,0)</f>
        <v>Varejo</v>
      </c>
      <c r="J95" s="13">
        <f>1</f>
        <v>1</v>
      </c>
    </row>
    <row r="96" spans="1:10" x14ac:dyDescent="0.25">
      <c r="A96" s="3">
        <v>43556</v>
      </c>
      <c r="B96">
        <v>237890</v>
      </c>
      <c r="C96">
        <v>643217</v>
      </c>
      <c r="D96" t="s">
        <v>54</v>
      </c>
      <c r="E96" t="s">
        <v>55</v>
      </c>
      <c r="F96" t="s">
        <v>35</v>
      </c>
      <c r="G96" s="1">
        <v>42029.43</v>
      </c>
      <c r="H96" s="2">
        <v>33623.544000000002</v>
      </c>
      <c r="I96" s="5" t="str">
        <f>VLOOKUP(BasePIs[[#This Row],[Produto]],DePara_Produto[],2,0)</f>
        <v>Varejo</v>
      </c>
      <c r="J96" s="13">
        <f>1</f>
        <v>1</v>
      </c>
    </row>
    <row r="97" spans="1:10" x14ac:dyDescent="0.25">
      <c r="A97" s="3">
        <v>43556</v>
      </c>
      <c r="B97">
        <v>237891</v>
      </c>
      <c r="C97">
        <v>643218</v>
      </c>
      <c r="D97" t="s">
        <v>54</v>
      </c>
      <c r="E97" t="s">
        <v>55</v>
      </c>
      <c r="F97" t="s">
        <v>34</v>
      </c>
      <c r="G97" s="1">
        <v>81795.570000000007</v>
      </c>
      <c r="H97" s="2">
        <v>65436.455999999998</v>
      </c>
      <c r="I97" s="5" t="str">
        <f>VLOOKUP(BasePIs[[#This Row],[Produto]],DePara_Produto[],2,0)</f>
        <v>Varejo</v>
      </c>
      <c r="J97" s="13">
        <f>1</f>
        <v>1</v>
      </c>
    </row>
    <row r="98" spans="1:10" x14ac:dyDescent="0.25">
      <c r="A98" s="3">
        <v>43556</v>
      </c>
      <c r="B98">
        <v>237892</v>
      </c>
      <c r="C98">
        <v>643219</v>
      </c>
      <c r="D98" t="s">
        <v>54</v>
      </c>
      <c r="E98" t="s">
        <v>55</v>
      </c>
      <c r="F98" t="s">
        <v>34</v>
      </c>
      <c r="G98" s="1">
        <v>12500</v>
      </c>
      <c r="H98" s="2">
        <v>10000</v>
      </c>
      <c r="I98" s="5" t="str">
        <f>VLOOKUP(BasePIs[[#This Row],[Produto]],DePara_Produto[],2,0)</f>
        <v>Varejo</v>
      </c>
      <c r="J98" s="13">
        <f>1</f>
        <v>1</v>
      </c>
    </row>
    <row r="99" spans="1:10" x14ac:dyDescent="0.25">
      <c r="A99" s="3">
        <v>43556</v>
      </c>
      <c r="B99">
        <v>237907</v>
      </c>
      <c r="C99">
        <v>643241</v>
      </c>
      <c r="D99" t="s">
        <v>56</v>
      </c>
      <c r="E99" t="s">
        <v>38</v>
      </c>
      <c r="F99" t="s">
        <v>28</v>
      </c>
      <c r="G99" s="1">
        <v>10000</v>
      </c>
      <c r="H99" s="2">
        <v>8000</v>
      </c>
      <c r="I99" s="5" t="str">
        <f>VLOOKUP(BasePIs[[#This Row],[Produto]],DePara_Produto[],2,0)</f>
        <v>Varejo</v>
      </c>
      <c r="J99" s="13">
        <f>1</f>
        <v>1</v>
      </c>
    </row>
    <row r="100" spans="1:10" x14ac:dyDescent="0.25">
      <c r="A100" s="3">
        <v>43556</v>
      </c>
      <c r="B100">
        <v>237908</v>
      </c>
      <c r="C100">
        <v>643242</v>
      </c>
      <c r="D100" t="s">
        <v>56</v>
      </c>
      <c r="E100" t="s">
        <v>38</v>
      </c>
      <c r="F100" t="s">
        <v>35</v>
      </c>
      <c r="G100" s="1">
        <v>22.93</v>
      </c>
      <c r="H100" s="2">
        <v>18.344000000000001</v>
      </c>
      <c r="I100" s="5" t="str">
        <f>VLOOKUP(BasePIs[[#This Row],[Produto]],DePara_Produto[],2,0)</f>
        <v>Varejo</v>
      </c>
      <c r="J100" s="13">
        <f>1</f>
        <v>1</v>
      </c>
    </row>
    <row r="101" spans="1:10" x14ac:dyDescent="0.25">
      <c r="A101" s="3">
        <v>43556</v>
      </c>
      <c r="B101">
        <v>237969</v>
      </c>
      <c r="C101">
        <v>643473</v>
      </c>
      <c r="D101" t="s">
        <v>54</v>
      </c>
      <c r="E101" t="s">
        <v>55</v>
      </c>
      <c r="F101" t="s">
        <v>29</v>
      </c>
      <c r="G101" s="1">
        <v>125000</v>
      </c>
      <c r="H101" s="2">
        <v>100000</v>
      </c>
      <c r="I101" s="5" t="str">
        <f>VLOOKUP(BasePIs[[#This Row],[Produto]],DePara_Produto[],2,0)</f>
        <v>Varejo</v>
      </c>
      <c r="J101" s="13">
        <f>1</f>
        <v>1</v>
      </c>
    </row>
    <row r="102" spans="1:10" x14ac:dyDescent="0.25">
      <c r="A102" s="3">
        <v>43556</v>
      </c>
      <c r="B102">
        <v>237972</v>
      </c>
      <c r="C102">
        <v>643476</v>
      </c>
      <c r="D102" t="s">
        <v>57</v>
      </c>
      <c r="E102" t="s">
        <v>58</v>
      </c>
      <c r="F102" t="s">
        <v>33</v>
      </c>
      <c r="G102" s="1">
        <v>5000</v>
      </c>
      <c r="H102" s="2">
        <v>4000</v>
      </c>
      <c r="I102" s="5" t="str">
        <f>VLOOKUP(BasePIs[[#This Row],[Produto]],DePara_Produto[],2,0)</f>
        <v>Outros</v>
      </c>
      <c r="J102" s="13">
        <f>1</f>
        <v>1</v>
      </c>
    </row>
    <row r="103" spans="1:10" x14ac:dyDescent="0.25">
      <c r="A103" s="3">
        <v>43556</v>
      </c>
      <c r="B103">
        <v>237973</v>
      </c>
      <c r="C103">
        <v>643477</v>
      </c>
      <c r="D103" t="s">
        <v>57</v>
      </c>
      <c r="E103" t="s">
        <v>58</v>
      </c>
      <c r="F103" t="s">
        <v>28</v>
      </c>
      <c r="G103" s="1">
        <v>245000</v>
      </c>
      <c r="H103" s="2">
        <v>196000</v>
      </c>
      <c r="I103" s="5" t="str">
        <f>VLOOKUP(BasePIs[[#This Row],[Produto]],DePara_Produto[],2,0)</f>
        <v>Outros</v>
      </c>
      <c r="J103" s="13">
        <f>1</f>
        <v>1</v>
      </c>
    </row>
    <row r="104" spans="1:10" x14ac:dyDescent="0.25">
      <c r="A104" s="3">
        <v>43556</v>
      </c>
      <c r="B104">
        <v>237974</v>
      </c>
      <c r="C104">
        <v>643478</v>
      </c>
      <c r="D104" t="s">
        <v>57</v>
      </c>
      <c r="E104" t="s">
        <v>58</v>
      </c>
      <c r="F104" t="s">
        <v>35</v>
      </c>
      <c r="G104" s="1">
        <v>8056.81</v>
      </c>
      <c r="H104" s="2">
        <v>6445.4480000000003</v>
      </c>
      <c r="I104" s="5" t="str">
        <f>VLOOKUP(BasePIs[[#This Row],[Produto]],DePara_Produto[],2,0)</f>
        <v>Outros</v>
      </c>
      <c r="J104" s="13">
        <f>1</f>
        <v>1</v>
      </c>
    </row>
    <row r="105" spans="1:10" x14ac:dyDescent="0.25">
      <c r="A105" s="3">
        <v>43556</v>
      </c>
      <c r="B105">
        <v>237980</v>
      </c>
      <c r="C105">
        <v>643484</v>
      </c>
      <c r="D105" t="s">
        <v>57</v>
      </c>
      <c r="E105" t="s">
        <v>58</v>
      </c>
      <c r="F105" t="s">
        <v>36</v>
      </c>
      <c r="G105" s="1">
        <v>15</v>
      </c>
      <c r="H105" s="2">
        <v>12</v>
      </c>
      <c r="I105" s="5" t="str">
        <f>VLOOKUP(BasePIs[[#This Row],[Produto]],DePara_Produto[],2,0)</f>
        <v>Outros</v>
      </c>
      <c r="J105" s="13">
        <f>1</f>
        <v>1</v>
      </c>
    </row>
    <row r="106" spans="1:10" x14ac:dyDescent="0.25">
      <c r="A106" s="3">
        <v>43556</v>
      </c>
      <c r="B106">
        <v>238001</v>
      </c>
      <c r="C106">
        <v>643511</v>
      </c>
      <c r="D106" t="s">
        <v>51</v>
      </c>
      <c r="E106" t="s">
        <v>52</v>
      </c>
      <c r="F106" t="s">
        <v>59</v>
      </c>
      <c r="G106" s="1">
        <v>131250</v>
      </c>
      <c r="H106" s="2">
        <v>105000</v>
      </c>
      <c r="I106" s="5" t="str">
        <f>VLOOKUP(BasePIs[[#This Row],[Produto]],DePara_Produto[],2,0)</f>
        <v>Outros</v>
      </c>
      <c r="J106" s="13">
        <f>1</f>
        <v>1</v>
      </c>
    </row>
    <row r="107" spans="1:10" x14ac:dyDescent="0.25">
      <c r="A107" s="3">
        <v>43556</v>
      </c>
      <c r="B107">
        <v>237886</v>
      </c>
      <c r="C107">
        <v>643213</v>
      </c>
      <c r="D107" t="s">
        <v>54</v>
      </c>
      <c r="E107" t="s">
        <v>55</v>
      </c>
      <c r="F107" t="s">
        <v>28</v>
      </c>
      <c r="G107" s="1">
        <v>218750</v>
      </c>
      <c r="H107" s="2">
        <v>175000</v>
      </c>
      <c r="I107" s="5" t="str">
        <f>VLOOKUP(BasePIs[[#This Row],[Produto]],DePara_Produto[],2,0)</f>
        <v>Varejo</v>
      </c>
      <c r="J107" s="13">
        <f>1</f>
        <v>1</v>
      </c>
    </row>
    <row r="108" spans="1:10" x14ac:dyDescent="0.25">
      <c r="A108" s="3">
        <v>43556</v>
      </c>
      <c r="B108">
        <v>237889</v>
      </c>
      <c r="C108">
        <v>643216</v>
      </c>
      <c r="D108" t="s">
        <v>54</v>
      </c>
      <c r="E108" t="s">
        <v>55</v>
      </c>
      <c r="F108" t="s">
        <v>25</v>
      </c>
      <c r="G108" s="1">
        <v>1206420</v>
      </c>
      <c r="H108" s="2">
        <v>965136</v>
      </c>
      <c r="I108" s="5" t="str">
        <f>VLOOKUP(BasePIs[[#This Row],[Produto]],DePara_Produto[],2,0)</f>
        <v>Varejo</v>
      </c>
      <c r="J108" s="13">
        <f>1</f>
        <v>1</v>
      </c>
    </row>
    <row r="109" spans="1:10" x14ac:dyDescent="0.25">
      <c r="A109" s="3">
        <v>43556</v>
      </c>
      <c r="B109">
        <v>237890</v>
      </c>
      <c r="C109">
        <v>643217</v>
      </c>
      <c r="D109" t="s">
        <v>54</v>
      </c>
      <c r="E109" t="s">
        <v>55</v>
      </c>
      <c r="F109" t="s">
        <v>35</v>
      </c>
      <c r="G109" s="1">
        <v>42029.43</v>
      </c>
      <c r="H109" s="2">
        <v>33623.544000000002</v>
      </c>
      <c r="I109" s="5" t="str">
        <f>VLOOKUP(BasePIs[[#This Row],[Produto]],DePara_Produto[],2,0)</f>
        <v>Varejo</v>
      </c>
      <c r="J109" s="13">
        <f>1</f>
        <v>1</v>
      </c>
    </row>
    <row r="110" spans="1:10" x14ac:dyDescent="0.25">
      <c r="A110" s="3">
        <v>43556</v>
      </c>
      <c r="B110">
        <v>237891</v>
      </c>
      <c r="C110">
        <v>643218</v>
      </c>
      <c r="D110" t="s">
        <v>54</v>
      </c>
      <c r="E110" t="s">
        <v>55</v>
      </c>
      <c r="F110" t="s">
        <v>34</v>
      </c>
      <c r="G110" s="1">
        <v>81795.570000000007</v>
      </c>
      <c r="H110" s="2">
        <v>65436.455999999998</v>
      </c>
      <c r="I110" s="5" t="str">
        <f>VLOOKUP(BasePIs[[#This Row],[Produto]],DePara_Produto[],2,0)</f>
        <v>Varejo</v>
      </c>
      <c r="J110" s="13">
        <f>1</f>
        <v>1</v>
      </c>
    </row>
    <row r="111" spans="1:10" x14ac:dyDescent="0.25">
      <c r="A111" s="3">
        <v>43556</v>
      </c>
      <c r="B111">
        <v>237892</v>
      </c>
      <c r="C111">
        <v>643219</v>
      </c>
      <c r="D111" t="s">
        <v>54</v>
      </c>
      <c r="E111" t="s">
        <v>55</v>
      </c>
      <c r="F111" t="s">
        <v>34</v>
      </c>
      <c r="G111" s="1">
        <v>12500</v>
      </c>
      <c r="H111" s="2">
        <v>10000</v>
      </c>
      <c r="I111" s="5" t="str">
        <f>VLOOKUP(BasePIs[[#This Row],[Produto]],DePara_Produto[],2,0)</f>
        <v>Varejo</v>
      </c>
      <c r="J111" s="13">
        <f>1</f>
        <v>1</v>
      </c>
    </row>
    <row r="112" spans="1:10" x14ac:dyDescent="0.25">
      <c r="A112" s="3">
        <v>43556</v>
      </c>
      <c r="B112">
        <v>237907</v>
      </c>
      <c r="C112">
        <v>643241</v>
      </c>
      <c r="D112" t="s">
        <v>56</v>
      </c>
      <c r="E112" t="s">
        <v>38</v>
      </c>
      <c r="F112" t="s">
        <v>28</v>
      </c>
      <c r="G112" s="1">
        <v>10000</v>
      </c>
      <c r="H112" s="2">
        <v>8000</v>
      </c>
      <c r="I112" s="5" t="str">
        <f>VLOOKUP(BasePIs[[#This Row],[Produto]],DePara_Produto[],2,0)</f>
        <v>Varejo</v>
      </c>
      <c r="J112" s="13">
        <f>1</f>
        <v>1</v>
      </c>
    </row>
    <row r="113" spans="1:10" x14ac:dyDescent="0.25">
      <c r="A113" s="3">
        <v>43556</v>
      </c>
      <c r="B113">
        <v>237908</v>
      </c>
      <c r="C113">
        <v>643242</v>
      </c>
      <c r="D113" t="s">
        <v>56</v>
      </c>
      <c r="E113" t="s">
        <v>38</v>
      </c>
      <c r="F113" t="s">
        <v>35</v>
      </c>
      <c r="G113" s="1">
        <v>22.93</v>
      </c>
      <c r="H113" s="2">
        <v>18.344000000000001</v>
      </c>
      <c r="I113" s="5" t="str">
        <f>VLOOKUP(BasePIs[[#This Row],[Produto]],DePara_Produto[],2,0)</f>
        <v>Varejo</v>
      </c>
      <c r="J113" s="13">
        <f>1</f>
        <v>1</v>
      </c>
    </row>
    <row r="114" spans="1:10" x14ac:dyDescent="0.25">
      <c r="A114" s="3">
        <v>43556</v>
      </c>
      <c r="B114">
        <v>237969</v>
      </c>
      <c r="C114">
        <v>643473</v>
      </c>
      <c r="D114" t="s">
        <v>54</v>
      </c>
      <c r="E114" t="s">
        <v>55</v>
      </c>
      <c r="F114" t="s">
        <v>29</v>
      </c>
      <c r="G114" s="1">
        <v>125000</v>
      </c>
      <c r="H114" s="2">
        <v>100000</v>
      </c>
      <c r="I114" s="5" t="str">
        <f>VLOOKUP(BasePIs[[#This Row],[Produto]],DePara_Produto[],2,0)</f>
        <v>Varejo</v>
      </c>
      <c r="J114" s="13">
        <f>1</f>
        <v>1</v>
      </c>
    </row>
    <row r="115" spans="1:10" x14ac:dyDescent="0.25">
      <c r="A115" s="3">
        <v>43556</v>
      </c>
      <c r="B115">
        <v>237972</v>
      </c>
      <c r="C115">
        <v>643476</v>
      </c>
      <c r="D115" t="s">
        <v>57</v>
      </c>
      <c r="E115" t="s">
        <v>58</v>
      </c>
      <c r="F115" t="s">
        <v>33</v>
      </c>
      <c r="G115" s="1">
        <v>5000</v>
      </c>
      <c r="H115" s="2">
        <v>4000</v>
      </c>
      <c r="I115" s="5" t="str">
        <f>VLOOKUP(BasePIs[[#This Row],[Produto]],DePara_Produto[],2,0)</f>
        <v>Outros</v>
      </c>
      <c r="J115" s="13">
        <f>1</f>
        <v>1</v>
      </c>
    </row>
    <row r="116" spans="1:10" x14ac:dyDescent="0.25">
      <c r="A116" s="3">
        <v>43556</v>
      </c>
      <c r="B116">
        <v>237973</v>
      </c>
      <c r="C116">
        <v>643477</v>
      </c>
      <c r="D116" t="s">
        <v>57</v>
      </c>
      <c r="E116" t="s">
        <v>58</v>
      </c>
      <c r="F116" t="s">
        <v>28</v>
      </c>
      <c r="G116" s="1">
        <v>245000</v>
      </c>
      <c r="H116" s="2">
        <v>196000</v>
      </c>
      <c r="I116" s="5" t="str">
        <f>VLOOKUP(BasePIs[[#This Row],[Produto]],DePara_Produto[],2,0)</f>
        <v>Outros</v>
      </c>
      <c r="J116" s="13">
        <f>1</f>
        <v>1</v>
      </c>
    </row>
    <row r="117" spans="1:10" x14ac:dyDescent="0.25">
      <c r="A117" s="3">
        <v>43556</v>
      </c>
      <c r="B117">
        <v>237974</v>
      </c>
      <c r="C117">
        <v>643478</v>
      </c>
      <c r="D117" t="s">
        <v>57</v>
      </c>
      <c r="E117" t="s">
        <v>58</v>
      </c>
      <c r="F117" t="s">
        <v>35</v>
      </c>
      <c r="G117" s="1">
        <v>8056.81</v>
      </c>
      <c r="H117" s="2">
        <v>6445.4480000000003</v>
      </c>
      <c r="I117" s="5" t="str">
        <f>VLOOKUP(BasePIs[[#This Row],[Produto]],DePara_Produto[],2,0)</f>
        <v>Outros</v>
      </c>
      <c r="J117" s="13">
        <f>1</f>
        <v>1</v>
      </c>
    </row>
    <row r="118" spans="1:10" x14ac:dyDescent="0.25">
      <c r="A118" s="3">
        <v>43556</v>
      </c>
      <c r="B118">
        <v>237980</v>
      </c>
      <c r="C118">
        <v>643484</v>
      </c>
      <c r="D118" t="s">
        <v>57</v>
      </c>
      <c r="E118" t="s">
        <v>58</v>
      </c>
      <c r="F118" t="s">
        <v>36</v>
      </c>
      <c r="G118" s="1">
        <v>15</v>
      </c>
      <c r="H118" s="2">
        <v>12</v>
      </c>
      <c r="I118" s="5" t="str">
        <f>VLOOKUP(BasePIs[[#This Row],[Produto]],DePara_Produto[],2,0)</f>
        <v>Outros</v>
      </c>
      <c r="J118" s="13">
        <f>1</f>
        <v>1</v>
      </c>
    </row>
    <row r="119" spans="1:10" x14ac:dyDescent="0.25">
      <c r="A119" s="3">
        <v>43556</v>
      </c>
      <c r="B119">
        <v>238001</v>
      </c>
      <c r="C119">
        <v>643511</v>
      </c>
      <c r="D119" t="s">
        <v>51</v>
      </c>
      <c r="E119" t="s">
        <v>52</v>
      </c>
      <c r="F119" t="s">
        <v>59</v>
      </c>
      <c r="G119" s="1">
        <v>131250</v>
      </c>
      <c r="H119" s="2">
        <v>105000</v>
      </c>
      <c r="I119" s="5" t="str">
        <f>VLOOKUP(BasePIs[[#This Row],[Produto]],DePara_Produto[],2,0)</f>
        <v>Outros</v>
      </c>
      <c r="J119" s="13">
        <f>1</f>
        <v>1</v>
      </c>
    </row>
    <row r="120" spans="1:10" x14ac:dyDescent="0.25">
      <c r="A120" s="3">
        <v>43556</v>
      </c>
      <c r="B120">
        <v>237736</v>
      </c>
      <c r="C120">
        <v>643033</v>
      </c>
      <c r="D120" t="s">
        <v>49</v>
      </c>
      <c r="E120" t="s">
        <v>49</v>
      </c>
      <c r="F120" t="s">
        <v>33</v>
      </c>
      <c r="G120" s="1">
        <v>100000</v>
      </c>
      <c r="H120" s="2">
        <v>80000</v>
      </c>
      <c r="I120" s="5" t="str">
        <f>VLOOKUP(BasePIs[[#This Row],[Produto]],DePara_Produto[],2,0)</f>
        <v>Outros</v>
      </c>
      <c r="J120" s="13">
        <f>1</f>
        <v>1</v>
      </c>
    </row>
    <row r="121" spans="1:10" x14ac:dyDescent="0.25">
      <c r="A121" s="3">
        <v>43556</v>
      </c>
      <c r="B121">
        <v>237738</v>
      </c>
      <c r="C121">
        <v>643039</v>
      </c>
      <c r="D121" t="s">
        <v>49</v>
      </c>
      <c r="E121" t="s">
        <v>49</v>
      </c>
      <c r="F121" t="s">
        <v>50</v>
      </c>
      <c r="G121" s="1">
        <v>100000</v>
      </c>
      <c r="H121" s="2">
        <v>80000</v>
      </c>
      <c r="I121" s="5" t="str">
        <f>VLOOKUP(BasePIs[[#This Row],[Produto]],DePara_Produto[],2,0)</f>
        <v>Outros</v>
      </c>
      <c r="J121" s="13">
        <f>1</f>
        <v>1</v>
      </c>
    </row>
    <row r="122" spans="1:10" x14ac:dyDescent="0.25">
      <c r="A122" s="3">
        <v>43556</v>
      </c>
      <c r="B122">
        <v>237739</v>
      </c>
      <c r="C122">
        <v>643035</v>
      </c>
      <c r="D122" t="s">
        <v>49</v>
      </c>
      <c r="E122" t="s">
        <v>49</v>
      </c>
      <c r="F122" t="s">
        <v>25</v>
      </c>
      <c r="G122" s="1">
        <v>100000.01</v>
      </c>
      <c r="H122" s="2">
        <v>80000.008000000002</v>
      </c>
      <c r="I122" s="5" t="str">
        <f>VLOOKUP(BasePIs[[#This Row],[Produto]],DePara_Produto[],2,0)</f>
        <v>Outros</v>
      </c>
      <c r="J122" s="13">
        <f>1</f>
        <v>1</v>
      </c>
    </row>
    <row r="123" spans="1:10" x14ac:dyDescent="0.25">
      <c r="A123" s="3">
        <v>43556</v>
      </c>
      <c r="B123">
        <v>237743</v>
      </c>
      <c r="C123">
        <v>643042</v>
      </c>
      <c r="D123" t="s">
        <v>49</v>
      </c>
      <c r="E123" t="s">
        <v>49</v>
      </c>
      <c r="F123" t="s">
        <v>35</v>
      </c>
      <c r="G123" s="1">
        <v>113.26</v>
      </c>
      <c r="H123" s="2">
        <v>90.608000000000004</v>
      </c>
      <c r="I123" s="5" t="str">
        <f>VLOOKUP(BasePIs[[#This Row],[Produto]],DePara_Produto[],2,0)</f>
        <v>Outros</v>
      </c>
      <c r="J123" s="13">
        <f>1</f>
        <v>1</v>
      </c>
    </row>
    <row r="124" spans="1:10" x14ac:dyDescent="0.25">
      <c r="A124" s="3">
        <v>43556</v>
      </c>
      <c r="B124">
        <v>237744</v>
      </c>
      <c r="C124">
        <v>643043</v>
      </c>
      <c r="D124" t="s">
        <v>49</v>
      </c>
      <c r="E124" t="s">
        <v>49</v>
      </c>
      <c r="F124" t="s">
        <v>34</v>
      </c>
      <c r="G124" s="1">
        <v>1900.68</v>
      </c>
      <c r="H124" s="2">
        <v>1520.5440000000001</v>
      </c>
      <c r="I124" s="5" t="str">
        <f>VLOOKUP(BasePIs[[#This Row],[Produto]],DePara_Produto[],2,0)</f>
        <v>Outros</v>
      </c>
      <c r="J124" s="13">
        <f>1</f>
        <v>1</v>
      </c>
    </row>
    <row r="125" spans="1:10" x14ac:dyDescent="0.25">
      <c r="A125" s="3">
        <v>43556</v>
      </c>
      <c r="B125">
        <v>237745</v>
      </c>
      <c r="C125">
        <v>643045</v>
      </c>
      <c r="D125" t="s">
        <v>49</v>
      </c>
      <c r="E125" t="s">
        <v>49</v>
      </c>
      <c r="F125" t="s">
        <v>28</v>
      </c>
      <c r="G125" s="1">
        <v>62500</v>
      </c>
      <c r="H125" s="2">
        <v>50000</v>
      </c>
      <c r="I125" s="5" t="str">
        <f>VLOOKUP(BasePIs[[#This Row],[Produto]],DePara_Produto[],2,0)</f>
        <v>Outros</v>
      </c>
      <c r="J125" s="13">
        <f>1</f>
        <v>1</v>
      </c>
    </row>
    <row r="126" spans="1:10" x14ac:dyDescent="0.25">
      <c r="A126" s="3">
        <v>43556</v>
      </c>
      <c r="B126">
        <v>237746</v>
      </c>
      <c r="C126">
        <v>643046</v>
      </c>
      <c r="D126" t="s">
        <v>49</v>
      </c>
      <c r="E126" t="s">
        <v>49</v>
      </c>
      <c r="F126" t="s">
        <v>34</v>
      </c>
      <c r="G126" s="1">
        <v>51.7</v>
      </c>
      <c r="H126" s="2">
        <v>41.36</v>
      </c>
      <c r="I126" s="5" t="str">
        <f>VLOOKUP(BasePIs[[#This Row],[Produto]],DePara_Produto[],2,0)</f>
        <v>Outros</v>
      </c>
      <c r="J126" s="13">
        <f>1</f>
        <v>1</v>
      </c>
    </row>
    <row r="127" spans="1:10" x14ac:dyDescent="0.25">
      <c r="A127" s="3">
        <v>43556</v>
      </c>
      <c r="B127">
        <v>237747</v>
      </c>
      <c r="C127">
        <v>643047</v>
      </c>
      <c r="D127" t="s">
        <v>49</v>
      </c>
      <c r="E127" t="s">
        <v>49</v>
      </c>
      <c r="F127" t="s">
        <v>36</v>
      </c>
      <c r="G127" s="1">
        <v>300</v>
      </c>
      <c r="H127" s="2">
        <v>240</v>
      </c>
      <c r="I127" s="5" t="str">
        <f>VLOOKUP(BasePIs[[#This Row],[Produto]],DePara_Produto[],2,0)</f>
        <v>Outros</v>
      </c>
      <c r="J127" s="13">
        <f>1</f>
        <v>1</v>
      </c>
    </row>
    <row r="128" spans="1:10" x14ac:dyDescent="0.25">
      <c r="A128" s="3">
        <v>43556</v>
      </c>
      <c r="B128">
        <v>237835</v>
      </c>
      <c r="C128">
        <v>643138</v>
      </c>
      <c r="D128" t="s">
        <v>44</v>
      </c>
      <c r="E128" t="s">
        <v>44</v>
      </c>
      <c r="F128" t="s">
        <v>29</v>
      </c>
      <c r="G128" s="1">
        <v>100000</v>
      </c>
      <c r="H128" s="2">
        <v>80000</v>
      </c>
      <c r="I128" s="5" t="str">
        <f>VLOOKUP(BasePIs[[#This Row],[Produto]],DePara_Produto[],2,0)</f>
        <v>Amarok</v>
      </c>
      <c r="J128" s="13">
        <f>1</f>
        <v>1</v>
      </c>
    </row>
    <row r="129" spans="1:10" x14ac:dyDescent="0.25">
      <c r="A129" s="3">
        <v>43556</v>
      </c>
      <c r="B129">
        <v>237874</v>
      </c>
      <c r="C129">
        <v>643197</v>
      </c>
      <c r="D129" t="s">
        <v>51</v>
      </c>
      <c r="E129" t="s">
        <v>52</v>
      </c>
      <c r="F129" t="s">
        <v>53</v>
      </c>
      <c r="G129" s="1">
        <v>37500</v>
      </c>
      <c r="H129" s="2">
        <v>30000</v>
      </c>
      <c r="I129" s="5" t="str">
        <f>VLOOKUP(BasePIs[[#This Row],[Produto]],DePara_Produto[],2,0)</f>
        <v>Outros</v>
      </c>
      <c r="J129" s="13">
        <f>1</f>
        <v>1</v>
      </c>
    </row>
    <row r="130" spans="1:10" x14ac:dyDescent="0.25">
      <c r="A130" s="3">
        <v>43556</v>
      </c>
      <c r="B130">
        <v>237875</v>
      </c>
      <c r="C130">
        <v>643198</v>
      </c>
      <c r="D130" t="s">
        <v>51</v>
      </c>
      <c r="E130" t="s">
        <v>52</v>
      </c>
      <c r="F130" t="s">
        <v>33</v>
      </c>
      <c r="G130" s="1">
        <v>1675000</v>
      </c>
      <c r="H130" s="2">
        <v>1340000</v>
      </c>
      <c r="I130" s="5" t="str">
        <f>VLOOKUP(BasePIs[[#This Row],[Produto]],DePara_Produto[],2,0)</f>
        <v>Outros</v>
      </c>
      <c r="J130" s="13">
        <f>1</f>
        <v>1</v>
      </c>
    </row>
    <row r="131" spans="1:10" x14ac:dyDescent="0.25">
      <c r="A131" s="3">
        <v>43556</v>
      </c>
      <c r="B131">
        <v>237877</v>
      </c>
      <c r="C131">
        <v>643200</v>
      </c>
      <c r="D131" t="s">
        <v>51</v>
      </c>
      <c r="E131" t="s">
        <v>52</v>
      </c>
      <c r="F131" t="s">
        <v>28</v>
      </c>
      <c r="G131" s="1">
        <v>925000</v>
      </c>
      <c r="H131" s="2">
        <v>740000</v>
      </c>
      <c r="I131" s="5" t="str">
        <f>VLOOKUP(BasePIs[[#This Row],[Produto]],DePara_Produto[],2,0)</f>
        <v>Outros</v>
      </c>
      <c r="J131" s="13">
        <f>1</f>
        <v>1</v>
      </c>
    </row>
    <row r="132" spans="1:10" x14ac:dyDescent="0.25">
      <c r="A132" s="3">
        <v>43556</v>
      </c>
      <c r="B132">
        <v>237879</v>
      </c>
      <c r="C132">
        <v>643202</v>
      </c>
      <c r="D132" t="s">
        <v>51</v>
      </c>
      <c r="E132" t="s">
        <v>52</v>
      </c>
      <c r="F132" t="s">
        <v>32</v>
      </c>
      <c r="G132" s="1">
        <v>681250</v>
      </c>
      <c r="H132" s="2">
        <v>545000</v>
      </c>
      <c r="I132" s="5" t="str">
        <f>VLOOKUP(BasePIs[[#This Row],[Produto]],DePara_Produto[],2,0)</f>
        <v>Outros</v>
      </c>
      <c r="J132" s="13">
        <f>1</f>
        <v>1</v>
      </c>
    </row>
    <row r="133" spans="1:10" x14ac:dyDescent="0.25">
      <c r="A133" s="3">
        <v>43556</v>
      </c>
      <c r="B133">
        <v>237880</v>
      </c>
      <c r="C133">
        <v>643203</v>
      </c>
      <c r="D133" t="s">
        <v>51</v>
      </c>
      <c r="E133" t="s">
        <v>52</v>
      </c>
      <c r="F133" t="s">
        <v>25</v>
      </c>
      <c r="G133" s="1">
        <v>494375</v>
      </c>
      <c r="H133" s="2">
        <v>395500</v>
      </c>
      <c r="I133" s="5" t="str">
        <f>VLOOKUP(BasePIs[[#This Row],[Produto]],DePara_Produto[],2,0)</f>
        <v>Outros</v>
      </c>
      <c r="J133" s="13">
        <f>1</f>
        <v>1</v>
      </c>
    </row>
    <row r="134" spans="1:10" x14ac:dyDescent="0.25">
      <c r="A134" s="3">
        <v>43556</v>
      </c>
      <c r="B134">
        <v>237881</v>
      </c>
      <c r="C134">
        <v>643205</v>
      </c>
      <c r="D134" t="s">
        <v>51</v>
      </c>
      <c r="E134" t="s">
        <v>52</v>
      </c>
      <c r="F134" t="s">
        <v>35</v>
      </c>
      <c r="G134" s="1">
        <v>23884.46</v>
      </c>
      <c r="H134" s="2">
        <v>19107.567999999999</v>
      </c>
      <c r="I134" s="5" t="str">
        <f>VLOOKUP(BasePIs[[#This Row],[Produto]],DePara_Produto[],2,0)</f>
        <v>Outros</v>
      </c>
      <c r="J134" s="13">
        <f>1</f>
        <v>1</v>
      </c>
    </row>
    <row r="135" spans="1:10" x14ac:dyDescent="0.25">
      <c r="A135" s="3">
        <v>43556</v>
      </c>
      <c r="B135">
        <v>237882</v>
      </c>
      <c r="C135">
        <v>643206</v>
      </c>
      <c r="D135" t="s">
        <v>51</v>
      </c>
      <c r="E135" t="s">
        <v>52</v>
      </c>
      <c r="F135" t="s">
        <v>34</v>
      </c>
      <c r="G135" s="1">
        <v>45923.44</v>
      </c>
      <c r="H135" s="2">
        <v>36738.752</v>
      </c>
      <c r="I135" s="5" t="str">
        <f>VLOOKUP(BasePIs[[#This Row],[Produto]],DePara_Produto[],2,0)</f>
        <v>Outros</v>
      </c>
      <c r="J135" s="13">
        <f>1</f>
        <v>1</v>
      </c>
    </row>
    <row r="136" spans="1:10" x14ac:dyDescent="0.25">
      <c r="A136" s="3">
        <v>43556</v>
      </c>
      <c r="B136">
        <v>237883</v>
      </c>
      <c r="C136">
        <v>643207</v>
      </c>
      <c r="D136" t="s">
        <v>51</v>
      </c>
      <c r="E136" t="s">
        <v>52</v>
      </c>
      <c r="F136" t="s">
        <v>34</v>
      </c>
      <c r="G136" s="1">
        <v>24718.75</v>
      </c>
      <c r="H136" s="2">
        <v>19775</v>
      </c>
      <c r="I136" s="5" t="str">
        <f>VLOOKUP(BasePIs[[#This Row],[Produto]],DePara_Produto[],2,0)</f>
        <v>Outros</v>
      </c>
      <c r="J136" s="13">
        <f>1</f>
        <v>1</v>
      </c>
    </row>
    <row r="137" spans="1:10" x14ac:dyDescent="0.25">
      <c r="A137" s="3">
        <v>43556</v>
      </c>
      <c r="B137">
        <v>237884</v>
      </c>
      <c r="C137">
        <v>643208</v>
      </c>
      <c r="D137" t="s">
        <v>51</v>
      </c>
      <c r="E137" t="s">
        <v>52</v>
      </c>
      <c r="F137" t="s">
        <v>36</v>
      </c>
      <c r="G137" s="1">
        <v>5137.5</v>
      </c>
      <c r="H137" s="2">
        <v>4110</v>
      </c>
      <c r="I137" s="5" t="str">
        <f>VLOOKUP(BasePIs[[#This Row],[Produto]],DePara_Produto[],2,0)</f>
        <v>Outros</v>
      </c>
      <c r="J137" s="13">
        <f>1</f>
        <v>1</v>
      </c>
    </row>
    <row r="138" spans="1:10" x14ac:dyDescent="0.25">
      <c r="A138" s="3">
        <v>43556</v>
      </c>
      <c r="B138">
        <v>237886</v>
      </c>
      <c r="C138">
        <v>643213</v>
      </c>
      <c r="D138" t="s">
        <v>54</v>
      </c>
      <c r="E138" t="s">
        <v>55</v>
      </c>
      <c r="F138" t="s">
        <v>28</v>
      </c>
      <c r="G138" s="1">
        <v>218750</v>
      </c>
      <c r="H138" s="2">
        <v>175000</v>
      </c>
      <c r="I138" s="5" t="str">
        <f>VLOOKUP(BasePIs[[#This Row],[Produto]],DePara_Produto[],2,0)</f>
        <v>Varejo</v>
      </c>
      <c r="J138" s="13">
        <f>1</f>
        <v>1</v>
      </c>
    </row>
    <row r="139" spans="1:10" x14ac:dyDescent="0.25">
      <c r="A139" s="3">
        <v>43770</v>
      </c>
      <c r="B139">
        <v>237889</v>
      </c>
      <c r="C139">
        <v>643216</v>
      </c>
      <c r="D139" t="s">
        <v>54</v>
      </c>
      <c r="E139" t="s">
        <v>55</v>
      </c>
      <c r="F139" t="s">
        <v>25</v>
      </c>
      <c r="G139" s="1">
        <v>1206420</v>
      </c>
      <c r="H139" s="2">
        <v>965136</v>
      </c>
      <c r="I139" s="5" t="str">
        <f>VLOOKUP(BasePIs[[#This Row],[Produto]],DePara_Produto[],2,0)</f>
        <v>Varejo</v>
      </c>
      <c r="J139" s="13">
        <f>1</f>
        <v>1</v>
      </c>
    </row>
    <row r="140" spans="1:10" x14ac:dyDescent="0.25">
      <c r="A140" s="3">
        <v>43770</v>
      </c>
      <c r="B140">
        <v>237890</v>
      </c>
      <c r="C140">
        <v>643217</v>
      </c>
      <c r="D140" t="s">
        <v>54</v>
      </c>
      <c r="E140" t="s">
        <v>55</v>
      </c>
      <c r="F140" t="s">
        <v>35</v>
      </c>
      <c r="G140" s="1">
        <v>42029.43</v>
      </c>
      <c r="H140" s="2">
        <v>33623.544000000002</v>
      </c>
      <c r="I140" s="5" t="str">
        <f>VLOOKUP(BasePIs[[#This Row],[Produto]],DePara_Produto[],2,0)</f>
        <v>Varejo</v>
      </c>
      <c r="J140" s="13">
        <f>1</f>
        <v>1</v>
      </c>
    </row>
    <row r="141" spans="1:10" x14ac:dyDescent="0.25">
      <c r="A141" s="3">
        <v>43770</v>
      </c>
      <c r="B141">
        <v>237891</v>
      </c>
      <c r="C141">
        <v>643218</v>
      </c>
      <c r="D141" t="s">
        <v>54</v>
      </c>
      <c r="E141" t="s">
        <v>55</v>
      </c>
      <c r="F141" t="s">
        <v>34</v>
      </c>
      <c r="G141" s="1">
        <v>81795.570000000007</v>
      </c>
      <c r="H141" s="2">
        <v>65436.455999999998</v>
      </c>
      <c r="I141" s="5" t="str">
        <f>VLOOKUP(BasePIs[[#This Row],[Produto]],DePara_Produto[],2,0)</f>
        <v>Varejo</v>
      </c>
      <c r="J141" s="13">
        <f>1</f>
        <v>1</v>
      </c>
    </row>
    <row r="142" spans="1:10" x14ac:dyDescent="0.25">
      <c r="A142" s="3">
        <v>43770</v>
      </c>
      <c r="B142">
        <v>237892</v>
      </c>
      <c r="C142">
        <v>643219</v>
      </c>
      <c r="D142" t="s">
        <v>54</v>
      </c>
      <c r="E142" t="s">
        <v>55</v>
      </c>
      <c r="F142" t="s">
        <v>34</v>
      </c>
      <c r="G142" s="1">
        <v>12500</v>
      </c>
      <c r="H142" s="2">
        <v>10000</v>
      </c>
      <c r="I142" s="5" t="str">
        <f>VLOOKUP(BasePIs[[#This Row],[Produto]],DePara_Produto[],2,0)</f>
        <v>Varejo</v>
      </c>
      <c r="J142" s="13">
        <f>1</f>
        <v>1</v>
      </c>
    </row>
    <row r="143" spans="1:10" x14ac:dyDescent="0.25">
      <c r="A143" s="3">
        <v>43770</v>
      </c>
      <c r="B143">
        <v>237907</v>
      </c>
      <c r="C143">
        <v>643241</v>
      </c>
      <c r="D143" t="s">
        <v>56</v>
      </c>
      <c r="E143" t="s">
        <v>38</v>
      </c>
      <c r="F143" t="s">
        <v>28</v>
      </c>
      <c r="G143" s="1">
        <v>10000</v>
      </c>
      <c r="H143" s="2">
        <v>8000</v>
      </c>
      <c r="I143" s="5" t="str">
        <f>VLOOKUP(BasePIs[[#This Row],[Produto]],DePara_Produto[],2,0)</f>
        <v>Varejo</v>
      </c>
      <c r="J143" s="13">
        <f>1</f>
        <v>1</v>
      </c>
    </row>
    <row r="144" spans="1:10" x14ac:dyDescent="0.25">
      <c r="A144" s="3">
        <v>43770</v>
      </c>
      <c r="B144">
        <v>237908</v>
      </c>
      <c r="C144">
        <v>643242</v>
      </c>
      <c r="D144" t="s">
        <v>56</v>
      </c>
      <c r="E144" t="s">
        <v>38</v>
      </c>
      <c r="F144" t="s">
        <v>35</v>
      </c>
      <c r="G144" s="1">
        <v>22.93</v>
      </c>
      <c r="H144" s="2">
        <v>18.344000000000001</v>
      </c>
      <c r="I144" s="5" t="str">
        <f>VLOOKUP(BasePIs[[#This Row],[Produto]],DePara_Produto[],2,0)</f>
        <v>Varejo</v>
      </c>
      <c r="J144" s="13">
        <f>1</f>
        <v>1</v>
      </c>
    </row>
    <row r="145" spans="1:10" x14ac:dyDescent="0.25">
      <c r="A145" s="3">
        <v>43770</v>
      </c>
      <c r="B145">
        <v>237969</v>
      </c>
      <c r="C145">
        <v>643473</v>
      </c>
      <c r="D145" t="s">
        <v>54</v>
      </c>
      <c r="E145" t="s">
        <v>55</v>
      </c>
      <c r="F145" t="s">
        <v>29</v>
      </c>
      <c r="G145" s="1">
        <v>125000</v>
      </c>
      <c r="H145" s="2">
        <v>100000</v>
      </c>
      <c r="I145" s="5" t="str">
        <f>VLOOKUP(BasePIs[[#This Row],[Produto]],DePara_Produto[],2,0)</f>
        <v>Varejo</v>
      </c>
      <c r="J145" s="13">
        <f>1</f>
        <v>1</v>
      </c>
    </row>
    <row r="146" spans="1:10" x14ac:dyDescent="0.25">
      <c r="A146" s="3">
        <v>43770</v>
      </c>
      <c r="B146">
        <v>237972</v>
      </c>
      <c r="C146">
        <v>643476</v>
      </c>
      <c r="D146" t="s">
        <v>57</v>
      </c>
      <c r="E146" t="s">
        <v>58</v>
      </c>
      <c r="F146" t="s">
        <v>33</v>
      </c>
      <c r="G146" s="1">
        <v>5000</v>
      </c>
      <c r="H146" s="2">
        <v>4000</v>
      </c>
      <c r="I146" s="5" t="str">
        <f>VLOOKUP(BasePIs[[#This Row],[Produto]],DePara_Produto[],2,0)</f>
        <v>Outros</v>
      </c>
      <c r="J146" s="13">
        <f>1</f>
        <v>1</v>
      </c>
    </row>
    <row r="147" spans="1:10" x14ac:dyDescent="0.25">
      <c r="A147" s="3">
        <v>43770</v>
      </c>
      <c r="B147">
        <v>237973</v>
      </c>
      <c r="C147">
        <v>643477</v>
      </c>
      <c r="D147" t="s">
        <v>57</v>
      </c>
      <c r="E147" t="s">
        <v>58</v>
      </c>
      <c r="F147" t="s">
        <v>28</v>
      </c>
      <c r="G147" s="1">
        <v>245000</v>
      </c>
      <c r="H147" s="2">
        <v>196000</v>
      </c>
      <c r="I147" s="5" t="str">
        <f>VLOOKUP(BasePIs[[#This Row],[Produto]],DePara_Produto[],2,0)</f>
        <v>Outros</v>
      </c>
      <c r="J147" s="13">
        <f>1</f>
        <v>1</v>
      </c>
    </row>
    <row r="148" spans="1:10" x14ac:dyDescent="0.25">
      <c r="A148" s="3">
        <v>43770</v>
      </c>
      <c r="B148">
        <v>237974</v>
      </c>
      <c r="C148">
        <v>643478</v>
      </c>
      <c r="D148" t="s">
        <v>57</v>
      </c>
      <c r="E148" t="s">
        <v>58</v>
      </c>
      <c r="F148" t="s">
        <v>35</v>
      </c>
      <c r="G148" s="1">
        <v>8056.81</v>
      </c>
      <c r="H148" s="2">
        <v>6445.4480000000003</v>
      </c>
      <c r="I148" s="5" t="str">
        <f>VLOOKUP(BasePIs[[#This Row],[Produto]],DePara_Produto[],2,0)</f>
        <v>Outros</v>
      </c>
      <c r="J148" s="13">
        <f>1</f>
        <v>1</v>
      </c>
    </row>
    <row r="149" spans="1:10" x14ac:dyDescent="0.25">
      <c r="A149" s="3">
        <v>43770</v>
      </c>
      <c r="B149">
        <v>237980</v>
      </c>
      <c r="C149">
        <v>643484</v>
      </c>
      <c r="D149" t="s">
        <v>57</v>
      </c>
      <c r="E149" t="s">
        <v>58</v>
      </c>
      <c r="F149" t="s">
        <v>36</v>
      </c>
      <c r="G149" s="1">
        <v>15</v>
      </c>
      <c r="H149" s="2">
        <v>12</v>
      </c>
      <c r="I149" s="5" t="str">
        <f>VLOOKUP(BasePIs[[#This Row],[Produto]],DePara_Produto[],2,0)</f>
        <v>Outros</v>
      </c>
      <c r="J149" s="13">
        <f>1</f>
        <v>1</v>
      </c>
    </row>
    <row r="150" spans="1:10" x14ac:dyDescent="0.25">
      <c r="A150" s="3">
        <v>43770</v>
      </c>
      <c r="B150">
        <v>238001</v>
      </c>
      <c r="C150">
        <v>643511</v>
      </c>
      <c r="D150" t="s">
        <v>51</v>
      </c>
      <c r="E150" t="s">
        <v>52</v>
      </c>
      <c r="F150" t="s">
        <v>59</v>
      </c>
      <c r="G150" s="1">
        <v>131250</v>
      </c>
      <c r="H150" s="2">
        <v>105000</v>
      </c>
      <c r="I150" s="5" t="str">
        <f>VLOOKUP(BasePIs[[#This Row],[Produto]],DePara_Produto[],2,0)</f>
        <v>Outros</v>
      </c>
      <c r="J150" s="13">
        <f>1</f>
        <v>1</v>
      </c>
    </row>
    <row r="151" spans="1:10" x14ac:dyDescent="0.25">
      <c r="A151" s="3">
        <v>43770</v>
      </c>
      <c r="B151">
        <v>237746</v>
      </c>
      <c r="C151">
        <v>643046</v>
      </c>
      <c r="D151" t="s">
        <v>49</v>
      </c>
      <c r="E151" t="s">
        <v>49</v>
      </c>
      <c r="F151" t="s">
        <v>34</v>
      </c>
      <c r="G151" s="1">
        <v>51.7</v>
      </c>
      <c r="H151" s="2">
        <v>41.36</v>
      </c>
      <c r="I151" s="5" t="str">
        <f>VLOOKUP(BasePIs[[#This Row],[Produto]],DePara_Produto[],2,0)</f>
        <v>Outros</v>
      </c>
      <c r="J151" s="13">
        <f>1</f>
        <v>1</v>
      </c>
    </row>
    <row r="152" spans="1:10" x14ac:dyDescent="0.25">
      <c r="A152" s="3">
        <v>43770</v>
      </c>
      <c r="B152">
        <v>237747</v>
      </c>
      <c r="C152">
        <v>643047</v>
      </c>
      <c r="D152" t="s">
        <v>49</v>
      </c>
      <c r="E152" t="s">
        <v>49</v>
      </c>
      <c r="F152" t="s">
        <v>36</v>
      </c>
      <c r="G152" s="1">
        <v>300</v>
      </c>
      <c r="H152" s="2">
        <v>240</v>
      </c>
      <c r="I152" s="5" t="str">
        <f>VLOOKUP(BasePIs[[#This Row],[Produto]],DePara_Produto[],2,0)</f>
        <v>Outros</v>
      </c>
      <c r="J152" s="13">
        <f>1</f>
        <v>1</v>
      </c>
    </row>
    <row r="153" spans="1:10" x14ac:dyDescent="0.25">
      <c r="A153" s="3">
        <v>43770</v>
      </c>
      <c r="B153">
        <v>237835</v>
      </c>
      <c r="C153">
        <v>643138</v>
      </c>
      <c r="D153" t="s">
        <v>44</v>
      </c>
      <c r="E153" t="s">
        <v>44</v>
      </c>
      <c r="F153" t="s">
        <v>29</v>
      </c>
      <c r="G153" s="1">
        <v>100000</v>
      </c>
      <c r="H153" s="2">
        <v>80000</v>
      </c>
      <c r="I153" s="5" t="str">
        <f>VLOOKUP(BasePIs[[#This Row],[Produto]],DePara_Produto[],2,0)</f>
        <v>Amarok</v>
      </c>
      <c r="J153" s="13">
        <f>1</f>
        <v>1</v>
      </c>
    </row>
    <row r="154" spans="1:10" x14ac:dyDescent="0.25">
      <c r="A154" s="3">
        <v>43770</v>
      </c>
      <c r="B154">
        <v>237874</v>
      </c>
      <c r="C154">
        <v>643197</v>
      </c>
      <c r="D154" t="s">
        <v>51</v>
      </c>
      <c r="E154" t="s">
        <v>52</v>
      </c>
      <c r="F154" t="s">
        <v>53</v>
      </c>
      <c r="G154" s="1">
        <v>37500</v>
      </c>
      <c r="H154" s="2">
        <v>30000</v>
      </c>
      <c r="I154" s="5" t="str">
        <f>VLOOKUP(BasePIs[[#This Row],[Produto]],DePara_Produto[],2,0)</f>
        <v>Outros</v>
      </c>
      <c r="J154" s="13">
        <f>1</f>
        <v>1</v>
      </c>
    </row>
    <row r="155" spans="1:10" x14ac:dyDescent="0.25">
      <c r="A155" s="3">
        <v>43770</v>
      </c>
      <c r="B155">
        <v>237875</v>
      </c>
      <c r="C155">
        <v>643198</v>
      </c>
      <c r="D155" t="s">
        <v>51</v>
      </c>
      <c r="E155" t="s">
        <v>52</v>
      </c>
      <c r="F155" t="s">
        <v>33</v>
      </c>
      <c r="G155" s="1">
        <v>1675000</v>
      </c>
      <c r="H155" s="2">
        <v>1340000</v>
      </c>
      <c r="I155" s="5" t="str">
        <f>VLOOKUP(BasePIs[[#This Row],[Produto]],DePara_Produto[],2,0)</f>
        <v>Outros</v>
      </c>
      <c r="J155" s="13">
        <f>1</f>
        <v>1</v>
      </c>
    </row>
    <row r="156" spans="1:10" x14ac:dyDescent="0.25">
      <c r="A156" s="3">
        <v>43770</v>
      </c>
      <c r="B156">
        <v>237877</v>
      </c>
      <c r="C156">
        <v>643200</v>
      </c>
      <c r="D156" t="s">
        <v>51</v>
      </c>
      <c r="E156" t="s">
        <v>52</v>
      </c>
      <c r="F156" t="s">
        <v>28</v>
      </c>
      <c r="G156" s="1">
        <v>925000</v>
      </c>
      <c r="H156" s="2">
        <v>740000</v>
      </c>
      <c r="I156" s="5" t="str">
        <f>VLOOKUP(BasePIs[[#This Row],[Produto]],DePara_Produto[],2,0)</f>
        <v>Outros</v>
      </c>
      <c r="J156" s="13">
        <f>1</f>
        <v>1</v>
      </c>
    </row>
    <row r="157" spans="1:10" x14ac:dyDescent="0.25">
      <c r="A157" s="3">
        <v>43770</v>
      </c>
      <c r="B157">
        <v>237879</v>
      </c>
      <c r="C157">
        <v>643202</v>
      </c>
      <c r="D157" t="s">
        <v>51</v>
      </c>
      <c r="E157" t="s">
        <v>52</v>
      </c>
      <c r="F157" t="s">
        <v>32</v>
      </c>
      <c r="G157" s="1">
        <v>681250</v>
      </c>
      <c r="H157" s="2">
        <v>545000</v>
      </c>
      <c r="I157" s="5" t="str">
        <f>VLOOKUP(BasePIs[[#This Row],[Produto]],DePara_Produto[],2,0)</f>
        <v>Outros</v>
      </c>
      <c r="J157" s="13">
        <f>1</f>
        <v>1</v>
      </c>
    </row>
    <row r="158" spans="1:10" x14ac:dyDescent="0.25">
      <c r="A158" s="3">
        <v>43770</v>
      </c>
      <c r="B158">
        <v>237880</v>
      </c>
      <c r="C158">
        <v>643203</v>
      </c>
      <c r="D158" t="s">
        <v>51</v>
      </c>
      <c r="E158" t="s">
        <v>52</v>
      </c>
      <c r="F158" t="s">
        <v>25</v>
      </c>
      <c r="G158" s="1">
        <v>494375</v>
      </c>
      <c r="H158" s="2">
        <v>395500</v>
      </c>
      <c r="I158" s="5" t="str">
        <f>VLOOKUP(BasePIs[[#This Row],[Produto]],DePara_Produto[],2,0)</f>
        <v>Outros</v>
      </c>
      <c r="J158" s="13">
        <f>1</f>
        <v>1</v>
      </c>
    </row>
    <row r="159" spans="1:10" x14ac:dyDescent="0.25">
      <c r="A159" s="3">
        <v>43770</v>
      </c>
      <c r="B159">
        <v>237881</v>
      </c>
      <c r="C159">
        <v>643205</v>
      </c>
      <c r="D159" t="s">
        <v>51</v>
      </c>
      <c r="E159" t="s">
        <v>52</v>
      </c>
      <c r="F159" t="s">
        <v>35</v>
      </c>
      <c r="G159" s="1">
        <v>23884.46</v>
      </c>
      <c r="H159" s="2">
        <v>19107.567999999999</v>
      </c>
      <c r="I159" s="5" t="str">
        <f>VLOOKUP(BasePIs[[#This Row],[Produto]],DePara_Produto[],2,0)</f>
        <v>Outros</v>
      </c>
      <c r="J159" s="13">
        <f>1</f>
        <v>1</v>
      </c>
    </row>
    <row r="160" spans="1:10" x14ac:dyDescent="0.25">
      <c r="A160" s="3">
        <v>43770</v>
      </c>
      <c r="B160">
        <v>237882</v>
      </c>
      <c r="C160">
        <v>643206</v>
      </c>
      <c r="D160" t="s">
        <v>51</v>
      </c>
      <c r="E160" t="s">
        <v>52</v>
      </c>
      <c r="F160" t="s">
        <v>34</v>
      </c>
      <c r="G160" s="1">
        <v>45923.44</v>
      </c>
      <c r="H160" s="2">
        <v>36738.752</v>
      </c>
      <c r="I160" s="5" t="str">
        <f>VLOOKUP(BasePIs[[#This Row],[Produto]],DePara_Produto[],2,0)</f>
        <v>Outros</v>
      </c>
      <c r="J160" s="13">
        <f>1</f>
        <v>1</v>
      </c>
    </row>
    <row r="161" spans="1:10" x14ac:dyDescent="0.25">
      <c r="A161" s="3">
        <v>43770</v>
      </c>
      <c r="B161">
        <v>237883</v>
      </c>
      <c r="C161">
        <v>643207</v>
      </c>
      <c r="D161" t="s">
        <v>51</v>
      </c>
      <c r="E161" t="s">
        <v>52</v>
      </c>
      <c r="F161" t="s">
        <v>34</v>
      </c>
      <c r="G161" s="1">
        <v>24718.75</v>
      </c>
      <c r="H161" s="2">
        <v>19775</v>
      </c>
      <c r="I161" s="5" t="str">
        <f>VLOOKUP(BasePIs[[#This Row],[Produto]],DePara_Produto[],2,0)</f>
        <v>Outros</v>
      </c>
      <c r="J161" s="13">
        <f>1</f>
        <v>1</v>
      </c>
    </row>
    <row r="162" spans="1:10" x14ac:dyDescent="0.25">
      <c r="A162" s="3">
        <v>43770</v>
      </c>
      <c r="B162">
        <v>237884</v>
      </c>
      <c r="C162">
        <v>643208</v>
      </c>
      <c r="D162" t="s">
        <v>51</v>
      </c>
      <c r="E162" t="s">
        <v>52</v>
      </c>
      <c r="F162" t="s">
        <v>36</v>
      </c>
      <c r="G162" s="1">
        <v>5137.5</v>
      </c>
      <c r="H162" s="2">
        <v>4110</v>
      </c>
      <c r="I162" s="5" t="str">
        <f>VLOOKUP(BasePIs[[#This Row],[Produto]],DePara_Produto[],2,0)</f>
        <v>Outros</v>
      </c>
      <c r="J162" s="13">
        <f>1</f>
        <v>1</v>
      </c>
    </row>
    <row r="163" spans="1:10" x14ac:dyDescent="0.25">
      <c r="A163" s="3">
        <v>43770</v>
      </c>
      <c r="B163">
        <v>237886</v>
      </c>
      <c r="C163">
        <v>643213</v>
      </c>
      <c r="D163" t="s">
        <v>54</v>
      </c>
      <c r="E163" t="s">
        <v>55</v>
      </c>
      <c r="F163" t="s">
        <v>28</v>
      </c>
      <c r="G163" s="1">
        <v>218750</v>
      </c>
      <c r="H163" s="2">
        <v>175000</v>
      </c>
      <c r="I163" s="5" t="str">
        <f>VLOOKUP(BasePIs[[#This Row],[Produto]],DePara_Produto[],2,0)</f>
        <v>Varejo</v>
      </c>
      <c r="J163" s="13">
        <f>1</f>
        <v>1</v>
      </c>
    </row>
    <row r="164" spans="1:10" x14ac:dyDescent="0.25">
      <c r="A164" s="3">
        <v>43770</v>
      </c>
      <c r="B164">
        <v>237889</v>
      </c>
      <c r="C164">
        <v>643216</v>
      </c>
      <c r="D164" t="s">
        <v>54</v>
      </c>
      <c r="E164" t="s">
        <v>55</v>
      </c>
      <c r="F164" t="s">
        <v>25</v>
      </c>
      <c r="G164" s="1">
        <v>1206420</v>
      </c>
      <c r="H164" s="2">
        <v>965136</v>
      </c>
      <c r="I164" s="5" t="str">
        <f>VLOOKUP(BasePIs[[#This Row],[Produto]],DePara_Produto[],2,0)</f>
        <v>Varejo</v>
      </c>
      <c r="J164" s="13">
        <f>1</f>
        <v>1</v>
      </c>
    </row>
    <row r="165" spans="1:10" x14ac:dyDescent="0.25">
      <c r="A165" s="3">
        <v>43770</v>
      </c>
      <c r="B165">
        <v>237890</v>
      </c>
      <c r="C165">
        <v>643217</v>
      </c>
      <c r="D165" t="s">
        <v>54</v>
      </c>
      <c r="E165" t="s">
        <v>55</v>
      </c>
      <c r="F165" t="s">
        <v>35</v>
      </c>
      <c r="G165" s="1">
        <v>42029.43</v>
      </c>
      <c r="H165" s="2">
        <v>33623.544000000002</v>
      </c>
      <c r="I165" s="5" t="str">
        <f>VLOOKUP(BasePIs[[#This Row],[Produto]],DePara_Produto[],2,0)</f>
        <v>Varejo</v>
      </c>
      <c r="J165" s="13">
        <f>1</f>
        <v>1</v>
      </c>
    </row>
    <row r="166" spans="1:10" x14ac:dyDescent="0.25">
      <c r="A166" s="3">
        <v>43770</v>
      </c>
      <c r="B166">
        <v>237891</v>
      </c>
      <c r="C166">
        <v>643218</v>
      </c>
      <c r="D166" t="s">
        <v>54</v>
      </c>
      <c r="E166" t="s">
        <v>55</v>
      </c>
      <c r="F166" t="s">
        <v>34</v>
      </c>
      <c r="G166" s="1">
        <v>81795.570000000007</v>
      </c>
      <c r="H166" s="2">
        <v>65436.455999999998</v>
      </c>
      <c r="I166" s="5" t="str">
        <f>VLOOKUP(BasePIs[[#This Row],[Produto]],DePara_Produto[],2,0)</f>
        <v>Varejo</v>
      </c>
      <c r="J166" s="13">
        <f>1</f>
        <v>1</v>
      </c>
    </row>
    <row r="167" spans="1:10" x14ac:dyDescent="0.25">
      <c r="A167" s="3">
        <v>43556</v>
      </c>
      <c r="B167">
        <v>237892</v>
      </c>
      <c r="C167">
        <v>643219</v>
      </c>
      <c r="D167" t="s">
        <v>54</v>
      </c>
      <c r="E167" t="s">
        <v>55</v>
      </c>
      <c r="F167" t="s">
        <v>34</v>
      </c>
      <c r="G167" s="1">
        <v>12500</v>
      </c>
      <c r="H167" s="2">
        <v>10000</v>
      </c>
      <c r="I167" s="5" t="str">
        <f>VLOOKUP(BasePIs[[#This Row],[Produto]],DePara_Produto[],2,0)</f>
        <v>Varejo</v>
      </c>
      <c r="J167" s="13">
        <f>1</f>
        <v>1</v>
      </c>
    </row>
    <row r="168" spans="1:10" x14ac:dyDescent="0.25">
      <c r="A168" s="3">
        <v>43556</v>
      </c>
      <c r="B168">
        <v>237907</v>
      </c>
      <c r="C168">
        <v>643241</v>
      </c>
      <c r="D168" t="s">
        <v>56</v>
      </c>
      <c r="E168" t="s">
        <v>38</v>
      </c>
      <c r="F168" t="s">
        <v>28</v>
      </c>
      <c r="G168" s="1">
        <v>10000</v>
      </c>
      <c r="H168" s="2">
        <v>8000</v>
      </c>
      <c r="I168" s="5" t="str">
        <f>VLOOKUP(BasePIs[[#This Row],[Produto]],DePara_Produto[],2,0)</f>
        <v>Varejo</v>
      </c>
      <c r="J168" s="13">
        <f>1</f>
        <v>1</v>
      </c>
    </row>
    <row r="169" spans="1:10" x14ac:dyDescent="0.25">
      <c r="A169" s="3">
        <v>43556</v>
      </c>
      <c r="B169">
        <v>237908</v>
      </c>
      <c r="C169">
        <v>643242</v>
      </c>
      <c r="D169" t="s">
        <v>56</v>
      </c>
      <c r="E169" t="s">
        <v>38</v>
      </c>
      <c r="F169" t="s">
        <v>35</v>
      </c>
      <c r="G169" s="1">
        <v>22.93</v>
      </c>
      <c r="H169" s="2">
        <v>18.344000000000001</v>
      </c>
      <c r="I169" s="5" t="str">
        <f>VLOOKUP(BasePIs[[#This Row],[Produto]],DePara_Produto[],2,0)</f>
        <v>Varejo</v>
      </c>
      <c r="J169" s="13">
        <f>1</f>
        <v>1</v>
      </c>
    </row>
    <row r="170" spans="1:10" x14ac:dyDescent="0.25">
      <c r="A170" s="3">
        <v>43586</v>
      </c>
      <c r="B170">
        <v>237969</v>
      </c>
      <c r="C170">
        <v>643473</v>
      </c>
      <c r="D170" t="s">
        <v>54</v>
      </c>
      <c r="E170" t="s">
        <v>55</v>
      </c>
      <c r="F170" t="s">
        <v>29</v>
      </c>
      <c r="G170" s="1">
        <v>125000</v>
      </c>
      <c r="H170" s="2">
        <v>100000</v>
      </c>
      <c r="I170" s="5" t="str">
        <f>VLOOKUP(BasePIs[[#This Row],[Produto]],DePara_Produto[],2,0)</f>
        <v>Varejo</v>
      </c>
      <c r="J170" s="13">
        <f>1</f>
        <v>1</v>
      </c>
    </row>
    <row r="171" spans="1:10" x14ac:dyDescent="0.25">
      <c r="A171" s="3">
        <v>43586</v>
      </c>
      <c r="B171">
        <v>237972</v>
      </c>
      <c r="C171">
        <v>643476</v>
      </c>
      <c r="D171" t="s">
        <v>57</v>
      </c>
      <c r="E171" t="s">
        <v>58</v>
      </c>
      <c r="F171" t="s">
        <v>33</v>
      </c>
      <c r="G171" s="1">
        <v>5000</v>
      </c>
      <c r="H171" s="2">
        <v>4000</v>
      </c>
      <c r="I171" s="5" t="str">
        <f>VLOOKUP(BasePIs[[#This Row],[Produto]],DePara_Produto[],2,0)</f>
        <v>Outros</v>
      </c>
      <c r="J171" s="13">
        <f>1</f>
        <v>1</v>
      </c>
    </row>
    <row r="172" spans="1:10" x14ac:dyDescent="0.25">
      <c r="A172" s="3">
        <v>43586</v>
      </c>
      <c r="B172">
        <v>237973</v>
      </c>
      <c r="C172">
        <v>643477</v>
      </c>
      <c r="D172" t="s">
        <v>57</v>
      </c>
      <c r="E172" t="s">
        <v>58</v>
      </c>
      <c r="F172" t="s">
        <v>28</v>
      </c>
      <c r="G172" s="1">
        <v>245000</v>
      </c>
      <c r="H172" s="2">
        <v>196000</v>
      </c>
      <c r="I172" s="5" t="str">
        <f>VLOOKUP(BasePIs[[#This Row],[Produto]],DePara_Produto[],2,0)</f>
        <v>Outros</v>
      </c>
      <c r="J172" s="13">
        <f>1</f>
        <v>1</v>
      </c>
    </row>
    <row r="173" spans="1:10" x14ac:dyDescent="0.25">
      <c r="A173" s="3">
        <v>43586</v>
      </c>
      <c r="B173">
        <v>237974</v>
      </c>
      <c r="C173">
        <v>643478</v>
      </c>
      <c r="D173" t="s">
        <v>57</v>
      </c>
      <c r="E173" t="s">
        <v>58</v>
      </c>
      <c r="F173" t="s">
        <v>35</v>
      </c>
      <c r="G173" s="1">
        <v>8056.81</v>
      </c>
      <c r="H173" s="2">
        <v>6445.4480000000003</v>
      </c>
      <c r="I173" s="5" t="str">
        <f>VLOOKUP(BasePIs[[#This Row],[Produto]],DePara_Produto[],2,0)</f>
        <v>Outros</v>
      </c>
      <c r="J173" s="13">
        <f>1</f>
        <v>1</v>
      </c>
    </row>
    <row r="174" spans="1:10" x14ac:dyDescent="0.25">
      <c r="A174" s="3">
        <v>43586</v>
      </c>
      <c r="B174">
        <v>237980</v>
      </c>
      <c r="C174">
        <v>643484</v>
      </c>
      <c r="D174" t="s">
        <v>57</v>
      </c>
      <c r="E174" t="s">
        <v>58</v>
      </c>
      <c r="F174" t="s">
        <v>36</v>
      </c>
      <c r="G174" s="1">
        <v>15</v>
      </c>
      <c r="H174" s="2">
        <v>12</v>
      </c>
      <c r="I174" s="5" t="str">
        <f>VLOOKUP(BasePIs[[#This Row],[Produto]],DePara_Produto[],2,0)</f>
        <v>Outros</v>
      </c>
      <c r="J174" s="13">
        <f>1</f>
        <v>1</v>
      </c>
    </row>
    <row r="175" spans="1:10" x14ac:dyDescent="0.25">
      <c r="A175" s="3">
        <v>43586</v>
      </c>
      <c r="B175">
        <v>238001</v>
      </c>
      <c r="C175">
        <v>643511</v>
      </c>
      <c r="D175" t="s">
        <v>51</v>
      </c>
      <c r="E175" t="s">
        <v>52</v>
      </c>
      <c r="F175" t="s">
        <v>59</v>
      </c>
      <c r="G175" s="1">
        <v>131250</v>
      </c>
      <c r="H175" s="2">
        <v>105000</v>
      </c>
      <c r="I175" s="5" t="str">
        <f>VLOOKUP(BasePIs[[#This Row],[Produto]],DePara_Produto[],2,0)</f>
        <v>Outros</v>
      </c>
      <c r="J175" s="13">
        <f>1</f>
        <v>1</v>
      </c>
    </row>
    <row r="176" spans="1:10" x14ac:dyDescent="0.25">
      <c r="A176" s="3">
        <v>43586</v>
      </c>
      <c r="B176">
        <v>229491</v>
      </c>
      <c r="C176">
        <v>624844</v>
      </c>
      <c r="D176" t="s">
        <v>8</v>
      </c>
      <c r="E176" t="s">
        <v>9</v>
      </c>
      <c r="F176" t="s">
        <v>10</v>
      </c>
      <c r="G176" s="1">
        <v>1225</v>
      </c>
      <c r="H176" s="2">
        <v>980</v>
      </c>
      <c r="I176" s="5" t="str">
        <f>VLOOKUP(BasePIs[[#This Row],[Produto]],DePara_Produto[],2,0)</f>
        <v>Outros</v>
      </c>
      <c r="J176" s="13">
        <f>1</f>
        <v>1</v>
      </c>
    </row>
    <row r="177" spans="1:10" x14ac:dyDescent="0.25">
      <c r="A177" s="3">
        <v>43586</v>
      </c>
      <c r="B177">
        <v>232042</v>
      </c>
      <c r="C177">
        <v>630473</v>
      </c>
      <c r="D177" t="s">
        <v>11</v>
      </c>
      <c r="E177" t="s">
        <v>12</v>
      </c>
      <c r="F177" t="s">
        <v>13</v>
      </c>
      <c r="G177" s="1">
        <v>125000</v>
      </c>
      <c r="H177" s="2">
        <v>100000</v>
      </c>
      <c r="I177" s="5" t="str">
        <f>VLOOKUP(BasePIs[[#This Row],[Produto]],DePara_Produto[],2,0)</f>
        <v>Outros</v>
      </c>
      <c r="J177" s="13">
        <f>1</f>
        <v>1</v>
      </c>
    </row>
    <row r="178" spans="1:10" x14ac:dyDescent="0.25">
      <c r="A178" s="3">
        <v>43586</v>
      </c>
      <c r="B178">
        <v>233123</v>
      </c>
      <c r="C178">
        <v>632974</v>
      </c>
      <c r="D178" t="s">
        <v>11</v>
      </c>
      <c r="E178" t="s">
        <v>14</v>
      </c>
      <c r="F178" t="s">
        <v>15</v>
      </c>
      <c r="G178" s="1">
        <v>5555.56</v>
      </c>
      <c r="H178" s="2">
        <v>4444.4480000000003</v>
      </c>
      <c r="I178" s="5" t="str">
        <f>VLOOKUP(BasePIs[[#This Row],[Produto]],DePara_Produto[],2,0)</f>
        <v>Outros</v>
      </c>
      <c r="J178" s="13">
        <f>1</f>
        <v>1</v>
      </c>
    </row>
    <row r="179" spans="1:10" x14ac:dyDescent="0.25">
      <c r="A179" s="3">
        <v>43586</v>
      </c>
      <c r="B179">
        <v>236414</v>
      </c>
      <c r="C179">
        <v>640323</v>
      </c>
      <c r="D179" t="s">
        <v>16</v>
      </c>
      <c r="E179" t="s">
        <v>17</v>
      </c>
      <c r="F179" t="s">
        <v>18</v>
      </c>
      <c r="G179" s="1">
        <v>200000</v>
      </c>
      <c r="H179" s="2">
        <v>160000</v>
      </c>
      <c r="I179" s="5" t="str">
        <f>VLOOKUP(BasePIs[[#This Row],[Produto]],DePara_Produto[],2,0)</f>
        <v>T-Cross</v>
      </c>
      <c r="J179" s="13">
        <f>1</f>
        <v>1</v>
      </c>
    </row>
    <row r="180" spans="1:10" x14ac:dyDescent="0.25">
      <c r="A180" s="3">
        <v>43586</v>
      </c>
      <c r="B180">
        <v>236882</v>
      </c>
      <c r="C180">
        <v>641246</v>
      </c>
      <c r="D180" t="s">
        <v>11</v>
      </c>
      <c r="E180" t="s">
        <v>14</v>
      </c>
      <c r="F180" t="s">
        <v>19</v>
      </c>
      <c r="G180" s="1">
        <v>1248.1099999999999</v>
      </c>
      <c r="H180" s="2">
        <v>998.48800000000006</v>
      </c>
      <c r="I180" s="5" t="str">
        <f>VLOOKUP(BasePIs[[#This Row],[Produto]],DePara_Produto[],2,0)</f>
        <v>Outros</v>
      </c>
      <c r="J180" s="13">
        <f>1</f>
        <v>1</v>
      </c>
    </row>
    <row r="181" spans="1:10" x14ac:dyDescent="0.25">
      <c r="A181" s="3">
        <v>43586</v>
      </c>
      <c r="B181">
        <v>237146</v>
      </c>
      <c r="C181">
        <v>641815</v>
      </c>
      <c r="D181" t="s">
        <v>20</v>
      </c>
      <c r="E181" t="s">
        <v>21</v>
      </c>
      <c r="F181" t="s">
        <v>18</v>
      </c>
      <c r="G181" s="1">
        <v>120000</v>
      </c>
      <c r="H181" s="2">
        <v>96000</v>
      </c>
      <c r="I181" s="5" t="str">
        <f>VLOOKUP(BasePIs[[#This Row],[Produto]],DePara_Produto[],2,0)</f>
        <v>Amarok</v>
      </c>
      <c r="J181" s="13">
        <f>1</f>
        <v>1</v>
      </c>
    </row>
    <row r="182" spans="1:10" x14ac:dyDescent="0.25">
      <c r="A182" s="3">
        <v>43586</v>
      </c>
      <c r="B182">
        <v>237146</v>
      </c>
      <c r="C182">
        <v>641816</v>
      </c>
      <c r="D182" t="s">
        <v>20</v>
      </c>
      <c r="E182" t="s">
        <v>21</v>
      </c>
      <c r="F182" t="s">
        <v>18</v>
      </c>
      <c r="G182" s="1">
        <v>3750</v>
      </c>
      <c r="H182" s="2">
        <v>3000</v>
      </c>
      <c r="I182" s="5" t="str">
        <f>VLOOKUP(BasePIs[[#This Row],[Produto]],DePara_Produto[],2,0)</f>
        <v>Amarok</v>
      </c>
      <c r="J182" s="13">
        <f>1</f>
        <v>1</v>
      </c>
    </row>
    <row r="183" spans="1:10" x14ac:dyDescent="0.25">
      <c r="A183" s="3">
        <v>43586</v>
      </c>
      <c r="B183">
        <v>237535</v>
      </c>
      <c r="C183">
        <v>642718</v>
      </c>
      <c r="D183" t="s">
        <v>22</v>
      </c>
      <c r="E183" t="s">
        <v>23</v>
      </c>
      <c r="F183" t="s">
        <v>24</v>
      </c>
      <c r="G183" s="1">
        <v>90375.679999999993</v>
      </c>
      <c r="H183" s="2">
        <v>72300.543999999994</v>
      </c>
      <c r="I183" s="5" t="str">
        <f>VLOOKUP(BasePIs[[#This Row],[Produto]],DePara_Produto[],2,0)</f>
        <v>Golf</v>
      </c>
      <c r="J183" s="13">
        <f>1</f>
        <v>1</v>
      </c>
    </row>
    <row r="184" spans="1:10" x14ac:dyDescent="0.25">
      <c r="A184" s="3">
        <v>43586</v>
      </c>
      <c r="B184">
        <v>237537</v>
      </c>
      <c r="C184">
        <v>642724</v>
      </c>
      <c r="D184" t="s">
        <v>22</v>
      </c>
      <c r="E184" t="s">
        <v>23</v>
      </c>
      <c r="F184" t="s">
        <v>25</v>
      </c>
      <c r="G184" s="1">
        <v>45000</v>
      </c>
      <c r="H184" s="2">
        <v>36000</v>
      </c>
      <c r="I184" s="5" t="str">
        <f>VLOOKUP(BasePIs[[#This Row],[Produto]],DePara_Produto[],2,0)</f>
        <v>Golf</v>
      </c>
      <c r="J184" s="13">
        <f>1</f>
        <v>1</v>
      </c>
    </row>
    <row r="185" spans="1:10" x14ac:dyDescent="0.25">
      <c r="A185" s="3">
        <v>43586</v>
      </c>
      <c r="B185">
        <v>237541</v>
      </c>
      <c r="C185">
        <v>642728</v>
      </c>
      <c r="D185" t="s">
        <v>22</v>
      </c>
      <c r="E185" t="s">
        <v>23</v>
      </c>
      <c r="F185" t="s">
        <v>26</v>
      </c>
      <c r="G185" s="1">
        <v>20000</v>
      </c>
      <c r="H185" s="2">
        <v>16000</v>
      </c>
      <c r="I185" s="5" t="str">
        <f>VLOOKUP(BasePIs[[#This Row],[Produto]],DePara_Produto[],2,0)</f>
        <v>Golf</v>
      </c>
      <c r="J185" s="13">
        <f>1</f>
        <v>1</v>
      </c>
    </row>
    <row r="186" spans="1:10" x14ac:dyDescent="0.25">
      <c r="A186" s="3">
        <v>43586</v>
      </c>
      <c r="B186">
        <v>237543</v>
      </c>
      <c r="C186">
        <v>642731</v>
      </c>
      <c r="D186" t="s">
        <v>22</v>
      </c>
      <c r="E186" t="s">
        <v>23</v>
      </c>
      <c r="F186" t="s">
        <v>27</v>
      </c>
      <c r="G186" s="1">
        <v>9600</v>
      </c>
      <c r="H186" s="2">
        <v>7680</v>
      </c>
      <c r="I186" s="5" t="str">
        <f>VLOOKUP(BasePIs[[#This Row],[Produto]],DePara_Produto[],2,0)</f>
        <v>Golf</v>
      </c>
      <c r="J186" s="13">
        <f>1</f>
        <v>1</v>
      </c>
    </row>
    <row r="187" spans="1:10" x14ac:dyDescent="0.25">
      <c r="A187" s="3">
        <v>43586</v>
      </c>
      <c r="B187">
        <v>237546</v>
      </c>
      <c r="C187">
        <v>642735</v>
      </c>
      <c r="D187" t="s">
        <v>22</v>
      </c>
      <c r="E187" t="s">
        <v>23</v>
      </c>
      <c r="F187" t="s">
        <v>28</v>
      </c>
      <c r="G187" s="1">
        <v>185864.55</v>
      </c>
      <c r="H187" s="2">
        <v>148691.64000000001</v>
      </c>
      <c r="I187" s="5" t="str">
        <f>VLOOKUP(BasePIs[[#This Row],[Produto]],DePara_Produto[],2,0)</f>
        <v>Golf</v>
      </c>
      <c r="J187" s="13">
        <f>1</f>
        <v>1</v>
      </c>
    </row>
    <row r="188" spans="1:10" x14ac:dyDescent="0.25">
      <c r="A188" s="3">
        <v>43586</v>
      </c>
      <c r="B188">
        <v>237548</v>
      </c>
      <c r="C188">
        <v>642741</v>
      </c>
      <c r="D188" t="s">
        <v>22</v>
      </c>
      <c r="E188" t="s">
        <v>23</v>
      </c>
      <c r="F188" t="s">
        <v>29</v>
      </c>
      <c r="G188" s="1">
        <v>62500</v>
      </c>
      <c r="H188" s="2">
        <v>50000</v>
      </c>
      <c r="I188" s="5" t="str">
        <f>VLOOKUP(BasePIs[[#This Row],[Produto]],DePara_Produto[],2,0)</f>
        <v>Golf</v>
      </c>
      <c r="J188" s="13">
        <f>1</f>
        <v>1</v>
      </c>
    </row>
    <row r="189" spans="1:10" x14ac:dyDescent="0.25">
      <c r="A189" s="3">
        <v>43586</v>
      </c>
      <c r="B189">
        <v>237550</v>
      </c>
      <c r="C189">
        <v>642744</v>
      </c>
      <c r="D189" t="s">
        <v>22</v>
      </c>
      <c r="E189" t="s">
        <v>23</v>
      </c>
      <c r="F189" t="s">
        <v>29</v>
      </c>
      <c r="G189" s="1">
        <v>10000</v>
      </c>
      <c r="H189" s="2">
        <v>8000</v>
      </c>
      <c r="I189" s="5" t="str">
        <f>VLOOKUP(BasePIs[[#This Row],[Produto]],DePara_Produto[],2,0)</f>
        <v>Golf</v>
      </c>
      <c r="J189" s="13">
        <f>1</f>
        <v>1</v>
      </c>
    </row>
    <row r="190" spans="1:10" x14ac:dyDescent="0.25">
      <c r="A190" s="3">
        <v>43586</v>
      </c>
      <c r="B190">
        <v>237551</v>
      </c>
      <c r="C190">
        <v>642745</v>
      </c>
      <c r="D190" t="s">
        <v>22</v>
      </c>
      <c r="E190" t="s">
        <v>23</v>
      </c>
      <c r="F190" t="s">
        <v>25</v>
      </c>
      <c r="G190" s="1">
        <v>71872.490000000005</v>
      </c>
      <c r="H190" s="2">
        <v>57497.991999999998</v>
      </c>
      <c r="I190" s="5" t="str">
        <f>VLOOKUP(BasePIs[[#This Row],[Produto]],DePara_Produto[],2,0)</f>
        <v>Golf</v>
      </c>
      <c r="J190" s="13">
        <f>1</f>
        <v>1</v>
      </c>
    </row>
    <row r="191" spans="1:10" x14ac:dyDescent="0.25">
      <c r="A191" s="3">
        <v>43525</v>
      </c>
      <c r="B191">
        <v>237553</v>
      </c>
      <c r="C191">
        <v>642747</v>
      </c>
      <c r="D191" t="s">
        <v>22</v>
      </c>
      <c r="E191" t="s">
        <v>23</v>
      </c>
      <c r="F191" t="s">
        <v>25</v>
      </c>
      <c r="G191" s="1">
        <v>33599.760000000002</v>
      </c>
      <c r="H191" s="2">
        <v>26879.808000000001</v>
      </c>
      <c r="I191" s="5" t="str">
        <f>VLOOKUP(BasePIs[[#This Row],[Produto]],DePara_Produto[],2,0)</f>
        <v>Golf</v>
      </c>
      <c r="J191" s="13">
        <f>1</f>
        <v>1</v>
      </c>
    </row>
    <row r="192" spans="1:10" x14ac:dyDescent="0.25">
      <c r="A192" s="3">
        <v>43525</v>
      </c>
      <c r="B192">
        <v>237555</v>
      </c>
      <c r="C192">
        <v>642749</v>
      </c>
      <c r="D192" t="s">
        <v>22</v>
      </c>
      <c r="E192" t="s">
        <v>23</v>
      </c>
      <c r="F192" t="s">
        <v>30</v>
      </c>
      <c r="G192" s="1">
        <v>17500</v>
      </c>
      <c r="H192" s="2">
        <v>14000</v>
      </c>
      <c r="I192" s="5" t="str">
        <f>VLOOKUP(BasePIs[[#This Row],[Produto]],DePara_Produto[],2,0)</f>
        <v>Golf</v>
      </c>
      <c r="J192" s="13">
        <f>1</f>
        <v>1</v>
      </c>
    </row>
    <row r="193" spans="1:10" x14ac:dyDescent="0.25">
      <c r="A193" s="3">
        <v>43525</v>
      </c>
      <c r="B193">
        <v>237556</v>
      </c>
      <c r="C193">
        <v>642751</v>
      </c>
      <c r="D193" t="s">
        <v>22</v>
      </c>
      <c r="E193" t="s">
        <v>23</v>
      </c>
      <c r="F193" t="s">
        <v>31</v>
      </c>
      <c r="G193" s="1">
        <v>25000</v>
      </c>
      <c r="H193" s="2">
        <v>20000</v>
      </c>
      <c r="I193" s="5" t="str">
        <f>VLOOKUP(BasePIs[[#This Row],[Produto]],DePara_Produto[],2,0)</f>
        <v>Golf</v>
      </c>
      <c r="J193" s="13">
        <f>1</f>
        <v>1</v>
      </c>
    </row>
    <row r="194" spans="1:10" x14ac:dyDescent="0.25">
      <c r="A194" s="3">
        <v>43525</v>
      </c>
      <c r="B194">
        <v>237557</v>
      </c>
      <c r="C194">
        <v>642752</v>
      </c>
      <c r="D194" t="s">
        <v>22</v>
      </c>
      <c r="E194" t="s">
        <v>23</v>
      </c>
      <c r="F194" t="s">
        <v>32</v>
      </c>
      <c r="G194" s="1">
        <v>87500</v>
      </c>
      <c r="H194" s="2">
        <v>70000</v>
      </c>
      <c r="I194" s="5" t="str">
        <f>VLOOKUP(BasePIs[[#This Row],[Produto]],DePara_Produto[],2,0)</f>
        <v>Golf</v>
      </c>
      <c r="J194" s="13">
        <f>1</f>
        <v>1</v>
      </c>
    </row>
    <row r="195" spans="1:10" x14ac:dyDescent="0.25">
      <c r="A195" s="3">
        <v>43525</v>
      </c>
      <c r="B195">
        <v>237558</v>
      </c>
      <c r="C195">
        <v>642753</v>
      </c>
      <c r="D195" t="s">
        <v>22</v>
      </c>
      <c r="E195" t="s">
        <v>23</v>
      </c>
      <c r="F195" t="s">
        <v>33</v>
      </c>
      <c r="G195" s="1">
        <v>20000</v>
      </c>
      <c r="H195" s="2">
        <v>16000</v>
      </c>
      <c r="I195" s="5" t="str">
        <f>VLOOKUP(BasePIs[[#This Row],[Produto]],DePara_Produto[],2,0)</f>
        <v>Golf</v>
      </c>
      <c r="J195" s="13">
        <f>1</f>
        <v>1</v>
      </c>
    </row>
    <row r="196" spans="1:10" x14ac:dyDescent="0.25">
      <c r="A196" s="3">
        <v>43525</v>
      </c>
      <c r="B196">
        <v>237559</v>
      </c>
      <c r="C196">
        <v>642754</v>
      </c>
      <c r="D196" t="s">
        <v>22</v>
      </c>
      <c r="E196" t="s">
        <v>23</v>
      </c>
      <c r="F196" t="s">
        <v>34</v>
      </c>
      <c r="G196" s="1">
        <v>22524.73</v>
      </c>
      <c r="H196" s="2">
        <v>18019.784</v>
      </c>
      <c r="I196" s="5" t="str">
        <f>VLOOKUP(BasePIs[[#This Row],[Produto]],DePara_Produto[],2,0)</f>
        <v>Golf</v>
      </c>
      <c r="J196" s="13">
        <f>1</f>
        <v>1</v>
      </c>
    </row>
    <row r="197" spans="1:10" x14ac:dyDescent="0.25">
      <c r="A197" s="3">
        <v>43525</v>
      </c>
      <c r="B197">
        <v>237560</v>
      </c>
      <c r="C197">
        <v>642755</v>
      </c>
      <c r="D197" t="s">
        <v>22</v>
      </c>
      <c r="E197" t="s">
        <v>23</v>
      </c>
      <c r="F197" t="s">
        <v>35</v>
      </c>
      <c r="G197" s="1">
        <v>6099.22</v>
      </c>
      <c r="H197" s="2">
        <v>4879.3760000000002</v>
      </c>
      <c r="I197" s="5" t="str">
        <f>VLOOKUP(BasePIs[[#This Row],[Produto]],DePara_Produto[],2,0)</f>
        <v>Golf</v>
      </c>
      <c r="J197" s="13">
        <f>1</f>
        <v>1</v>
      </c>
    </row>
    <row r="198" spans="1:10" x14ac:dyDescent="0.25">
      <c r="A198" s="3">
        <v>43525</v>
      </c>
      <c r="B198">
        <v>237562</v>
      </c>
      <c r="C198">
        <v>642757</v>
      </c>
      <c r="D198" t="s">
        <v>22</v>
      </c>
      <c r="E198" t="s">
        <v>23</v>
      </c>
      <c r="F198" t="s">
        <v>36</v>
      </c>
      <c r="G198" s="1">
        <v>60</v>
      </c>
      <c r="H198" s="2">
        <v>48</v>
      </c>
      <c r="I198" s="5" t="str">
        <f>VLOOKUP(BasePIs[[#This Row],[Produto]],DePara_Produto[],2,0)</f>
        <v>Golf</v>
      </c>
      <c r="J198" s="13">
        <f>1</f>
        <v>1</v>
      </c>
    </row>
    <row r="199" spans="1:10" x14ac:dyDescent="0.25">
      <c r="A199" s="3">
        <v>43525</v>
      </c>
      <c r="B199">
        <v>237606</v>
      </c>
      <c r="C199">
        <v>642818</v>
      </c>
      <c r="D199" t="s">
        <v>37</v>
      </c>
      <c r="E199" t="s">
        <v>38</v>
      </c>
      <c r="F199" t="s">
        <v>39</v>
      </c>
      <c r="G199" s="1">
        <v>16000</v>
      </c>
      <c r="H199" s="2">
        <v>12800</v>
      </c>
      <c r="I199" s="5" t="str">
        <f>VLOOKUP(BasePIs[[#This Row],[Produto]],DePara_Produto[],2,0)</f>
        <v>Varejo</v>
      </c>
      <c r="J199" s="13">
        <f>1</f>
        <v>1</v>
      </c>
    </row>
    <row r="200" spans="1:10" x14ac:dyDescent="0.25">
      <c r="A200" s="3">
        <v>43525</v>
      </c>
      <c r="B200">
        <v>237660</v>
      </c>
      <c r="C200">
        <v>642920</v>
      </c>
      <c r="D200" t="s">
        <v>16</v>
      </c>
      <c r="E200" t="s">
        <v>17</v>
      </c>
      <c r="F200" t="s">
        <v>40</v>
      </c>
      <c r="G200" s="1">
        <v>124831.13</v>
      </c>
      <c r="H200" s="2">
        <v>99864.903999999995</v>
      </c>
      <c r="I200" s="5" t="str">
        <f>VLOOKUP(BasePIs[[#This Row],[Produto]],DePara_Produto[],2,0)</f>
        <v>T-Cross</v>
      </c>
      <c r="J200" s="13">
        <f>1</f>
        <v>1</v>
      </c>
    </row>
    <row r="201" spans="1:10" x14ac:dyDescent="0.25">
      <c r="A201" s="3">
        <v>43525</v>
      </c>
      <c r="B201">
        <v>237663</v>
      </c>
      <c r="C201">
        <v>642934</v>
      </c>
      <c r="D201" t="s">
        <v>8</v>
      </c>
      <c r="E201" t="s">
        <v>9</v>
      </c>
      <c r="F201" t="s">
        <v>41</v>
      </c>
      <c r="G201" s="1">
        <v>25625</v>
      </c>
      <c r="H201" s="2">
        <v>20500</v>
      </c>
      <c r="I201" s="5" t="str">
        <f>VLOOKUP(BasePIs[[#This Row],[Produto]],DePara_Produto[],2,0)</f>
        <v>Outros</v>
      </c>
      <c r="J201" s="13">
        <f>1</f>
        <v>1</v>
      </c>
    </row>
    <row r="202" spans="1:10" x14ac:dyDescent="0.25">
      <c r="A202" s="3">
        <v>43525</v>
      </c>
      <c r="B202">
        <v>237682</v>
      </c>
      <c r="C202">
        <v>642961</v>
      </c>
      <c r="D202" t="s">
        <v>42</v>
      </c>
      <c r="E202" t="s">
        <v>43</v>
      </c>
      <c r="F202" t="s">
        <v>28</v>
      </c>
      <c r="G202" s="1">
        <v>287500</v>
      </c>
      <c r="H202" s="2">
        <v>230000</v>
      </c>
      <c r="I202" s="5" t="str">
        <f>VLOOKUP(BasePIs[[#This Row],[Produto]],DePara_Produto[],2,0)</f>
        <v>Amarok</v>
      </c>
      <c r="J202" s="13">
        <f>1</f>
        <v>1</v>
      </c>
    </row>
    <row r="203" spans="1:10" x14ac:dyDescent="0.25">
      <c r="A203" s="3">
        <v>43525</v>
      </c>
      <c r="B203">
        <v>237683</v>
      </c>
      <c r="C203">
        <v>642962</v>
      </c>
      <c r="D203" t="s">
        <v>42</v>
      </c>
      <c r="E203" t="s">
        <v>43</v>
      </c>
      <c r="F203" t="s">
        <v>25</v>
      </c>
      <c r="G203" s="1">
        <v>50000</v>
      </c>
      <c r="H203" s="2">
        <v>40000</v>
      </c>
      <c r="I203" s="5" t="str">
        <f>VLOOKUP(BasePIs[[#This Row],[Produto]],DePara_Produto[],2,0)</f>
        <v>Amarok</v>
      </c>
      <c r="J203" s="13">
        <f>1</f>
        <v>1</v>
      </c>
    </row>
    <row r="204" spans="1:10" x14ac:dyDescent="0.25">
      <c r="A204" s="3">
        <v>43525</v>
      </c>
      <c r="B204">
        <v>237684</v>
      </c>
      <c r="C204">
        <v>642963</v>
      </c>
      <c r="D204" t="s">
        <v>42</v>
      </c>
      <c r="E204" t="s">
        <v>43</v>
      </c>
      <c r="F204" t="s">
        <v>24</v>
      </c>
      <c r="G204" s="1">
        <v>162500</v>
      </c>
      <c r="H204" s="2">
        <v>130000</v>
      </c>
      <c r="I204" s="5" t="str">
        <f>VLOOKUP(BasePIs[[#This Row],[Produto]],DePara_Produto[],2,0)</f>
        <v>Amarok</v>
      </c>
      <c r="J204" s="13">
        <f>1</f>
        <v>1</v>
      </c>
    </row>
    <row r="205" spans="1:10" x14ac:dyDescent="0.25">
      <c r="A205" s="3">
        <v>43525</v>
      </c>
      <c r="B205">
        <v>237685</v>
      </c>
      <c r="C205">
        <v>642964</v>
      </c>
      <c r="D205" t="s">
        <v>42</v>
      </c>
      <c r="E205" t="s">
        <v>43</v>
      </c>
      <c r="F205" t="s">
        <v>35</v>
      </c>
      <c r="G205" s="1">
        <v>1419.66</v>
      </c>
      <c r="H205" s="2">
        <v>1135.7280000000001</v>
      </c>
      <c r="I205" s="5" t="str">
        <f>VLOOKUP(BasePIs[[#This Row],[Produto]],DePara_Produto[],2,0)</f>
        <v>Amarok</v>
      </c>
      <c r="J205" s="13">
        <f>1</f>
        <v>1</v>
      </c>
    </row>
    <row r="206" spans="1:10" x14ac:dyDescent="0.25">
      <c r="A206" s="3">
        <v>43525</v>
      </c>
      <c r="B206">
        <v>237686</v>
      </c>
      <c r="C206">
        <v>642965</v>
      </c>
      <c r="D206" t="s">
        <v>42</v>
      </c>
      <c r="E206" t="s">
        <v>43</v>
      </c>
      <c r="F206" t="s">
        <v>34</v>
      </c>
      <c r="G206" s="1">
        <v>6800</v>
      </c>
      <c r="H206" s="2">
        <v>5440</v>
      </c>
      <c r="I206" s="5" t="str">
        <f>VLOOKUP(BasePIs[[#This Row],[Produto]],DePara_Produto[],2,0)</f>
        <v>Amarok</v>
      </c>
      <c r="J206" s="13">
        <f>1</f>
        <v>1</v>
      </c>
    </row>
    <row r="207" spans="1:10" x14ac:dyDescent="0.25">
      <c r="A207" s="3">
        <v>43525</v>
      </c>
      <c r="B207">
        <v>237687</v>
      </c>
      <c r="C207">
        <v>642966</v>
      </c>
      <c r="D207" t="s">
        <v>44</v>
      </c>
      <c r="E207" t="s">
        <v>44</v>
      </c>
      <c r="F207" t="s">
        <v>25</v>
      </c>
      <c r="G207" s="1">
        <v>425000</v>
      </c>
      <c r="H207" s="2">
        <v>340000</v>
      </c>
      <c r="I207" s="5" t="str">
        <f>VLOOKUP(BasePIs[[#This Row],[Produto]],DePara_Produto[],2,0)</f>
        <v>Amarok</v>
      </c>
      <c r="J207" s="13">
        <f>1</f>
        <v>1</v>
      </c>
    </row>
    <row r="208" spans="1:10" x14ac:dyDescent="0.25">
      <c r="A208" s="3">
        <v>43525</v>
      </c>
      <c r="B208">
        <v>237688</v>
      </c>
      <c r="C208">
        <v>642967</v>
      </c>
      <c r="D208" t="s">
        <v>44</v>
      </c>
      <c r="E208" t="s">
        <v>44</v>
      </c>
      <c r="F208" t="s">
        <v>28</v>
      </c>
      <c r="G208" s="1">
        <v>300000</v>
      </c>
      <c r="H208" s="2">
        <v>240000</v>
      </c>
      <c r="I208" s="5" t="str">
        <f>VLOOKUP(BasePIs[[#This Row],[Produto]],DePara_Produto[],2,0)</f>
        <v>Amarok</v>
      </c>
      <c r="J208" s="13">
        <f>1</f>
        <v>1</v>
      </c>
    </row>
    <row r="209" spans="1:10" x14ac:dyDescent="0.25">
      <c r="A209" s="3">
        <v>43525</v>
      </c>
      <c r="B209">
        <v>237689</v>
      </c>
      <c r="C209">
        <v>642968</v>
      </c>
      <c r="D209" t="s">
        <v>44</v>
      </c>
      <c r="E209" t="s">
        <v>44</v>
      </c>
      <c r="F209" t="s">
        <v>32</v>
      </c>
      <c r="G209" s="1">
        <v>75000</v>
      </c>
      <c r="H209" s="2">
        <v>60000</v>
      </c>
      <c r="I209" s="5" t="str">
        <f>VLOOKUP(BasePIs[[#This Row],[Produto]],DePara_Produto[],2,0)</f>
        <v>Amarok</v>
      </c>
      <c r="J209" s="13">
        <f>1</f>
        <v>1</v>
      </c>
    </row>
    <row r="210" spans="1:10" x14ac:dyDescent="0.25">
      <c r="A210" s="3">
        <v>43525</v>
      </c>
      <c r="B210">
        <v>237690</v>
      </c>
      <c r="C210">
        <v>642969</v>
      </c>
      <c r="D210" t="s">
        <v>44</v>
      </c>
      <c r="E210" t="s">
        <v>44</v>
      </c>
      <c r="F210" t="s">
        <v>45</v>
      </c>
      <c r="G210" s="1">
        <v>130000</v>
      </c>
      <c r="H210" s="2">
        <v>104000</v>
      </c>
      <c r="I210" s="5" t="str">
        <f>VLOOKUP(BasePIs[[#This Row],[Produto]],DePara_Produto[],2,0)</f>
        <v>Amarok</v>
      </c>
      <c r="J210" s="13">
        <f>1</f>
        <v>1</v>
      </c>
    </row>
    <row r="211" spans="1:10" x14ac:dyDescent="0.25">
      <c r="A211" s="3">
        <v>43525</v>
      </c>
      <c r="B211">
        <v>237691</v>
      </c>
      <c r="C211">
        <v>642970</v>
      </c>
      <c r="D211" t="s">
        <v>44</v>
      </c>
      <c r="E211" t="s">
        <v>44</v>
      </c>
      <c r="F211" t="s">
        <v>35</v>
      </c>
      <c r="G211" s="1">
        <v>7828.05</v>
      </c>
      <c r="H211" s="2">
        <v>6262.44</v>
      </c>
      <c r="I211" s="5" t="str">
        <f>VLOOKUP(BasePIs[[#This Row],[Produto]],DePara_Produto[],2,0)</f>
        <v>Amarok</v>
      </c>
      <c r="J211" s="13">
        <f>1</f>
        <v>1</v>
      </c>
    </row>
    <row r="212" spans="1:10" x14ac:dyDescent="0.25">
      <c r="A212" s="3">
        <v>43525</v>
      </c>
      <c r="B212">
        <v>237692</v>
      </c>
      <c r="C212">
        <v>642971</v>
      </c>
      <c r="D212" t="s">
        <v>44</v>
      </c>
      <c r="E212" t="s">
        <v>44</v>
      </c>
      <c r="F212" t="s">
        <v>34</v>
      </c>
      <c r="G212" s="1">
        <v>30937.5</v>
      </c>
      <c r="H212" s="2">
        <v>24750</v>
      </c>
      <c r="I212" s="5" t="str">
        <f>VLOOKUP(BasePIs[[#This Row],[Produto]],DePara_Produto[],2,0)</f>
        <v>Amarok</v>
      </c>
      <c r="J212" s="13">
        <f>1</f>
        <v>1</v>
      </c>
    </row>
    <row r="213" spans="1:10" x14ac:dyDescent="0.25">
      <c r="A213" s="3">
        <v>43525</v>
      </c>
      <c r="B213">
        <v>237698</v>
      </c>
      <c r="C213">
        <v>642980</v>
      </c>
      <c r="D213" t="s">
        <v>11</v>
      </c>
      <c r="E213" t="s">
        <v>14</v>
      </c>
      <c r="F213" t="s">
        <v>46</v>
      </c>
      <c r="G213" s="1">
        <v>15625</v>
      </c>
      <c r="H213" s="2">
        <v>12500</v>
      </c>
      <c r="I213" s="5" t="str">
        <f>VLOOKUP(BasePIs[[#This Row],[Produto]],DePara_Produto[],2,0)</f>
        <v>Outros</v>
      </c>
      <c r="J213" s="13">
        <f>1</f>
        <v>1</v>
      </c>
    </row>
    <row r="214" spans="1:10" x14ac:dyDescent="0.25">
      <c r="A214" s="3">
        <v>43525</v>
      </c>
      <c r="B214">
        <v>237700</v>
      </c>
      <c r="C214">
        <v>642982</v>
      </c>
      <c r="D214" t="s">
        <v>11</v>
      </c>
      <c r="E214" t="s">
        <v>14</v>
      </c>
      <c r="F214" t="s">
        <v>47</v>
      </c>
      <c r="G214" s="1">
        <v>9375</v>
      </c>
      <c r="H214" s="2">
        <v>7500</v>
      </c>
      <c r="I214" s="5" t="str">
        <f>VLOOKUP(BasePIs[[#This Row],[Produto]],DePara_Produto[],2,0)</f>
        <v>Outros</v>
      </c>
      <c r="J214" s="13">
        <f>1</f>
        <v>1</v>
      </c>
    </row>
    <row r="215" spans="1:10" x14ac:dyDescent="0.25">
      <c r="A215" s="3">
        <v>43525</v>
      </c>
      <c r="B215">
        <v>237701</v>
      </c>
      <c r="C215">
        <v>642983</v>
      </c>
      <c r="D215" t="s">
        <v>11</v>
      </c>
      <c r="E215" t="s">
        <v>14</v>
      </c>
      <c r="F215" t="s">
        <v>48</v>
      </c>
      <c r="G215" s="1">
        <v>8333.33</v>
      </c>
      <c r="H215" s="2">
        <v>6666.6639999999998</v>
      </c>
      <c r="I215" s="5" t="str">
        <f>VLOOKUP(BasePIs[[#This Row],[Produto]],DePara_Produto[],2,0)</f>
        <v>Outros</v>
      </c>
      <c r="J215" s="13">
        <f>1</f>
        <v>1</v>
      </c>
    </row>
    <row r="216" spans="1:10" x14ac:dyDescent="0.25">
      <c r="A216" s="3">
        <v>43525</v>
      </c>
      <c r="B216">
        <v>237729</v>
      </c>
      <c r="C216">
        <v>643022</v>
      </c>
      <c r="D216" t="s">
        <v>8</v>
      </c>
      <c r="E216" t="s">
        <v>9</v>
      </c>
      <c r="F216" t="s">
        <v>33</v>
      </c>
      <c r="G216" s="1">
        <v>105940</v>
      </c>
      <c r="H216" s="2">
        <v>84752</v>
      </c>
      <c r="I216" s="5" t="str">
        <f>VLOOKUP(BasePIs[[#This Row],[Produto]],DePara_Produto[],2,0)</f>
        <v>Outros</v>
      </c>
      <c r="J216" s="13">
        <f>1</f>
        <v>1</v>
      </c>
    </row>
    <row r="217" spans="1:10" x14ac:dyDescent="0.25">
      <c r="A217" s="3">
        <v>43525</v>
      </c>
      <c r="B217">
        <v>237731</v>
      </c>
      <c r="C217">
        <v>643024</v>
      </c>
      <c r="D217" t="s">
        <v>8</v>
      </c>
      <c r="E217" t="s">
        <v>9</v>
      </c>
      <c r="F217" t="s">
        <v>28</v>
      </c>
      <c r="G217" s="1">
        <v>45322.13</v>
      </c>
      <c r="H217" s="2">
        <v>36257.703999999998</v>
      </c>
      <c r="I217" s="5" t="str">
        <f>VLOOKUP(BasePIs[[#This Row],[Produto]],DePara_Produto[],2,0)</f>
        <v>Outros</v>
      </c>
      <c r="J217" s="13">
        <f>1</f>
        <v>1</v>
      </c>
    </row>
    <row r="218" spans="1:10" x14ac:dyDescent="0.25">
      <c r="A218" s="3">
        <v>43525</v>
      </c>
      <c r="B218">
        <v>237735</v>
      </c>
      <c r="C218">
        <v>643031</v>
      </c>
      <c r="D218" t="s">
        <v>8</v>
      </c>
      <c r="E218" t="s">
        <v>9</v>
      </c>
      <c r="F218" t="s">
        <v>35</v>
      </c>
      <c r="G218" s="1">
        <v>158.69999999999999</v>
      </c>
      <c r="H218" s="2">
        <v>126.96</v>
      </c>
      <c r="I218" s="5" t="str">
        <f>VLOOKUP(BasePIs[[#This Row],[Produto]],DePara_Produto[],2,0)</f>
        <v>Outros</v>
      </c>
      <c r="J218" s="13">
        <f>1</f>
        <v>1</v>
      </c>
    </row>
    <row r="219" spans="1:10" x14ac:dyDescent="0.25">
      <c r="A219" s="3">
        <v>43525</v>
      </c>
      <c r="B219">
        <v>237736</v>
      </c>
      <c r="C219">
        <v>643033</v>
      </c>
      <c r="D219" t="s">
        <v>49</v>
      </c>
      <c r="E219" t="s">
        <v>49</v>
      </c>
      <c r="F219" t="s">
        <v>33</v>
      </c>
      <c r="G219" s="1">
        <v>100000</v>
      </c>
      <c r="H219" s="2">
        <v>80000</v>
      </c>
      <c r="I219" s="5" t="str">
        <f>VLOOKUP(BasePIs[[#This Row],[Produto]],DePara_Produto[],2,0)</f>
        <v>Outros</v>
      </c>
      <c r="J219" s="13">
        <f>1</f>
        <v>1</v>
      </c>
    </row>
    <row r="220" spans="1:10" x14ac:dyDescent="0.25">
      <c r="A220" s="3">
        <v>43525</v>
      </c>
      <c r="B220">
        <v>237738</v>
      </c>
      <c r="C220">
        <v>643039</v>
      </c>
      <c r="D220" t="s">
        <v>49</v>
      </c>
      <c r="E220" t="s">
        <v>49</v>
      </c>
      <c r="F220" t="s">
        <v>50</v>
      </c>
      <c r="G220" s="1">
        <v>100000</v>
      </c>
      <c r="H220" s="2">
        <v>80000</v>
      </c>
      <c r="I220" s="5" t="str">
        <f>VLOOKUP(BasePIs[[#This Row],[Produto]],DePara_Produto[],2,0)</f>
        <v>Outros</v>
      </c>
      <c r="J220" s="13">
        <f>1</f>
        <v>1</v>
      </c>
    </row>
    <row r="221" spans="1:10" x14ac:dyDescent="0.25">
      <c r="A221" s="3">
        <v>43525</v>
      </c>
      <c r="B221">
        <v>237739</v>
      </c>
      <c r="C221">
        <v>643035</v>
      </c>
      <c r="D221" t="s">
        <v>49</v>
      </c>
      <c r="E221" t="s">
        <v>49</v>
      </c>
      <c r="F221" t="s">
        <v>25</v>
      </c>
      <c r="G221" s="1">
        <v>100000.01</v>
      </c>
      <c r="H221" s="2">
        <v>80000.008000000002</v>
      </c>
      <c r="I221" s="5" t="str">
        <f>VLOOKUP(BasePIs[[#This Row],[Produto]],DePara_Produto[],2,0)</f>
        <v>Outros</v>
      </c>
      <c r="J221" s="13">
        <f>1</f>
        <v>1</v>
      </c>
    </row>
    <row r="222" spans="1:10" x14ac:dyDescent="0.25">
      <c r="A222" s="3">
        <v>43525</v>
      </c>
      <c r="B222">
        <v>237743</v>
      </c>
      <c r="C222">
        <v>643042</v>
      </c>
      <c r="D222" t="s">
        <v>49</v>
      </c>
      <c r="E222" t="s">
        <v>49</v>
      </c>
      <c r="F222" t="s">
        <v>35</v>
      </c>
      <c r="G222" s="1">
        <v>113.26</v>
      </c>
      <c r="H222" s="2">
        <v>90.608000000000004</v>
      </c>
      <c r="I222" s="5" t="str">
        <f>VLOOKUP(BasePIs[[#This Row],[Produto]],DePara_Produto[],2,0)</f>
        <v>Outros</v>
      </c>
      <c r="J222" s="13">
        <f>1</f>
        <v>1</v>
      </c>
    </row>
    <row r="223" spans="1:10" x14ac:dyDescent="0.25">
      <c r="A223" s="3">
        <v>43497</v>
      </c>
      <c r="B223">
        <v>237744</v>
      </c>
      <c r="C223">
        <v>643043</v>
      </c>
      <c r="D223" t="s">
        <v>49</v>
      </c>
      <c r="E223" t="s">
        <v>49</v>
      </c>
      <c r="F223" t="s">
        <v>34</v>
      </c>
      <c r="G223" s="1">
        <v>1900.68</v>
      </c>
      <c r="H223" s="2">
        <v>1520.5440000000001</v>
      </c>
      <c r="I223" s="5" t="str">
        <f>VLOOKUP(BasePIs[[#This Row],[Produto]],DePara_Produto[],2,0)</f>
        <v>Outros</v>
      </c>
      <c r="J223" s="13">
        <f>1</f>
        <v>1</v>
      </c>
    </row>
    <row r="224" spans="1:10" x14ac:dyDescent="0.25">
      <c r="A224" s="3">
        <v>43497</v>
      </c>
      <c r="B224">
        <v>237745</v>
      </c>
      <c r="C224">
        <v>643045</v>
      </c>
      <c r="D224" t="s">
        <v>49</v>
      </c>
      <c r="E224" t="s">
        <v>49</v>
      </c>
      <c r="F224" t="s">
        <v>28</v>
      </c>
      <c r="G224" s="1">
        <v>62500</v>
      </c>
      <c r="H224" s="2">
        <v>50000</v>
      </c>
      <c r="I224" s="5" t="str">
        <f>VLOOKUP(BasePIs[[#This Row],[Produto]],DePara_Produto[],2,0)</f>
        <v>Outros</v>
      </c>
      <c r="J224" s="13">
        <f>1</f>
        <v>1</v>
      </c>
    </row>
    <row r="225" spans="1:10" x14ac:dyDescent="0.25">
      <c r="A225" s="3">
        <v>43497</v>
      </c>
      <c r="B225">
        <v>237746</v>
      </c>
      <c r="C225">
        <v>643046</v>
      </c>
      <c r="D225" t="s">
        <v>49</v>
      </c>
      <c r="E225" t="s">
        <v>49</v>
      </c>
      <c r="F225" t="s">
        <v>34</v>
      </c>
      <c r="G225" s="1">
        <v>51.7</v>
      </c>
      <c r="H225" s="2">
        <v>41.36</v>
      </c>
      <c r="I225" s="5" t="str">
        <f>VLOOKUP(BasePIs[[#This Row],[Produto]],DePara_Produto[],2,0)</f>
        <v>Outros</v>
      </c>
      <c r="J225" s="13">
        <f>1</f>
        <v>1</v>
      </c>
    </row>
    <row r="226" spans="1:10" x14ac:dyDescent="0.25">
      <c r="A226" s="3">
        <v>43497</v>
      </c>
      <c r="B226">
        <v>237747</v>
      </c>
      <c r="C226">
        <v>643047</v>
      </c>
      <c r="D226" t="s">
        <v>49</v>
      </c>
      <c r="E226" t="s">
        <v>49</v>
      </c>
      <c r="F226" t="s">
        <v>36</v>
      </c>
      <c r="G226" s="1">
        <v>300</v>
      </c>
      <c r="H226" s="2">
        <v>240</v>
      </c>
      <c r="I226" s="5" t="str">
        <f>VLOOKUP(BasePIs[[#This Row],[Produto]],DePara_Produto[],2,0)</f>
        <v>Outros</v>
      </c>
      <c r="J226" s="13">
        <f>1</f>
        <v>1</v>
      </c>
    </row>
    <row r="227" spans="1:10" x14ac:dyDescent="0.25">
      <c r="A227" s="3">
        <v>43497</v>
      </c>
      <c r="B227">
        <v>237835</v>
      </c>
      <c r="C227">
        <v>643138</v>
      </c>
      <c r="D227" t="s">
        <v>44</v>
      </c>
      <c r="E227" t="s">
        <v>44</v>
      </c>
      <c r="F227" t="s">
        <v>29</v>
      </c>
      <c r="G227" s="1">
        <v>100000</v>
      </c>
      <c r="H227" s="2">
        <v>80000</v>
      </c>
      <c r="I227" s="5" t="str">
        <f>VLOOKUP(BasePIs[[#This Row],[Produto]],DePara_Produto[],2,0)</f>
        <v>Amarok</v>
      </c>
      <c r="J227" s="13">
        <f>1</f>
        <v>1</v>
      </c>
    </row>
    <row r="228" spans="1:10" x14ac:dyDescent="0.25">
      <c r="A228" s="3">
        <v>43497</v>
      </c>
      <c r="B228">
        <v>237874</v>
      </c>
      <c r="C228">
        <v>643197</v>
      </c>
      <c r="D228" t="s">
        <v>51</v>
      </c>
      <c r="E228" t="s">
        <v>52</v>
      </c>
      <c r="F228" t="s">
        <v>53</v>
      </c>
      <c r="G228" s="1">
        <v>37500</v>
      </c>
      <c r="H228" s="2">
        <v>30000</v>
      </c>
      <c r="I228" s="5" t="str">
        <f>VLOOKUP(BasePIs[[#This Row],[Produto]],DePara_Produto[],2,0)</f>
        <v>Outros</v>
      </c>
      <c r="J228" s="13">
        <f>1</f>
        <v>1</v>
      </c>
    </row>
    <row r="229" spans="1:10" x14ac:dyDescent="0.25">
      <c r="A229" s="3">
        <v>43497</v>
      </c>
      <c r="B229">
        <v>237875</v>
      </c>
      <c r="C229">
        <v>643198</v>
      </c>
      <c r="D229" t="s">
        <v>51</v>
      </c>
      <c r="E229" t="s">
        <v>52</v>
      </c>
      <c r="F229" t="s">
        <v>33</v>
      </c>
      <c r="G229" s="1">
        <v>1675000</v>
      </c>
      <c r="H229" s="2">
        <v>1340000</v>
      </c>
      <c r="I229" s="5" t="str">
        <f>VLOOKUP(BasePIs[[#This Row],[Produto]],DePara_Produto[],2,0)</f>
        <v>Outros</v>
      </c>
      <c r="J229" s="13">
        <f>1</f>
        <v>1</v>
      </c>
    </row>
    <row r="230" spans="1:10" x14ac:dyDescent="0.25">
      <c r="A230" s="3">
        <v>43497</v>
      </c>
      <c r="B230">
        <v>237877</v>
      </c>
      <c r="C230">
        <v>643200</v>
      </c>
      <c r="D230" t="s">
        <v>51</v>
      </c>
      <c r="E230" t="s">
        <v>52</v>
      </c>
      <c r="F230" t="s">
        <v>28</v>
      </c>
      <c r="G230" s="1">
        <v>925000</v>
      </c>
      <c r="H230" s="2">
        <v>740000</v>
      </c>
      <c r="I230" s="5" t="str">
        <f>VLOOKUP(BasePIs[[#This Row],[Produto]],DePara_Produto[],2,0)</f>
        <v>Outros</v>
      </c>
      <c r="J230" s="13">
        <f>1</f>
        <v>1</v>
      </c>
    </row>
    <row r="231" spans="1:10" x14ac:dyDescent="0.25">
      <c r="A231" s="3">
        <v>43497</v>
      </c>
      <c r="B231">
        <v>237879</v>
      </c>
      <c r="C231">
        <v>643202</v>
      </c>
      <c r="D231" t="s">
        <v>51</v>
      </c>
      <c r="E231" t="s">
        <v>52</v>
      </c>
      <c r="F231" t="s">
        <v>32</v>
      </c>
      <c r="G231" s="1">
        <v>681250</v>
      </c>
      <c r="H231" s="2">
        <v>545000</v>
      </c>
      <c r="I231" s="5" t="str">
        <f>VLOOKUP(BasePIs[[#This Row],[Produto]],DePara_Produto[],2,0)</f>
        <v>Outros</v>
      </c>
      <c r="J231" s="13">
        <f>1</f>
        <v>1</v>
      </c>
    </row>
    <row r="232" spans="1:10" x14ac:dyDescent="0.25">
      <c r="A232" s="3">
        <v>43497</v>
      </c>
      <c r="B232">
        <v>237880</v>
      </c>
      <c r="C232">
        <v>643203</v>
      </c>
      <c r="D232" t="s">
        <v>51</v>
      </c>
      <c r="E232" t="s">
        <v>52</v>
      </c>
      <c r="F232" t="s">
        <v>25</v>
      </c>
      <c r="G232" s="1">
        <v>494375</v>
      </c>
      <c r="H232" s="2">
        <v>395500</v>
      </c>
      <c r="I232" s="5" t="str">
        <f>VLOOKUP(BasePIs[[#This Row],[Produto]],DePara_Produto[],2,0)</f>
        <v>Outros</v>
      </c>
      <c r="J232" s="13">
        <f>1</f>
        <v>1</v>
      </c>
    </row>
    <row r="233" spans="1:10" x14ac:dyDescent="0.25">
      <c r="A233" s="3">
        <v>43497</v>
      </c>
      <c r="B233">
        <v>237881</v>
      </c>
      <c r="C233">
        <v>643205</v>
      </c>
      <c r="D233" t="s">
        <v>51</v>
      </c>
      <c r="E233" t="s">
        <v>52</v>
      </c>
      <c r="F233" t="s">
        <v>35</v>
      </c>
      <c r="G233" s="1">
        <v>23884.46</v>
      </c>
      <c r="H233" s="2">
        <v>19107.567999999999</v>
      </c>
      <c r="I233" s="5" t="str">
        <f>VLOOKUP(BasePIs[[#This Row],[Produto]],DePara_Produto[],2,0)</f>
        <v>Outros</v>
      </c>
      <c r="J233" s="13">
        <f>1</f>
        <v>1</v>
      </c>
    </row>
    <row r="234" spans="1:10" x14ac:dyDescent="0.25">
      <c r="A234" s="3">
        <v>43497</v>
      </c>
      <c r="B234">
        <v>237882</v>
      </c>
      <c r="C234">
        <v>643206</v>
      </c>
      <c r="D234" t="s">
        <v>51</v>
      </c>
      <c r="E234" t="s">
        <v>52</v>
      </c>
      <c r="F234" t="s">
        <v>34</v>
      </c>
      <c r="G234" s="1">
        <v>45923.44</v>
      </c>
      <c r="H234" s="2">
        <v>36738.752</v>
      </c>
      <c r="I234" s="5" t="str">
        <f>VLOOKUP(BasePIs[[#This Row],[Produto]],DePara_Produto[],2,0)</f>
        <v>Outros</v>
      </c>
      <c r="J234" s="13">
        <f>1</f>
        <v>1</v>
      </c>
    </row>
    <row r="235" spans="1:10" x14ac:dyDescent="0.25">
      <c r="A235" s="3">
        <v>43497</v>
      </c>
      <c r="B235">
        <v>237883</v>
      </c>
      <c r="C235">
        <v>643207</v>
      </c>
      <c r="D235" t="s">
        <v>51</v>
      </c>
      <c r="E235" t="s">
        <v>52</v>
      </c>
      <c r="F235" t="s">
        <v>34</v>
      </c>
      <c r="G235" s="1">
        <v>24718.75</v>
      </c>
      <c r="H235" s="2">
        <v>19775</v>
      </c>
      <c r="I235" s="5" t="str">
        <f>VLOOKUP(BasePIs[[#This Row],[Produto]],DePara_Produto[],2,0)</f>
        <v>Outros</v>
      </c>
      <c r="J235" s="13">
        <f>1</f>
        <v>1</v>
      </c>
    </row>
    <row r="236" spans="1:10" x14ac:dyDescent="0.25">
      <c r="A236" s="3">
        <v>43497</v>
      </c>
      <c r="B236">
        <v>237884</v>
      </c>
      <c r="C236">
        <v>643208</v>
      </c>
      <c r="D236" t="s">
        <v>51</v>
      </c>
      <c r="E236" t="s">
        <v>52</v>
      </c>
      <c r="F236" t="s">
        <v>36</v>
      </c>
      <c r="G236" s="1">
        <v>5137.5</v>
      </c>
      <c r="H236" s="2">
        <v>4110</v>
      </c>
      <c r="I236" s="5" t="str">
        <f>VLOOKUP(BasePIs[[#This Row],[Produto]],DePara_Produto[],2,0)</f>
        <v>Outros</v>
      </c>
      <c r="J236" s="13">
        <f>1</f>
        <v>1</v>
      </c>
    </row>
    <row r="237" spans="1:10" x14ac:dyDescent="0.25">
      <c r="A237" s="3">
        <v>43497</v>
      </c>
      <c r="B237">
        <v>237886</v>
      </c>
      <c r="C237">
        <v>643213</v>
      </c>
      <c r="D237" t="s">
        <v>54</v>
      </c>
      <c r="E237" t="s">
        <v>55</v>
      </c>
      <c r="F237" t="s">
        <v>28</v>
      </c>
      <c r="G237" s="1">
        <v>218750</v>
      </c>
      <c r="H237" s="2">
        <v>175000</v>
      </c>
      <c r="I237" s="5" t="str">
        <f>VLOOKUP(BasePIs[[#This Row],[Produto]],DePara_Produto[],2,0)</f>
        <v>Varejo</v>
      </c>
      <c r="J237" s="13">
        <f>1</f>
        <v>1</v>
      </c>
    </row>
    <row r="238" spans="1:10" x14ac:dyDescent="0.25">
      <c r="A238" s="3">
        <v>43497</v>
      </c>
      <c r="B238">
        <v>237889</v>
      </c>
      <c r="C238">
        <v>643216</v>
      </c>
      <c r="D238" t="s">
        <v>54</v>
      </c>
      <c r="E238" t="s">
        <v>55</v>
      </c>
      <c r="F238" t="s">
        <v>25</v>
      </c>
      <c r="G238" s="1">
        <v>1206420</v>
      </c>
      <c r="H238" s="2">
        <v>965136</v>
      </c>
      <c r="I238" s="5" t="str">
        <f>VLOOKUP(BasePIs[[#This Row],[Produto]],DePara_Produto[],2,0)</f>
        <v>Varejo</v>
      </c>
      <c r="J238" s="13">
        <f>1</f>
        <v>1</v>
      </c>
    </row>
    <row r="239" spans="1:10" x14ac:dyDescent="0.25">
      <c r="A239" s="3">
        <v>43497</v>
      </c>
      <c r="B239">
        <v>237890</v>
      </c>
      <c r="C239">
        <v>643217</v>
      </c>
      <c r="D239" t="s">
        <v>54</v>
      </c>
      <c r="E239" t="s">
        <v>55</v>
      </c>
      <c r="F239" t="s">
        <v>35</v>
      </c>
      <c r="G239" s="1">
        <v>42029.43</v>
      </c>
      <c r="H239" s="2">
        <v>33623.544000000002</v>
      </c>
      <c r="I239" s="5" t="str">
        <f>VLOOKUP(BasePIs[[#This Row],[Produto]],DePara_Produto[],2,0)</f>
        <v>Varejo</v>
      </c>
      <c r="J239" s="13">
        <f>1</f>
        <v>1</v>
      </c>
    </row>
    <row r="240" spans="1:10" x14ac:dyDescent="0.25">
      <c r="A240" s="3">
        <v>43497</v>
      </c>
      <c r="B240">
        <v>237891</v>
      </c>
      <c r="C240">
        <v>643218</v>
      </c>
      <c r="D240" t="s">
        <v>54</v>
      </c>
      <c r="E240" t="s">
        <v>55</v>
      </c>
      <c r="F240" t="s">
        <v>34</v>
      </c>
      <c r="G240" s="1">
        <v>81795.570000000007</v>
      </c>
      <c r="H240" s="2">
        <v>65436.455999999998</v>
      </c>
      <c r="I240" s="5" t="str">
        <f>VLOOKUP(BasePIs[[#This Row],[Produto]],DePara_Produto[],2,0)</f>
        <v>Varejo</v>
      </c>
      <c r="J240" s="13">
        <f>1</f>
        <v>1</v>
      </c>
    </row>
    <row r="241" spans="1:10" x14ac:dyDescent="0.25">
      <c r="A241" s="3">
        <v>43497</v>
      </c>
      <c r="B241">
        <v>237892</v>
      </c>
      <c r="C241">
        <v>643219</v>
      </c>
      <c r="D241" t="s">
        <v>54</v>
      </c>
      <c r="E241" t="s">
        <v>55</v>
      </c>
      <c r="F241" t="s">
        <v>34</v>
      </c>
      <c r="G241" s="1">
        <v>12500</v>
      </c>
      <c r="H241" s="2">
        <v>10000</v>
      </c>
      <c r="I241" s="5" t="str">
        <f>VLOOKUP(BasePIs[[#This Row],[Produto]],DePara_Produto[],2,0)</f>
        <v>Varejo</v>
      </c>
      <c r="J241" s="13">
        <f>1</f>
        <v>1</v>
      </c>
    </row>
    <row r="242" spans="1:10" x14ac:dyDescent="0.25">
      <c r="A242" s="3">
        <v>43497</v>
      </c>
      <c r="B242">
        <v>237907</v>
      </c>
      <c r="C242">
        <v>643241</v>
      </c>
      <c r="D242" t="s">
        <v>56</v>
      </c>
      <c r="E242" t="s">
        <v>38</v>
      </c>
      <c r="F242" t="s">
        <v>28</v>
      </c>
      <c r="G242" s="1">
        <v>10000</v>
      </c>
      <c r="H242" s="2">
        <v>8000</v>
      </c>
      <c r="I242" s="5" t="str">
        <f>VLOOKUP(BasePIs[[#This Row],[Produto]],DePara_Produto[],2,0)</f>
        <v>Varejo</v>
      </c>
      <c r="J242" s="13">
        <f>1</f>
        <v>1</v>
      </c>
    </row>
    <row r="243" spans="1:10" x14ac:dyDescent="0.25">
      <c r="A243" s="3">
        <v>43497</v>
      </c>
      <c r="B243">
        <v>237908</v>
      </c>
      <c r="C243">
        <v>643242</v>
      </c>
      <c r="D243" t="s">
        <v>56</v>
      </c>
      <c r="E243" t="s">
        <v>38</v>
      </c>
      <c r="F243" t="s">
        <v>35</v>
      </c>
      <c r="G243" s="1">
        <v>22.93</v>
      </c>
      <c r="H243" s="2">
        <v>18.344000000000001</v>
      </c>
      <c r="I243" s="5" t="str">
        <f>VLOOKUP(BasePIs[[#This Row],[Produto]],DePara_Produto[],2,0)</f>
        <v>Varejo</v>
      </c>
      <c r="J243" s="13">
        <f>1</f>
        <v>1</v>
      </c>
    </row>
    <row r="244" spans="1:10" x14ac:dyDescent="0.25">
      <c r="A244" s="3">
        <v>43617</v>
      </c>
      <c r="B244">
        <v>237969</v>
      </c>
      <c r="C244">
        <v>643473</v>
      </c>
      <c r="D244" t="s">
        <v>54</v>
      </c>
      <c r="E244" t="s">
        <v>55</v>
      </c>
      <c r="F244" t="s">
        <v>29</v>
      </c>
      <c r="G244" s="1">
        <v>125000</v>
      </c>
      <c r="H244" s="2">
        <v>100000</v>
      </c>
      <c r="I244" s="5" t="str">
        <f>VLOOKUP(BasePIs[[#This Row],[Produto]],DePara_Produto[],2,0)</f>
        <v>Varejo</v>
      </c>
      <c r="J244" s="13">
        <f>1</f>
        <v>1</v>
      </c>
    </row>
    <row r="245" spans="1:10" x14ac:dyDescent="0.25">
      <c r="A245" s="3">
        <v>43617</v>
      </c>
      <c r="B245">
        <v>237972</v>
      </c>
      <c r="C245">
        <v>643476</v>
      </c>
      <c r="D245" t="s">
        <v>57</v>
      </c>
      <c r="E245" t="s">
        <v>58</v>
      </c>
      <c r="F245" t="s">
        <v>33</v>
      </c>
      <c r="G245" s="1">
        <v>5000</v>
      </c>
      <c r="H245" s="2">
        <v>4000</v>
      </c>
      <c r="I245" s="5" t="str">
        <f>VLOOKUP(BasePIs[[#This Row],[Produto]],DePara_Produto[],2,0)</f>
        <v>Outros</v>
      </c>
      <c r="J245" s="13">
        <f>1</f>
        <v>1</v>
      </c>
    </row>
    <row r="246" spans="1:10" x14ac:dyDescent="0.25">
      <c r="A246" s="3">
        <v>43617</v>
      </c>
      <c r="B246">
        <v>237973</v>
      </c>
      <c r="C246">
        <v>643477</v>
      </c>
      <c r="D246" t="s">
        <v>57</v>
      </c>
      <c r="E246" t="s">
        <v>58</v>
      </c>
      <c r="F246" t="s">
        <v>28</v>
      </c>
      <c r="G246" s="1">
        <v>245000</v>
      </c>
      <c r="H246" s="2">
        <v>196000</v>
      </c>
      <c r="I246" s="5" t="str">
        <f>VLOOKUP(BasePIs[[#This Row],[Produto]],DePara_Produto[],2,0)</f>
        <v>Outros</v>
      </c>
      <c r="J246" s="13">
        <f>1</f>
        <v>1</v>
      </c>
    </row>
    <row r="247" spans="1:10" x14ac:dyDescent="0.25">
      <c r="A247" s="3">
        <v>43617</v>
      </c>
      <c r="B247">
        <v>237974</v>
      </c>
      <c r="C247">
        <v>643478</v>
      </c>
      <c r="D247" t="s">
        <v>57</v>
      </c>
      <c r="E247" t="s">
        <v>58</v>
      </c>
      <c r="F247" t="s">
        <v>35</v>
      </c>
      <c r="G247" s="1">
        <v>8056.81</v>
      </c>
      <c r="H247" s="2">
        <v>6445.4480000000003</v>
      </c>
      <c r="I247" s="5" t="str">
        <f>VLOOKUP(BasePIs[[#This Row],[Produto]],DePara_Produto[],2,0)</f>
        <v>Outros</v>
      </c>
      <c r="J247" s="13">
        <f>1</f>
        <v>1</v>
      </c>
    </row>
    <row r="248" spans="1:10" x14ac:dyDescent="0.25">
      <c r="A248" s="3">
        <v>43617</v>
      </c>
      <c r="B248">
        <v>237980</v>
      </c>
      <c r="C248">
        <v>643484</v>
      </c>
      <c r="D248" t="s">
        <v>57</v>
      </c>
      <c r="E248" t="s">
        <v>58</v>
      </c>
      <c r="F248" t="s">
        <v>36</v>
      </c>
      <c r="G248" s="1">
        <v>15</v>
      </c>
      <c r="H248" s="2">
        <v>12</v>
      </c>
      <c r="I248" s="5" t="str">
        <f>VLOOKUP(BasePIs[[#This Row],[Produto]],DePara_Produto[],2,0)</f>
        <v>Outros</v>
      </c>
      <c r="J248" s="13">
        <f>1</f>
        <v>1</v>
      </c>
    </row>
    <row r="249" spans="1:10" x14ac:dyDescent="0.25">
      <c r="A249" s="3">
        <v>43617</v>
      </c>
      <c r="B249">
        <v>238001</v>
      </c>
      <c r="C249">
        <v>643511</v>
      </c>
      <c r="D249" t="s">
        <v>51</v>
      </c>
      <c r="E249" t="s">
        <v>52</v>
      </c>
      <c r="F249" t="s">
        <v>59</v>
      </c>
      <c r="G249" s="1">
        <v>131250</v>
      </c>
      <c r="H249" s="2">
        <v>105000</v>
      </c>
      <c r="I249" s="5" t="str">
        <f>VLOOKUP(BasePIs[[#This Row],[Produto]],DePara_Produto[],2,0)</f>
        <v>Outros</v>
      </c>
      <c r="J249" s="13">
        <f>1</f>
        <v>1</v>
      </c>
    </row>
    <row r="250" spans="1:10" x14ac:dyDescent="0.25">
      <c r="A250" s="3">
        <v>43617</v>
      </c>
      <c r="B250">
        <v>237736</v>
      </c>
      <c r="C250">
        <v>643033</v>
      </c>
      <c r="D250" t="s">
        <v>49</v>
      </c>
      <c r="E250" t="s">
        <v>49</v>
      </c>
      <c r="F250" t="s">
        <v>33</v>
      </c>
      <c r="G250" s="1">
        <v>100000</v>
      </c>
      <c r="H250" s="2">
        <v>80000</v>
      </c>
      <c r="I250" s="5" t="str">
        <f>VLOOKUP(BasePIs[[#This Row],[Produto]],DePara_Produto[],2,0)</f>
        <v>Outros</v>
      </c>
      <c r="J250" s="13">
        <f>1</f>
        <v>1</v>
      </c>
    </row>
    <row r="251" spans="1:10" x14ac:dyDescent="0.25">
      <c r="A251" s="3">
        <v>43617</v>
      </c>
      <c r="B251">
        <v>237738</v>
      </c>
      <c r="C251">
        <v>643039</v>
      </c>
      <c r="D251" t="s">
        <v>49</v>
      </c>
      <c r="E251" t="s">
        <v>49</v>
      </c>
      <c r="F251" t="s">
        <v>50</v>
      </c>
      <c r="G251" s="1">
        <v>100000</v>
      </c>
      <c r="H251" s="2">
        <v>80000</v>
      </c>
      <c r="I251" s="5" t="str">
        <f>VLOOKUP(BasePIs[[#This Row],[Produto]],DePara_Produto[],2,0)</f>
        <v>Outros</v>
      </c>
      <c r="J251" s="13">
        <f>1</f>
        <v>1</v>
      </c>
    </row>
    <row r="252" spans="1:10" x14ac:dyDescent="0.25">
      <c r="A252" s="3">
        <v>43617</v>
      </c>
      <c r="B252">
        <v>237739</v>
      </c>
      <c r="C252">
        <v>643035</v>
      </c>
      <c r="D252" t="s">
        <v>49</v>
      </c>
      <c r="E252" t="s">
        <v>49</v>
      </c>
      <c r="F252" t="s">
        <v>25</v>
      </c>
      <c r="G252" s="1">
        <v>100000.01</v>
      </c>
      <c r="H252" s="2">
        <v>80000.008000000002</v>
      </c>
      <c r="I252" s="5" t="str">
        <f>VLOOKUP(BasePIs[[#This Row],[Produto]],DePara_Produto[],2,0)</f>
        <v>Outros</v>
      </c>
      <c r="J252" s="13">
        <f>1</f>
        <v>1</v>
      </c>
    </row>
    <row r="253" spans="1:10" x14ac:dyDescent="0.25">
      <c r="A253" s="3">
        <v>43617</v>
      </c>
      <c r="B253">
        <v>237743</v>
      </c>
      <c r="C253">
        <v>643042</v>
      </c>
      <c r="D253" t="s">
        <v>49</v>
      </c>
      <c r="E253" t="s">
        <v>49</v>
      </c>
      <c r="F253" t="s">
        <v>35</v>
      </c>
      <c r="G253" s="1">
        <v>113.26</v>
      </c>
      <c r="H253" s="2">
        <v>90.608000000000004</v>
      </c>
      <c r="I253" s="5" t="str">
        <f>VLOOKUP(BasePIs[[#This Row],[Produto]],DePara_Produto[],2,0)</f>
        <v>Outros</v>
      </c>
      <c r="J253" s="13">
        <f>1</f>
        <v>1</v>
      </c>
    </row>
    <row r="254" spans="1:10" x14ac:dyDescent="0.25">
      <c r="A254" s="3">
        <v>43617</v>
      </c>
      <c r="B254">
        <v>237744</v>
      </c>
      <c r="C254">
        <v>643043</v>
      </c>
      <c r="D254" t="s">
        <v>49</v>
      </c>
      <c r="E254" t="s">
        <v>49</v>
      </c>
      <c r="F254" t="s">
        <v>34</v>
      </c>
      <c r="G254" s="1">
        <v>1900.68</v>
      </c>
      <c r="H254" s="2">
        <v>1520.5440000000001</v>
      </c>
      <c r="I254" s="5" t="str">
        <f>VLOOKUP(BasePIs[[#This Row],[Produto]],DePara_Produto[],2,0)</f>
        <v>Outros</v>
      </c>
      <c r="J254" s="13">
        <f>1</f>
        <v>1</v>
      </c>
    </row>
    <row r="255" spans="1:10" x14ac:dyDescent="0.25">
      <c r="A255" s="3">
        <v>43617</v>
      </c>
      <c r="B255">
        <v>237745</v>
      </c>
      <c r="C255">
        <v>643045</v>
      </c>
      <c r="D255" t="s">
        <v>49</v>
      </c>
      <c r="E255" t="s">
        <v>49</v>
      </c>
      <c r="F255" t="s">
        <v>28</v>
      </c>
      <c r="G255" s="1">
        <v>62500</v>
      </c>
      <c r="H255" s="2">
        <v>50000</v>
      </c>
      <c r="I255" s="5" t="str">
        <f>VLOOKUP(BasePIs[[#This Row],[Produto]],DePara_Produto[],2,0)</f>
        <v>Outros</v>
      </c>
      <c r="J255" s="13">
        <f>1</f>
        <v>1</v>
      </c>
    </row>
    <row r="256" spans="1:10" x14ac:dyDescent="0.25">
      <c r="A256" s="3">
        <v>43617</v>
      </c>
      <c r="B256">
        <v>237746</v>
      </c>
      <c r="C256">
        <v>643046</v>
      </c>
      <c r="D256" t="s">
        <v>49</v>
      </c>
      <c r="E256" t="s">
        <v>49</v>
      </c>
      <c r="F256" t="s">
        <v>34</v>
      </c>
      <c r="G256" s="1">
        <v>51.7</v>
      </c>
      <c r="H256" s="2">
        <v>41.36</v>
      </c>
      <c r="I256" s="5" t="str">
        <f>VLOOKUP(BasePIs[[#This Row],[Produto]],DePara_Produto[],2,0)</f>
        <v>Outros</v>
      </c>
      <c r="J256" s="13">
        <f>1</f>
        <v>1</v>
      </c>
    </row>
    <row r="257" spans="1:10" x14ac:dyDescent="0.25">
      <c r="A257" s="3">
        <v>43617</v>
      </c>
      <c r="B257">
        <v>237747</v>
      </c>
      <c r="C257">
        <v>643047</v>
      </c>
      <c r="D257" t="s">
        <v>49</v>
      </c>
      <c r="E257" t="s">
        <v>49</v>
      </c>
      <c r="F257" t="s">
        <v>36</v>
      </c>
      <c r="G257" s="1">
        <v>300</v>
      </c>
      <c r="H257" s="2">
        <v>240</v>
      </c>
      <c r="I257" s="5" t="str">
        <f>VLOOKUP(BasePIs[[#This Row],[Produto]],DePara_Produto[],2,0)</f>
        <v>Outros</v>
      </c>
      <c r="J257" s="13">
        <f>1</f>
        <v>1</v>
      </c>
    </row>
    <row r="258" spans="1:10" x14ac:dyDescent="0.25">
      <c r="A258" s="3">
        <v>43617</v>
      </c>
      <c r="B258">
        <v>237835</v>
      </c>
      <c r="C258">
        <v>643138</v>
      </c>
      <c r="D258" t="s">
        <v>44</v>
      </c>
      <c r="E258" t="s">
        <v>44</v>
      </c>
      <c r="F258" t="s">
        <v>29</v>
      </c>
      <c r="G258" s="1">
        <v>100000</v>
      </c>
      <c r="H258" s="2">
        <v>80000</v>
      </c>
      <c r="I258" s="5" t="str">
        <f>VLOOKUP(BasePIs[[#This Row],[Produto]],DePara_Produto[],2,0)</f>
        <v>Amarok</v>
      </c>
      <c r="J258" s="13">
        <f>1</f>
        <v>1</v>
      </c>
    </row>
    <row r="259" spans="1:10" x14ac:dyDescent="0.25">
      <c r="A259" s="3">
        <v>43617</v>
      </c>
      <c r="B259">
        <v>237874</v>
      </c>
      <c r="C259">
        <v>643197</v>
      </c>
      <c r="D259" t="s">
        <v>51</v>
      </c>
      <c r="E259" t="s">
        <v>52</v>
      </c>
      <c r="F259" t="s">
        <v>53</v>
      </c>
      <c r="G259" s="1">
        <v>37500</v>
      </c>
      <c r="H259" s="2">
        <v>30000</v>
      </c>
      <c r="I259" s="5" t="str">
        <f>VLOOKUP(BasePIs[[#This Row],[Produto]],DePara_Produto[],2,0)</f>
        <v>Outros</v>
      </c>
      <c r="J259" s="13">
        <f>1</f>
        <v>1</v>
      </c>
    </row>
    <row r="260" spans="1:10" x14ac:dyDescent="0.25">
      <c r="A260" s="3">
        <v>43617</v>
      </c>
      <c r="B260">
        <v>237875</v>
      </c>
      <c r="C260">
        <v>643198</v>
      </c>
      <c r="D260" t="s">
        <v>51</v>
      </c>
      <c r="E260" t="s">
        <v>52</v>
      </c>
      <c r="F260" t="s">
        <v>33</v>
      </c>
      <c r="G260" s="1">
        <v>1675000</v>
      </c>
      <c r="H260" s="2">
        <v>1340000</v>
      </c>
      <c r="I260" s="5" t="str">
        <f>VLOOKUP(BasePIs[[#This Row],[Produto]],DePara_Produto[],2,0)</f>
        <v>Outros</v>
      </c>
      <c r="J260" s="13">
        <f>1</f>
        <v>1</v>
      </c>
    </row>
    <row r="261" spans="1:10" x14ac:dyDescent="0.25">
      <c r="A261" s="3">
        <v>43617</v>
      </c>
      <c r="B261">
        <v>237877</v>
      </c>
      <c r="C261">
        <v>643200</v>
      </c>
      <c r="D261" t="s">
        <v>51</v>
      </c>
      <c r="E261" t="s">
        <v>52</v>
      </c>
      <c r="F261" t="s">
        <v>28</v>
      </c>
      <c r="G261" s="1">
        <v>925000</v>
      </c>
      <c r="H261" s="2">
        <v>740000</v>
      </c>
      <c r="I261" s="5" t="str">
        <f>VLOOKUP(BasePIs[[#This Row],[Produto]],DePara_Produto[],2,0)</f>
        <v>Outros</v>
      </c>
      <c r="J261" s="13">
        <f>1</f>
        <v>1</v>
      </c>
    </row>
    <row r="262" spans="1:10" x14ac:dyDescent="0.25">
      <c r="A262" s="3">
        <v>43617</v>
      </c>
      <c r="B262">
        <v>237879</v>
      </c>
      <c r="C262">
        <v>643202</v>
      </c>
      <c r="D262" t="s">
        <v>51</v>
      </c>
      <c r="E262" t="s">
        <v>52</v>
      </c>
      <c r="F262" t="s">
        <v>32</v>
      </c>
      <c r="G262" s="1">
        <v>681250</v>
      </c>
      <c r="H262" s="2">
        <v>545000</v>
      </c>
      <c r="I262" s="5" t="str">
        <f>VLOOKUP(BasePIs[[#This Row],[Produto]],DePara_Produto[],2,0)</f>
        <v>Outros</v>
      </c>
      <c r="J262" s="13">
        <f>1</f>
        <v>1</v>
      </c>
    </row>
    <row r="263" spans="1:10" x14ac:dyDescent="0.25">
      <c r="A263" s="3">
        <v>43617</v>
      </c>
      <c r="B263">
        <v>237880</v>
      </c>
      <c r="C263">
        <v>643203</v>
      </c>
      <c r="D263" t="s">
        <v>51</v>
      </c>
      <c r="E263" t="s">
        <v>52</v>
      </c>
      <c r="F263" t="s">
        <v>25</v>
      </c>
      <c r="G263" s="1">
        <v>494375</v>
      </c>
      <c r="H263" s="2">
        <v>395500</v>
      </c>
      <c r="I263" s="5" t="str">
        <f>VLOOKUP(BasePIs[[#This Row],[Produto]],DePara_Produto[],2,0)</f>
        <v>Outros</v>
      </c>
      <c r="J263" s="13">
        <f>1</f>
        <v>1</v>
      </c>
    </row>
    <row r="264" spans="1:10" x14ac:dyDescent="0.25">
      <c r="A264" s="3">
        <v>43617</v>
      </c>
      <c r="B264">
        <v>237881</v>
      </c>
      <c r="C264">
        <v>643205</v>
      </c>
      <c r="D264" t="s">
        <v>51</v>
      </c>
      <c r="E264" t="s">
        <v>52</v>
      </c>
      <c r="F264" t="s">
        <v>35</v>
      </c>
      <c r="G264" s="1">
        <v>23884.46</v>
      </c>
      <c r="H264" s="2">
        <v>19107.567999999999</v>
      </c>
      <c r="I264" s="5" t="str">
        <f>VLOOKUP(BasePIs[[#This Row],[Produto]],DePara_Produto[],2,0)</f>
        <v>Outros</v>
      </c>
      <c r="J264" s="13">
        <f>1</f>
        <v>1</v>
      </c>
    </row>
    <row r="265" spans="1:10" x14ac:dyDescent="0.25">
      <c r="A265" s="3">
        <v>43617</v>
      </c>
      <c r="B265">
        <v>237882</v>
      </c>
      <c r="C265">
        <v>643206</v>
      </c>
      <c r="D265" t="s">
        <v>51</v>
      </c>
      <c r="E265" t="s">
        <v>52</v>
      </c>
      <c r="F265" t="s">
        <v>34</v>
      </c>
      <c r="G265" s="1">
        <v>45923.44</v>
      </c>
      <c r="H265" s="2">
        <v>36738.752</v>
      </c>
      <c r="I265" s="5" t="str">
        <f>VLOOKUP(BasePIs[[#This Row],[Produto]],DePara_Produto[],2,0)</f>
        <v>Outros</v>
      </c>
      <c r="J265" s="13">
        <f>1</f>
        <v>1</v>
      </c>
    </row>
    <row r="266" spans="1:10" x14ac:dyDescent="0.25">
      <c r="A266" s="3">
        <v>43617</v>
      </c>
      <c r="B266">
        <v>237883</v>
      </c>
      <c r="C266">
        <v>643207</v>
      </c>
      <c r="D266" t="s">
        <v>51</v>
      </c>
      <c r="E266" t="s">
        <v>52</v>
      </c>
      <c r="F266" t="s">
        <v>34</v>
      </c>
      <c r="G266" s="1">
        <v>24718.75</v>
      </c>
      <c r="H266" s="2">
        <v>19775</v>
      </c>
      <c r="I266" s="5" t="str">
        <f>VLOOKUP(BasePIs[[#This Row],[Produto]],DePara_Produto[],2,0)</f>
        <v>Outros</v>
      </c>
      <c r="J266" s="13">
        <f>1</f>
        <v>1</v>
      </c>
    </row>
    <row r="267" spans="1:10" x14ac:dyDescent="0.25">
      <c r="A267" s="3">
        <v>43617</v>
      </c>
      <c r="B267">
        <v>237884</v>
      </c>
      <c r="C267">
        <v>643208</v>
      </c>
      <c r="D267" t="s">
        <v>51</v>
      </c>
      <c r="E267" t="s">
        <v>52</v>
      </c>
      <c r="F267" t="s">
        <v>36</v>
      </c>
      <c r="G267" s="1">
        <v>5137.5</v>
      </c>
      <c r="H267" s="2">
        <v>4110</v>
      </c>
      <c r="I267" s="5" t="str">
        <f>VLOOKUP(BasePIs[[#This Row],[Produto]],DePara_Produto[],2,0)</f>
        <v>Outros</v>
      </c>
      <c r="J267" s="13">
        <f>1</f>
        <v>1</v>
      </c>
    </row>
    <row r="268" spans="1:10" x14ac:dyDescent="0.25">
      <c r="A268" s="3">
        <v>43617</v>
      </c>
      <c r="B268">
        <v>237886</v>
      </c>
      <c r="C268">
        <v>643213</v>
      </c>
      <c r="D268" t="s">
        <v>54</v>
      </c>
      <c r="E268" t="s">
        <v>55</v>
      </c>
      <c r="F268" t="s">
        <v>28</v>
      </c>
      <c r="G268" s="1">
        <v>218750</v>
      </c>
      <c r="H268" s="2">
        <v>175000</v>
      </c>
      <c r="I268" s="5" t="str">
        <f>VLOOKUP(BasePIs[[#This Row],[Produto]],DePara_Produto[],2,0)</f>
        <v>Varejo</v>
      </c>
      <c r="J268" s="13">
        <f>1</f>
        <v>1</v>
      </c>
    </row>
    <row r="269" spans="1:10" x14ac:dyDescent="0.25">
      <c r="A269" s="3">
        <v>43617</v>
      </c>
      <c r="B269">
        <v>237889</v>
      </c>
      <c r="C269">
        <v>643216</v>
      </c>
      <c r="D269" t="s">
        <v>54</v>
      </c>
      <c r="E269" t="s">
        <v>55</v>
      </c>
      <c r="F269" t="s">
        <v>25</v>
      </c>
      <c r="G269" s="1">
        <v>1206420</v>
      </c>
      <c r="H269" s="2">
        <v>965136</v>
      </c>
      <c r="I269" s="5" t="str">
        <f>VLOOKUP(BasePIs[[#This Row],[Produto]],DePara_Produto[],2,0)</f>
        <v>Varejo</v>
      </c>
      <c r="J269" s="13">
        <f>1</f>
        <v>1</v>
      </c>
    </row>
    <row r="270" spans="1:10" x14ac:dyDescent="0.25">
      <c r="A270" s="3">
        <v>43617</v>
      </c>
      <c r="B270">
        <v>237890</v>
      </c>
      <c r="C270">
        <v>643217</v>
      </c>
      <c r="D270" t="s">
        <v>54</v>
      </c>
      <c r="E270" t="s">
        <v>55</v>
      </c>
      <c r="F270" t="s">
        <v>35</v>
      </c>
      <c r="G270" s="1">
        <v>42029.43</v>
      </c>
      <c r="H270" s="2">
        <v>33623.544000000002</v>
      </c>
      <c r="I270" s="5" t="str">
        <f>VLOOKUP(BasePIs[[#This Row],[Produto]],DePara_Produto[],2,0)</f>
        <v>Varejo</v>
      </c>
      <c r="J270" s="13">
        <f>1</f>
        <v>1</v>
      </c>
    </row>
    <row r="271" spans="1:10" x14ac:dyDescent="0.25">
      <c r="A271" s="3">
        <v>43617</v>
      </c>
      <c r="B271">
        <v>237891</v>
      </c>
      <c r="C271">
        <v>643218</v>
      </c>
      <c r="D271" t="s">
        <v>54</v>
      </c>
      <c r="E271" t="s">
        <v>55</v>
      </c>
      <c r="F271" t="s">
        <v>34</v>
      </c>
      <c r="G271" s="1">
        <v>81795.570000000007</v>
      </c>
      <c r="H271" s="2">
        <v>65436.455999999998</v>
      </c>
      <c r="I271" s="5" t="str">
        <f>VLOOKUP(BasePIs[[#This Row],[Produto]],DePara_Produto[],2,0)</f>
        <v>Varejo</v>
      </c>
      <c r="J271" s="13">
        <f>1</f>
        <v>1</v>
      </c>
    </row>
    <row r="272" spans="1:10" x14ac:dyDescent="0.25">
      <c r="A272" s="3">
        <v>43617</v>
      </c>
      <c r="B272">
        <v>237892</v>
      </c>
      <c r="C272">
        <v>643219</v>
      </c>
      <c r="D272" t="s">
        <v>54</v>
      </c>
      <c r="E272" t="s">
        <v>55</v>
      </c>
      <c r="F272" t="s">
        <v>34</v>
      </c>
      <c r="G272" s="1">
        <v>12500</v>
      </c>
      <c r="H272" s="2">
        <v>10000</v>
      </c>
      <c r="I272" s="5" t="str">
        <f>VLOOKUP(BasePIs[[#This Row],[Produto]],DePara_Produto[],2,0)</f>
        <v>Varejo</v>
      </c>
      <c r="J272" s="13">
        <f>1</f>
        <v>1</v>
      </c>
    </row>
    <row r="273" spans="1:10" x14ac:dyDescent="0.25">
      <c r="A273" s="3">
        <v>43617</v>
      </c>
      <c r="B273">
        <v>237907</v>
      </c>
      <c r="C273">
        <v>643241</v>
      </c>
      <c r="D273" t="s">
        <v>56</v>
      </c>
      <c r="E273" t="s">
        <v>38</v>
      </c>
      <c r="F273" t="s">
        <v>28</v>
      </c>
      <c r="G273" s="1">
        <v>10000</v>
      </c>
      <c r="H273" s="2">
        <v>8000</v>
      </c>
      <c r="I273" s="5" t="str">
        <f>VLOOKUP(BasePIs[[#This Row],[Produto]],DePara_Produto[],2,0)</f>
        <v>Varejo</v>
      </c>
      <c r="J273" s="13">
        <f>1</f>
        <v>1</v>
      </c>
    </row>
    <row r="274" spans="1:10" x14ac:dyDescent="0.25">
      <c r="A274" s="3">
        <v>43617</v>
      </c>
      <c r="B274">
        <v>237908</v>
      </c>
      <c r="C274">
        <v>643242</v>
      </c>
      <c r="D274" t="s">
        <v>56</v>
      </c>
      <c r="E274" t="s">
        <v>38</v>
      </c>
      <c r="F274" t="s">
        <v>35</v>
      </c>
      <c r="G274" s="1">
        <v>22.93</v>
      </c>
      <c r="H274" s="2">
        <v>18.344000000000001</v>
      </c>
      <c r="I274" s="5" t="str">
        <f>VLOOKUP(BasePIs[[#This Row],[Produto]],DePara_Produto[],2,0)</f>
        <v>Varejo</v>
      </c>
      <c r="J274" s="13">
        <f>1</f>
        <v>1</v>
      </c>
    </row>
    <row r="275" spans="1:10" x14ac:dyDescent="0.25">
      <c r="A275" s="3">
        <v>43617</v>
      </c>
      <c r="B275">
        <v>237969</v>
      </c>
      <c r="C275">
        <v>643473</v>
      </c>
      <c r="D275" t="s">
        <v>54</v>
      </c>
      <c r="E275" t="s">
        <v>55</v>
      </c>
      <c r="F275" t="s">
        <v>29</v>
      </c>
      <c r="G275" s="1">
        <v>125000</v>
      </c>
      <c r="H275" s="2">
        <v>100000</v>
      </c>
      <c r="I275" s="5" t="str">
        <f>VLOOKUP(BasePIs[[#This Row],[Produto]],DePara_Produto[],2,0)</f>
        <v>Varejo</v>
      </c>
      <c r="J275" s="13">
        <f>1</f>
        <v>1</v>
      </c>
    </row>
    <row r="276" spans="1:10" x14ac:dyDescent="0.25">
      <c r="A276" s="3">
        <v>43617</v>
      </c>
      <c r="B276">
        <v>237972</v>
      </c>
      <c r="C276">
        <v>643476</v>
      </c>
      <c r="D276" t="s">
        <v>57</v>
      </c>
      <c r="E276" t="s">
        <v>58</v>
      </c>
      <c r="F276" t="s">
        <v>33</v>
      </c>
      <c r="G276" s="1">
        <v>5000</v>
      </c>
      <c r="H276" s="2">
        <v>4000</v>
      </c>
      <c r="I276" s="5" t="str">
        <f>VLOOKUP(BasePIs[[#This Row],[Produto]],DePara_Produto[],2,0)</f>
        <v>Outros</v>
      </c>
      <c r="J276" s="13">
        <f>1</f>
        <v>1</v>
      </c>
    </row>
    <row r="277" spans="1:10" x14ac:dyDescent="0.25">
      <c r="A277" s="3">
        <v>43617</v>
      </c>
      <c r="B277">
        <v>237973</v>
      </c>
      <c r="C277">
        <v>643477</v>
      </c>
      <c r="D277" t="s">
        <v>57</v>
      </c>
      <c r="E277" t="s">
        <v>58</v>
      </c>
      <c r="F277" t="s">
        <v>28</v>
      </c>
      <c r="G277" s="1">
        <v>245000</v>
      </c>
      <c r="H277" s="2">
        <v>196000</v>
      </c>
      <c r="I277" s="5" t="str">
        <f>VLOOKUP(BasePIs[[#This Row],[Produto]],DePara_Produto[],2,0)</f>
        <v>Outros</v>
      </c>
      <c r="J277" s="13">
        <f>1</f>
        <v>1</v>
      </c>
    </row>
    <row r="278" spans="1:10" x14ac:dyDescent="0.25">
      <c r="A278" s="3">
        <v>43617</v>
      </c>
      <c r="B278">
        <v>237974</v>
      </c>
      <c r="C278">
        <v>643478</v>
      </c>
      <c r="D278" t="s">
        <v>57</v>
      </c>
      <c r="E278" t="s">
        <v>58</v>
      </c>
      <c r="F278" t="s">
        <v>35</v>
      </c>
      <c r="G278" s="1">
        <v>8056.81</v>
      </c>
      <c r="H278" s="2">
        <v>6445.4480000000003</v>
      </c>
      <c r="I278" s="5" t="str">
        <f>VLOOKUP(BasePIs[[#This Row],[Produto]],DePara_Produto[],2,0)</f>
        <v>Outros</v>
      </c>
      <c r="J278" s="13">
        <f>1</f>
        <v>1</v>
      </c>
    </row>
    <row r="279" spans="1:10" x14ac:dyDescent="0.25">
      <c r="A279" s="3">
        <v>43497</v>
      </c>
      <c r="B279">
        <v>237980</v>
      </c>
      <c r="C279">
        <v>643484</v>
      </c>
      <c r="D279" t="s">
        <v>57</v>
      </c>
      <c r="E279" t="s">
        <v>58</v>
      </c>
      <c r="F279" t="s">
        <v>36</v>
      </c>
      <c r="G279" s="1">
        <v>15</v>
      </c>
      <c r="H279" s="2">
        <v>12</v>
      </c>
      <c r="I279" s="5" t="str">
        <f>VLOOKUP(BasePIs[[#This Row],[Produto]],DePara_Produto[],2,0)</f>
        <v>Outros</v>
      </c>
      <c r="J279" s="13">
        <f>1</f>
        <v>1</v>
      </c>
    </row>
    <row r="280" spans="1:10" x14ac:dyDescent="0.25">
      <c r="A280" s="3">
        <v>43497</v>
      </c>
      <c r="B280">
        <v>238001</v>
      </c>
      <c r="C280">
        <v>643511</v>
      </c>
      <c r="D280" t="s">
        <v>51</v>
      </c>
      <c r="E280" t="s">
        <v>52</v>
      </c>
      <c r="F280" t="s">
        <v>59</v>
      </c>
      <c r="G280" s="1">
        <v>131250</v>
      </c>
      <c r="H280" s="2">
        <v>105000</v>
      </c>
      <c r="I280" s="5" t="str">
        <f>VLOOKUP(BasePIs[[#This Row],[Produto]],DePara_Produto[],2,0)</f>
        <v>Outros</v>
      </c>
      <c r="J280" s="13">
        <f>1</f>
        <v>1</v>
      </c>
    </row>
    <row r="281" spans="1:10" x14ac:dyDescent="0.25">
      <c r="A281" s="3">
        <v>43497</v>
      </c>
      <c r="B281">
        <v>237886</v>
      </c>
      <c r="C281">
        <v>643213</v>
      </c>
      <c r="D281" t="s">
        <v>54</v>
      </c>
      <c r="E281" t="s">
        <v>55</v>
      </c>
      <c r="F281" t="s">
        <v>28</v>
      </c>
      <c r="G281" s="1">
        <v>218750</v>
      </c>
      <c r="H281" s="2">
        <v>175000</v>
      </c>
      <c r="I281" s="5" t="str">
        <f>VLOOKUP(BasePIs[[#This Row],[Produto]],DePara_Produto[],2,0)</f>
        <v>Varejo</v>
      </c>
      <c r="J281" s="13">
        <f>1</f>
        <v>1</v>
      </c>
    </row>
    <row r="282" spans="1:10" x14ac:dyDescent="0.25">
      <c r="A282" s="3">
        <v>43497</v>
      </c>
      <c r="B282">
        <v>237889</v>
      </c>
      <c r="C282">
        <v>643216</v>
      </c>
      <c r="D282" t="s">
        <v>54</v>
      </c>
      <c r="E282" t="s">
        <v>55</v>
      </c>
      <c r="F282" t="s">
        <v>25</v>
      </c>
      <c r="G282" s="1">
        <v>1206420</v>
      </c>
      <c r="H282" s="2">
        <v>965136</v>
      </c>
      <c r="I282" s="5" t="str">
        <f>VLOOKUP(BasePIs[[#This Row],[Produto]],DePara_Produto[],2,0)</f>
        <v>Varejo</v>
      </c>
      <c r="J282" s="13">
        <f>1</f>
        <v>1</v>
      </c>
    </row>
    <row r="283" spans="1:10" x14ac:dyDescent="0.25">
      <c r="A283" s="3">
        <v>43497</v>
      </c>
      <c r="B283">
        <v>237890</v>
      </c>
      <c r="C283">
        <v>643217</v>
      </c>
      <c r="D283" t="s">
        <v>54</v>
      </c>
      <c r="E283" t="s">
        <v>55</v>
      </c>
      <c r="F283" t="s">
        <v>35</v>
      </c>
      <c r="G283" s="1">
        <v>42029.43</v>
      </c>
      <c r="H283" s="2">
        <v>33623.544000000002</v>
      </c>
      <c r="I283" s="5" t="str">
        <f>VLOOKUP(BasePIs[[#This Row],[Produto]],DePara_Produto[],2,0)</f>
        <v>Varejo</v>
      </c>
      <c r="J283" s="13">
        <f>1</f>
        <v>1</v>
      </c>
    </row>
    <row r="284" spans="1:10" x14ac:dyDescent="0.25">
      <c r="A284" s="3">
        <v>43497</v>
      </c>
      <c r="B284">
        <v>237891</v>
      </c>
      <c r="C284">
        <v>643218</v>
      </c>
      <c r="D284" t="s">
        <v>54</v>
      </c>
      <c r="E284" t="s">
        <v>55</v>
      </c>
      <c r="F284" t="s">
        <v>34</v>
      </c>
      <c r="G284" s="1">
        <v>81795.570000000007</v>
      </c>
      <c r="H284" s="2">
        <v>65436.455999999998</v>
      </c>
      <c r="I284" s="5" t="str">
        <f>VLOOKUP(BasePIs[[#This Row],[Produto]],DePara_Produto[],2,0)</f>
        <v>Varejo</v>
      </c>
      <c r="J284" s="13">
        <f>1</f>
        <v>1</v>
      </c>
    </row>
    <row r="285" spans="1:10" x14ac:dyDescent="0.25">
      <c r="A285" s="3">
        <v>43497</v>
      </c>
      <c r="B285">
        <v>237892</v>
      </c>
      <c r="C285">
        <v>643219</v>
      </c>
      <c r="D285" t="s">
        <v>54</v>
      </c>
      <c r="E285" t="s">
        <v>55</v>
      </c>
      <c r="F285" t="s">
        <v>34</v>
      </c>
      <c r="G285" s="1">
        <v>12500</v>
      </c>
      <c r="H285" s="2">
        <v>10000</v>
      </c>
      <c r="I285" s="5" t="str">
        <f>VLOOKUP(BasePIs[[#This Row],[Produto]],DePara_Produto[],2,0)</f>
        <v>Varejo</v>
      </c>
      <c r="J285" s="13">
        <f>1</f>
        <v>1</v>
      </c>
    </row>
    <row r="286" spans="1:10" x14ac:dyDescent="0.25">
      <c r="A286" s="3">
        <v>43497</v>
      </c>
      <c r="B286">
        <v>237907</v>
      </c>
      <c r="C286">
        <v>643241</v>
      </c>
      <c r="D286" t="s">
        <v>56</v>
      </c>
      <c r="E286" t="s">
        <v>38</v>
      </c>
      <c r="F286" t="s">
        <v>28</v>
      </c>
      <c r="G286" s="1">
        <v>10000</v>
      </c>
      <c r="H286" s="2">
        <v>8000</v>
      </c>
      <c r="I286" s="5" t="str">
        <f>VLOOKUP(BasePIs[[#This Row],[Produto]],DePara_Produto[],2,0)</f>
        <v>Varejo</v>
      </c>
      <c r="J286" s="13">
        <f>1</f>
        <v>1</v>
      </c>
    </row>
    <row r="287" spans="1:10" x14ac:dyDescent="0.25">
      <c r="A287" s="3">
        <v>43497</v>
      </c>
      <c r="B287">
        <v>237908</v>
      </c>
      <c r="C287">
        <v>643242</v>
      </c>
      <c r="D287" t="s">
        <v>56</v>
      </c>
      <c r="E287" t="s">
        <v>38</v>
      </c>
      <c r="F287" t="s">
        <v>35</v>
      </c>
      <c r="G287" s="1">
        <v>22.93</v>
      </c>
      <c r="H287" s="2">
        <v>18.344000000000001</v>
      </c>
      <c r="I287" s="5" t="str">
        <f>VLOOKUP(BasePIs[[#This Row],[Produto]],DePara_Produto[],2,0)</f>
        <v>Varejo</v>
      </c>
      <c r="J287" s="13">
        <f>1</f>
        <v>1</v>
      </c>
    </row>
    <row r="288" spans="1:10" x14ac:dyDescent="0.25">
      <c r="A288" s="3">
        <v>43497</v>
      </c>
      <c r="B288">
        <v>237969</v>
      </c>
      <c r="C288">
        <v>643473</v>
      </c>
      <c r="D288" t="s">
        <v>54</v>
      </c>
      <c r="E288" t="s">
        <v>55</v>
      </c>
      <c r="F288" t="s">
        <v>29</v>
      </c>
      <c r="G288" s="1">
        <v>125000</v>
      </c>
      <c r="H288" s="2">
        <v>100000</v>
      </c>
      <c r="I288" s="5" t="str">
        <f>VLOOKUP(BasePIs[[#This Row],[Produto]],DePara_Produto[],2,0)</f>
        <v>Varejo</v>
      </c>
      <c r="J288" s="13">
        <f>1</f>
        <v>1</v>
      </c>
    </row>
    <row r="289" spans="1:10" x14ac:dyDescent="0.25">
      <c r="A289" s="3">
        <v>43497</v>
      </c>
      <c r="B289">
        <v>237972</v>
      </c>
      <c r="C289">
        <v>643476</v>
      </c>
      <c r="D289" t="s">
        <v>57</v>
      </c>
      <c r="E289" t="s">
        <v>58</v>
      </c>
      <c r="F289" t="s">
        <v>33</v>
      </c>
      <c r="G289" s="1">
        <v>5000</v>
      </c>
      <c r="H289" s="2">
        <v>4000</v>
      </c>
      <c r="I289" s="5" t="str">
        <f>VLOOKUP(BasePIs[[#This Row],[Produto]],DePara_Produto[],2,0)</f>
        <v>Outros</v>
      </c>
      <c r="J289" s="13">
        <f>1</f>
        <v>1</v>
      </c>
    </row>
    <row r="290" spans="1:10" x14ac:dyDescent="0.25">
      <c r="A290" s="3">
        <v>43497</v>
      </c>
      <c r="B290">
        <v>237973</v>
      </c>
      <c r="C290">
        <v>643477</v>
      </c>
      <c r="D290" t="s">
        <v>57</v>
      </c>
      <c r="E290" t="s">
        <v>58</v>
      </c>
      <c r="F290" t="s">
        <v>28</v>
      </c>
      <c r="G290" s="1">
        <v>245000</v>
      </c>
      <c r="H290" s="2">
        <v>196000</v>
      </c>
      <c r="I290" s="5" t="str">
        <f>VLOOKUP(BasePIs[[#This Row],[Produto]],DePara_Produto[],2,0)</f>
        <v>Outros</v>
      </c>
      <c r="J290" s="13">
        <f>1</f>
        <v>1</v>
      </c>
    </row>
    <row r="291" spans="1:10" x14ac:dyDescent="0.25">
      <c r="A291" s="3">
        <v>43497</v>
      </c>
      <c r="B291">
        <v>237974</v>
      </c>
      <c r="C291">
        <v>643478</v>
      </c>
      <c r="D291" t="s">
        <v>57</v>
      </c>
      <c r="E291" t="s">
        <v>58</v>
      </c>
      <c r="F291" t="s">
        <v>35</v>
      </c>
      <c r="G291" s="1">
        <v>8056.81</v>
      </c>
      <c r="H291" s="2">
        <v>6445.4480000000003</v>
      </c>
      <c r="I291" s="5" t="str">
        <f>VLOOKUP(BasePIs[[#This Row],[Produto]],DePara_Produto[],2,0)</f>
        <v>Outros</v>
      </c>
      <c r="J291" s="13">
        <f>1</f>
        <v>1</v>
      </c>
    </row>
    <row r="292" spans="1:10" x14ac:dyDescent="0.25">
      <c r="A292" s="3">
        <v>43497</v>
      </c>
      <c r="B292">
        <v>237980</v>
      </c>
      <c r="C292">
        <v>643484</v>
      </c>
      <c r="D292" t="s">
        <v>57</v>
      </c>
      <c r="E292" t="s">
        <v>58</v>
      </c>
      <c r="F292" t="s">
        <v>36</v>
      </c>
      <c r="G292" s="1">
        <v>15</v>
      </c>
      <c r="H292" s="2">
        <v>12</v>
      </c>
      <c r="I292" s="5" t="str">
        <f>VLOOKUP(BasePIs[[#This Row],[Produto]],DePara_Produto[],2,0)</f>
        <v>Outros</v>
      </c>
      <c r="J292" s="13">
        <f>1</f>
        <v>1</v>
      </c>
    </row>
    <row r="293" spans="1:10" x14ac:dyDescent="0.25">
      <c r="A293" s="3">
        <v>43497</v>
      </c>
      <c r="B293">
        <v>238001</v>
      </c>
      <c r="C293">
        <v>643511</v>
      </c>
      <c r="D293" t="s">
        <v>51</v>
      </c>
      <c r="E293" t="s">
        <v>52</v>
      </c>
      <c r="F293" t="s">
        <v>59</v>
      </c>
      <c r="G293" s="1">
        <v>131250</v>
      </c>
      <c r="H293" s="2">
        <v>105000</v>
      </c>
      <c r="I293" s="5" t="str">
        <f>VLOOKUP(BasePIs[[#This Row],[Produto]],DePara_Produto[],2,0)</f>
        <v>Outros</v>
      </c>
      <c r="J293" s="13">
        <f>1</f>
        <v>1</v>
      </c>
    </row>
    <row r="294" spans="1:10" x14ac:dyDescent="0.25">
      <c r="A294" s="3">
        <v>43497</v>
      </c>
      <c r="B294">
        <v>237736</v>
      </c>
      <c r="C294">
        <v>643033</v>
      </c>
      <c r="D294" t="s">
        <v>49</v>
      </c>
      <c r="E294" t="s">
        <v>49</v>
      </c>
      <c r="F294" t="s">
        <v>33</v>
      </c>
      <c r="G294" s="1">
        <v>100000</v>
      </c>
      <c r="H294" s="2">
        <v>80000</v>
      </c>
      <c r="I294" s="5" t="str">
        <f>VLOOKUP(BasePIs[[#This Row],[Produto]],DePara_Produto[],2,0)</f>
        <v>Outros</v>
      </c>
      <c r="J294" s="13">
        <f>1</f>
        <v>1</v>
      </c>
    </row>
    <row r="295" spans="1:10" x14ac:dyDescent="0.25">
      <c r="A295" s="3">
        <v>43497</v>
      </c>
      <c r="B295">
        <v>237738</v>
      </c>
      <c r="C295">
        <v>643039</v>
      </c>
      <c r="D295" t="s">
        <v>49</v>
      </c>
      <c r="E295" t="s">
        <v>49</v>
      </c>
      <c r="F295" t="s">
        <v>50</v>
      </c>
      <c r="G295" s="1">
        <v>100000</v>
      </c>
      <c r="H295" s="2">
        <v>80000</v>
      </c>
      <c r="I295" s="5" t="str">
        <f>VLOOKUP(BasePIs[[#This Row],[Produto]],DePara_Produto[],2,0)</f>
        <v>Outros</v>
      </c>
      <c r="J295" s="13">
        <f>1</f>
        <v>1</v>
      </c>
    </row>
    <row r="296" spans="1:10" x14ac:dyDescent="0.25">
      <c r="A296" s="3">
        <v>43497</v>
      </c>
      <c r="B296">
        <v>237739</v>
      </c>
      <c r="C296">
        <v>643035</v>
      </c>
      <c r="D296" t="s">
        <v>49</v>
      </c>
      <c r="E296" t="s">
        <v>49</v>
      </c>
      <c r="F296" t="s">
        <v>25</v>
      </c>
      <c r="G296" s="1">
        <v>100000.01</v>
      </c>
      <c r="H296" s="2">
        <v>80000.008000000002</v>
      </c>
      <c r="I296" s="5" t="str">
        <f>VLOOKUP(BasePIs[[#This Row],[Produto]],DePara_Produto[],2,0)</f>
        <v>Outros</v>
      </c>
      <c r="J296" s="13">
        <f>1</f>
        <v>1</v>
      </c>
    </row>
    <row r="297" spans="1:10" x14ac:dyDescent="0.25">
      <c r="A297" s="3">
        <v>43497</v>
      </c>
      <c r="B297">
        <v>237743</v>
      </c>
      <c r="C297">
        <v>643042</v>
      </c>
      <c r="D297" t="s">
        <v>49</v>
      </c>
      <c r="E297" t="s">
        <v>49</v>
      </c>
      <c r="F297" t="s">
        <v>35</v>
      </c>
      <c r="G297" s="1">
        <v>113.26</v>
      </c>
      <c r="H297" s="2">
        <v>90.608000000000004</v>
      </c>
      <c r="I297" s="5" t="str">
        <f>VLOOKUP(BasePIs[[#This Row],[Produto]],DePara_Produto[],2,0)</f>
        <v>Outros</v>
      </c>
      <c r="J297" s="13">
        <f>1</f>
        <v>1</v>
      </c>
    </row>
    <row r="298" spans="1:10" x14ac:dyDescent="0.25">
      <c r="A298" s="3">
        <v>43497</v>
      </c>
      <c r="B298">
        <v>237744</v>
      </c>
      <c r="C298">
        <v>643043</v>
      </c>
      <c r="D298" t="s">
        <v>49</v>
      </c>
      <c r="E298" t="s">
        <v>49</v>
      </c>
      <c r="F298" t="s">
        <v>34</v>
      </c>
      <c r="G298" s="1">
        <v>1900.68</v>
      </c>
      <c r="H298" s="2">
        <v>1520.5440000000001</v>
      </c>
      <c r="I298" s="5" t="str">
        <f>VLOOKUP(BasePIs[[#This Row],[Produto]],DePara_Produto[],2,0)</f>
        <v>Outros</v>
      </c>
      <c r="J298" s="13">
        <f>1</f>
        <v>1</v>
      </c>
    </row>
    <row r="299" spans="1:10" x14ac:dyDescent="0.25">
      <c r="A299" s="3">
        <v>43497</v>
      </c>
      <c r="B299">
        <v>237745</v>
      </c>
      <c r="C299">
        <v>643045</v>
      </c>
      <c r="D299" t="s">
        <v>49</v>
      </c>
      <c r="E299" t="s">
        <v>49</v>
      </c>
      <c r="F299" t="s">
        <v>28</v>
      </c>
      <c r="G299" s="1">
        <v>62500</v>
      </c>
      <c r="H299" s="2">
        <v>50000</v>
      </c>
      <c r="I299" s="5" t="str">
        <f>VLOOKUP(BasePIs[[#This Row],[Produto]],DePara_Produto[],2,0)</f>
        <v>Outros</v>
      </c>
      <c r="J299" s="13">
        <f>1</f>
        <v>1</v>
      </c>
    </row>
    <row r="300" spans="1:10" x14ac:dyDescent="0.25">
      <c r="A300" s="3">
        <v>43497</v>
      </c>
      <c r="B300">
        <v>237746</v>
      </c>
      <c r="C300">
        <v>643046</v>
      </c>
      <c r="D300" t="s">
        <v>49</v>
      </c>
      <c r="E300" t="s">
        <v>49</v>
      </c>
      <c r="F300" t="s">
        <v>34</v>
      </c>
      <c r="G300" s="1">
        <v>51.7</v>
      </c>
      <c r="H300" s="2">
        <v>41.36</v>
      </c>
      <c r="I300" s="5" t="str">
        <f>VLOOKUP(BasePIs[[#This Row],[Produto]],DePara_Produto[],2,0)</f>
        <v>Outros</v>
      </c>
      <c r="J300" s="13">
        <f>1</f>
        <v>1</v>
      </c>
    </row>
    <row r="301" spans="1:10" x14ac:dyDescent="0.25">
      <c r="A301" s="3">
        <v>43647</v>
      </c>
      <c r="B301">
        <v>237747</v>
      </c>
      <c r="C301">
        <v>643047</v>
      </c>
      <c r="D301" t="s">
        <v>49</v>
      </c>
      <c r="E301" t="s">
        <v>49</v>
      </c>
      <c r="F301" t="s">
        <v>36</v>
      </c>
      <c r="G301" s="1">
        <v>300</v>
      </c>
      <c r="H301" s="2">
        <v>240</v>
      </c>
      <c r="I301" s="5" t="str">
        <f>VLOOKUP(BasePIs[[#This Row],[Produto]],DePara_Produto[],2,0)</f>
        <v>Outros</v>
      </c>
      <c r="J301" s="13">
        <f>1</f>
        <v>1</v>
      </c>
    </row>
    <row r="302" spans="1:10" x14ac:dyDescent="0.25">
      <c r="A302" s="3">
        <v>43647</v>
      </c>
      <c r="B302">
        <v>237835</v>
      </c>
      <c r="C302">
        <v>643138</v>
      </c>
      <c r="D302" t="s">
        <v>44</v>
      </c>
      <c r="E302" t="s">
        <v>44</v>
      </c>
      <c r="F302" t="s">
        <v>29</v>
      </c>
      <c r="G302" s="1">
        <v>100000</v>
      </c>
      <c r="H302" s="2">
        <v>80000</v>
      </c>
      <c r="I302" s="5" t="str">
        <f>VLOOKUP(BasePIs[[#This Row],[Produto]],DePara_Produto[],2,0)</f>
        <v>Amarok</v>
      </c>
      <c r="J302" s="13">
        <f>1</f>
        <v>1</v>
      </c>
    </row>
    <row r="303" spans="1:10" x14ac:dyDescent="0.25">
      <c r="A303" s="3">
        <v>43647</v>
      </c>
      <c r="B303">
        <v>237874</v>
      </c>
      <c r="C303">
        <v>643197</v>
      </c>
      <c r="D303" t="s">
        <v>51</v>
      </c>
      <c r="E303" t="s">
        <v>52</v>
      </c>
      <c r="F303" t="s">
        <v>53</v>
      </c>
      <c r="G303" s="1">
        <v>37500</v>
      </c>
      <c r="H303" s="2">
        <v>30000</v>
      </c>
      <c r="I303" s="5" t="str">
        <f>VLOOKUP(BasePIs[[#This Row],[Produto]],DePara_Produto[],2,0)</f>
        <v>Outros</v>
      </c>
      <c r="J303" s="13">
        <f>1</f>
        <v>1</v>
      </c>
    </row>
    <row r="304" spans="1:10" x14ac:dyDescent="0.25">
      <c r="A304" s="3">
        <v>43647</v>
      </c>
      <c r="B304">
        <v>237875</v>
      </c>
      <c r="C304">
        <v>643198</v>
      </c>
      <c r="D304" t="s">
        <v>51</v>
      </c>
      <c r="E304" t="s">
        <v>52</v>
      </c>
      <c r="F304" t="s">
        <v>33</v>
      </c>
      <c r="G304" s="1">
        <v>1675000</v>
      </c>
      <c r="H304" s="2">
        <v>1340000</v>
      </c>
      <c r="I304" s="5" t="str">
        <f>VLOOKUP(BasePIs[[#This Row],[Produto]],DePara_Produto[],2,0)</f>
        <v>Outros</v>
      </c>
      <c r="J304" s="13">
        <f>1</f>
        <v>1</v>
      </c>
    </row>
    <row r="305" spans="1:10" x14ac:dyDescent="0.25">
      <c r="A305" s="3">
        <v>43647</v>
      </c>
      <c r="B305">
        <v>237877</v>
      </c>
      <c r="C305">
        <v>643200</v>
      </c>
      <c r="D305" t="s">
        <v>51</v>
      </c>
      <c r="E305" t="s">
        <v>52</v>
      </c>
      <c r="F305" t="s">
        <v>28</v>
      </c>
      <c r="G305" s="1">
        <v>925000</v>
      </c>
      <c r="H305" s="2">
        <v>740000</v>
      </c>
      <c r="I305" s="5" t="str">
        <f>VLOOKUP(BasePIs[[#This Row],[Produto]],DePara_Produto[],2,0)</f>
        <v>Outros</v>
      </c>
      <c r="J305" s="13">
        <f>1</f>
        <v>1</v>
      </c>
    </row>
    <row r="306" spans="1:10" x14ac:dyDescent="0.25">
      <c r="A306" s="3">
        <v>43647</v>
      </c>
      <c r="B306">
        <v>237879</v>
      </c>
      <c r="C306">
        <v>643202</v>
      </c>
      <c r="D306" t="s">
        <v>51</v>
      </c>
      <c r="E306" t="s">
        <v>52</v>
      </c>
      <c r="F306" t="s">
        <v>32</v>
      </c>
      <c r="G306" s="1">
        <v>681250</v>
      </c>
      <c r="H306" s="2">
        <v>545000</v>
      </c>
      <c r="I306" s="5" t="str">
        <f>VLOOKUP(BasePIs[[#This Row],[Produto]],DePara_Produto[],2,0)</f>
        <v>Outros</v>
      </c>
      <c r="J306" s="13">
        <f>1</f>
        <v>1</v>
      </c>
    </row>
    <row r="307" spans="1:10" x14ac:dyDescent="0.25">
      <c r="A307" s="3">
        <v>43647</v>
      </c>
      <c r="B307">
        <v>237880</v>
      </c>
      <c r="C307">
        <v>643203</v>
      </c>
      <c r="D307" t="s">
        <v>51</v>
      </c>
      <c r="E307" t="s">
        <v>52</v>
      </c>
      <c r="F307" t="s">
        <v>25</v>
      </c>
      <c r="G307" s="1">
        <v>494375</v>
      </c>
      <c r="H307" s="2">
        <v>395500</v>
      </c>
      <c r="I307" s="5" t="str">
        <f>VLOOKUP(BasePIs[[#This Row],[Produto]],DePara_Produto[],2,0)</f>
        <v>Outros</v>
      </c>
      <c r="J307" s="13">
        <f>1</f>
        <v>1</v>
      </c>
    </row>
    <row r="308" spans="1:10" x14ac:dyDescent="0.25">
      <c r="A308" s="3">
        <v>43647</v>
      </c>
      <c r="B308">
        <v>237881</v>
      </c>
      <c r="C308">
        <v>643205</v>
      </c>
      <c r="D308" t="s">
        <v>51</v>
      </c>
      <c r="E308" t="s">
        <v>52</v>
      </c>
      <c r="F308" t="s">
        <v>35</v>
      </c>
      <c r="G308" s="1">
        <v>23884.46</v>
      </c>
      <c r="H308" s="2">
        <v>19107.567999999999</v>
      </c>
      <c r="I308" s="5" t="str">
        <f>VLOOKUP(BasePIs[[#This Row],[Produto]],DePara_Produto[],2,0)</f>
        <v>Outros</v>
      </c>
      <c r="J308" s="13">
        <f>1</f>
        <v>1</v>
      </c>
    </row>
    <row r="309" spans="1:10" x14ac:dyDescent="0.25">
      <c r="A309" s="3">
        <v>43647</v>
      </c>
      <c r="B309">
        <v>237882</v>
      </c>
      <c r="C309">
        <v>643206</v>
      </c>
      <c r="D309" t="s">
        <v>51</v>
      </c>
      <c r="E309" t="s">
        <v>52</v>
      </c>
      <c r="F309" t="s">
        <v>34</v>
      </c>
      <c r="G309" s="1">
        <v>45923.44</v>
      </c>
      <c r="H309" s="2">
        <v>36738.752</v>
      </c>
      <c r="I309" s="5" t="str">
        <f>VLOOKUP(BasePIs[[#This Row],[Produto]],DePara_Produto[],2,0)</f>
        <v>Outros</v>
      </c>
      <c r="J309" s="13">
        <f>1</f>
        <v>1</v>
      </c>
    </row>
    <row r="310" spans="1:10" x14ac:dyDescent="0.25">
      <c r="A310" s="3">
        <v>43647</v>
      </c>
      <c r="B310">
        <v>237883</v>
      </c>
      <c r="C310">
        <v>643207</v>
      </c>
      <c r="D310" t="s">
        <v>51</v>
      </c>
      <c r="E310" t="s">
        <v>52</v>
      </c>
      <c r="F310" t="s">
        <v>34</v>
      </c>
      <c r="G310" s="1">
        <v>24718.75</v>
      </c>
      <c r="H310" s="2">
        <v>19775</v>
      </c>
      <c r="I310" s="5" t="str">
        <f>VLOOKUP(BasePIs[[#This Row],[Produto]],DePara_Produto[],2,0)</f>
        <v>Outros</v>
      </c>
      <c r="J310" s="13">
        <f>1</f>
        <v>1</v>
      </c>
    </row>
    <row r="311" spans="1:10" x14ac:dyDescent="0.25">
      <c r="A311" s="3">
        <v>43647</v>
      </c>
      <c r="B311">
        <v>237884</v>
      </c>
      <c r="C311">
        <v>643208</v>
      </c>
      <c r="D311" t="s">
        <v>51</v>
      </c>
      <c r="E311" t="s">
        <v>52</v>
      </c>
      <c r="F311" t="s">
        <v>36</v>
      </c>
      <c r="G311" s="1">
        <v>5137.5</v>
      </c>
      <c r="H311" s="2">
        <v>4110</v>
      </c>
      <c r="I311" s="5" t="str">
        <f>VLOOKUP(BasePIs[[#This Row],[Produto]],DePara_Produto[],2,0)</f>
        <v>Outros</v>
      </c>
      <c r="J311" s="13">
        <f>1</f>
        <v>1</v>
      </c>
    </row>
    <row r="312" spans="1:10" x14ac:dyDescent="0.25">
      <c r="A312" s="3">
        <v>43647</v>
      </c>
      <c r="B312">
        <v>237886</v>
      </c>
      <c r="C312">
        <v>643213</v>
      </c>
      <c r="D312" t="s">
        <v>54</v>
      </c>
      <c r="E312" t="s">
        <v>55</v>
      </c>
      <c r="F312" t="s">
        <v>28</v>
      </c>
      <c r="G312" s="1">
        <v>218750</v>
      </c>
      <c r="H312" s="2">
        <v>175000</v>
      </c>
      <c r="I312" s="5" t="str">
        <f>VLOOKUP(BasePIs[[#This Row],[Produto]],DePara_Produto[],2,0)</f>
        <v>Varejo</v>
      </c>
      <c r="J312" s="13">
        <f>1</f>
        <v>1</v>
      </c>
    </row>
    <row r="313" spans="1:10" x14ac:dyDescent="0.25">
      <c r="A313" s="3">
        <v>43647</v>
      </c>
      <c r="B313">
        <v>237889</v>
      </c>
      <c r="C313">
        <v>643216</v>
      </c>
      <c r="D313" t="s">
        <v>54</v>
      </c>
      <c r="E313" t="s">
        <v>55</v>
      </c>
      <c r="F313" t="s">
        <v>25</v>
      </c>
      <c r="G313" s="1">
        <v>1206420</v>
      </c>
      <c r="H313" s="2">
        <v>965136</v>
      </c>
      <c r="I313" s="5" t="str">
        <f>VLOOKUP(BasePIs[[#This Row],[Produto]],DePara_Produto[],2,0)</f>
        <v>Varejo</v>
      </c>
      <c r="J313" s="13">
        <f>1</f>
        <v>1</v>
      </c>
    </row>
    <row r="314" spans="1:10" x14ac:dyDescent="0.25">
      <c r="A314" s="3">
        <v>43647</v>
      </c>
      <c r="B314">
        <v>237890</v>
      </c>
      <c r="C314">
        <v>643217</v>
      </c>
      <c r="D314" t="s">
        <v>54</v>
      </c>
      <c r="E314" t="s">
        <v>55</v>
      </c>
      <c r="F314" t="s">
        <v>35</v>
      </c>
      <c r="G314" s="1">
        <v>42029.43</v>
      </c>
      <c r="H314" s="2">
        <v>33623.544000000002</v>
      </c>
      <c r="I314" s="5" t="str">
        <f>VLOOKUP(BasePIs[[#This Row],[Produto]],DePara_Produto[],2,0)</f>
        <v>Varejo</v>
      </c>
      <c r="J314" s="13">
        <f>1</f>
        <v>1</v>
      </c>
    </row>
    <row r="315" spans="1:10" x14ac:dyDescent="0.25">
      <c r="A315" s="3">
        <v>43647</v>
      </c>
      <c r="B315">
        <v>237891</v>
      </c>
      <c r="C315">
        <v>643218</v>
      </c>
      <c r="D315" t="s">
        <v>54</v>
      </c>
      <c r="E315" t="s">
        <v>55</v>
      </c>
      <c r="F315" t="s">
        <v>34</v>
      </c>
      <c r="G315" s="1">
        <v>81795.570000000007</v>
      </c>
      <c r="H315" s="2">
        <v>65436.455999999998</v>
      </c>
      <c r="I315" s="5" t="str">
        <f>VLOOKUP(BasePIs[[#This Row],[Produto]],DePara_Produto[],2,0)</f>
        <v>Varejo</v>
      </c>
      <c r="J315" s="13">
        <f>1</f>
        <v>1</v>
      </c>
    </row>
    <row r="316" spans="1:10" x14ac:dyDescent="0.25">
      <c r="A316" s="3">
        <v>43647</v>
      </c>
      <c r="B316">
        <v>237892</v>
      </c>
      <c r="C316">
        <v>643219</v>
      </c>
      <c r="D316" t="s">
        <v>54</v>
      </c>
      <c r="E316" t="s">
        <v>55</v>
      </c>
      <c r="F316" t="s">
        <v>34</v>
      </c>
      <c r="G316" s="1">
        <v>12500</v>
      </c>
      <c r="H316" s="2">
        <v>10000</v>
      </c>
      <c r="I316" s="5" t="str">
        <f>VLOOKUP(BasePIs[[#This Row],[Produto]],DePara_Produto[],2,0)</f>
        <v>Varejo</v>
      </c>
      <c r="J316" s="13">
        <f>1</f>
        <v>1</v>
      </c>
    </row>
    <row r="317" spans="1:10" x14ac:dyDescent="0.25">
      <c r="A317" s="3">
        <v>43647</v>
      </c>
      <c r="B317">
        <v>237907</v>
      </c>
      <c r="C317">
        <v>643241</v>
      </c>
      <c r="D317" t="s">
        <v>56</v>
      </c>
      <c r="E317" t="s">
        <v>38</v>
      </c>
      <c r="F317" t="s">
        <v>28</v>
      </c>
      <c r="G317" s="1">
        <v>10000</v>
      </c>
      <c r="H317" s="2">
        <v>8000</v>
      </c>
      <c r="I317" s="5" t="str">
        <f>VLOOKUP(BasePIs[[#This Row],[Produto]],DePara_Produto[],2,0)</f>
        <v>Varejo</v>
      </c>
      <c r="J317" s="13">
        <f>1</f>
        <v>1</v>
      </c>
    </row>
    <row r="318" spans="1:10" x14ac:dyDescent="0.25">
      <c r="A318" s="3">
        <v>43647</v>
      </c>
      <c r="B318">
        <v>237908</v>
      </c>
      <c r="C318">
        <v>643242</v>
      </c>
      <c r="D318" t="s">
        <v>56</v>
      </c>
      <c r="E318" t="s">
        <v>38</v>
      </c>
      <c r="F318" t="s">
        <v>35</v>
      </c>
      <c r="G318" s="1">
        <v>22.93</v>
      </c>
      <c r="H318" s="2">
        <v>18.344000000000001</v>
      </c>
      <c r="I318" s="5" t="str">
        <f>VLOOKUP(BasePIs[[#This Row],[Produto]],DePara_Produto[],2,0)</f>
        <v>Varejo</v>
      </c>
      <c r="J318" s="13">
        <f>1</f>
        <v>1</v>
      </c>
    </row>
    <row r="319" spans="1:10" x14ac:dyDescent="0.25">
      <c r="A319" s="3">
        <v>43647</v>
      </c>
      <c r="B319">
        <v>237969</v>
      </c>
      <c r="C319">
        <v>643473</v>
      </c>
      <c r="D319" t="s">
        <v>54</v>
      </c>
      <c r="E319" t="s">
        <v>55</v>
      </c>
      <c r="F319" t="s">
        <v>29</v>
      </c>
      <c r="G319" s="1">
        <v>125000</v>
      </c>
      <c r="H319" s="2">
        <v>100000</v>
      </c>
      <c r="I319" s="5" t="str">
        <f>VLOOKUP(BasePIs[[#This Row],[Produto]],DePara_Produto[],2,0)</f>
        <v>Varejo</v>
      </c>
      <c r="J319" s="13">
        <f>1</f>
        <v>1</v>
      </c>
    </row>
    <row r="320" spans="1:10" x14ac:dyDescent="0.25">
      <c r="A320" s="3">
        <v>43647</v>
      </c>
      <c r="B320">
        <v>237972</v>
      </c>
      <c r="C320">
        <v>643476</v>
      </c>
      <c r="D320" t="s">
        <v>57</v>
      </c>
      <c r="E320" t="s">
        <v>58</v>
      </c>
      <c r="F320" t="s">
        <v>33</v>
      </c>
      <c r="G320" s="1">
        <v>5000</v>
      </c>
      <c r="H320" s="2">
        <v>4000</v>
      </c>
      <c r="I320" s="5" t="str">
        <f>VLOOKUP(BasePIs[[#This Row],[Produto]],DePara_Produto[],2,0)</f>
        <v>Outros</v>
      </c>
      <c r="J320" s="13">
        <f>1</f>
        <v>1</v>
      </c>
    </row>
    <row r="321" spans="1:10" x14ac:dyDescent="0.25">
      <c r="A321" s="3">
        <v>43647</v>
      </c>
      <c r="B321">
        <v>237973</v>
      </c>
      <c r="C321">
        <v>643477</v>
      </c>
      <c r="D321" t="s">
        <v>57</v>
      </c>
      <c r="E321" t="s">
        <v>58</v>
      </c>
      <c r="F321" t="s">
        <v>28</v>
      </c>
      <c r="G321" s="1">
        <v>245000</v>
      </c>
      <c r="H321" s="2">
        <v>196000</v>
      </c>
      <c r="I321" s="5" t="str">
        <f>VLOOKUP(BasePIs[[#This Row],[Produto]],DePara_Produto[],2,0)</f>
        <v>Outros</v>
      </c>
      <c r="J321" s="13">
        <f>1</f>
        <v>1</v>
      </c>
    </row>
    <row r="322" spans="1:10" x14ac:dyDescent="0.25">
      <c r="A322" s="3">
        <v>43647</v>
      </c>
      <c r="B322">
        <v>237974</v>
      </c>
      <c r="C322">
        <v>643478</v>
      </c>
      <c r="D322" t="s">
        <v>57</v>
      </c>
      <c r="E322" t="s">
        <v>58</v>
      </c>
      <c r="F322" t="s">
        <v>35</v>
      </c>
      <c r="G322" s="1">
        <v>8056.81</v>
      </c>
      <c r="H322" s="2">
        <v>6445.4480000000003</v>
      </c>
      <c r="I322" s="5" t="str">
        <f>VLOOKUP(BasePIs[[#This Row],[Produto]],DePara_Produto[],2,0)</f>
        <v>Outros</v>
      </c>
      <c r="J322" s="13">
        <f>1</f>
        <v>1</v>
      </c>
    </row>
    <row r="323" spans="1:10" x14ac:dyDescent="0.25">
      <c r="A323" s="3">
        <v>43647</v>
      </c>
      <c r="B323">
        <v>237980</v>
      </c>
      <c r="C323">
        <v>643484</v>
      </c>
      <c r="D323" t="s">
        <v>57</v>
      </c>
      <c r="E323" t="s">
        <v>58</v>
      </c>
      <c r="F323" t="s">
        <v>36</v>
      </c>
      <c r="G323" s="1">
        <v>15</v>
      </c>
      <c r="H323" s="2">
        <v>12</v>
      </c>
      <c r="I323" s="5" t="str">
        <f>VLOOKUP(BasePIs[[#This Row],[Produto]],DePara_Produto[],2,0)</f>
        <v>Outros</v>
      </c>
      <c r="J323" s="13">
        <f>1</f>
        <v>1</v>
      </c>
    </row>
    <row r="324" spans="1:10" x14ac:dyDescent="0.25">
      <c r="A324" s="3">
        <v>43647</v>
      </c>
      <c r="B324">
        <v>238001</v>
      </c>
      <c r="C324">
        <v>643511</v>
      </c>
      <c r="D324" t="s">
        <v>51</v>
      </c>
      <c r="E324" t="s">
        <v>52</v>
      </c>
      <c r="F324" t="s">
        <v>59</v>
      </c>
      <c r="G324" s="1">
        <v>131250</v>
      </c>
      <c r="H324" s="2">
        <v>105000</v>
      </c>
      <c r="I324" s="5" t="str">
        <f>VLOOKUP(BasePIs[[#This Row],[Produto]],DePara_Produto[],2,0)</f>
        <v>Outros</v>
      </c>
      <c r="J324" s="13">
        <f>1</f>
        <v>1</v>
      </c>
    </row>
    <row r="325" spans="1:10" x14ac:dyDescent="0.25">
      <c r="A325" s="3">
        <v>43647</v>
      </c>
      <c r="B325">
        <v>237746</v>
      </c>
      <c r="C325">
        <v>643046</v>
      </c>
      <c r="D325" t="s">
        <v>49</v>
      </c>
      <c r="E325" t="s">
        <v>49</v>
      </c>
      <c r="F325" t="s">
        <v>34</v>
      </c>
      <c r="G325" s="1">
        <v>51.7</v>
      </c>
      <c r="H325" s="2">
        <v>41.36</v>
      </c>
      <c r="I325" s="5" t="str">
        <f>VLOOKUP(BasePIs[[#This Row],[Produto]],DePara_Produto[],2,0)</f>
        <v>Outros</v>
      </c>
      <c r="J325" s="13">
        <f>1</f>
        <v>1</v>
      </c>
    </row>
    <row r="326" spans="1:10" x14ac:dyDescent="0.25">
      <c r="A326" s="3">
        <v>43647</v>
      </c>
      <c r="B326">
        <v>237747</v>
      </c>
      <c r="C326">
        <v>643047</v>
      </c>
      <c r="D326" t="s">
        <v>49</v>
      </c>
      <c r="E326" t="s">
        <v>49</v>
      </c>
      <c r="F326" t="s">
        <v>36</v>
      </c>
      <c r="G326" s="1">
        <v>300</v>
      </c>
      <c r="H326" s="2">
        <v>240</v>
      </c>
      <c r="I326" s="5" t="str">
        <f>VLOOKUP(BasePIs[[#This Row],[Produto]],DePara_Produto[],2,0)</f>
        <v>Outros</v>
      </c>
      <c r="J326" s="13">
        <f>1</f>
        <v>1</v>
      </c>
    </row>
    <row r="327" spans="1:10" x14ac:dyDescent="0.25">
      <c r="A327" s="3">
        <v>43647</v>
      </c>
      <c r="B327">
        <v>237835</v>
      </c>
      <c r="C327">
        <v>643138</v>
      </c>
      <c r="D327" t="s">
        <v>44</v>
      </c>
      <c r="E327" t="s">
        <v>44</v>
      </c>
      <c r="F327" t="s">
        <v>29</v>
      </c>
      <c r="G327" s="1">
        <v>100000</v>
      </c>
      <c r="H327" s="2">
        <v>80000</v>
      </c>
      <c r="I327" s="5" t="str">
        <f>VLOOKUP(BasePIs[[#This Row],[Produto]],DePara_Produto[],2,0)</f>
        <v>Amarok</v>
      </c>
      <c r="J327" s="13">
        <f>1</f>
        <v>1</v>
      </c>
    </row>
    <row r="328" spans="1:10" x14ac:dyDescent="0.25">
      <c r="A328" s="3">
        <v>43647</v>
      </c>
      <c r="B328">
        <v>237874</v>
      </c>
      <c r="C328">
        <v>643197</v>
      </c>
      <c r="D328" t="s">
        <v>51</v>
      </c>
      <c r="E328" t="s">
        <v>52</v>
      </c>
      <c r="F328" t="s">
        <v>53</v>
      </c>
      <c r="G328" s="1">
        <v>37500</v>
      </c>
      <c r="H328" s="2">
        <v>30000</v>
      </c>
      <c r="I328" s="5" t="str">
        <f>VLOOKUP(BasePIs[[#This Row],[Produto]],DePara_Produto[],2,0)</f>
        <v>Outros</v>
      </c>
      <c r="J328" s="13">
        <f>1</f>
        <v>1</v>
      </c>
    </row>
    <row r="329" spans="1:10" x14ac:dyDescent="0.25">
      <c r="A329" s="3">
        <v>43647</v>
      </c>
      <c r="B329">
        <v>237875</v>
      </c>
      <c r="C329">
        <v>643198</v>
      </c>
      <c r="D329" t="s">
        <v>51</v>
      </c>
      <c r="E329" t="s">
        <v>52</v>
      </c>
      <c r="F329" t="s">
        <v>33</v>
      </c>
      <c r="G329" s="1">
        <v>1675000</v>
      </c>
      <c r="H329" s="2">
        <v>1340000</v>
      </c>
      <c r="I329" s="5" t="str">
        <f>VLOOKUP(BasePIs[[#This Row],[Produto]],DePara_Produto[],2,0)</f>
        <v>Outros</v>
      </c>
      <c r="J329" s="13">
        <f>1</f>
        <v>1</v>
      </c>
    </row>
    <row r="330" spans="1:10" x14ac:dyDescent="0.25">
      <c r="A330" s="3">
        <v>43647</v>
      </c>
      <c r="B330">
        <v>237877</v>
      </c>
      <c r="C330">
        <v>643200</v>
      </c>
      <c r="D330" t="s">
        <v>51</v>
      </c>
      <c r="E330" t="s">
        <v>52</v>
      </c>
      <c r="F330" t="s">
        <v>28</v>
      </c>
      <c r="G330" s="1">
        <v>925000</v>
      </c>
      <c r="H330" s="2">
        <v>740000</v>
      </c>
      <c r="I330" s="5" t="str">
        <f>VLOOKUP(BasePIs[[#This Row],[Produto]],DePara_Produto[],2,0)</f>
        <v>Outros</v>
      </c>
      <c r="J330" s="13">
        <f>1</f>
        <v>1</v>
      </c>
    </row>
    <row r="331" spans="1:10" x14ac:dyDescent="0.25">
      <c r="A331" s="3">
        <v>43647</v>
      </c>
      <c r="B331">
        <v>237879</v>
      </c>
      <c r="C331">
        <v>643202</v>
      </c>
      <c r="D331" t="s">
        <v>51</v>
      </c>
      <c r="E331" t="s">
        <v>52</v>
      </c>
      <c r="F331" t="s">
        <v>32</v>
      </c>
      <c r="G331" s="1">
        <v>681250</v>
      </c>
      <c r="H331" s="2">
        <v>545000</v>
      </c>
      <c r="I331" s="5" t="str">
        <f>VLOOKUP(BasePIs[[#This Row],[Produto]],DePara_Produto[],2,0)</f>
        <v>Outros</v>
      </c>
      <c r="J331" s="13">
        <f>1</f>
        <v>1</v>
      </c>
    </row>
    <row r="332" spans="1:10" x14ac:dyDescent="0.25">
      <c r="A332" s="3">
        <v>43647</v>
      </c>
      <c r="B332">
        <v>237880</v>
      </c>
      <c r="C332">
        <v>643203</v>
      </c>
      <c r="D332" t="s">
        <v>51</v>
      </c>
      <c r="E332" t="s">
        <v>52</v>
      </c>
      <c r="F332" t="s">
        <v>25</v>
      </c>
      <c r="G332" s="1">
        <v>494375</v>
      </c>
      <c r="H332" s="2">
        <v>395500</v>
      </c>
      <c r="I332" s="5" t="str">
        <f>VLOOKUP(BasePIs[[#This Row],[Produto]],DePara_Produto[],2,0)</f>
        <v>Outros</v>
      </c>
      <c r="J332" s="13">
        <f>1</f>
        <v>1</v>
      </c>
    </row>
    <row r="333" spans="1:10" x14ac:dyDescent="0.25">
      <c r="A333" s="3">
        <v>43647</v>
      </c>
      <c r="B333">
        <v>237881</v>
      </c>
      <c r="C333">
        <v>643205</v>
      </c>
      <c r="D333" t="s">
        <v>51</v>
      </c>
      <c r="E333" t="s">
        <v>52</v>
      </c>
      <c r="F333" t="s">
        <v>35</v>
      </c>
      <c r="G333" s="1">
        <v>23884.46</v>
      </c>
      <c r="H333" s="2">
        <v>19107.567999999999</v>
      </c>
      <c r="I333" s="5" t="str">
        <f>VLOOKUP(BasePIs[[#This Row],[Produto]],DePara_Produto[],2,0)</f>
        <v>Outros</v>
      </c>
      <c r="J333" s="13">
        <f>1</f>
        <v>1</v>
      </c>
    </row>
    <row r="334" spans="1:10" x14ac:dyDescent="0.25">
      <c r="A334" s="3">
        <v>43647</v>
      </c>
      <c r="B334">
        <v>237882</v>
      </c>
      <c r="C334">
        <v>643206</v>
      </c>
      <c r="D334" t="s">
        <v>51</v>
      </c>
      <c r="E334" t="s">
        <v>52</v>
      </c>
      <c r="F334" t="s">
        <v>34</v>
      </c>
      <c r="G334" s="1">
        <v>45923.44</v>
      </c>
      <c r="H334" s="2">
        <v>36738.752</v>
      </c>
      <c r="I334" s="5" t="str">
        <f>VLOOKUP(BasePIs[[#This Row],[Produto]],DePara_Produto[],2,0)</f>
        <v>Outros</v>
      </c>
      <c r="J334" s="13">
        <f>1</f>
        <v>1</v>
      </c>
    </row>
    <row r="335" spans="1:10" x14ac:dyDescent="0.25">
      <c r="A335" s="3">
        <v>43647</v>
      </c>
      <c r="B335">
        <v>237883</v>
      </c>
      <c r="C335">
        <v>643207</v>
      </c>
      <c r="D335" t="s">
        <v>51</v>
      </c>
      <c r="E335" t="s">
        <v>52</v>
      </c>
      <c r="F335" t="s">
        <v>34</v>
      </c>
      <c r="G335" s="1">
        <v>24718.75</v>
      </c>
      <c r="H335" s="2">
        <v>19775</v>
      </c>
      <c r="I335" s="5" t="str">
        <f>VLOOKUP(BasePIs[[#This Row],[Produto]],DePara_Produto[],2,0)</f>
        <v>Outros</v>
      </c>
      <c r="J335" s="13">
        <f>1</f>
        <v>1</v>
      </c>
    </row>
    <row r="336" spans="1:10" x14ac:dyDescent="0.25">
      <c r="A336" s="3">
        <v>43647</v>
      </c>
      <c r="B336">
        <v>237884</v>
      </c>
      <c r="C336">
        <v>643208</v>
      </c>
      <c r="D336" t="s">
        <v>51</v>
      </c>
      <c r="E336" t="s">
        <v>52</v>
      </c>
      <c r="F336" t="s">
        <v>36</v>
      </c>
      <c r="G336" s="1">
        <v>5137.5</v>
      </c>
      <c r="H336" s="2">
        <v>4110</v>
      </c>
      <c r="I336" s="5" t="str">
        <f>VLOOKUP(BasePIs[[#This Row],[Produto]],DePara_Produto[],2,0)</f>
        <v>Outros</v>
      </c>
      <c r="J336" s="13">
        <f>1</f>
        <v>1</v>
      </c>
    </row>
    <row r="337" spans="1:10" x14ac:dyDescent="0.25">
      <c r="A337" s="3">
        <v>43497</v>
      </c>
      <c r="B337">
        <v>237886</v>
      </c>
      <c r="C337">
        <v>643213</v>
      </c>
      <c r="D337" t="s">
        <v>54</v>
      </c>
      <c r="E337" t="s">
        <v>55</v>
      </c>
      <c r="F337" t="s">
        <v>28</v>
      </c>
      <c r="G337" s="1">
        <v>218750</v>
      </c>
      <c r="H337" s="2">
        <v>175000</v>
      </c>
      <c r="I337" s="5" t="str">
        <f>VLOOKUP(BasePIs[[#This Row],[Produto]],DePara_Produto[],2,0)</f>
        <v>Varejo</v>
      </c>
      <c r="J337" s="13">
        <f>1</f>
        <v>1</v>
      </c>
    </row>
    <row r="338" spans="1:10" x14ac:dyDescent="0.25">
      <c r="A338" s="3">
        <v>43497</v>
      </c>
      <c r="B338">
        <v>237889</v>
      </c>
      <c r="C338">
        <v>643216</v>
      </c>
      <c r="D338" t="s">
        <v>54</v>
      </c>
      <c r="E338" t="s">
        <v>55</v>
      </c>
      <c r="F338" t="s">
        <v>25</v>
      </c>
      <c r="G338" s="1">
        <v>1206420</v>
      </c>
      <c r="H338" s="2">
        <v>965136</v>
      </c>
      <c r="I338" s="5" t="str">
        <f>VLOOKUP(BasePIs[[#This Row],[Produto]],DePara_Produto[],2,0)</f>
        <v>Varejo</v>
      </c>
      <c r="J338" s="13">
        <f>1</f>
        <v>1</v>
      </c>
    </row>
    <row r="339" spans="1:10" x14ac:dyDescent="0.25">
      <c r="A339" s="3">
        <v>43497</v>
      </c>
      <c r="B339">
        <v>237890</v>
      </c>
      <c r="C339">
        <v>643217</v>
      </c>
      <c r="D339" t="s">
        <v>54</v>
      </c>
      <c r="E339" t="s">
        <v>55</v>
      </c>
      <c r="F339" t="s">
        <v>35</v>
      </c>
      <c r="G339" s="1">
        <v>42029.43</v>
      </c>
      <c r="H339" s="2">
        <v>33623.544000000002</v>
      </c>
      <c r="I339" s="5" t="str">
        <f>VLOOKUP(BasePIs[[#This Row],[Produto]],DePara_Produto[],2,0)</f>
        <v>Varejo</v>
      </c>
      <c r="J339" s="13">
        <f>1</f>
        <v>1</v>
      </c>
    </row>
    <row r="340" spans="1:10" x14ac:dyDescent="0.25">
      <c r="A340" s="3">
        <v>43497</v>
      </c>
      <c r="B340">
        <v>237891</v>
      </c>
      <c r="C340">
        <v>643218</v>
      </c>
      <c r="D340" t="s">
        <v>54</v>
      </c>
      <c r="E340" t="s">
        <v>55</v>
      </c>
      <c r="F340" t="s">
        <v>34</v>
      </c>
      <c r="G340" s="1">
        <v>81795.570000000007</v>
      </c>
      <c r="H340" s="2">
        <v>65436.455999999998</v>
      </c>
      <c r="I340" s="5" t="str">
        <f>VLOOKUP(BasePIs[[#This Row],[Produto]],DePara_Produto[],2,0)</f>
        <v>Varejo</v>
      </c>
      <c r="J340" s="13">
        <f>1</f>
        <v>1</v>
      </c>
    </row>
    <row r="341" spans="1:10" x14ac:dyDescent="0.25">
      <c r="A341" s="3">
        <v>43497</v>
      </c>
      <c r="B341">
        <v>237892</v>
      </c>
      <c r="C341">
        <v>643219</v>
      </c>
      <c r="D341" t="s">
        <v>54</v>
      </c>
      <c r="E341" t="s">
        <v>55</v>
      </c>
      <c r="F341" t="s">
        <v>34</v>
      </c>
      <c r="G341" s="1">
        <v>12500</v>
      </c>
      <c r="H341" s="2">
        <v>10000</v>
      </c>
      <c r="I341" s="5" t="str">
        <f>VLOOKUP(BasePIs[[#This Row],[Produto]],DePara_Produto[],2,0)</f>
        <v>Varejo</v>
      </c>
      <c r="J341" s="13">
        <f>1</f>
        <v>1</v>
      </c>
    </row>
    <row r="342" spans="1:10" x14ac:dyDescent="0.25">
      <c r="A342" s="3">
        <v>43497</v>
      </c>
      <c r="B342">
        <v>237907</v>
      </c>
      <c r="C342">
        <v>643241</v>
      </c>
      <c r="D342" t="s">
        <v>56</v>
      </c>
      <c r="E342" t="s">
        <v>38</v>
      </c>
      <c r="F342" t="s">
        <v>28</v>
      </c>
      <c r="G342" s="1">
        <v>10000</v>
      </c>
      <c r="H342" s="2">
        <v>8000</v>
      </c>
      <c r="I342" s="5" t="str">
        <f>VLOOKUP(BasePIs[[#This Row],[Produto]],DePara_Produto[],2,0)</f>
        <v>Varejo</v>
      </c>
      <c r="J342" s="13">
        <f>1</f>
        <v>1</v>
      </c>
    </row>
    <row r="343" spans="1:10" x14ac:dyDescent="0.25">
      <c r="A343" s="3">
        <v>43497</v>
      </c>
      <c r="B343">
        <v>237908</v>
      </c>
      <c r="C343">
        <v>643242</v>
      </c>
      <c r="D343" t="s">
        <v>56</v>
      </c>
      <c r="E343" t="s">
        <v>38</v>
      </c>
      <c r="F343" t="s">
        <v>35</v>
      </c>
      <c r="G343" s="1">
        <v>22.93</v>
      </c>
      <c r="H343" s="2">
        <v>18.344000000000001</v>
      </c>
      <c r="I343" s="5" t="str">
        <f>VLOOKUP(BasePIs[[#This Row],[Produto]],DePara_Produto[],2,0)</f>
        <v>Varejo</v>
      </c>
      <c r="J343" s="13">
        <f>1</f>
        <v>1</v>
      </c>
    </row>
    <row r="344" spans="1:10" x14ac:dyDescent="0.25">
      <c r="A344" s="3">
        <v>43497</v>
      </c>
      <c r="B344">
        <v>237969</v>
      </c>
      <c r="C344">
        <v>643473</v>
      </c>
      <c r="D344" t="s">
        <v>54</v>
      </c>
      <c r="E344" t="s">
        <v>55</v>
      </c>
      <c r="F344" t="s">
        <v>29</v>
      </c>
      <c r="G344" s="1">
        <v>125000</v>
      </c>
      <c r="H344" s="2">
        <v>100000</v>
      </c>
      <c r="I344" s="5" t="str">
        <f>VLOOKUP(BasePIs[[#This Row],[Produto]],DePara_Produto[],2,0)</f>
        <v>Varejo</v>
      </c>
      <c r="J344" s="13">
        <f>1</f>
        <v>1</v>
      </c>
    </row>
    <row r="345" spans="1:10" x14ac:dyDescent="0.25">
      <c r="A345" s="3">
        <v>43497</v>
      </c>
      <c r="B345">
        <v>237972</v>
      </c>
      <c r="C345">
        <v>643476</v>
      </c>
      <c r="D345" t="s">
        <v>57</v>
      </c>
      <c r="E345" t="s">
        <v>58</v>
      </c>
      <c r="F345" t="s">
        <v>33</v>
      </c>
      <c r="G345" s="1">
        <v>5000</v>
      </c>
      <c r="H345" s="2">
        <v>4000</v>
      </c>
      <c r="I345" s="5" t="str">
        <f>VLOOKUP(BasePIs[[#This Row],[Produto]],DePara_Produto[],2,0)</f>
        <v>Outros</v>
      </c>
      <c r="J345" s="13">
        <f>1</f>
        <v>1</v>
      </c>
    </row>
    <row r="346" spans="1:10" x14ac:dyDescent="0.25">
      <c r="A346" s="3">
        <v>43497</v>
      </c>
      <c r="B346">
        <v>237973</v>
      </c>
      <c r="C346">
        <v>643477</v>
      </c>
      <c r="D346" t="s">
        <v>57</v>
      </c>
      <c r="E346" t="s">
        <v>58</v>
      </c>
      <c r="F346" t="s">
        <v>28</v>
      </c>
      <c r="G346" s="1">
        <v>245000</v>
      </c>
      <c r="H346" s="2">
        <v>196000</v>
      </c>
      <c r="I346" s="5" t="str">
        <f>VLOOKUP(BasePIs[[#This Row],[Produto]],DePara_Produto[],2,0)</f>
        <v>Outros</v>
      </c>
      <c r="J346" s="13">
        <f>1</f>
        <v>1</v>
      </c>
    </row>
    <row r="347" spans="1:10" x14ac:dyDescent="0.25">
      <c r="A347" s="3">
        <v>43497</v>
      </c>
      <c r="B347">
        <v>237974</v>
      </c>
      <c r="C347">
        <v>643478</v>
      </c>
      <c r="D347" t="s">
        <v>57</v>
      </c>
      <c r="E347" t="s">
        <v>58</v>
      </c>
      <c r="F347" t="s">
        <v>35</v>
      </c>
      <c r="G347" s="1">
        <v>8056.81</v>
      </c>
      <c r="H347" s="2">
        <v>6445.4480000000003</v>
      </c>
      <c r="I347" s="5" t="str">
        <f>VLOOKUP(BasePIs[[#This Row],[Produto]],DePara_Produto[],2,0)</f>
        <v>Outros</v>
      </c>
      <c r="J347" s="13">
        <f>1</f>
        <v>1</v>
      </c>
    </row>
    <row r="348" spans="1:10" x14ac:dyDescent="0.25">
      <c r="A348" s="3">
        <v>43497</v>
      </c>
      <c r="B348">
        <v>237980</v>
      </c>
      <c r="C348">
        <v>643484</v>
      </c>
      <c r="D348" t="s">
        <v>57</v>
      </c>
      <c r="E348" t="s">
        <v>58</v>
      </c>
      <c r="F348" t="s">
        <v>36</v>
      </c>
      <c r="G348" s="1">
        <v>15</v>
      </c>
      <c r="H348" s="2">
        <v>12</v>
      </c>
      <c r="I348" s="5" t="str">
        <f>VLOOKUP(BasePIs[[#This Row],[Produto]],DePara_Produto[],2,0)</f>
        <v>Outros</v>
      </c>
      <c r="J348" s="13">
        <f>1</f>
        <v>1</v>
      </c>
    </row>
    <row r="349" spans="1:10" x14ac:dyDescent="0.25">
      <c r="A349" s="3">
        <v>43497</v>
      </c>
      <c r="B349">
        <v>238001</v>
      </c>
      <c r="C349">
        <v>643511</v>
      </c>
      <c r="D349" t="s">
        <v>51</v>
      </c>
      <c r="E349" t="s">
        <v>52</v>
      </c>
      <c r="F349" t="s">
        <v>59</v>
      </c>
      <c r="G349" s="1">
        <v>131250</v>
      </c>
      <c r="H349" s="2">
        <v>105000</v>
      </c>
      <c r="I349" s="5" t="str">
        <f>VLOOKUP(BasePIs[[#This Row],[Produto]],DePara_Produto[],2,0)</f>
        <v>Outros</v>
      </c>
      <c r="J349" s="13">
        <f>1</f>
        <v>1</v>
      </c>
    </row>
    <row r="350" spans="1:10" x14ac:dyDescent="0.25">
      <c r="A350" s="3">
        <v>43466</v>
      </c>
      <c r="B350">
        <v>237972</v>
      </c>
      <c r="C350">
        <v>643476</v>
      </c>
      <c r="D350" t="s">
        <v>57</v>
      </c>
      <c r="E350" t="s">
        <v>58</v>
      </c>
      <c r="F350" t="s">
        <v>33</v>
      </c>
      <c r="G350" s="1">
        <v>5000</v>
      </c>
      <c r="H350" s="2">
        <v>4000</v>
      </c>
      <c r="I350" s="5" t="str">
        <f>VLOOKUP(BasePIs[[#This Row],[Produto]],DePara_Produto[],2,0)</f>
        <v>Outros</v>
      </c>
      <c r="J350" s="13">
        <f>1</f>
        <v>1</v>
      </c>
    </row>
    <row r="351" spans="1:10" x14ac:dyDescent="0.25">
      <c r="A351" s="3">
        <v>43466</v>
      </c>
      <c r="B351">
        <v>237973</v>
      </c>
      <c r="C351">
        <v>643477</v>
      </c>
      <c r="D351" t="s">
        <v>57</v>
      </c>
      <c r="E351" t="s">
        <v>58</v>
      </c>
      <c r="F351" t="s">
        <v>28</v>
      </c>
      <c r="G351" s="1">
        <v>245000</v>
      </c>
      <c r="H351" s="2">
        <v>196000</v>
      </c>
      <c r="I351" s="5" t="str">
        <f>VLOOKUP(BasePIs[[#This Row],[Produto]],DePara_Produto[],2,0)</f>
        <v>Outros</v>
      </c>
      <c r="J351" s="13">
        <f>1</f>
        <v>1</v>
      </c>
    </row>
    <row r="352" spans="1:10" x14ac:dyDescent="0.25">
      <c r="A352" s="3">
        <v>43466</v>
      </c>
      <c r="B352">
        <v>237974</v>
      </c>
      <c r="C352">
        <v>643478</v>
      </c>
      <c r="D352" t="s">
        <v>57</v>
      </c>
      <c r="E352" t="s">
        <v>58</v>
      </c>
      <c r="F352" t="s">
        <v>35</v>
      </c>
      <c r="G352" s="1">
        <v>8056.81</v>
      </c>
      <c r="H352" s="2">
        <v>6445.4480000000003</v>
      </c>
      <c r="I352" s="5" t="str">
        <f>VLOOKUP(BasePIs[[#This Row],[Produto]],DePara_Produto[],2,0)</f>
        <v>Outros</v>
      </c>
      <c r="J352" s="13">
        <f>1</f>
        <v>1</v>
      </c>
    </row>
    <row r="353" spans="1:10" x14ac:dyDescent="0.25">
      <c r="A353" s="3">
        <v>43466</v>
      </c>
      <c r="B353">
        <v>237980</v>
      </c>
      <c r="C353">
        <v>643484</v>
      </c>
      <c r="D353" t="s">
        <v>57</v>
      </c>
      <c r="E353" t="s">
        <v>58</v>
      </c>
      <c r="F353" t="s">
        <v>36</v>
      </c>
      <c r="G353" s="1">
        <v>15</v>
      </c>
      <c r="H353" s="2">
        <v>12</v>
      </c>
      <c r="I353" s="5" t="str">
        <f>VLOOKUP(BasePIs[[#This Row],[Produto]],DePara_Produto[],2,0)</f>
        <v>Outros</v>
      </c>
      <c r="J353" s="13">
        <f>1</f>
        <v>1</v>
      </c>
    </row>
    <row r="354" spans="1:10" x14ac:dyDescent="0.25">
      <c r="A354" s="3">
        <v>43466</v>
      </c>
      <c r="B354">
        <v>238001</v>
      </c>
      <c r="C354">
        <v>643511</v>
      </c>
      <c r="D354" t="s">
        <v>51</v>
      </c>
      <c r="E354" t="s">
        <v>52</v>
      </c>
      <c r="F354" t="s">
        <v>59</v>
      </c>
      <c r="G354" s="1">
        <v>131250</v>
      </c>
      <c r="H354" s="2">
        <v>105000</v>
      </c>
      <c r="I354" s="5" t="str">
        <f>VLOOKUP(BasePIs[[#This Row],[Produto]],DePara_Produto[],2,0)</f>
        <v>Outros</v>
      </c>
      <c r="J354" s="13">
        <f>1</f>
        <v>1</v>
      </c>
    </row>
    <row r="355" spans="1:10" x14ac:dyDescent="0.25">
      <c r="A355" s="3">
        <v>43466</v>
      </c>
      <c r="B355">
        <v>237736</v>
      </c>
      <c r="C355">
        <v>643033</v>
      </c>
      <c r="D355" t="s">
        <v>49</v>
      </c>
      <c r="E355" t="s">
        <v>49</v>
      </c>
      <c r="F355" t="s">
        <v>33</v>
      </c>
      <c r="G355" s="1">
        <v>100000</v>
      </c>
      <c r="H355" s="2">
        <v>80000</v>
      </c>
      <c r="I355" s="5" t="str">
        <f>VLOOKUP(BasePIs[[#This Row],[Produto]],DePara_Produto[],2,0)</f>
        <v>Outros</v>
      </c>
      <c r="J355" s="13">
        <f>1</f>
        <v>1</v>
      </c>
    </row>
    <row r="356" spans="1:10" x14ac:dyDescent="0.25">
      <c r="A356" s="3">
        <v>43466</v>
      </c>
      <c r="B356">
        <v>237738</v>
      </c>
      <c r="C356">
        <v>643039</v>
      </c>
      <c r="D356" t="s">
        <v>49</v>
      </c>
      <c r="E356" t="s">
        <v>49</v>
      </c>
      <c r="F356" t="s">
        <v>50</v>
      </c>
      <c r="G356" s="1">
        <v>100000</v>
      </c>
      <c r="H356" s="2">
        <v>80000</v>
      </c>
      <c r="I356" s="5" t="str">
        <f>VLOOKUP(BasePIs[[#This Row],[Produto]],DePara_Produto[],2,0)</f>
        <v>Outros</v>
      </c>
      <c r="J356" s="13">
        <f>1</f>
        <v>1</v>
      </c>
    </row>
    <row r="357" spans="1:10" x14ac:dyDescent="0.25">
      <c r="A357" s="3">
        <v>43466</v>
      </c>
      <c r="B357">
        <v>237739</v>
      </c>
      <c r="C357">
        <v>643035</v>
      </c>
      <c r="D357" t="s">
        <v>49</v>
      </c>
      <c r="E357" t="s">
        <v>49</v>
      </c>
      <c r="F357" t="s">
        <v>25</v>
      </c>
      <c r="G357" s="1">
        <v>100000.01</v>
      </c>
      <c r="H357" s="2">
        <v>80000.008000000002</v>
      </c>
      <c r="I357" s="5" t="str">
        <f>VLOOKUP(BasePIs[[#This Row],[Produto]],DePara_Produto[],2,0)</f>
        <v>Outros</v>
      </c>
      <c r="J357" s="13">
        <f>1</f>
        <v>1</v>
      </c>
    </row>
    <row r="358" spans="1:10" x14ac:dyDescent="0.25">
      <c r="A358" s="3">
        <v>43466</v>
      </c>
      <c r="B358">
        <v>237743</v>
      </c>
      <c r="C358">
        <v>643042</v>
      </c>
      <c r="D358" t="s">
        <v>49</v>
      </c>
      <c r="E358" t="s">
        <v>49</v>
      </c>
      <c r="F358" t="s">
        <v>35</v>
      </c>
      <c r="G358" s="1">
        <v>113.26</v>
      </c>
      <c r="H358" s="2">
        <v>90.608000000000004</v>
      </c>
      <c r="I358" s="5" t="str">
        <f>VLOOKUP(BasePIs[[#This Row],[Produto]],DePara_Produto[],2,0)</f>
        <v>Outros</v>
      </c>
      <c r="J358" s="13">
        <f>1</f>
        <v>1</v>
      </c>
    </row>
    <row r="359" spans="1:10" x14ac:dyDescent="0.25">
      <c r="A359" s="3">
        <v>43466</v>
      </c>
      <c r="B359">
        <v>237744</v>
      </c>
      <c r="C359">
        <v>643043</v>
      </c>
      <c r="D359" t="s">
        <v>49</v>
      </c>
      <c r="E359" t="s">
        <v>49</v>
      </c>
      <c r="F359" t="s">
        <v>34</v>
      </c>
      <c r="G359" s="1">
        <v>1900.68</v>
      </c>
      <c r="H359" s="2">
        <v>1520.5440000000001</v>
      </c>
      <c r="I359" s="5" t="str">
        <f>VLOOKUP(BasePIs[[#This Row],[Produto]],DePara_Produto[],2,0)</f>
        <v>Outros</v>
      </c>
      <c r="J359" s="13">
        <f>1</f>
        <v>1</v>
      </c>
    </row>
    <row r="360" spans="1:10" x14ac:dyDescent="0.25">
      <c r="A360" s="3">
        <v>43466</v>
      </c>
      <c r="B360">
        <v>237745</v>
      </c>
      <c r="C360">
        <v>643045</v>
      </c>
      <c r="D360" t="s">
        <v>49</v>
      </c>
      <c r="E360" t="s">
        <v>49</v>
      </c>
      <c r="F360" t="s">
        <v>28</v>
      </c>
      <c r="G360" s="1">
        <v>62500</v>
      </c>
      <c r="H360" s="2">
        <v>50000</v>
      </c>
      <c r="I360" s="5" t="str">
        <f>VLOOKUP(BasePIs[[#This Row],[Produto]],DePara_Produto[],2,0)</f>
        <v>Outros</v>
      </c>
      <c r="J360" s="13">
        <f>1</f>
        <v>1</v>
      </c>
    </row>
    <row r="361" spans="1:10" x14ac:dyDescent="0.25">
      <c r="A361" s="3">
        <v>43466</v>
      </c>
      <c r="B361">
        <v>237746</v>
      </c>
      <c r="C361">
        <v>643046</v>
      </c>
      <c r="D361" t="s">
        <v>49</v>
      </c>
      <c r="E361" t="s">
        <v>49</v>
      </c>
      <c r="F361" t="s">
        <v>34</v>
      </c>
      <c r="G361" s="1">
        <v>51.7</v>
      </c>
      <c r="H361" s="2">
        <v>41.36</v>
      </c>
      <c r="I361" s="5" t="str">
        <f>VLOOKUP(BasePIs[[#This Row],[Produto]],DePara_Produto[],2,0)</f>
        <v>Outros</v>
      </c>
      <c r="J361" s="13">
        <f>1</f>
        <v>1</v>
      </c>
    </row>
    <row r="362" spans="1:10" x14ac:dyDescent="0.25">
      <c r="A362" s="3">
        <v>43466</v>
      </c>
      <c r="B362">
        <v>237747</v>
      </c>
      <c r="C362">
        <v>643047</v>
      </c>
      <c r="D362" t="s">
        <v>49</v>
      </c>
      <c r="E362" t="s">
        <v>49</v>
      </c>
      <c r="F362" t="s">
        <v>36</v>
      </c>
      <c r="G362" s="1">
        <v>300</v>
      </c>
      <c r="H362" s="2">
        <v>240</v>
      </c>
      <c r="I362" s="5" t="str">
        <f>VLOOKUP(BasePIs[[#This Row],[Produto]],DePara_Produto[],2,0)</f>
        <v>Outros</v>
      </c>
      <c r="J362" s="13">
        <f>1</f>
        <v>1</v>
      </c>
    </row>
    <row r="363" spans="1:10" x14ac:dyDescent="0.25">
      <c r="A363" s="3">
        <v>43466</v>
      </c>
      <c r="B363">
        <v>237835</v>
      </c>
      <c r="C363">
        <v>643138</v>
      </c>
      <c r="D363" t="s">
        <v>44</v>
      </c>
      <c r="E363" t="s">
        <v>44</v>
      </c>
      <c r="F363" t="s">
        <v>29</v>
      </c>
      <c r="G363" s="1">
        <v>100000</v>
      </c>
      <c r="H363" s="2">
        <v>80000</v>
      </c>
      <c r="I363" s="5" t="str">
        <f>VLOOKUP(BasePIs[[#This Row],[Produto]],DePara_Produto[],2,0)</f>
        <v>Amarok</v>
      </c>
      <c r="J363" s="13">
        <f>1</f>
        <v>1</v>
      </c>
    </row>
    <row r="364" spans="1:10" x14ac:dyDescent="0.25">
      <c r="A364" s="3">
        <v>43466</v>
      </c>
      <c r="B364">
        <v>237874</v>
      </c>
      <c r="C364">
        <v>643197</v>
      </c>
      <c r="D364" t="s">
        <v>51</v>
      </c>
      <c r="E364" t="s">
        <v>52</v>
      </c>
      <c r="F364" t="s">
        <v>53</v>
      </c>
      <c r="G364" s="1">
        <v>37500</v>
      </c>
      <c r="H364" s="2">
        <v>30000</v>
      </c>
      <c r="I364" s="5" t="str">
        <f>VLOOKUP(BasePIs[[#This Row],[Produto]],DePara_Produto[],2,0)</f>
        <v>Outros</v>
      </c>
      <c r="J364" s="13">
        <f>1</f>
        <v>1</v>
      </c>
    </row>
    <row r="365" spans="1:10" x14ac:dyDescent="0.25">
      <c r="A365" s="3">
        <v>43678</v>
      </c>
      <c r="B365">
        <v>237875</v>
      </c>
      <c r="C365">
        <v>643198</v>
      </c>
      <c r="D365" t="s">
        <v>51</v>
      </c>
      <c r="E365" t="s">
        <v>52</v>
      </c>
      <c r="F365" t="s">
        <v>33</v>
      </c>
      <c r="G365" s="1">
        <v>1675000</v>
      </c>
      <c r="H365" s="2">
        <v>1340000</v>
      </c>
      <c r="I365" s="5" t="str">
        <f>VLOOKUP(BasePIs[[#This Row],[Produto]],DePara_Produto[],2,0)</f>
        <v>Outros</v>
      </c>
      <c r="J365" s="13">
        <f>1</f>
        <v>1</v>
      </c>
    </row>
    <row r="366" spans="1:10" x14ac:dyDescent="0.25">
      <c r="A366" s="3">
        <v>43678</v>
      </c>
      <c r="B366">
        <v>237877</v>
      </c>
      <c r="C366">
        <v>643200</v>
      </c>
      <c r="D366" t="s">
        <v>51</v>
      </c>
      <c r="E366" t="s">
        <v>52</v>
      </c>
      <c r="F366" t="s">
        <v>28</v>
      </c>
      <c r="G366" s="1">
        <v>925000</v>
      </c>
      <c r="H366" s="2">
        <v>740000</v>
      </c>
      <c r="I366" s="5" t="str">
        <f>VLOOKUP(BasePIs[[#This Row],[Produto]],DePara_Produto[],2,0)</f>
        <v>Outros</v>
      </c>
      <c r="J366" s="13">
        <f>1</f>
        <v>1</v>
      </c>
    </row>
    <row r="367" spans="1:10" x14ac:dyDescent="0.25">
      <c r="A367" s="3">
        <v>43678</v>
      </c>
      <c r="B367">
        <v>237879</v>
      </c>
      <c r="C367">
        <v>643202</v>
      </c>
      <c r="D367" t="s">
        <v>51</v>
      </c>
      <c r="E367" t="s">
        <v>52</v>
      </c>
      <c r="F367" t="s">
        <v>32</v>
      </c>
      <c r="G367" s="1">
        <v>681250</v>
      </c>
      <c r="H367" s="2">
        <v>545000</v>
      </c>
      <c r="I367" s="5" t="str">
        <f>VLOOKUP(BasePIs[[#This Row],[Produto]],DePara_Produto[],2,0)</f>
        <v>Outros</v>
      </c>
      <c r="J367" s="13">
        <f>1</f>
        <v>1</v>
      </c>
    </row>
    <row r="368" spans="1:10" x14ac:dyDescent="0.25">
      <c r="A368" s="3">
        <v>43678</v>
      </c>
      <c r="B368">
        <v>237880</v>
      </c>
      <c r="C368">
        <v>643203</v>
      </c>
      <c r="D368" t="s">
        <v>51</v>
      </c>
      <c r="E368" t="s">
        <v>52</v>
      </c>
      <c r="F368" t="s">
        <v>25</v>
      </c>
      <c r="G368" s="1">
        <v>494375</v>
      </c>
      <c r="H368" s="2">
        <v>395500</v>
      </c>
      <c r="I368" s="5" t="str">
        <f>VLOOKUP(BasePIs[[#This Row],[Produto]],DePara_Produto[],2,0)</f>
        <v>Outros</v>
      </c>
      <c r="J368" s="13">
        <f>1</f>
        <v>1</v>
      </c>
    </row>
    <row r="369" spans="1:10" x14ac:dyDescent="0.25">
      <c r="A369" s="3">
        <v>43678</v>
      </c>
      <c r="B369">
        <v>237881</v>
      </c>
      <c r="C369">
        <v>643205</v>
      </c>
      <c r="D369" t="s">
        <v>51</v>
      </c>
      <c r="E369" t="s">
        <v>52</v>
      </c>
      <c r="F369" t="s">
        <v>35</v>
      </c>
      <c r="G369" s="1">
        <v>23884.46</v>
      </c>
      <c r="H369" s="2">
        <v>19107.567999999999</v>
      </c>
      <c r="I369" s="5" t="str">
        <f>VLOOKUP(BasePIs[[#This Row],[Produto]],DePara_Produto[],2,0)</f>
        <v>Outros</v>
      </c>
      <c r="J369" s="13">
        <f>1</f>
        <v>1</v>
      </c>
    </row>
    <row r="370" spans="1:10" x14ac:dyDescent="0.25">
      <c r="A370" s="3">
        <v>43678</v>
      </c>
      <c r="B370">
        <v>237882</v>
      </c>
      <c r="C370">
        <v>643206</v>
      </c>
      <c r="D370" t="s">
        <v>51</v>
      </c>
      <c r="E370" t="s">
        <v>52</v>
      </c>
      <c r="F370" t="s">
        <v>34</v>
      </c>
      <c r="G370" s="1">
        <v>45923.44</v>
      </c>
      <c r="H370" s="2">
        <v>36738.752</v>
      </c>
      <c r="I370" s="5" t="str">
        <f>VLOOKUP(BasePIs[[#This Row],[Produto]],DePara_Produto[],2,0)</f>
        <v>Outros</v>
      </c>
      <c r="J370" s="13">
        <f>1</f>
        <v>1</v>
      </c>
    </row>
    <row r="371" spans="1:10" x14ac:dyDescent="0.25">
      <c r="A371" s="3">
        <v>43678</v>
      </c>
      <c r="B371">
        <v>237883</v>
      </c>
      <c r="C371">
        <v>643207</v>
      </c>
      <c r="D371" t="s">
        <v>51</v>
      </c>
      <c r="E371" t="s">
        <v>52</v>
      </c>
      <c r="F371" t="s">
        <v>34</v>
      </c>
      <c r="G371" s="1">
        <v>24718.75</v>
      </c>
      <c r="H371" s="2">
        <v>19775</v>
      </c>
      <c r="I371" s="5" t="str">
        <f>VLOOKUP(BasePIs[[#This Row],[Produto]],DePara_Produto[],2,0)</f>
        <v>Outros</v>
      </c>
      <c r="J371" s="13">
        <f>1</f>
        <v>1</v>
      </c>
    </row>
    <row r="372" spans="1:10" x14ac:dyDescent="0.25">
      <c r="A372" s="3">
        <v>43678</v>
      </c>
      <c r="B372">
        <v>237884</v>
      </c>
      <c r="C372">
        <v>643208</v>
      </c>
      <c r="D372" t="s">
        <v>51</v>
      </c>
      <c r="E372" t="s">
        <v>52</v>
      </c>
      <c r="F372" t="s">
        <v>36</v>
      </c>
      <c r="G372" s="1">
        <v>5137.5</v>
      </c>
      <c r="H372" s="2">
        <v>4110</v>
      </c>
      <c r="I372" s="5" t="str">
        <f>VLOOKUP(BasePIs[[#This Row],[Produto]],DePara_Produto[],2,0)</f>
        <v>Outros</v>
      </c>
      <c r="J372" s="13">
        <f>1</f>
        <v>1</v>
      </c>
    </row>
    <row r="373" spans="1:10" x14ac:dyDescent="0.25">
      <c r="A373" s="3">
        <v>43678</v>
      </c>
      <c r="B373">
        <v>237886</v>
      </c>
      <c r="C373">
        <v>643213</v>
      </c>
      <c r="D373" t="s">
        <v>54</v>
      </c>
      <c r="E373" t="s">
        <v>55</v>
      </c>
      <c r="F373" t="s">
        <v>28</v>
      </c>
      <c r="G373" s="1">
        <v>218750</v>
      </c>
      <c r="H373" s="2">
        <v>175000</v>
      </c>
      <c r="I373" s="5" t="str">
        <f>VLOOKUP(BasePIs[[#This Row],[Produto]],DePara_Produto[],2,0)</f>
        <v>Varejo</v>
      </c>
      <c r="J373" s="13">
        <f>1</f>
        <v>1</v>
      </c>
    </row>
    <row r="374" spans="1:10" x14ac:dyDescent="0.25">
      <c r="A374" s="3">
        <v>43678</v>
      </c>
      <c r="B374">
        <v>237889</v>
      </c>
      <c r="C374">
        <v>643216</v>
      </c>
      <c r="D374" t="s">
        <v>54</v>
      </c>
      <c r="E374" t="s">
        <v>55</v>
      </c>
      <c r="F374" t="s">
        <v>25</v>
      </c>
      <c r="G374" s="1">
        <v>1206420</v>
      </c>
      <c r="H374" s="2">
        <v>965136</v>
      </c>
      <c r="I374" s="5" t="str">
        <f>VLOOKUP(BasePIs[[#This Row],[Produto]],DePara_Produto[],2,0)</f>
        <v>Varejo</v>
      </c>
      <c r="J374" s="13">
        <f>1</f>
        <v>1</v>
      </c>
    </row>
    <row r="375" spans="1:10" x14ac:dyDescent="0.25">
      <c r="A375" s="3">
        <v>43678</v>
      </c>
      <c r="B375">
        <v>237890</v>
      </c>
      <c r="C375">
        <v>643217</v>
      </c>
      <c r="D375" t="s">
        <v>54</v>
      </c>
      <c r="E375" t="s">
        <v>55</v>
      </c>
      <c r="F375" t="s">
        <v>35</v>
      </c>
      <c r="G375" s="1">
        <v>42029.43</v>
      </c>
      <c r="H375" s="2">
        <v>33623.544000000002</v>
      </c>
      <c r="I375" s="5" t="str">
        <f>VLOOKUP(BasePIs[[#This Row],[Produto]],DePara_Produto[],2,0)</f>
        <v>Varejo</v>
      </c>
      <c r="J375" s="13">
        <f>1</f>
        <v>1</v>
      </c>
    </row>
    <row r="376" spans="1:10" x14ac:dyDescent="0.25">
      <c r="A376" s="3">
        <v>43678</v>
      </c>
      <c r="B376">
        <v>237891</v>
      </c>
      <c r="C376">
        <v>643218</v>
      </c>
      <c r="D376" t="s">
        <v>54</v>
      </c>
      <c r="E376" t="s">
        <v>55</v>
      </c>
      <c r="F376" t="s">
        <v>34</v>
      </c>
      <c r="G376" s="1">
        <v>81795.570000000007</v>
      </c>
      <c r="H376" s="2">
        <v>65436.455999999998</v>
      </c>
      <c r="I376" s="5" t="str">
        <f>VLOOKUP(BasePIs[[#This Row],[Produto]],DePara_Produto[],2,0)</f>
        <v>Varejo</v>
      </c>
      <c r="J376" s="13">
        <f>1</f>
        <v>1</v>
      </c>
    </row>
    <row r="377" spans="1:10" x14ac:dyDescent="0.25">
      <c r="A377" s="3">
        <v>43678</v>
      </c>
      <c r="B377">
        <v>237892</v>
      </c>
      <c r="C377">
        <v>643219</v>
      </c>
      <c r="D377" t="s">
        <v>54</v>
      </c>
      <c r="E377" t="s">
        <v>55</v>
      </c>
      <c r="F377" t="s">
        <v>34</v>
      </c>
      <c r="G377" s="1">
        <v>12500</v>
      </c>
      <c r="H377" s="2">
        <v>10000</v>
      </c>
      <c r="I377" s="5" t="str">
        <f>VLOOKUP(BasePIs[[#This Row],[Produto]],DePara_Produto[],2,0)</f>
        <v>Varejo</v>
      </c>
      <c r="J377" s="13">
        <f>1</f>
        <v>1</v>
      </c>
    </row>
    <row r="378" spans="1:10" x14ac:dyDescent="0.25">
      <c r="A378" s="3">
        <v>43678</v>
      </c>
      <c r="B378">
        <v>237907</v>
      </c>
      <c r="C378">
        <v>643241</v>
      </c>
      <c r="D378" t="s">
        <v>56</v>
      </c>
      <c r="E378" t="s">
        <v>38</v>
      </c>
      <c r="F378" t="s">
        <v>28</v>
      </c>
      <c r="G378" s="1">
        <v>10000</v>
      </c>
      <c r="H378" s="2">
        <v>8000</v>
      </c>
      <c r="I378" s="5" t="str">
        <f>VLOOKUP(BasePIs[[#This Row],[Produto]],DePara_Produto[],2,0)</f>
        <v>Varejo</v>
      </c>
      <c r="J378" s="13">
        <f>1</f>
        <v>1</v>
      </c>
    </row>
    <row r="379" spans="1:10" x14ac:dyDescent="0.25">
      <c r="A379" s="3">
        <v>43678</v>
      </c>
      <c r="B379">
        <v>237908</v>
      </c>
      <c r="C379">
        <v>643242</v>
      </c>
      <c r="D379" t="s">
        <v>56</v>
      </c>
      <c r="E379" t="s">
        <v>38</v>
      </c>
      <c r="F379" t="s">
        <v>35</v>
      </c>
      <c r="G379" s="1">
        <v>22.93</v>
      </c>
      <c r="H379" s="2">
        <v>18.344000000000001</v>
      </c>
      <c r="I379" s="5" t="str">
        <f>VLOOKUP(BasePIs[[#This Row],[Produto]],DePara_Produto[],2,0)</f>
        <v>Varejo</v>
      </c>
      <c r="J379" s="13">
        <f>1</f>
        <v>1</v>
      </c>
    </row>
    <row r="380" spans="1:10" x14ac:dyDescent="0.25">
      <c r="A380" s="3">
        <v>43678</v>
      </c>
      <c r="B380">
        <v>237969</v>
      </c>
      <c r="C380">
        <v>643473</v>
      </c>
      <c r="D380" t="s">
        <v>54</v>
      </c>
      <c r="E380" t="s">
        <v>55</v>
      </c>
      <c r="F380" t="s">
        <v>29</v>
      </c>
      <c r="G380" s="1">
        <v>125000</v>
      </c>
      <c r="H380" s="2">
        <v>100000</v>
      </c>
      <c r="I380" s="5" t="str">
        <f>VLOOKUP(BasePIs[[#This Row],[Produto]],DePara_Produto[],2,0)</f>
        <v>Varejo</v>
      </c>
      <c r="J380" s="13">
        <f>1</f>
        <v>1</v>
      </c>
    </row>
    <row r="381" spans="1:10" x14ac:dyDescent="0.25">
      <c r="A381" s="3">
        <v>43678</v>
      </c>
      <c r="B381">
        <v>237972</v>
      </c>
      <c r="C381">
        <v>643476</v>
      </c>
      <c r="D381" t="s">
        <v>57</v>
      </c>
      <c r="E381" t="s">
        <v>58</v>
      </c>
      <c r="F381" t="s">
        <v>33</v>
      </c>
      <c r="G381" s="1">
        <v>5000</v>
      </c>
      <c r="H381" s="2">
        <v>4000</v>
      </c>
      <c r="I381" s="5" t="str">
        <f>VLOOKUP(BasePIs[[#This Row],[Produto]],DePara_Produto[],2,0)</f>
        <v>Outros</v>
      </c>
      <c r="J381" s="13">
        <f>1</f>
        <v>1</v>
      </c>
    </row>
    <row r="382" spans="1:10" x14ac:dyDescent="0.25">
      <c r="A382" s="3">
        <v>43678</v>
      </c>
      <c r="B382">
        <v>237973</v>
      </c>
      <c r="C382">
        <v>643477</v>
      </c>
      <c r="D382" t="s">
        <v>57</v>
      </c>
      <c r="E382" t="s">
        <v>58</v>
      </c>
      <c r="F382" t="s">
        <v>28</v>
      </c>
      <c r="G382" s="1">
        <v>245000</v>
      </c>
      <c r="H382" s="2">
        <v>196000</v>
      </c>
      <c r="I382" s="5" t="str">
        <f>VLOOKUP(BasePIs[[#This Row],[Produto]],DePara_Produto[],2,0)</f>
        <v>Outros</v>
      </c>
      <c r="J382" s="13">
        <f>1</f>
        <v>1</v>
      </c>
    </row>
    <row r="383" spans="1:10" x14ac:dyDescent="0.25">
      <c r="A383" s="3">
        <v>43678</v>
      </c>
      <c r="B383">
        <v>237974</v>
      </c>
      <c r="C383">
        <v>643478</v>
      </c>
      <c r="D383" t="s">
        <v>57</v>
      </c>
      <c r="E383" t="s">
        <v>58</v>
      </c>
      <c r="F383" t="s">
        <v>35</v>
      </c>
      <c r="G383" s="1">
        <v>8056.81</v>
      </c>
      <c r="H383" s="2">
        <v>6445.4480000000003</v>
      </c>
      <c r="I383" s="5" t="str">
        <f>VLOOKUP(BasePIs[[#This Row],[Produto]],DePara_Produto[],2,0)</f>
        <v>Outros</v>
      </c>
      <c r="J383" s="13">
        <f>1</f>
        <v>1</v>
      </c>
    </row>
    <row r="384" spans="1:10" x14ac:dyDescent="0.25">
      <c r="A384" s="3">
        <v>43678</v>
      </c>
      <c r="B384">
        <v>237980</v>
      </c>
      <c r="C384">
        <v>643484</v>
      </c>
      <c r="D384" t="s">
        <v>57</v>
      </c>
      <c r="E384" t="s">
        <v>58</v>
      </c>
      <c r="F384" t="s">
        <v>36</v>
      </c>
      <c r="G384" s="1">
        <v>15</v>
      </c>
      <c r="H384" s="2">
        <v>12</v>
      </c>
      <c r="I384" s="5" t="str">
        <f>VLOOKUP(BasePIs[[#This Row],[Produto]],DePara_Produto[],2,0)</f>
        <v>Outros</v>
      </c>
      <c r="J384" s="13">
        <f>1</f>
        <v>1</v>
      </c>
    </row>
    <row r="385" spans="1:10" x14ac:dyDescent="0.25">
      <c r="A385" s="3">
        <v>43678</v>
      </c>
      <c r="B385">
        <v>238001</v>
      </c>
      <c r="C385">
        <v>643511</v>
      </c>
      <c r="D385" t="s">
        <v>51</v>
      </c>
      <c r="E385" t="s">
        <v>52</v>
      </c>
      <c r="F385" t="s">
        <v>59</v>
      </c>
      <c r="G385" s="1">
        <v>131250</v>
      </c>
      <c r="H385" s="2">
        <v>105000</v>
      </c>
      <c r="I385" s="5" t="str">
        <f>VLOOKUP(BasePIs[[#This Row],[Produto]],DePara_Produto[],2,0)</f>
        <v>Outros</v>
      </c>
      <c r="J385" s="13">
        <f>1</f>
        <v>1</v>
      </c>
    </row>
    <row r="386" spans="1:10" x14ac:dyDescent="0.25">
      <c r="A386" s="3">
        <v>43678</v>
      </c>
      <c r="B386">
        <v>237746</v>
      </c>
      <c r="C386">
        <v>643046</v>
      </c>
      <c r="D386" t="s">
        <v>49</v>
      </c>
      <c r="E386" t="s">
        <v>49</v>
      </c>
      <c r="F386" t="s">
        <v>34</v>
      </c>
      <c r="G386" s="1">
        <v>51.7</v>
      </c>
      <c r="H386" s="2">
        <v>41.36</v>
      </c>
      <c r="I386" s="5" t="str">
        <f>VLOOKUP(BasePIs[[#This Row],[Produto]],DePara_Produto[],2,0)</f>
        <v>Outros</v>
      </c>
      <c r="J386" s="13">
        <f>1</f>
        <v>1</v>
      </c>
    </row>
    <row r="387" spans="1:10" x14ac:dyDescent="0.25">
      <c r="A387" s="3">
        <v>43678</v>
      </c>
      <c r="B387">
        <v>237747</v>
      </c>
      <c r="C387">
        <v>643047</v>
      </c>
      <c r="D387" t="s">
        <v>49</v>
      </c>
      <c r="E387" t="s">
        <v>49</v>
      </c>
      <c r="F387" t="s">
        <v>36</v>
      </c>
      <c r="G387" s="1">
        <v>300</v>
      </c>
      <c r="H387" s="2">
        <v>240</v>
      </c>
      <c r="I387" s="5" t="str">
        <f>VLOOKUP(BasePIs[[#This Row],[Produto]],DePara_Produto[],2,0)</f>
        <v>Outros</v>
      </c>
      <c r="J387" s="13">
        <f>1</f>
        <v>1</v>
      </c>
    </row>
    <row r="388" spans="1:10" x14ac:dyDescent="0.25">
      <c r="A388" s="3">
        <v>43678</v>
      </c>
      <c r="B388">
        <v>237835</v>
      </c>
      <c r="C388">
        <v>643138</v>
      </c>
      <c r="D388" t="s">
        <v>44</v>
      </c>
      <c r="E388" t="s">
        <v>44</v>
      </c>
      <c r="F388" t="s">
        <v>29</v>
      </c>
      <c r="G388" s="1">
        <v>100000</v>
      </c>
      <c r="H388" s="2">
        <v>80000</v>
      </c>
      <c r="I388" s="5" t="str">
        <f>VLOOKUP(BasePIs[[#This Row],[Produto]],DePara_Produto[],2,0)</f>
        <v>Amarok</v>
      </c>
      <c r="J388" s="13">
        <f>1</f>
        <v>1</v>
      </c>
    </row>
    <row r="389" spans="1:10" x14ac:dyDescent="0.25">
      <c r="A389" s="3">
        <v>43678</v>
      </c>
      <c r="B389">
        <v>237874</v>
      </c>
      <c r="C389">
        <v>643197</v>
      </c>
      <c r="D389" t="s">
        <v>51</v>
      </c>
      <c r="E389" t="s">
        <v>52</v>
      </c>
      <c r="F389" t="s">
        <v>53</v>
      </c>
      <c r="G389" s="1">
        <v>37500</v>
      </c>
      <c r="H389" s="2">
        <v>30000</v>
      </c>
      <c r="I389" s="5" t="str">
        <f>VLOOKUP(BasePIs[[#This Row],[Produto]],DePara_Produto[],2,0)</f>
        <v>Outros</v>
      </c>
      <c r="J389" s="13">
        <f>1</f>
        <v>1</v>
      </c>
    </row>
    <row r="390" spans="1:10" x14ac:dyDescent="0.25">
      <c r="A390" s="3">
        <v>43678</v>
      </c>
      <c r="B390">
        <v>237875</v>
      </c>
      <c r="C390">
        <v>643198</v>
      </c>
      <c r="D390" t="s">
        <v>51</v>
      </c>
      <c r="E390" t="s">
        <v>52</v>
      </c>
      <c r="F390" t="s">
        <v>33</v>
      </c>
      <c r="G390" s="1">
        <v>1675000</v>
      </c>
      <c r="H390" s="2">
        <v>1340000</v>
      </c>
      <c r="I390" s="5" t="str">
        <f>VLOOKUP(BasePIs[[#This Row],[Produto]],DePara_Produto[],2,0)</f>
        <v>Outros</v>
      </c>
      <c r="J390" s="13">
        <f>1</f>
        <v>1</v>
      </c>
    </row>
    <row r="391" spans="1:10" x14ac:dyDescent="0.25">
      <c r="A391" s="3">
        <v>43678</v>
      </c>
      <c r="B391">
        <v>237877</v>
      </c>
      <c r="C391">
        <v>643200</v>
      </c>
      <c r="D391" t="s">
        <v>51</v>
      </c>
      <c r="E391" t="s">
        <v>52</v>
      </c>
      <c r="F391" t="s">
        <v>28</v>
      </c>
      <c r="G391" s="1">
        <v>925000</v>
      </c>
      <c r="H391" s="2">
        <v>740000</v>
      </c>
      <c r="I391" s="5" t="str">
        <f>VLOOKUP(BasePIs[[#This Row],[Produto]],DePara_Produto[],2,0)</f>
        <v>Outros</v>
      </c>
      <c r="J391" s="13">
        <f>1</f>
        <v>1</v>
      </c>
    </row>
    <row r="392" spans="1:10" x14ac:dyDescent="0.25">
      <c r="A392" s="3">
        <v>43678</v>
      </c>
      <c r="B392">
        <v>237879</v>
      </c>
      <c r="C392">
        <v>643202</v>
      </c>
      <c r="D392" t="s">
        <v>51</v>
      </c>
      <c r="E392" t="s">
        <v>52</v>
      </c>
      <c r="F392" t="s">
        <v>32</v>
      </c>
      <c r="G392" s="1">
        <v>681250</v>
      </c>
      <c r="H392" s="2">
        <v>545000</v>
      </c>
      <c r="I392" s="5" t="str">
        <f>VLOOKUP(BasePIs[[#This Row],[Produto]],DePara_Produto[],2,0)</f>
        <v>Outros</v>
      </c>
      <c r="J392" s="13">
        <f>1</f>
        <v>1</v>
      </c>
    </row>
    <row r="393" spans="1:10" x14ac:dyDescent="0.25">
      <c r="A393" s="3">
        <v>43678</v>
      </c>
      <c r="B393">
        <v>237880</v>
      </c>
      <c r="C393">
        <v>643203</v>
      </c>
      <c r="D393" t="s">
        <v>51</v>
      </c>
      <c r="E393" t="s">
        <v>52</v>
      </c>
      <c r="F393" t="s">
        <v>25</v>
      </c>
      <c r="G393" s="1">
        <v>494375</v>
      </c>
      <c r="H393" s="2">
        <v>395500</v>
      </c>
      <c r="I393" s="5" t="str">
        <f>VLOOKUP(BasePIs[[#This Row],[Produto]],DePara_Produto[],2,0)</f>
        <v>Outros</v>
      </c>
      <c r="J393" s="13">
        <f>1</f>
        <v>1</v>
      </c>
    </row>
    <row r="394" spans="1:10" x14ac:dyDescent="0.25">
      <c r="A394" s="3">
        <v>43466</v>
      </c>
      <c r="B394">
        <v>237881</v>
      </c>
      <c r="C394">
        <v>643205</v>
      </c>
      <c r="D394" t="s">
        <v>51</v>
      </c>
      <c r="E394" t="s">
        <v>52</v>
      </c>
      <c r="F394" t="s">
        <v>35</v>
      </c>
      <c r="G394" s="1">
        <v>23884.46</v>
      </c>
      <c r="H394" s="2">
        <v>19107.567999999999</v>
      </c>
      <c r="I394" s="5" t="str">
        <f>VLOOKUP(BasePIs[[#This Row],[Produto]],DePara_Produto[],2,0)</f>
        <v>Outros</v>
      </c>
      <c r="J394" s="13">
        <f>1</f>
        <v>1</v>
      </c>
    </row>
    <row r="395" spans="1:10" x14ac:dyDescent="0.25">
      <c r="A395" s="3">
        <v>43466</v>
      </c>
      <c r="B395">
        <v>237882</v>
      </c>
      <c r="C395">
        <v>643206</v>
      </c>
      <c r="D395" t="s">
        <v>51</v>
      </c>
      <c r="E395" t="s">
        <v>52</v>
      </c>
      <c r="F395" t="s">
        <v>34</v>
      </c>
      <c r="G395" s="1">
        <v>45923.44</v>
      </c>
      <c r="H395" s="2">
        <v>36738.752</v>
      </c>
      <c r="I395" s="5" t="str">
        <f>VLOOKUP(BasePIs[[#This Row],[Produto]],DePara_Produto[],2,0)</f>
        <v>Outros</v>
      </c>
      <c r="J395" s="13">
        <f>1</f>
        <v>1</v>
      </c>
    </row>
    <row r="396" spans="1:10" x14ac:dyDescent="0.25">
      <c r="A396" s="3">
        <v>43466</v>
      </c>
      <c r="B396">
        <v>237883</v>
      </c>
      <c r="C396">
        <v>643207</v>
      </c>
      <c r="D396" t="s">
        <v>51</v>
      </c>
      <c r="E396" t="s">
        <v>52</v>
      </c>
      <c r="F396" t="s">
        <v>34</v>
      </c>
      <c r="G396" s="1">
        <v>24718.75</v>
      </c>
      <c r="H396" s="2">
        <v>19775</v>
      </c>
      <c r="I396" s="5" t="str">
        <f>VLOOKUP(BasePIs[[#This Row],[Produto]],DePara_Produto[],2,0)</f>
        <v>Outros</v>
      </c>
      <c r="J396" s="13">
        <f>1</f>
        <v>1</v>
      </c>
    </row>
    <row r="397" spans="1:10" x14ac:dyDescent="0.25">
      <c r="A397" s="3">
        <v>43466</v>
      </c>
      <c r="B397">
        <v>237884</v>
      </c>
      <c r="C397">
        <v>643208</v>
      </c>
      <c r="D397" t="s">
        <v>51</v>
      </c>
      <c r="E397" t="s">
        <v>52</v>
      </c>
      <c r="F397" t="s">
        <v>36</v>
      </c>
      <c r="G397" s="1">
        <v>5137.5</v>
      </c>
      <c r="H397" s="2">
        <v>4110</v>
      </c>
      <c r="I397" s="5" t="str">
        <f>VLOOKUP(BasePIs[[#This Row],[Produto]],DePara_Produto[],2,0)</f>
        <v>Outros</v>
      </c>
      <c r="J397" s="13">
        <f>1</f>
        <v>1</v>
      </c>
    </row>
    <row r="398" spans="1:10" x14ac:dyDescent="0.25">
      <c r="A398" s="3">
        <v>43466</v>
      </c>
      <c r="B398">
        <v>237886</v>
      </c>
      <c r="C398">
        <v>643213</v>
      </c>
      <c r="D398" t="s">
        <v>54</v>
      </c>
      <c r="E398" t="s">
        <v>55</v>
      </c>
      <c r="F398" t="s">
        <v>28</v>
      </c>
      <c r="G398" s="1">
        <v>218750</v>
      </c>
      <c r="H398" s="2">
        <v>175000</v>
      </c>
      <c r="I398" s="5" t="str">
        <f>VLOOKUP(BasePIs[[#This Row],[Produto]],DePara_Produto[],2,0)</f>
        <v>Varejo</v>
      </c>
      <c r="J398" s="13">
        <f>1</f>
        <v>1</v>
      </c>
    </row>
    <row r="399" spans="1:10" x14ac:dyDescent="0.25">
      <c r="A399" s="3">
        <v>43466</v>
      </c>
      <c r="B399">
        <v>237889</v>
      </c>
      <c r="C399">
        <v>643216</v>
      </c>
      <c r="D399" t="s">
        <v>54</v>
      </c>
      <c r="E399" t="s">
        <v>55</v>
      </c>
      <c r="F399" t="s">
        <v>25</v>
      </c>
      <c r="G399" s="1">
        <v>1206420</v>
      </c>
      <c r="H399" s="2">
        <v>965136</v>
      </c>
      <c r="I399" s="5" t="str">
        <f>VLOOKUP(BasePIs[[#This Row],[Produto]],DePara_Produto[],2,0)</f>
        <v>Varejo</v>
      </c>
      <c r="J399" s="13">
        <f>1</f>
        <v>1</v>
      </c>
    </row>
    <row r="400" spans="1:10" x14ac:dyDescent="0.25">
      <c r="A400" s="3">
        <v>43466</v>
      </c>
      <c r="B400">
        <v>237890</v>
      </c>
      <c r="C400">
        <v>643217</v>
      </c>
      <c r="D400" t="s">
        <v>54</v>
      </c>
      <c r="E400" t="s">
        <v>55</v>
      </c>
      <c r="F400" t="s">
        <v>35</v>
      </c>
      <c r="G400" s="1">
        <v>42029.43</v>
      </c>
      <c r="H400" s="2">
        <v>33623.544000000002</v>
      </c>
      <c r="I400" s="5" t="str">
        <f>VLOOKUP(BasePIs[[#This Row],[Produto]],DePara_Produto[],2,0)</f>
        <v>Varejo</v>
      </c>
      <c r="J400" s="13">
        <f>1</f>
        <v>1</v>
      </c>
    </row>
    <row r="401" spans="1:10" x14ac:dyDescent="0.25">
      <c r="A401" s="3">
        <v>43466</v>
      </c>
      <c r="B401">
        <v>237891</v>
      </c>
      <c r="C401">
        <v>643218</v>
      </c>
      <c r="D401" t="s">
        <v>54</v>
      </c>
      <c r="E401" t="s">
        <v>55</v>
      </c>
      <c r="F401" t="s">
        <v>34</v>
      </c>
      <c r="G401" s="1">
        <v>81795.570000000007</v>
      </c>
      <c r="H401" s="2">
        <v>65436.455999999998</v>
      </c>
      <c r="I401" s="5" t="str">
        <f>VLOOKUP(BasePIs[[#This Row],[Produto]],DePara_Produto[],2,0)</f>
        <v>Varejo</v>
      </c>
      <c r="J401" s="13">
        <f>1</f>
        <v>1</v>
      </c>
    </row>
    <row r="402" spans="1:10" x14ac:dyDescent="0.25">
      <c r="A402" s="3">
        <v>43466</v>
      </c>
      <c r="B402">
        <v>237892</v>
      </c>
      <c r="C402">
        <v>643219</v>
      </c>
      <c r="D402" t="s">
        <v>54</v>
      </c>
      <c r="E402" t="s">
        <v>55</v>
      </c>
      <c r="F402" t="s">
        <v>34</v>
      </c>
      <c r="G402" s="1">
        <v>12500</v>
      </c>
      <c r="H402" s="2">
        <v>10000</v>
      </c>
      <c r="I402" s="5" t="str">
        <f>VLOOKUP(BasePIs[[#This Row],[Produto]],DePara_Produto[],2,0)</f>
        <v>Varejo</v>
      </c>
      <c r="J402" s="13">
        <f>1</f>
        <v>1</v>
      </c>
    </row>
    <row r="403" spans="1:10" x14ac:dyDescent="0.25">
      <c r="A403" s="3">
        <v>43466</v>
      </c>
      <c r="B403">
        <v>237907</v>
      </c>
      <c r="C403">
        <v>643241</v>
      </c>
      <c r="D403" t="s">
        <v>56</v>
      </c>
      <c r="E403" t="s">
        <v>38</v>
      </c>
      <c r="F403" t="s">
        <v>28</v>
      </c>
      <c r="G403" s="1">
        <v>10000</v>
      </c>
      <c r="H403" s="2">
        <v>8000</v>
      </c>
      <c r="I403" s="5" t="str">
        <f>VLOOKUP(BasePIs[[#This Row],[Produto]],DePara_Produto[],2,0)</f>
        <v>Varejo</v>
      </c>
      <c r="J403" s="13">
        <f>1</f>
        <v>1</v>
      </c>
    </row>
    <row r="404" spans="1:10" x14ac:dyDescent="0.25">
      <c r="A404" s="3">
        <v>43466</v>
      </c>
      <c r="B404">
        <v>237908</v>
      </c>
      <c r="C404">
        <v>643242</v>
      </c>
      <c r="D404" t="s">
        <v>56</v>
      </c>
      <c r="E404" t="s">
        <v>38</v>
      </c>
      <c r="F404" t="s">
        <v>35</v>
      </c>
      <c r="G404" s="1">
        <v>22.93</v>
      </c>
      <c r="H404" s="2">
        <v>18.344000000000001</v>
      </c>
      <c r="I404" s="5" t="str">
        <f>VLOOKUP(BasePIs[[#This Row],[Produto]],DePara_Produto[],2,0)</f>
        <v>Varejo</v>
      </c>
      <c r="J404" s="13">
        <f>1</f>
        <v>1</v>
      </c>
    </row>
    <row r="405" spans="1:10" x14ac:dyDescent="0.25">
      <c r="A405" s="3">
        <v>43466</v>
      </c>
      <c r="B405">
        <v>237969</v>
      </c>
      <c r="C405">
        <v>643473</v>
      </c>
      <c r="D405" t="s">
        <v>54</v>
      </c>
      <c r="E405" t="s">
        <v>55</v>
      </c>
      <c r="F405" t="s">
        <v>29</v>
      </c>
      <c r="G405" s="1">
        <v>125000</v>
      </c>
      <c r="H405" s="2">
        <v>100000</v>
      </c>
      <c r="I405" s="5" t="str">
        <f>VLOOKUP(BasePIs[[#This Row],[Produto]],DePara_Produto[],2,0)</f>
        <v>Varejo</v>
      </c>
      <c r="J405" s="13">
        <f>1</f>
        <v>1</v>
      </c>
    </row>
    <row r="406" spans="1:10" x14ac:dyDescent="0.25">
      <c r="A406" s="3">
        <v>43466</v>
      </c>
      <c r="B406">
        <v>237972</v>
      </c>
      <c r="C406">
        <v>643476</v>
      </c>
      <c r="D406" t="s">
        <v>57</v>
      </c>
      <c r="E406" t="s">
        <v>58</v>
      </c>
      <c r="F406" t="s">
        <v>33</v>
      </c>
      <c r="G406" s="1">
        <v>5000</v>
      </c>
      <c r="H406" s="2">
        <v>4000</v>
      </c>
      <c r="I406" s="5" t="str">
        <f>VLOOKUP(BasePIs[[#This Row],[Produto]],DePara_Produto[],2,0)</f>
        <v>Outros</v>
      </c>
      <c r="J406" s="13">
        <f>1</f>
        <v>1</v>
      </c>
    </row>
    <row r="407" spans="1:10" x14ac:dyDescent="0.25">
      <c r="A407" s="3">
        <v>43466</v>
      </c>
      <c r="B407">
        <v>237973</v>
      </c>
      <c r="C407">
        <v>643477</v>
      </c>
      <c r="D407" t="s">
        <v>57</v>
      </c>
      <c r="E407" t="s">
        <v>58</v>
      </c>
      <c r="F407" t="s">
        <v>28</v>
      </c>
      <c r="G407" s="1">
        <v>245000</v>
      </c>
      <c r="H407" s="2">
        <v>196000</v>
      </c>
      <c r="I407" s="5" t="str">
        <f>VLOOKUP(BasePIs[[#This Row],[Produto]],DePara_Produto[],2,0)</f>
        <v>Outros</v>
      </c>
      <c r="J407" s="13">
        <f>1</f>
        <v>1</v>
      </c>
    </row>
    <row r="408" spans="1:10" x14ac:dyDescent="0.25">
      <c r="A408" s="3">
        <v>43466</v>
      </c>
      <c r="B408">
        <v>237974</v>
      </c>
      <c r="C408">
        <v>643478</v>
      </c>
      <c r="D408" t="s">
        <v>57</v>
      </c>
      <c r="E408" t="s">
        <v>58</v>
      </c>
      <c r="F408" t="s">
        <v>35</v>
      </c>
      <c r="G408" s="1">
        <v>8056.81</v>
      </c>
      <c r="H408" s="2">
        <v>6445.4480000000003</v>
      </c>
      <c r="I408" s="5" t="str">
        <f>VLOOKUP(BasePIs[[#This Row],[Produto]],DePara_Produto[],2,0)</f>
        <v>Outros</v>
      </c>
      <c r="J408" s="13">
        <f>1</f>
        <v>1</v>
      </c>
    </row>
    <row r="409" spans="1:10" x14ac:dyDescent="0.25">
      <c r="A409" s="3">
        <v>43466</v>
      </c>
      <c r="B409">
        <v>237980</v>
      </c>
      <c r="C409">
        <v>643484</v>
      </c>
      <c r="D409" t="s">
        <v>57</v>
      </c>
      <c r="E409" t="s">
        <v>58</v>
      </c>
      <c r="F409" t="s">
        <v>36</v>
      </c>
      <c r="G409" s="1">
        <v>15</v>
      </c>
      <c r="H409" s="2">
        <v>12</v>
      </c>
      <c r="I409" s="5" t="str">
        <f>VLOOKUP(BasePIs[[#This Row],[Produto]],DePara_Produto[],2,0)</f>
        <v>Outros</v>
      </c>
      <c r="J409" s="13">
        <f>1</f>
        <v>1</v>
      </c>
    </row>
    <row r="410" spans="1:10" x14ac:dyDescent="0.25">
      <c r="A410" s="3">
        <v>43831</v>
      </c>
      <c r="B410">
        <v>238001</v>
      </c>
      <c r="C410">
        <v>643511</v>
      </c>
      <c r="D410" t="s">
        <v>51</v>
      </c>
      <c r="E410" t="s">
        <v>52</v>
      </c>
      <c r="F410" t="s">
        <v>59</v>
      </c>
      <c r="G410" s="1">
        <v>402943.90327745955</v>
      </c>
      <c r="H410" s="2">
        <v>322355.12262196769</v>
      </c>
      <c r="I410" s="5" t="str">
        <f>VLOOKUP(BasePIs[[#This Row],[Produto]],DePara_Produto[],2,0)</f>
        <v>Outros</v>
      </c>
      <c r="J410" s="13">
        <f>1</f>
        <v>1</v>
      </c>
    </row>
    <row r="411" spans="1:10" x14ac:dyDescent="0.25">
      <c r="A411" s="3">
        <v>44166</v>
      </c>
      <c r="B411">
        <v>229491</v>
      </c>
      <c r="C411">
        <v>624844</v>
      </c>
      <c r="D411" t="s">
        <v>8</v>
      </c>
      <c r="E411" t="s">
        <v>9</v>
      </c>
      <c r="F411" t="s">
        <v>10</v>
      </c>
      <c r="G411" s="1">
        <v>2892.8024237414852</v>
      </c>
      <c r="H411" s="2">
        <v>2314.2419389931883</v>
      </c>
      <c r="I411" s="11" t="str">
        <f>VLOOKUP(BasePIs[[#This Row],[Produto]],DePara_Produto[],2,0)</f>
        <v>Outros</v>
      </c>
      <c r="J411" s="13">
        <f>1</f>
        <v>1</v>
      </c>
    </row>
    <row r="412" spans="1:10" x14ac:dyDescent="0.25">
      <c r="A412" s="3">
        <v>44166</v>
      </c>
      <c r="B412">
        <v>232042</v>
      </c>
      <c r="C412">
        <v>630473</v>
      </c>
      <c r="D412" t="s">
        <v>11</v>
      </c>
      <c r="E412" t="s">
        <v>12</v>
      </c>
      <c r="F412" t="s">
        <v>13</v>
      </c>
      <c r="G412" s="1">
        <v>231005.6073033741</v>
      </c>
      <c r="H412" s="2">
        <v>184804.4858426993</v>
      </c>
      <c r="I412" s="11" t="str">
        <f>VLOOKUP(BasePIs[[#This Row],[Produto]],DePara_Produto[],2,0)</f>
        <v>Outros</v>
      </c>
      <c r="J412" s="13">
        <f>1</f>
        <v>1</v>
      </c>
    </row>
    <row r="413" spans="1:10" x14ac:dyDescent="0.25">
      <c r="A413" s="3">
        <v>44166</v>
      </c>
      <c r="B413">
        <v>233123</v>
      </c>
      <c r="C413">
        <v>632974</v>
      </c>
      <c r="D413" t="s">
        <v>11</v>
      </c>
      <c r="E413" t="s">
        <v>14</v>
      </c>
      <c r="F413" t="s">
        <v>15</v>
      </c>
      <c r="G413" s="1">
        <v>412321.05177368497</v>
      </c>
      <c r="H413" s="2">
        <v>329856.84141894802</v>
      </c>
      <c r="I413" s="11" t="str">
        <f>VLOOKUP(BasePIs[[#This Row],[Produto]],DePara_Produto[],2,0)</f>
        <v>Outros</v>
      </c>
      <c r="J413" s="13">
        <f>1</f>
        <v>1</v>
      </c>
    </row>
    <row r="414" spans="1:10" x14ac:dyDescent="0.25">
      <c r="A414" s="3">
        <v>44166</v>
      </c>
      <c r="B414">
        <v>236414</v>
      </c>
      <c r="C414">
        <v>640323</v>
      </c>
      <c r="D414" t="s">
        <v>16</v>
      </c>
      <c r="E414" t="s">
        <v>17</v>
      </c>
      <c r="F414" t="s">
        <v>18</v>
      </c>
      <c r="G414" s="1">
        <v>274038.45488321787</v>
      </c>
      <c r="H414" s="2">
        <v>219230.76390657431</v>
      </c>
      <c r="I414" s="11" t="str">
        <f>VLOOKUP(BasePIs[[#This Row],[Produto]],DePara_Produto[],2,0)</f>
        <v>T-Cross</v>
      </c>
      <c r="J414" s="13">
        <f>1</f>
        <v>1</v>
      </c>
    </row>
    <row r="415" spans="1:10" x14ac:dyDescent="0.25">
      <c r="A415" s="3">
        <v>44166</v>
      </c>
      <c r="B415">
        <v>236882</v>
      </c>
      <c r="C415">
        <v>641246</v>
      </c>
      <c r="D415" t="s">
        <v>11</v>
      </c>
      <c r="E415" t="s">
        <v>14</v>
      </c>
      <c r="F415" t="s">
        <v>19</v>
      </c>
      <c r="G415" s="1">
        <v>1908.3352457247126</v>
      </c>
      <c r="H415" s="2">
        <v>1526.6681965797702</v>
      </c>
      <c r="I415" s="11" t="str">
        <f>VLOOKUP(BasePIs[[#This Row],[Produto]],DePara_Produto[],2,0)</f>
        <v>Outros</v>
      </c>
      <c r="J415" s="13">
        <f>1</f>
        <v>1</v>
      </c>
    </row>
    <row r="416" spans="1:10" x14ac:dyDescent="0.25">
      <c r="A416" s="3">
        <v>44166</v>
      </c>
      <c r="B416">
        <v>237146</v>
      </c>
      <c r="C416">
        <v>641815</v>
      </c>
      <c r="D416" t="s">
        <v>20</v>
      </c>
      <c r="E416" t="s">
        <v>21</v>
      </c>
      <c r="F416" t="s">
        <v>18</v>
      </c>
      <c r="G416" s="1">
        <v>176376.77993153938</v>
      </c>
      <c r="H416" s="2">
        <v>141101.42394523151</v>
      </c>
      <c r="I416" s="11" t="str">
        <f>VLOOKUP(BasePIs[[#This Row],[Produto]],DePara_Produto[],2,0)</f>
        <v>Amarok</v>
      </c>
      <c r="J416" s="13">
        <f>1</f>
        <v>1</v>
      </c>
    </row>
    <row r="417" spans="1:10" x14ac:dyDescent="0.25">
      <c r="A417" s="3">
        <v>44166</v>
      </c>
      <c r="B417">
        <v>237146</v>
      </c>
      <c r="C417">
        <v>641816</v>
      </c>
      <c r="D417" t="s">
        <v>20</v>
      </c>
      <c r="E417" t="s">
        <v>21</v>
      </c>
      <c r="F417" t="s">
        <v>18</v>
      </c>
      <c r="G417" s="1">
        <v>16632.94589110386</v>
      </c>
      <c r="H417" s="2">
        <v>13306.356712883089</v>
      </c>
      <c r="I417" s="11" t="str">
        <f>VLOOKUP(BasePIs[[#This Row],[Produto]],DePara_Produto[],2,0)</f>
        <v>Amarok</v>
      </c>
      <c r="J417" s="13">
        <f>1</f>
        <v>1</v>
      </c>
    </row>
    <row r="418" spans="1:10" x14ac:dyDescent="0.25">
      <c r="A418" s="3">
        <v>44166</v>
      </c>
      <c r="B418">
        <v>237535</v>
      </c>
      <c r="C418">
        <v>642718</v>
      </c>
      <c r="D418" t="s">
        <v>22</v>
      </c>
      <c r="E418" t="s">
        <v>23</v>
      </c>
      <c r="F418" t="s">
        <v>24</v>
      </c>
      <c r="G418" s="1">
        <v>166114.04681663081</v>
      </c>
      <c r="H418" s="2">
        <v>132891.23745330467</v>
      </c>
      <c r="I418" s="11" t="str">
        <f>VLOOKUP(BasePIs[[#This Row],[Produto]],DePara_Produto[],2,0)</f>
        <v>Golf</v>
      </c>
      <c r="J418" s="13">
        <f>1</f>
        <v>1</v>
      </c>
    </row>
    <row r="419" spans="1:10" x14ac:dyDescent="0.25">
      <c r="A419" s="3">
        <v>44166</v>
      </c>
      <c r="B419">
        <v>237537</v>
      </c>
      <c r="C419">
        <v>642724</v>
      </c>
      <c r="D419" t="s">
        <v>22</v>
      </c>
      <c r="E419" t="s">
        <v>23</v>
      </c>
      <c r="F419" t="s">
        <v>25</v>
      </c>
      <c r="G419" s="1">
        <v>62056.682419515178</v>
      </c>
      <c r="H419" s="2">
        <v>49645.345935612146</v>
      </c>
      <c r="I419" s="11" t="str">
        <f>VLOOKUP(BasePIs[[#This Row],[Produto]],DePara_Produto[],2,0)</f>
        <v>Golf</v>
      </c>
      <c r="J419" s="13">
        <f>1</f>
        <v>1</v>
      </c>
    </row>
    <row r="420" spans="1:10" x14ac:dyDescent="0.25">
      <c r="A420" s="3">
        <v>44166</v>
      </c>
      <c r="B420">
        <v>237541</v>
      </c>
      <c r="C420">
        <v>642728</v>
      </c>
      <c r="D420" t="s">
        <v>22</v>
      </c>
      <c r="E420" t="s">
        <v>23</v>
      </c>
      <c r="F420" t="s">
        <v>26</v>
      </c>
      <c r="G420" s="1">
        <v>31978.494682575172</v>
      </c>
      <c r="H420" s="2">
        <v>25582.795746060139</v>
      </c>
      <c r="I420" s="11" t="str">
        <f>VLOOKUP(BasePIs[[#This Row],[Produto]],DePara_Produto[],2,0)</f>
        <v>Golf</v>
      </c>
      <c r="J420" s="13">
        <f>1</f>
        <v>1</v>
      </c>
    </row>
    <row r="421" spans="1:10" x14ac:dyDescent="0.25">
      <c r="A421" s="3">
        <v>44166</v>
      </c>
      <c r="B421">
        <v>237543</v>
      </c>
      <c r="C421">
        <v>642731</v>
      </c>
      <c r="D421" t="s">
        <v>22</v>
      </c>
      <c r="E421" t="s">
        <v>23</v>
      </c>
      <c r="F421" t="s">
        <v>27</v>
      </c>
      <c r="G421" s="1">
        <v>18991.001291767825</v>
      </c>
      <c r="H421" s="2">
        <v>15192.80103341426</v>
      </c>
      <c r="I421" s="11" t="str">
        <f>VLOOKUP(BasePIs[[#This Row],[Produto]],DePara_Produto[],2,0)</f>
        <v>Golf</v>
      </c>
      <c r="J421" s="13">
        <f>1</f>
        <v>1</v>
      </c>
    </row>
    <row r="422" spans="1:10" x14ac:dyDescent="0.25">
      <c r="A422" s="3">
        <v>44166</v>
      </c>
      <c r="B422">
        <v>237546</v>
      </c>
      <c r="C422">
        <v>642735</v>
      </c>
      <c r="D422" t="s">
        <v>22</v>
      </c>
      <c r="E422" t="s">
        <v>23</v>
      </c>
      <c r="F422" t="s">
        <v>28</v>
      </c>
      <c r="G422" s="1">
        <v>192985.93478153084</v>
      </c>
      <c r="H422" s="2">
        <v>154388.74782522468</v>
      </c>
      <c r="I422" s="11" t="str">
        <f>VLOOKUP(BasePIs[[#This Row],[Produto]],DePara_Produto[],2,0)</f>
        <v>Golf</v>
      </c>
      <c r="J422" s="13">
        <f>1</f>
        <v>1</v>
      </c>
    </row>
    <row r="423" spans="1:10" x14ac:dyDescent="0.25">
      <c r="A423" s="3">
        <v>44166</v>
      </c>
      <c r="B423">
        <v>237548</v>
      </c>
      <c r="C423">
        <v>642741</v>
      </c>
      <c r="D423" t="s">
        <v>22</v>
      </c>
      <c r="E423" t="s">
        <v>23</v>
      </c>
      <c r="F423" t="s">
        <v>29</v>
      </c>
      <c r="G423" s="1">
        <v>92805.748478868365</v>
      </c>
      <c r="H423" s="2">
        <v>74244.598783094698</v>
      </c>
      <c r="I423" s="11" t="str">
        <f>VLOOKUP(BasePIs[[#This Row],[Produto]],DePara_Produto[],2,0)</f>
        <v>Golf</v>
      </c>
      <c r="J423" s="13">
        <f>1</f>
        <v>1</v>
      </c>
    </row>
    <row r="424" spans="1:10" x14ac:dyDescent="0.25">
      <c r="A424" s="3">
        <v>44166</v>
      </c>
      <c r="B424">
        <v>237550</v>
      </c>
      <c r="C424">
        <v>642744</v>
      </c>
      <c r="D424" t="s">
        <v>22</v>
      </c>
      <c r="E424" t="s">
        <v>23</v>
      </c>
      <c r="F424" t="s">
        <v>29</v>
      </c>
      <c r="G424" s="1">
        <v>11453.798262742941</v>
      </c>
      <c r="H424" s="2">
        <v>9163.0386101943532</v>
      </c>
      <c r="I424" s="11" t="str">
        <f>VLOOKUP(BasePIs[[#This Row],[Produto]],DePara_Produto[],2,0)</f>
        <v>Golf</v>
      </c>
      <c r="J424" s="13">
        <f>1</f>
        <v>1</v>
      </c>
    </row>
    <row r="425" spans="1:10" x14ac:dyDescent="0.25">
      <c r="A425" s="3">
        <v>44166</v>
      </c>
      <c r="B425">
        <v>237551</v>
      </c>
      <c r="C425">
        <v>642745</v>
      </c>
      <c r="D425" t="s">
        <v>22</v>
      </c>
      <c r="E425" t="s">
        <v>23</v>
      </c>
      <c r="F425" t="s">
        <v>25</v>
      </c>
      <c r="G425" s="1">
        <v>95410.984029362531</v>
      </c>
      <c r="H425" s="2">
        <v>76328.787223490028</v>
      </c>
      <c r="I425" s="11" t="str">
        <f>VLOOKUP(BasePIs[[#This Row],[Produto]],DePara_Produto[],2,0)</f>
        <v>Golf</v>
      </c>
      <c r="J425" s="13">
        <f>1</f>
        <v>1</v>
      </c>
    </row>
    <row r="426" spans="1:10" x14ac:dyDescent="0.25">
      <c r="A426" s="3">
        <v>44166</v>
      </c>
      <c r="B426">
        <v>237553</v>
      </c>
      <c r="C426">
        <v>642747</v>
      </c>
      <c r="D426" t="s">
        <v>22</v>
      </c>
      <c r="E426" t="s">
        <v>23</v>
      </c>
      <c r="F426" t="s">
        <v>25</v>
      </c>
      <c r="G426" s="1">
        <v>41083.635977140439</v>
      </c>
      <c r="H426" s="2">
        <v>32866.908781712351</v>
      </c>
      <c r="I426" s="11" t="str">
        <f>VLOOKUP(BasePIs[[#This Row],[Produto]],DePara_Produto[],2,0)</f>
        <v>Golf</v>
      </c>
      <c r="J426" s="13">
        <f>1</f>
        <v>1</v>
      </c>
    </row>
    <row r="427" spans="1:10" x14ac:dyDescent="0.25">
      <c r="A427" s="3">
        <v>44166</v>
      </c>
      <c r="B427">
        <v>237555</v>
      </c>
      <c r="C427">
        <v>642749</v>
      </c>
      <c r="D427" t="s">
        <v>22</v>
      </c>
      <c r="E427" t="s">
        <v>23</v>
      </c>
      <c r="F427" t="s">
        <v>30</v>
      </c>
      <c r="G427" s="1">
        <v>49322.147818911639</v>
      </c>
      <c r="H427" s="2">
        <v>39457.718255129315</v>
      </c>
      <c r="I427" s="11" t="str">
        <f>VLOOKUP(BasePIs[[#This Row],[Produto]],DePara_Produto[],2,0)</f>
        <v>Golf</v>
      </c>
      <c r="J427" s="13">
        <f>1</f>
        <v>1</v>
      </c>
    </row>
    <row r="428" spans="1:10" x14ac:dyDescent="0.25">
      <c r="A428" s="3">
        <v>44166</v>
      </c>
      <c r="B428">
        <v>237556</v>
      </c>
      <c r="C428">
        <v>642751</v>
      </c>
      <c r="D428" t="s">
        <v>22</v>
      </c>
      <c r="E428" t="s">
        <v>23</v>
      </c>
      <c r="F428" t="s">
        <v>31</v>
      </c>
      <c r="G428" s="1">
        <v>136460.14009454311</v>
      </c>
      <c r="H428" s="2">
        <v>109168.11207563449</v>
      </c>
      <c r="I428" s="11" t="str">
        <f>VLOOKUP(BasePIs[[#This Row],[Produto]],DePara_Produto[],2,0)</f>
        <v>Golf</v>
      </c>
      <c r="J428" s="13">
        <f>1</f>
        <v>1</v>
      </c>
    </row>
    <row r="429" spans="1:10" x14ac:dyDescent="0.25">
      <c r="A429" s="3">
        <v>44166</v>
      </c>
      <c r="B429">
        <v>237557</v>
      </c>
      <c r="C429">
        <v>642752</v>
      </c>
      <c r="D429" t="s">
        <v>22</v>
      </c>
      <c r="E429" t="s">
        <v>23</v>
      </c>
      <c r="F429" t="s">
        <v>32</v>
      </c>
      <c r="G429" s="1">
        <v>112807.75724044279</v>
      </c>
      <c r="H429" s="2">
        <v>90246.205792354245</v>
      </c>
      <c r="I429" s="11" t="str">
        <f>VLOOKUP(BasePIs[[#This Row],[Produto]],DePara_Produto[],2,0)</f>
        <v>Golf</v>
      </c>
      <c r="J429" s="13">
        <f>1</f>
        <v>1</v>
      </c>
    </row>
    <row r="430" spans="1:10" x14ac:dyDescent="0.25">
      <c r="A430" s="3">
        <v>44166</v>
      </c>
      <c r="B430">
        <v>237558</v>
      </c>
      <c r="C430">
        <v>642753</v>
      </c>
      <c r="D430" t="s">
        <v>22</v>
      </c>
      <c r="E430" t="s">
        <v>23</v>
      </c>
      <c r="F430" t="s">
        <v>33</v>
      </c>
      <c r="G430" s="1">
        <v>20212.781572712935</v>
      </c>
      <c r="H430" s="2">
        <v>16170.225258170349</v>
      </c>
      <c r="I430" s="11" t="str">
        <f>VLOOKUP(BasePIs[[#This Row],[Produto]],DePara_Produto[],2,0)</f>
        <v>Golf</v>
      </c>
      <c r="J430" s="13">
        <f>1</f>
        <v>1</v>
      </c>
    </row>
    <row r="431" spans="1:10" x14ac:dyDescent="0.25">
      <c r="A431" s="3">
        <v>44166</v>
      </c>
      <c r="B431">
        <v>237559</v>
      </c>
      <c r="C431">
        <v>642754</v>
      </c>
      <c r="D431" t="s">
        <v>22</v>
      </c>
      <c r="E431" t="s">
        <v>23</v>
      </c>
      <c r="F431" t="s">
        <v>34</v>
      </c>
      <c r="G431" s="1">
        <v>94212.992681510776</v>
      </c>
      <c r="H431" s="2">
        <v>75370.394145208629</v>
      </c>
      <c r="I431" s="11" t="str">
        <f>VLOOKUP(BasePIs[[#This Row],[Produto]],DePara_Produto[],2,0)</f>
        <v>Golf</v>
      </c>
      <c r="J431" s="13">
        <f>1</f>
        <v>1</v>
      </c>
    </row>
    <row r="432" spans="1:10" x14ac:dyDescent="0.25">
      <c r="A432" s="3">
        <v>44166</v>
      </c>
      <c r="B432">
        <v>237560</v>
      </c>
      <c r="C432">
        <v>642755</v>
      </c>
      <c r="D432" t="s">
        <v>22</v>
      </c>
      <c r="E432" t="s">
        <v>23</v>
      </c>
      <c r="F432" t="s">
        <v>35</v>
      </c>
      <c r="G432" s="1">
        <v>7042.344900597509</v>
      </c>
      <c r="H432" s="2">
        <v>5633.8759204780072</v>
      </c>
      <c r="I432" s="11" t="str">
        <f>VLOOKUP(BasePIs[[#This Row],[Produto]],DePara_Produto[],2,0)</f>
        <v>Golf</v>
      </c>
      <c r="J432" s="13">
        <f>1</f>
        <v>1</v>
      </c>
    </row>
    <row r="433" spans="1:10" x14ac:dyDescent="0.25">
      <c r="A433" s="3">
        <v>44166</v>
      </c>
      <c r="B433">
        <v>237562</v>
      </c>
      <c r="C433">
        <v>642757</v>
      </c>
      <c r="D433" t="s">
        <v>22</v>
      </c>
      <c r="E433" t="s">
        <v>23</v>
      </c>
      <c r="F433" t="s">
        <v>36</v>
      </c>
      <c r="G433" s="1">
        <v>87.780777823886666</v>
      </c>
      <c r="H433" s="2">
        <v>70.224622259109339</v>
      </c>
      <c r="I433" s="11" t="str">
        <f>VLOOKUP(BasePIs[[#This Row],[Produto]],DePara_Produto[],2,0)</f>
        <v>Golf</v>
      </c>
      <c r="J433" s="13">
        <f>1</f>
        <v>1</v>
      </c>
    </row>
    <row r="434" spans="1:10" x14ac:dyDescent="0.25">
      <c r="A434" s="3">
        <v>44166</v>
      </c>
      <c r="B434">
        <v>237606</v>
      </c>
      <c r="C434">
        <v>642818</v>
      </c>
      <c r="D434" t="s">
        <v>37</v>
      </c>
      <c r="E434" t="s">
        <v>38</v>
      </c>
      <c r="F434" t="s">
        <v>39</v>
      </c>
      <c r="G434" s="1">
        <v>19247.471634417867</v>
      </c>
      <c r="H434" s="2">
        <v>15397.977307534295</v>
      </c>
      <c r="I434" s="11" t="str">
        <f>VLOOKUP(BasePIs[[#This Row],[Produto]],DePara_Produto[],2,0)</f>
        <v>Varejo</v>
      </c>
      <c r="J434" s="13">
        <f>1</f>
        <v>1</v>
      </c>
    </row>
    <row r="435" spans="1:10" x14ac:dyDescent="0.25">
      <c r="A435" s="3">
        <v>44166</v>
      </c>
      <c r="B435">
        <v>237660</v>
      </c>
      <c r="C435">
        <v>642920</v>
      </c>
      <c r="D435" t="s">
        <v>16</v>
      </c>
      <c r="E435" t="s">
        <v>17</v>
      </c>
      <c r="F435" t="s">
        <v>40</v>
      </c>
      <c r="G435" s="1">
        <v>127492.99660469449</v>
      </c>
      <c r="H435" s="2">
        <v>101994.39728375559</v>
      </c>
      <c r="I435" s="11" t="str">
        <f>VLOOKUP(BasePIs[[#This Row],[Produto]],DePara_Produto[],2,0)</f>
        <v>T-Cross</v>
      </c>
      <c r="J435" s="13">
        <f>1</f>
        <v>1</v>
      </c>
    </row>
    <row r="436" spans="1:10" x14ac:dyDescent="0.25">
      <c r="A436" s="3">
        <v>44166</v>
      </c>
      <c r="B436">
        <v>237663</v>
      </c>
      <c r="C436">
        <v>642934</v>
      </c>
      <c r="D436" t="s">
        <v>8</v>
      </c>
      <c r="E436" t="s">
        <v>9</v>
      </c>
      <c r="F436" t="s">
        <v>41</v>
      </c>
      <c r="G436" s="1">
        <v>100676.22353790802</v>
      </c>
      <c r="H436" s="2">
        <v>80540.978830326421</v>
      </c>
      <c r="I436" s="11" t="str">
        <f>VLOOKUP(BasePIs[[#This Row],[Produto]],DePara_Produto[],2,0)</f>
        <v>Outros</v>
      </c>
      <c r="J436" s="13">
        <f>1</f>
        <v>1</v>
      </c>
    </row>
    <row r="437" spans="1:10" x14ac:dyDescent="0.25">
      <c r="A437" s="3">
        <v>44166</v>
      </c>
      <c r="B437">
        <v>237682</v>
      </c>
      <c r="C437">
        <v>642961</v>
      </c>
      <c r="D437" t="s">
        <v>42</v>
      </c>
      <c r="E437" t="s">
        <v>43</v>
      </c>
      <c r="F437" t="s">
        <v>28</v>
      </c>
      <c r="G437" s="1">
        <v>321925.26648604526</v>
      </c>
      <c r="H437" s="2">
        <v>257540.21318883623</v>
      </c>
      <c r="I437" s="11" t="str">
        <f>VLOOKUP(BasePIs[[#This Row],[Produto]],DePara_Produto[],2,0)</f>
        <v>Amarok</v>
      </c>
      <c r="J437" s="13">
        <f>1</f>
        <v>1</v>
      </c>
    </row>
    <row r="438" spans="1:10" x14ac:dyDescent="0.25">
      <c r="A438" s="3">
        <v>44166</v>
      </c>
      <c r="B438">
        <v>237683</v>
      </c>
      <c r="C438">
        <v>642962</v>
      </c>
      <c r="D438" t="s">
        <v>42</v>
      </c>
      <c r="E438" t="s">
        <v>43</v>
      </c>
      <c r="F438" t="s">
        <v>25</v>
      </c>
      <c r="G438" s="1">
        <v>232994.61019962066</v>
      </c>
      <c r="H438" s="2">
        <v>186395.68815969652</v>
      </c>
      <c r="I438" s="11" t="str">
        <f>VLOOKUP(BasePIs[[#This Row],[Produto]],DePara_Produto[],2,0)</f>
        <v>Amarok</v>
      </c>
      <c r="J438" s="13">
        <f>1</f>
        <v>1</v>
      </c>
    </row>
    <row r="439" spans="1:10" x14ac:dyDescent="0.25">
      <c r="A439" s="3">
        <v>44166</v>
      </c>
      <c r="B439">
        <v>237684</v>
      </c>
      <c r="C439">
        <v>642963</v>
      </c>
      <c r="D439" t="s">
        <v>42</v>
      </c>
      <c r="E439" t="s">
        <v>43</v>
      </c>
      <c r="F439" t="s">
        <v>24</v>
      </c>
      <c r="G439" s="1">
        <v>608111.87621595198</v>
      </c>
      <c r="H439" s="2">
        <v>486489.5009727616</v>
      </c>
      <c r="I439" s="11" t="str">
        <f>VLOOKUP(BasePIs[[#This Row],[Produto]],DePara_Produto[],2,0)</f>
        <v>Amarok</v>
      </c>
      <c r="J439" s="13">
        <f>1</f>
        <v>1</v>
      </c>
    </row>
    <row r="440" spans="1:10" x14ac:dyDescent="0.25">
      <c r="A440" s="3">
        <v>44166</v>
      </c>
      <c r="B440">
        <v>237685</v>
      </c>
      <c r="C440">
        <v>642964</v>
      </c>
      <c r="D440" t="s">
        <v>42</v>
      </c>
      <c r="E440" t="s">
        <v>43</v>
      </c>
      <c r="F440" t="s">
        <v>35</v>
      </c>
      <c r="G440" s="1">
        <v>19803.374696442705</v>
      </c>
      <c r="H440" s="2">
        <v>15842.699757154165</v>
      </c>
      <c r="I440" s="11" t="str">
        <f>VLOOKUP(BasePIs[[#This Row],[Produto]],DePara_Produto[],2,0)</f>
        <v>Amarok</v>
      </c>
      <c r="J440" s="13">
        <f>1</f>
        <v>1</v>
      </c>
    </row>
    <row r="441" spans="1:10" x14ac:dyDescent="0.25">
      <c r="A441" s="3">
        <v>44166</v>
      </c>
      <c r="B441">
        <v>237686</v>
      </c>
      <c r="C441">
        <v>642965</v>
      </c>
      <c r="D441" t="s">
        <v>42</v>
      </c>
      <c r="E441" t="s">
        <v>43</v>
      </c>
      <c r="F441" t="s">
        <v>34</v>
      </c>
      <c r="G441" s="1">
        <v>12108.778539941977</v>
      </c>
      <c r="H441" s="2">
        <v>9687.0228319535818</v>
      </c>
      <c r="I441" s="11" t="str">
        <f>VLOOKUP(BasePIs[[#This Row],[Produto]],DePara_Produto[],2,0)</f>
        <v>Amarok</v>
      </c>
      <c r="J441" s="13">
        <f>1</f>
        <v>1</v>
      </c>
    </row>
    <row r="442" spans="1:10" x14ac:dyDescent="0.25">
      <c r="A442" s="3">
        <v>44166</v>
      </c>
      <c r="B442">
        <v>237687</v>
      </c>
      <c r="C442">
        <v>642966</v>
      </c>
      <c r="D442" t="s">
        <v>44</v>
      </c>
      <c r="E442" t="s">
        <v>44</v>
      </c>
      <c r="F442" t="s">
        <v>25</v>
      </c>
      <c r="G442" s="1">
        <v>515178.47577374015</v>
      </c>
      <c r="H442" s="2">
        <v>412142.78061899217</v>
      </c>
      <c r="I442" s="11" t="str">
        <f>VLOOKUP(BasePIs[[#This Row],[Produto]],DePara_Produto[],2,0)</f>
        <v>Amarok</v>
      </c>
      <c r="J442" s="13">
        <f>1</f>
        <v>1</v>
      </c>
    </row>
    <row r="443" spans="1:10" x14ac:dyDescent="0.25">
      <c r="A443" s="3">
        <v>44166</v>
      </c>
      <c r="B443">
        <v>237688</v>
      </c>
      <c r="C443">
        <v>642967</v>
      </c>
      <c r="D443" t="s">
        <v>44</v>
      </c>
      <c r="E443" t="s">
        <v>44</v>
      </c>
      <c r="F443" t="s">
        <v>28</v>
      </c>
      <c r="G443" s="1">
        <v>5436022.8791811951</v>
      </c>
      <c r="H443" s="2">
        <v>4348818.3033449566</v>
      </c>
      <c r="I443" s="11" t="str">
        <f>VLOOKUP(BasePIs[[#This Row],[Produto]],DePara_Produto[],2,0)</f>
        <v>Amarok</v>
      </c>
      <c r="J443" s="13">
        <f>1</f>
        <v>1</v>
      </c>
    </row>
    <row r="444" spans="1:10" x14ac:dyDescent="0.25">
      <c r="A444" s="3">
        <v>44166</v>
      </c>
      <c r="B444">
        <v>237689</v>
      </c>
      <c r="C444">
        <v>642968</v>
      </c>
      <c r="D444" t="s">
        <v>44</v>
      </c>
      <c r="E444" t="s">
        <v>44</v>
      </c>
      <c r="F444" t="s">
        <v>32</v>
      </c>
      <c r="G444" s="1">
        <v>111280.71259094476</v>
      </c>
      <c r="H444" s="2">
        <v>89024.570072755814</v>
      </c>
      <c r="I444" s="11" t="str">
        <f>VLOOKUP(BasePIs[[#This Row],[Produto]],DePara_Produto[],2,0)</f>
        <v>Amarok</v>
      </c>
      <c r="J444" s="13">
        <f>1</f>
        <v>1</v>
      </c>
    </row>
    <row r="445" spans="1:10" x14ac:dyDescent="0.25">
      <c r="A445" s="3">
        <v>44166</v>
      </c>
      <c r="B445">
        <v>237690</v>
      </c>
      <c r="C445">
        <v>642969</v>
      </c>
      <c r="D445" t="s">
        <v>44</v>
      </c>
      <c r="E445" t="s">
        <v>44</v>
      </c>
      <c r="F445" t="s">
        <v>45</v>
      </c>
      <c r="G445" s="1">
        <v>163527.90839309641</v>
      </c>
      <c r="H445" s="2">
        <v>130822.32671447714</v>
      </c>
      <c r="I445" s="11" t="str">
        <f>VLOOKUP(BasePIs[[#This Row],[Produto]],DePara_Produto[],2,0)</f>
        <v>Amarok</v>
      </c>
      <c r="J445" s="13">
        <f>1</f>
        <v>1</v>
      </c>
    </row>
    <row r="446" spans="1:10" x14ac:dyDescent="0.25">
      <c r="A446" s="3">
        <v>44166</v>
      </c>
      <c r="B446">
        <v>237691</v>
      </c>
      <c r="C446">
        <v>642970</v>
      </c>
      <c r="D446" t="s">
        <v>44</v>
      </c>
      <c r="E446" t="s">
        <v>44</v>
      </c>
      <c r="F446" t="s">
        <v>35</v>
      </c>
      <c r="G446" s="1">
        <v>53826.552485956243</v>
      </c>
      <c r="H446" s="2">
        <v>43061.241988764996</v>
      </c>
      <c r="I446" s="11" t="str">
        <f>VLOOKUP(BasePIs[[#This Row],[Produto]],DePara_Produto[],2,0)</f>
        <v>Amarok</v>
      </c>
      <c r="J446" s="13">
        <f>1</f>
        <v>1</v>
      </c>
    </row>
    <row r="447" spans="1:10" x14ac:dyDescent="0.25">
      <c r="A447" s="3">
        <v>44166</v>
      </c>
      <c r="B447">
        <v>237692</v>
      </c>
      <c r="C447">
        <v>642971</v>
      </c>
      <c r="D447" t="s">
        <v>44</v>
      </c>
      <c r="E447" t="s">
        <v>44</v>
      </c>
      <c r="F447" t="s">
        <v>34</v>
      </c>
      <c r="G447" s="1">
        <v>206907.08518883464</v>
      </c>
      <c r="H447" s="2">
        <v>165525.66815106772</v>
      </c>
      <c r="I447" s="11" t="str">
        <f>VLOOKUP(BasePIs[[#This Row],[Produto]],DePara_Produto[],2,0)</f>
        <v>Amarok</v>
      </c>
      <c r="J447" s="13">
        <f>1</f>
        <v>1</v>
      </c>
    </row>
    <row r="448" spans="1:10" x14ac:dyDescent="0.25">
      <c r="A448" s="3">
        <v>44166</v>
      </c>
      <c r="B448">
        <v>237698</v>
      </c>
      <c r="C448">
        <v>642980</v>
      </c>
      <c r="D448" t="s">
        <v>11</v>
      </c>
      <c r="E448" t="s">
        <v>14</v>
      </c>
      <c r="F448" t="s">
        <v>46</v>
      </c>
      <c r="G448" s="1">
        <v>16453.496712473425</v>
      </c>
      <c r="H448" s="2">
        <v>13162.79736997874</v>
      </c>
      <c r="I448" s="11" t="str">
        <f>VLOOKUP(BasePIs[[#This Row],[Produto]],DePara_Produto[],2,0)</f>
        <v>Outros</v>
      </c>
      <c r="J448" s="13">
        <f>1</f>
        <v>1</v>
      </c>
    </row>
    <row r="449" spans="1:10" x14ac:dyDescent="0.25">
      <c r="A449" s="3">
        <v>44166</v>
      </c>
      <c r="B449">
        <v>237700</v>
      </c>
      <c r="C449">
        <v>642982</v>
      </c>
      <c r="D449" t="s">
        <v>11</v>
      </c>
      <c r="E449" t="s">
        <v>14</v>
      </c>
      <c r="F449" t="s">
        <v>47</v>
      </c>
      <c r="G449" s="1">
        <v>26531.930600881908</v>
      </c>
      <c r="H449" s="2">
        <v>21225.544480705528</v>
      </c>
      <c r="I449" s="11" t="str">
        <f>VLOOKUP(BasePIs[[#This Row],[Produto]],DePara_Produto[],2,0)</f>
        <v>Outros</v>
      </c>
      <c r="J449" s="13">
        <f>1</f>
        <v>1</v>
      </c>
    </row>
    <row r="450" spans="1:10" x14ac:dyDescent="0.25">
      <c r="A450" s="3">
        <v>44166</v>
      </c>
      <c r="B450">
        <v>237701</v>
      </c>
      <c r="C450">
        <v>642983</v>
      </c>
      <c r="D450" t="s">
        <v>11</v>
      </c>
      <c r="E450" t="s">
        <v>14</v>
      </c>
      <c r="F450" t="s">
        <v>48</v>
      </c>
      <c r="G450" s="1">
        <v>8664.5536208920075</v>
      </c>
      <c r="H450" s="2">
        <v>6931.6428967136062</v>
      </c>
      <c r="I450" s="11" t="str">
        <f>VLOOKUP(BasePIs[[#This Row],[Produto]],DePara_Produto[],2,0)</f>
        <v>Outros</v>
      </c>
      <c r="J450" s="13">
        <f>1</f>
        <v>1</v>
      </c>
    </row>
    <row r="451" spans="1:10" x14ac:dyDescent="0.25">
      <c r="A451" s="3">
        <v>44105</v>
      </c>
      <c r="B451">
        <v>237729</v>
      </c>
      <c r="C451">
        <v>643022</v>
      </c>
      <c r="D451" t="s">
        <v>8</v>
      </c>
      <c r="E451" t="s">
        <v>9</v>
      </c>
      <c r="F451" t="s">
        <v>33</v>
      </c>
      <c r="G451" s="1">
        <v>114442.33904053073</v>
      </c>
      <c r="H451" s="2">
        <v>91553.871232424586</v>
      </c>
      <c r="I451" s="11" t="str">
        <f>VLOOKUP(BasePIs[[#This Row],[Produto]],DePara_Produto[],2,0)</f>
        <v>Outros</v>
      </c>
      <c r="J451" s="13">
        <f>1</f>
        <v>1</v>
      </c>
    </row>
    <row r="452" spans="1:10" x14ac:dyDescent="0.25">
      <c r="A452" s="3">
        <v>44105</v>
      </c>
      <c r="B452">
        <v>237731</v>
      </c>
      <c r="C452">
        <v>643024</v>
      </c>
      <c r="D452" t="s">
        <v>8</v>
      </c>
      <c r="E452" t="s">
        <v>9</v>
      </c>
      <c r="F452" t="s">
        <v>28</v>
      </c>
      <c r="G452" s="1">
        <v>82954.303800541704</v>
      </c>
      <c r="H452" s="2">
        <v>66363.443040433369</v>
      </c>
      <c r="I452" s="11" t="str">
        <f>VLOOKUP(BasePIs[[#This Row],[Produto]],DePara_Produto[],2,0)</f>
        <v>Outros</v>
      </c>
      <c r="J452" s="13">
        <f>1</f>
        <v>1</v>
      </c>
    </row>
    <row r="453" spans="1:10" x14ac:dyDescent="0.25">
      <c r="A453" s="3">
        <v>44105</v>
      </c>
      <c r="B453">
        <v>237735</v>
      </c>
      <c r="C453">
        <v>643031</v>
      </c>
      <c r="D453" t="s">
        <v>8</v>
      </c>
      <c r="E453" t="s">
        <v>9</v>
      </c>
      <c r="F453" t="s">
        <v>35</v>
      </c>
      <c r="G453" s="1">
        <v>990.10202966379188</v>
      </c>
      <c r="H453" s="2">
        <v>792.08162373103357</v>
      </c>
      <c r="I453" s="11" t="str">
        <f>VLOOKUP(BasePIs[[#This Row],[Produto]],DePara_Produto[],2,0)</f>
        <v>Outros</v>
      </c>
      <c r="J453" s="13">
        <f>1</f>
        <v>1</v>
      </c>
    </row>
    <row r="454" spans="1:10" x14ac:dyDescent="0.25">
      <c r="A454" s="3">
        <v>44105</v>
      </c>
      <c r="B454">
        <v>237736</v>
      </c>
      <c r="C454">
        <v>643033</v>
      </c>
      <c r="D454" t="s">
        <v>49</v>
      </c>
      <c r="E454" t="s">
        <v>49</v>
      </c>
      <c r="F454" t="s">
        <v>33</v>
      </c>
      <c r="G454" s="1">
        <v>106074.26391062472</v>
      </c>
      <c r="H454" s="2">
        <v>84859.411128499778</v>
      </c>
      <c r="I454" s="11" t="str">
        <f>VLOOKUP(BasePIs[[#This Row],[Produto]],DePara_Produto[],2,0)</f>
        <v>Outros</v>
      </c>
      <c r="J454" s="13">
        <f>1</f>
        <v>1</v>
      </c>
    </row>
    <row r="455" spans="1:10" x14ac:dyDescent="0.25">
      <c r="A455" s="3">
        <v>44105</v>
      </c>
      <c r="B455">
        <v>237738</v>
      </c>
      <c r="C455">
        <v>643039</v>
      </c>
      <c r="D455" t="s">
        <v>49</v>
      </c>
      <c r="E455" t="s">
        <v>49</v>
      </c>
      <c r="F455" t="s">
        <v>50</v>
      </c>
      <c r="G455" s="1">
        <v>181745.53715829682</v>
      </c>
      <c r="H455" s="2">
        <v>145396.42972663746</v>
      </c>
      <c r="I455" s="11" t="str">
        <f>VLOOKUP(BasePIs[[#This Row],[Produto]],DePara_Produto[],2,0)</f>
        <v>Outros</v>
      </c>
      <c r="J455" s="13">
        <f>1</f>
        <v>1</v>
      </c>
    </row>
    <row r="456" spans="1:10" x14ac:dyDescent="0.25">
      <c r="A456" s="3">
        <v>44105</v>
      </c>
      <c r="B456">
        <v>237739</v>
      </c>
      <c r="C456">
        <v>643035</v>
      </c>
      <c r="D456" t="s">
        <v>49</v>
      </c>
      <c r="E456" t="s">
        <v>49</v>
      </c>
      <c r="F456" t="s">
        <v>25</v>
      </c>
      <c r="G456" s="1">
        <v>102161708.90234303</v>
      </c>
      <c r="H456" s="2">
        <v>81729367.121874437</v>
      </c>
      <c r="I456" s="11" t="str">
        <f>VLOOKUP(BasePIs[[#This Row],[Produto]],DePara_Produto[],2,0)</f>
        <v>Outros</v>
      </c>
      <c r="J456" s="13">
        <f>1</f>
        <v>1</v>
      </c>
    </row>
    <row r="457" spans="1:10" x14ac:dyDescent="0.25">
      <c r="A457" s="3">
        <v>44105</v>
      </c>
      <c r="B457">
        <v>237743</v>
      </c>
      <c r="C457">
        <v>643042</v>
      </c>
      <c r="D457" t="s">
        <v>49</v>
      </c>
      <c r="E457" t="s">
        <v>49</v>
      </c>
      <c r="F457" t="s">
        <v>35</v>
      </c>
      <c r="G457" s="1">
        <v>312.41612190935865</v>
      </c>
      <c r="H457" s="2">
        <v>249.93289752748694</v>
      </c>
      <c r="I457" s="11" t="str">
        <f>VLOOKUP(BasePIs[[#This Row],[Produto]],DePara_Produto[],2,0)</f>
        <v>Outros</v>
      </c>
      <c r="J457" s="13">
        <f>1</f>
        <v>1</v>
      </c>
    </row>
    <row r="458" spans="1:10" x14ac:dyDescent="0.25">
      <c r="A458" s="3">
        <v>44105</v>
      </c>
      <c r="B458">
        <v>237744</v>
      </c>
      <c r="C458">
        <v>643043</v>
      </c>
      <c r="D458" t="s">
        <v>49</v>
      </c>
      <c r="E458" t="s">
        <v>49</v>
      </c>
      <c r="F458" t="s">
        <v>34</v>
      </c>
      <c r="G458" s="1">
        <v>3246.4534015984455</v>
      </c>
      <c r="H458" s="2">
        <v>2597.1627212787566</v>
      </c>
      <c r="I458" s="11" t="str">
        <f>VLOOKUP(BasePIs[[#This Row],[Produto]],DePara_Produto[],2,0)</f>
        <v>Outros</v>
      </c>
      <c r="J458" s="13">
        <f>1</f>
        <v>1</v>
      </c>
    </row>
    <row r="459" spans="1:10" x14ac:dyDescent="0.25">
      <c r="A459" s="3">
        <v>44105</v>
      </c>
      <c r="B459">
        <v>237745</v>
      </c>
      <c r="C459">
        <v>643045</v>
      </c>
      <c r="D459" t="s">
        <v>49</v>
      </c>
      <c r="E459" t="s">
        <v>49</v>
      </c>
      <c r="F459" t="s">
        <v>28</v>
      </c>
      <c r="G459" s="1">
        <v>464465.9718737427</v>
      </c>
      <c r="H459" s="2">
        <v>371572.7774989942</v>
      </c>
      <c r="I459" s="11" t="str">
        <f>VLOOKUP(BasePIs[[#This Row],[Produto]],DePara_Produto[],2,0)</f>
        <v>Outros</v>
      </c>
      <c r="J459" s="13">
        <f>1</f>
        <v>1</v>
      </c>
    </row>
    <row r="460" spans="1:10" x14ac:dyDescent="0.25">
      <c r="A460" s="3">
        <v>44105</v>
      </c>
      <c r="B460">
        <v>237746</v>
      </c>
      <c r="C460">
        <v>643046</v>
      </c>
      <c r="D460" t="s">
        <v>49</v>
      </c>
      <c r="E460" t="s">
        <v>49</v>
      </c>
      <c r="F460" t="s">
        <v>34</v>
      </c>
      <c r="G460" s="1">
        <v>144.16215077621862</v>
      </c>
      <c r="H460" s="2">
        <v>115.32972062097491</v>
      </c>
      <c r="I460" s="11" t="str">
        <f>VLOOKUP(BasePIs[[#This Row],[Produto]],DePara_Produto[],2,0)</f>
        <v>Outros</v>
      </c>
      <c r="J460" s="13">
        <f>1</f>
        <v>1</v>
      </c>
    </row>
    <row r="461" spans="1:10" x14ac:dyDescent="0.25">
      <c r="A461" s="3">
        <v>44105</v>
      </c>
      <c r="B461">
        <v>237747</v>
      </c>
      <c r="C461">
        <v>643047</v>
      </c>
      <c r="D461" t="s">
        <v>49</v>
      </c>
      <c r="E461" t="s">
        <v>49</v>
      </c>
      <c r="F461" t="s">
        <v>36</v>
      </c>
      <c r="G461" s="1">
        <v>313.77030393800197</v>
      </c>
      <c r="H461" s="2">
        <v>251.01624315040158</v>
      </c>
      <c r="I461" s="11" t="str">
        <f>VLOOKUP(BasePIs[[#This Row],[Produto]],DePara_Produto[],2,0)</f>
        <v>Outros</v>
      </c>
      <c r="J461" s="13">
        <f>1</f>
        <v>1</v>
      </c>
    </row>
    <row r="462" spans="1:10" x14ac:dyDescent="0.25">
      <c r="A462" s="3">
        <v>44105</v>
      </c>
      <c r="B462">
        <v>237835</v>
      </c>
      <c r="C462">
        <v>643138</v>
      </c>
      <c r="D462" t="s">
        <v>44</v>
      </c>
      <c r="E462" t="s">
        <v>44</v>
      </c>
      <c r="F462" t="s">
        <v>29</v>
      </c>
      <c r="G462" s="1">
        <v>163804.26319766603</v>
      </c>
      <c r="H462" s="2">
        <v>131043.41055813283</v>
      </c>
      <c r="I462" s="11" t="str">
        <f>VLOOKUP(BasePIs[[#This Row],[Produto]],DePara_Produto[],2,0)</f>
        <v>Amarok</v>
      </c>
      <c r="J462" s="13">
        <f>1</f>
        <v>1</v>
      </c>
    </row>
    <row r="463" spans="1:10" x14ac:dyDescent="0.25">
      <c r="A463" s="3">
        <v>44105</v>
      </c>
      <c r="B463">
        <v>237874</v>
      </c>
      <c r="C463">
        <v>643197</v>
      </c>
      <c r="D463" t="s">
        <v>51</v>
      </c>
      <c r="E463" t="s">
        <v>52</v>
      </c>
      <c r="F463" t="s">
        <v>53</v>
      </c>
      <c r="G463" s="1">
        <v>135994.91156595066</v>
      </c>
      <c r="H463" s="2">
        <v>108795.92925276054</v>
      </c>
      <c r="I463" s="11" t="str">
        <f>VLOOKUP(BasePIs[[#This Row],[Produto]],DePara_Produto[],2,0)</f>
        <v>Outros</v>
      </c>
      <c r="J463" s="13">
        <f>1</f>
        <v>1</v>
      </c>
    </row>
    <row r="464" spans="1:10" x14ac:dyDescent="0.25">
      <c r="A464" s="3">
        <v>44105</v>
      </c>
      <c r="B464">
        <v>237875</v>
      </c>
      <c r="C464">
        <v>643198</v>
      </c>
      <c r="D464" t="s">
        <v>51</v>
      </c>
      <c r="E464" t="s">
        <v>52</v>
      </c>
      <c r="F464" t="s">
        <v>33</v>
      </c>
      <c r="G464" s="1">
        <v>6482506.74359506</v>
      </c>
      <c r="H464" s="2">
        <v>5186005.394876048</v>
      </c>
      <c r="I464" s="11" t="str">
        <f>VLOOKUP(BasePIs[[#This Row],[Produto]],DePara_Produto[],2,0)</f>
        <v>Outros</v>
      </c>
      <c r="J464" s="13">
        <f>1</f>
        <v>1</v>
      </c>
    </row>
    <row r="465" spans="1:10" x14ac:dyDescent="0.25">
      <c r="A465" s="3">
        <v>44105</v>
      </c>
      <c r="B465">
        <v>237877</v>
      </c>
      <c r="C465">
        <v>643200</v>
      </c>
      <c r="D465" t="s">
        <v>51</v>
      </c>
      <c r="E465" t="s">
        <v>52</v>
      </c>
      <c r="F465" t="s">
        <v>28</v>
      </c>
      <c r="G465" s="1">
        <v>2035567.9078917145</v>
      </c>
      <c r="H465" s="2">
        <v>1628454.3263133718</v>
      </c>
      <c r="I465" s="11" t="str">
        <f>VLOOKUP(BasePIs[[#This Row],[Produto]],DePara_Produto[],2,0)</f>
        <v>Outros</v>
      </c>
      <c r="J465" s="13">
        <f>1</f>
        <v>1</v>
      </c>
    </row>
    <row r="466" spans="1:10" x14ac:dyDescent="0.25">
      <c r="A466" s="3">
        <v>44105</v>
      </c>
      <c r="B466">
        <v>237879</v>
      </c>
      <c r="C466">
        <v>643202</v>
      </c>
      <c r="D466" t="s">
        <v>51</v>
      </c>
      <c r="E466" t="s">
        <v>52</v>
      </c>
      <c r="F466" t="s">
        <v>32</v>
      </c>
      <c r="G466" s="1">
        <v>942878.96112505463</v>
      </c>
      <c r="H466" s="2">
        <v>754303.1689000437</v>
      </c>
      <c r="I466" s="11" t="str">
        <f>VLOOKUP(BasePIs[[#This Row],[Produto]],DePara_Produto[],2,0)</f>
        <v>Outros</v>
      </c>
      <c r="J466" s="13">
        <f>1</f>
        <v>1</v>
      </c>
    </row>
    <row r="467" spans="1:10" x14ac:dyDescent="0.25">
      <c r="A467" s="3">
        <v>44105</v>
      </c>
      <c r="B467">
        <v>237880</v>
      </c>
      <c r="C467">
        <v>643203</v>
      </c>
      <c r="D467" t="s">
        <v>51</v>
      </c>
      <c r="E467" t="s">
        <v>52</v>
      </c>
      <c r="F467" t="s">
        <v>25</v>
      </c>
      <c r="G467" s="1">
        <v>13445224.530395139</v>
      </c>
      <c r="H467" s="2">
        <v>10756179.624316111</v>
      </c>
      <c r="I467" s="11" t="str">
        <f>VLOOKUP(BasePIs[[#This Row],[Produto]],DePara_Produto[],2,0)</f>
        <v>Outros</v>
      </c>
      <c r="J467" s="13">
        <f>1</f>
        <v>1</v>
      </c>
    </row>
    <row r="468" spans="1:10" x14ac:dyDescent="0.25">
      <c r="A468" s="3">
        <v>44105</v>
      </c>
      <c r="B468">
        <v>237881</v>
      </c>
      <c r="C468">
        <v>643205</v>
      </c>
      <c r="D468" t="s">
        <v>51</v>
      </c>
      <c r="E468" t="s">
        <v>52</v>
      </c>
      <c r="F468" t="s">
        <v>35</v>
      </c>
      <c r="G468" s="1">
        <v>28510.687349686839</v>
      </c>
      <c r="H468" s="2">
        <v>22808.549879749473</v>
      </c>
      <c r="I468" s="11" t="str">
        <f>VLOOKUP(BasePIs[[#This Row],[Produto]],DePara_Produto[],2,0)</f>
        <v>Outros</v>
      </c>
      <c r="J468" s="13">
        <f>1</f>
        <v>1</v>
      </c>
    </row>
    <row r="469" spans="1:10" x14ac:dyDescent="0.25">
      <c r="A469" s="3">
        <v>44105</v>
      </c>
      <c r="B469">
        <v>237882</v>
      </c>
      <c r="C469">
        <v>643206</v>
      </c>
      <c r="D469" t="s">
        <v>51</v>
      </c>
      <c r="E469" t="s">
        <v>52</v>
      </c>
      <c r="F469" t="s">
        <v>34</v>
      </c>
      <c r="G469" s="1">
        <v>251874.57937371117</v>
      </c>
      <c r="H469" s="2">
        <v>201499.66349896893</v>
      </c>
      <c r="I469" s="11" t="str">
        <f>VLOOKUP(BasePIs[[#This Row],[Produto]],DePara_Produto[],2,0)</f>
        <v>Outros</v>
      </c>
      <c r="J469" s="13">
        <f>1</f>
        <v>1</v>
      </c>
    </row>
    <row r="470" spans="1:10" x14ac:dyDescent="0.25">
      <c r="A470" s="3">
        <v>44105</v>
      </c>
      <c r="B470">
        <v>237883</v>
      </c>
      <c r="C470">
        <v>643207</v>
      </c>
      <c r="D470" t="s">
        <v>51</v>
      </c>
      <c r="E470" t="s">
        <v>52</v>
      </c>
      <c r="F470" t="s">
        <v>34</v>
      </c>
      <c r="G470" s="1">
        <v>445725.39320512139</v>
      </c>
      <c r="H470" s="2">
        <v>356580.31456409715</v>
      </c>
      <c r="I470" s="11" t="str">
        <f>VLOOKUP(BasePIs[[#This Row],[Produto]],DePara_Produto[],2,0)</f>
        <v>Outros</v>
      </c>
      <c r="J470" s="13">
        <f>1</f>
        <v>1</v>
      </c>
    </row>
    <row r="471" spans="1:10" x14ac:dyDescent="0.25">
      <c r="A471" s="3">
        <v>44105</v>
      </c>
      <c r="B471">
        <v>237884</v>
      </c>
      <c r="C471">
        <v>643208</v>
      </c>
      <c r="D471" t="s">
        <v>51</v>
      </c>
      <c r="E471" t="s">
        <v>52</v>
      </c>
      <c r="F471" t="s">
        <v>36</v>
      </c>
      <c r="G471" s="1">
        <v>12233.938377570799</v>
      </c>
      <c r="H471" s="2">
        <v>9787.1507020566405</v>
      </c>
      <c r="I471" s="11" t="str">
        <f>VLOOKUP(BasePIs[[#This Row],[Produto]],DePara_Produto[],2,0)</f>
        <v>Outros</v>
      </c>
      <c r="J471" s="13">
        <f>1</f>
        <v>1</v>
      </c>
    </row>
    <row r="472" spans="1:10" x14ac:dyDescent="0.25">
      <c r="A472" s="3">
        <v>44105</v>
      </c>
      <c r="B472">
        <v>237886</v>
      </c>
      <c r="C472">
        <v>643213</v>
      </c>
      <c r="D472" t="s">
        <v>54</v>
      </c>
      <c r="E472" t="s">
        <v>55</v>
      </c>
      <c r="F472" t="s">
        <v>28</v>
      </c>
      <c r="G472" s="1">
        <v>362742.83486653067</v>
      </c>
      <c r="H472" s="2">
        <v>290194.26789322455</v>
      </c>
      <c r="I472" s="11" t="str">
        <f>VLOOKUP(BasePIs[[#This Row],[Produto]],DePara_Produto[],2,0)</f>
        <v>Varejo</v>
      </c>
      <c r="J472" s="13">
        <f>1</f>
        <v>1</v>
      </c>
    </row>
    <row r="473" spans="1:10" x14ac:dyDescent="0.25">
      <c r="A473" s="3">
        <v>44105</v>
      </c>
      <c r="B473">
        <v>237889</v>
      </c>
      <c r="C473">
        <v>643216</v>
      </c>
      <c r="D473" t="s">
        <v>54</v>
      </c>
      <c r="E473" t="s">
        <v>55</v>
      </c>
      <c r="F473" t="s">
        <v>25</v>
      </c>
      <c r="G473" s="1">
        <v>11731883.471539514</v>
      </c>
      <c r="H473" s="2">
        <v>9385506.7772316113</v>
      </c>
      <c r="I473" s="11" t="str">
        <f>VLOOKUP(BasePIs[[#This Row],[Produto]],DePara_Produto[],2,0)</f>
        <v>Varejo</v>
      </c>
      <c r="J473" s="13">
        <f>1</f>
        <v>1</v>
      </c>
    </row>
    <row r="474" spans="1:10" x14ac:dyDescent="0.25">
      <c r="A474" s="3">
        <v>44105</v>
      </c>
      <c r="B474">
        <v>237890</v>
      </c>
      <c r="C474">
        <v>643217</v>
      </c>
      <c r="D474" t="s">
        <v>54</v>
      </c>
      <c r="E474" t="s">
        <v>55</v>
      </c>
      <c r="F474" t="s">
        <v>35</v>
      </c>
      <c r="G474" s="1">
        <v>214958.11050431465</v>
      </c>
      <c r="H474" s="2">
        <v>171966.48840345175</v>
      </c>
      <c r="I474" s="11" t="str">
        <f>VLOOKUP(BasePIs[[#This Row],[Produto]],DePara_Produto[],2,0)</f>
        <v>Varejo</v>
      </c>
      <c r="J474" s="13">
        <f>1</f>
        <v>1</v>
      </c>
    </row>
    <row r="475" spans="1:10" x14ac:dyDescent="0.25">
      <c r="A475" s="3">
        <v>44105</v>
      </c>
      <c r="B475">
        <v>237891</v>
      </c>
      <c r="C475">
        <v>643218</v>
      </c>
      <c r="D475" t="s">
        <v>54</v>
      </c>
      <c r="E475" t="s">
        <v>55</v>
      </c>
      <c r="F475" t="s">
        <v>34</v>
      </c>
      <c r="G475" s="1">
        <v>2374662.2837064564</v>
      </c>
      <c r="H475" s="2">
        <v>1899729.8269651653</v>
      </c>
      <c r="I475" s="11" t="str">
        <f>VLOOKUP(BasePIs[[#This Row],[Produto]],DePara_Produto[],2,0)</f>
        <v>Varejo</v>
      </c>
      <c r="J475" s="13">
        <f>1</f>
        <v>1</v>
      </c>
    </row>
    <row r="476" spans="1:10" x14ac:dyDescent="0.25">
      <c r="A476" s="3">
        <v>44105</v>
      </c>
      <c r="B476">
        <v>237892</v>
      </c>
      <c r="C476">
        <v>643219</v>
      </c>
      <c r="D476" t="s">
        <v>54</v>
      </c>
      <c r="E476" t="s">
        <v>55</v>
      </c>
      <c r="F476" t="s">
        <v>34</v>
      </c>
      <c r="G476" s="1">
        <v>19942.509610878315</v>
      </c>
      <c r="H476" s="2">
        <v>15954.007688702652</v>
      </c>
      <c r="I476" s="11" t="str">
        <f>VLOOKUP(BasePIs[[#This Row],[Produto]],DePara_Produto[],2,0)</f>
        <v>Varejo</v>
      </c>
      <c r="J476" s="13">
        <f>1</f>
        <v>1</v>
      </c>
    </row>
    <row r="477" spans="1:10" x14ac:dyDescent="0.25">
      <c r="A477" s="3">
        <v>44105</v>
      </c>
      <c r="B477">
        <v>237907</v>
      </c>
      <c r="C477">
        <v>643241</v>
      </c>
      <c r="D477" t="s">
        <v>56</v>
      </c>
      <c r="E477" t="s">
        <v>38</v>
      </c>
      <c r="F477" t="s">
        <v>28</v>
      </c>
      <c r="G477" s="1">
        <v>13144.617719564885</v>
      </c>
      <c r="H477" s="2">
        <v>10515.694175651908</v>
      </c>
      <c r="I477" s="11" t="str">
        <f>VLOOKUP(BasePIs[[#This Row],[Produto]],DePara_Produto[],2,0)</f>
        <v>Varejo</v>
      </c>
      <c r="J477" s="13">
        <f>1</f>
        <v>1</v>
      </c>
    </row>
    <row r="478" spans="1:10" x14ac:dyDescent="0.25">
      <c r="A478" s="3">
        <v>44105</v>
      </c>
      <c r="B478">
        <v>237908</v>
      </c>
      <c r="C478">
        <v>643242</v>
      </c>
      <c r="D478" t="s">
        <v>56</v>
      </c>
      <c r="E478" t="s">
        <v>38</v>
      </c>
      <c r="F478" t="s">
        <v>35</v>
      </c>
      <c r="G478" s="1">
        <v>918.96974460526542</v>
      </c>
      <c r="H478" s="2">
        <v>735.1757956842124</v>
      </c>
      <c r="I478" s="11" t="str">
        <f>VLOOKUP(BasePIs[[#This Row],[Produto]],DePara_Produto[],2,0)</f>
        <v>Varejo</v>
      </c>
      <c r="J478" s="13">
        <f>1</f>
        <v>1</v>
      </c>
    </row>
    <row r="479" spans="1:10" x14ac:dyDescent="0.25">
      <c r="A479" s="3">
        <v>44105</v>
      </c>
      <c r="B479">
        <v>237969</v>
      </c>
      <c r="C479">
        <v>643473</v>
      </c>
      <c r="D479" t="s">
        <v>54</v>
      </c>
      <c r="E479" t="s">
        <v>55</v>
      </c>
      <c r="F479" t="s">
        <v>29</v>
      </c>
      <c r="G479" s="1">
        <v>519092.85633770452</v>
      </c>
      <c r="H479" s="2">
        <v>415274.28507016366</v>
      </c>
      <c r="I479" s="11" t="str">
        <f>VLOOKUP(BasePIs[[#This Row],[Produto]],DePara_Produto[],2,0)</f>
        <v>Varejo</v>
      </c>
      <c r="J479" s="13">
        <f>1</f>
        <v>1</v>
      </c>
    </row>
    <row r="480" spans="1:10" x14ac:dyDescent="0.25">
      <c r="A480" s="3">
        <v>44105</v>
      </c>
      <c r="B480">
        <v>237972</v>
      </c>
      <c r="C480">
        <v>643476</v>
      </c>
      <c r="D480" t="s">
        <v>57</v>
      </c>
      <c r="E480" t="s">
        <v>58</v>
      </c>
      <c r="F480" t="s">
        <v>33</v>
      </c>
      <c r="G480" s="1">
        <v>7022.3697341807638</v>
      </c>
      <c r="H480" s="2">
        <v>5617.8957873446116</v>
      </c>
      <c r="I480" s="11" t="str">
        <f>VLOOKUP(BasePIs[[#This Row],[Produto]],DePara_Produto[],2,0)</f>
        <v>Outros</v>
      </c>
      <c r="J480" s="13">
        <f>1</f>
        <v>1</v>
      </c>
    </row>
    <row r="481" spans="1:10" x14ac:dyDescent="0.25">
      <c r="A481" s="3">
        <v>44105</v>
      </c>
      <c r="B481">
        <v>237973</v>
      </c>
      <c r="C481">
        <v>643477</v>
      </c>
      <c r="D481" t="s">
        <v>57</v>
      </c>
      <c r="E481" t="s">
        <v>58</v>
      </c>
      <c r="F481" t="s">
        <v>28</v>
      </c>
      <c r="G481" s="1">
        <v>668246.47418799123</v>
      </c>
      <c r="H481" s="2">
        <v>534597.17935039301</v>
      </c>
      <c r="I481" s="11" t="str">
        <f>VLOOKUP(BasePIs[[#This Row],[Produto]],DePara_Produto[],2,0)</f>
        <v>Outros</v>
      </c>
      <c r="J481" s="13">
        <f>1</f>
        <v>1</v>
      </c>
    </row>
    <row r="482" spans="1:10" x14ac:dyDescent="0.25">
      <c r="A482" s="3">
        <v>44105</v>
      </c>
      <c r="B482">
        <v>237974</v>
      </c>
      <c r="C482">
        <v>643478</v>
      </c>
      <c r="D482" t="s">
        <v>57</v>
      </c>
      <c r="E482" t="s">
        <v>58</v>
      </c>
      <c r="F482" t="s">
        <v>35</v>
      </c>
      <c r="G482" s="1">
        <v>8891.6203722366899</v>
      </c>
      <c r="H482" s="2">
        <v>7113.2962977893521</v>
      </c>
      <c r="I482" s="11" t="str">
        <f>VLOOKUP(BasePIs[[#This Row],[Produto]],DePara_Produto[],2,0)</f>
        <v>Outros</v>
      </c>
      <c r="J482" s="13">
        <f>1</f>
        <v>1</v>
      </c>
    </row>
    <row r="483" spans="1:10" x14ac:dyDescent="0.25">
      <c r="A483" s="3">
        <v>44105</v>
      </c>
      <c r="B483">
        <v>237980</v>
      </c>
      <c r="C483">
        <v>643484</v>
      </c>
      <c r="D483" t="s">
        <v>57</v>
      </c>
      <c r="E483" t="s">
        <v>58</v>
      </c>
      <c r="F483" t="s">
        <v>36</v>
      </c>
      <c r="G483" s="1">
        <v>45.049938725891053</v>
      </c>
      <c r="H483" s="2">
        <v>36.039950980712845</v>
      </c>
      <c r="I483" s="11" t="str">
        <f>VLOOKUP(BasePIs[[#This Row],[Produto]],DePara_Produto[],2,0)</f>
        <v>Outros</v>
      </c>
      <c r="J483" s="13">
        <f>1</f>
        <v>1</v>
      </c>
    </row>
    <row r="484" spans="1:10" x14ac:dyDescent="0.25">
      <c r="A484" s="3">
        <v>44075</v>
      </c>
      <c r="B484">
        <v>238001</v>
      </c>
      <c r="C484">
        <v>643511</v>
      </c>
      <c r="D484" t="s">
        <v>51</v>
      </c>
      <c r="E484" t="s">
        <v>52</v>
      </c>
      <c r="F484" t="s">
        <v>59</v>
      </c>
      <c r="G484" s="1">
        <v>424452.74155871337</v>
      </c>
      <c r="H484" s="2">
        <v>339562.19324697071</v>
      </c>
      <c r="I484" s="11" t="str">
        <f>VLOOKUP(BasePIs[[#This Row],[Produto]],DePara_Produto[],2,0)</f>
        <v>Outros</v>
      </c>
      <c r="J484" s="13">
        <f>1</f>
        <v>1</v>
      </c>
    </row>
    <row r="485" spans="1:10" x14ac:dyDescent="0.25">
      <c r="A485" s="3">
        <v>44075</v>
      </c>
      <c r="B485">
        <v>237736</v>
      </c>
      <c r="C485">
        <v>643033</v>
      </c>
      <c r="D485" t="s">
        <v>49</v>
      </c>
      <c r="E485" t="s">
        <v>49</v>
      </c>
      <c r="F485" t="s">
        <v>33</v>
      </c>
      <c r="G485" s="1">
        <v>138585.25153159475</v>
      </c>
      <c r="H485" s="2">
        <v>110868.20122527581</v>
      </c>
      <c r="I485" s="11" t="str">
        <f>VLOOKUP(BasePIs[[#This Row],[Produto]],DePara_Produto[],2,0)</f>
        <v>Outros</v>
      </c>
      <c r="J485" s="13">
        <f>1</f>
        <v>1</v>
      </c>
    </row>
    <row r="486" spans="1:10" x14ac:dyDescent="0.25">
      <c r="A486" s="3">
        <v>44075</v>
      </c>
      <c r="B486">
        <v>237738</v>
      </c>
      <c r="C486">
        <v>643039</v>
      </c>
      <c r="D486" t="s">
        <v>49</v>
      </c>
      <c r="E486" t="s">
        <v>49</v>
      </c>
      <c r="F486" t="s">
        <v>50</v>
      </c>
      <c r="G486" s="1">
        <v>147144.49467129062</v>
      </c>
      <c r="H486" s="2">
        <v>117715.5957370325</v>
      </c>
      <c r="I486" s="11" t="str">
        <f>VLOOKUP(BasePIs[[#This Row],[Produto]],DePara_Produto[],2,0)</f>
        <v>Outros</v>
      </c>
      <c r="J486" s="13">
        <f>1</f>
        <v>1</v>
      </c>
    </row>
    <row r="487" spans="1:10" x14ac:dyDescent="0.25">
      <c r="A487" s="3">
        <v>44075</v>
      </c>
      <c r="B487">
        <v>237739</v>
      </c>
      <c r="C487">
        <v>643035</v>
      </c>
      <c r="D487" t="s">
        <v>49</v>
      </c>
      <c r="E487" t="s">
        <v>49</v>
      </c>
      <c r="F487" t="s">
        <v>25</v>
      </c>
      <c r="G487" s="1">
        <v>220026.56604691883</v>
      </c>
      <c r="H487" s="2">
        <v>176021.25283753508</v>
      </c>
      <c r="I487" s="11" t="str">
        <f>VLOOKUP(BasePIs[[#This Row],[Produto]],DePara_Produto[],2,0)</f>
        <v>Outros</v>
      </c>
      <c r="J487" s="13">
        <f>1</f>
        <v>1</v>
      </c>
    </row>
    <row r="488" spans="1:10" x14ac:dyDescent="0.25">
      <c r="A488" s="3">
        <v>44075</v>
      </c>
      <c r="B488">
        <v>237743</v>
      </c>
      <c r="C488">
        <v>643042</v>
      </c>
      <c r="D488" t="s">
        <v>49</v>
      </c>
      <c r="E488" t="s">
        <v>49</v>
      </c>
      <c r="F488" t="s">
        <v>35</v>
      </c>
      <c r="G488" s="1">
        <v>182.95497931747533</v>
      </c>
      <c r="H488" s="2">
        <v>146.36398345398027</v>
      </c>
      <c r="I488" s="11" t="str">
        <f>VLOOKUP(BasePIs[[#This Row],[Produto]],DePara_Produto[],2,0)</f>
        <v>Outros</v>
      </c>
      <c r="J488" s="13">
        <f>1</f>
        <v>1</v>
      </c>
    </row>
    <row r="489" spans="1:10" x14ac:dyDescent="0.25">
      <c r="A489" s="3">
        <v>44075</v>
      </c>
      <c r="B489">
        <v>237744</v>
      </c>
      <c r="C489">
        <v>643043</v>
      </c>
      <c r="D489" t="s">
        <v>49</v>
      </c>
      <c r="E489" t="s">
        <v>49</v>
      </c>
      <c r="F489" t="s">
        <v>34</v>
      </c>
      <c r="G489" s="1">
        <v>2792.897077249801</v>
      </c>
      <c r="H489" s="2">
        <v>2234.3176617998411</v>
      </c>
      <c r="I489" s="11" t="str">
        <f>VLOOKUP(BasePIs[[#This Row],[Produto]],DePara_Produto[],2,0)</f>
        <v>Outros</v>
      </c>
      <c r="J489" s="13">
        <f>1</f>
        <v>1</v>
      </c>
    </row>
    <row r="490" spans="1:10" x14ac:dyDescent="0.25">
      <c r="A490" s="3">
        <v>44075</v>
      </c>
      <c r="B490">
        <v>237745</v>
      </c>
      <c r="C490">
        <v>643045</v>
      </c>
      <c r="D490" t="s">
        <v>49</v>
      </c>
      <c r="E490" t="s">
        <v>49</v>
      </c>
      <c r="F490" t="s">
        <v>28</v>
      </c>
      <c r="G490" s="1">
        <v>90192.321271980894</v>
      </c>
      <c r="H490" s="2">
        <v>72153.857017584713</v>
      </c>
      <c r="I490" s="11" t="str">
        <f>VLOOKUP(BasePIs[[#This Row],[Produto]],DePara_Produto[],2,0)</f>
        <v>Outros</v>
      </c>
      <c r="J490" s="13">
        <f>1</f>
        <v>1</v>
      </c>
    </row>
    <row r="491" spans="1:10" x14ac:dyDescent="0.25">
      <c r="A491" s="3">
        <v>44075</v>
      </c>
      <c r="B491">
        <v>237746</v>
      </c>
      <c r="C491">
        <v>643046</v>
      </c>
      <c r="D491" t="s">
        <v>49</v>
      </c>
      <c r="E491" t="s">
        <v>49</v>
      </c>
      <c r="F491" t="s">
        <v>34</v>
      </c>
      <c r="G491" s="1">
        <v>152.93369409312439</v>
      </c>
      <c r="H491" s="2">
        <v>122.34695527449952</v>
      </c>
      <c r="I491" s="11" t="str">
        <f>VLOOKUP(BasePIs[[#This Row],[Produto]],DePara_Produto[],2,0)</f>
        <v>Outros</v>
      </c>
      <c r="J491" s="13">
        <f>1</f>
        <v>1</v>
      </c>
    </row>
    <row r="492" spans="1:10" x14ac:dyDescent="0.25">
      <c r="A492" s="3">
        <v>44075</v>
      </c>
      <c r="B492">
        <v>237747</v>
      </c>
      <c r="C492">
        <v>643047</v>
      </c>
      <c r="D492" t="s">
        <v>49</v>
      </c>
      <c r="E492" t="s">
        <v>49</v>
      </c>
      <c r="F492" t="s">
        <v>36</v>
      </c>
      <c r="G492" s="1">
        <v>813.33948956763834</v>
      </c>
      <c r="H492" s="2">
        <v>650.67159165411067</v>
      </c>
      <c r="I492" s="11" t="str">
        <f>VLOOKUP(BasePIs[[#This Row],[Produto]],DePara_Produto[],2,0)</f>
        <v>Outros</v>
      </c>
      <c r="J492" s="13">
        <f>1</f>
        <v>1</v>
      </c>
    </row>
    <row r="493" spans="1:10" x14ac:dyDescent="0.25">
      <c r="A493" s="3">
        <v>44075</v>
      </c>
      <c r="B493">
        <v>237835</v>
      </c>
      <c r="C493">
        <v>643138</v>
      </c>
      <c r="D493" t="s">
        <v>44</v>
      </c>
      <c r="E493" t="s">
        <v>44</v>
      </c>
      <c r="F493" t="s">
        <v>29</v>
      </c>
      <c r="G493" s="1">
        <v>576748.20854345488</v>
      </c>
      <c r="H493" s="2">
        <v>461398.56683476391</v>
      </c>
      <c r="I493" s="11" t="str">
        <f>VLOOKUP(BasePIs[[#This Row],[Produto]],DePara_Produto[],2,0)</f>
        <v>Amarok</v>
      </c>
      <c r="J493" s="13">
        <f>1</f>
        <v>1</v>
      </c>
    </row>
    <row r="494" spans="1:10" x14ac:dyDescent="0.25">
      <c r="A494" s="3">
        <v>44075</v>
      </c>
      <c r="B494">
        <v>237874</v>
      </c>
      <c r="C494">
        <v>643197</v>
      </c>
      <c r="D494" t="s">
        <v>51</v>
      </c>
      <c r="E494" t="s">
        <v>52</v>
      </c>
      <c r="F494" t="s">
        <v>53</v>
      </c>
      <c r="G494" s="1">
        <v>38443.404601950853</v>
      </c>
      <c r="H494" s="2">
        <v>30754.723681560685</v>
      </c>
      <c r="I494" s="11" t="str">
        <f>VLOOKUP(BasePIs[[#This Row],[Produto]],DePara_Produto[],2,0)</f>
        <v>Outros</v>
      </c>
      <c r="J494" s="13">
        <f>1</f>
        <v>1</v>
      </c>
    </row>
    <row r="495" spans="1:10" x14ac:dyDescent="0.25">
      <c r="A495" s="3">
        <v>44075</v>
      </c>
      <c r="B495">
        <v>237875</v>
      </c>
      <c r="C495">
        <v>643198</v>
      </c>
      <c r="D495" t="s">
        <v>51</v>
      </c>
      <c r="E495" t="s">
        <v>52</v>
      </c>
      <c r="F495" t="s">
        <v>33</v>
      </c>
      <c r="G495" s="1">
        <v>2466789.2377702924</v>
      </c>
      <c r="H495" s="2">
        <v>1973431.3902162341</v>
      </c>
      <c r="I495" s="11" t="str">
        <f>VLOOKUP(BasePIs[[#This Row],[Produto]],DePara_Produto[],2,0)</f>
        <v>Outros</v>
      </c>
      <c r="J495" s="13">
        <f>1</f>
        <v>1</v>
      </c>
    </row>
    <row r="496" spans="1:10" x14ac:dyDescent="0.25">
      <c r="A496" s="3">
        <v>44075</v>
      </c>
      <c r="B496">
        <v>237877</v>
      </c>
      <c r="C496">
        <v>643200</v>
      </c>
      <c r="D496" t="s">
        <v>51</v>
      </c>
      <c r="E496" t="s">
        <v>52</v>
      </c>
      <c r="F496" t="s">
        <v>28</v>
      </c>
      <c r="G496" s="1">
        <v>1478482.8566696169</v>
      </c>
      <c r="H496" s="2">
        <v>1182786.2853356935</v>
      </c>
      <c r="I496" s="11" t="str">
        <f>VLOOKUP(BasePIs[[#This Row],[Produto]],DePara_Produto[],2,0)</f>
        <v>Outros</v>
      </c>
      <c r="J496" s="13">
        <f>1</f>
        <v>1</v>
      </c>
    </row>
    <row r="497" spans="1:10" x14ac:dyDescent="0.25">
      <c r="A497" s="3">
        <v>44075</v>
      </c>
      <c r="B497">
        <v>237879</v>
      </c>
      <c r="C497">
        <v>643202</v>
      </c>
      <c r="D497" t="s">
        <v>51</v>
      </c>
      <c r="E497" t="s">
        <v>52</v>
      </c>
      <c r="F497" t="s">
        <v>32</v>
      </c>
      <c r="G497" s="1">
        <v>708947.87789843639</v>
      </c>
      <c r="H497" s="2">
        <v>567158.30231874913</v>
      </c>
      <c r="I497" s="11" t="str">
        <f>VLOOKUP(BasePIs[[#This Row],[Produto]],DePara_Produto[],2,0)</f>
        <v>Outros</v>
      </c>
      <c r="J497" s="13">
        <f>1</f>
        <v>1</v>
      </c>
    </row>
    <row r="498" spans="1:10" x14ac:dyDescent="0.25">
      <c r="A498" s="3">
        <v>44075</v>
      </c>
      <c r="B498">
        <v>237880</v>
      </c>
      <c r="C498">
        <v>643203</v>
      </c>
      <c r="D498" t="s">
        <v>51</v>
      </c>
      <c r="E498" t="s">
        <v>52</v>
      </c>
      <c r="F498" t="s">
        <v>25</v>
      </c>
      <c r="G498" s="1">
        <v>1325170.9363832017</v>
      </c>
      <c r="H498" s="2">
        <v>1060136.7491065615</v>
      </c>
      <c r="I498" s="11" t="str">
        <f>VLOOKUP(BasePIs[[#This Row],[Produto]],DePara_Produto[],2,0)</f>
        <v>Outros</v>
      </c>
      <c r="J498" s="13">
        <f>1</f>
        <v>1</v>
      </c>
    </row>
    <row r="499" spans="1:10" x14ac:dyDescent="0.25">
      <c r="A499" s="3">
        <v>44075</v>
      </c>
      <c r="B499">
        <v>237881</v>
      </c>
      <c r="C499">
        <v>643205</v>
      </c>
      <c r="D499" t="s">
        <v>51</v>
      </c>
      <c r="E499" t="s">
        <v>52</v>
      </c>
      <c r="F499" t="s">
        <v>35</v>
      </c>
      <c r="G499" s="1">
        <v>796641.80208668252</v>
      </c>
      <c r="H499" s="2">
        <v>637313.44166934607</v>
      </c>
      <c r="I499" s="11" t="str">
        <f>VLOOKUP(BasePIs[[#This Row],[Produto]],DePara_Produto[],2,0)</f>
        <v>Outros</v>
      </c>
      <c r="J499" s="13">
        <f>1</f>
        <v>1</v>
      </c>
    </row>
    <row r="500" spans="1:10" x14ac:dyDescent="0.25">
      <c r="A500" s="3">
        <v>44075</v>
      </c>
      <c r="B500">
        <v>237882</v>
      </c>
      <c r="C500">
        <v>643206</v>
      </c>
      <c r="D500" t="s">
        <v>51</v>
      </c>
      <c r="E500" t="s">
        <v>52</v>
      </c>
      <c r="F500" t="s">
        <v>34</v>
      </c>
      <c r="G500" s="1">
        <v>104883.66227013103</v>
      </c>
      <c r="H500" s="2">
        <v>83906.929816104821</v>
      </c>
      <c r="I500" s="11" t="str">
        <f>VLOOKUP(BasePIs[[#This Row],[Produto]],DePara_Produto[],2,0)</f>
        <v>Outros</v>
      </c>
      <c r="J500" s="13">
        <f>1</f>
        <v>1</v>
      </c>
    </row>
    <row r="501" spans="1:10" x14ac:dyDescent="0.25">
      <c r="A501" s="3">
        <v>44075</v>
      </c>
      <c r="B501">
        <v>237883</v>
      </c>
      <c r="C501">
        <v>643207</v>
      </c>
      <c r="D501" t="s">
        <v>51</v>
      </c>
      <c r="E501" t="s">
        <v>52</v>
      </c>
      <c r="F501" t="s">
        <v>34</v>
      </c>
      <c r="G501" s="1">
        <v>79981.960450026978</v>
      </c>
      <c r="H501" s="2">
        <v>63985.568360021585</v>
      </c>
      <c r="I501" s="11" t="str">
        <f>VLOOKUP(BasePIs[[#This Row],[Produto]],DePara_Produto[],2,0)</f>
        <v>Outros</v>
      </c>
      <c r="J501" s="13">
        <f>1</f>
        <v>1</v>
      </c>
    </row>
    <row r="502" spans="1:10" x14ac:dyDescent="0.25">
      <c r="A502" s="3">
        <v>44075</v>
      </c>
      <c r="B502">
        <v>237884</v>
      </c>
      <c r="C502">
        <v>643208</v>
      </c>
      <c r="D502" t="s">
        <v>51</v>
      </c>
      <c r="E502" t="s">
        <v>52</v>
      </c>
      <c r="F502" t="s">
        <v>36</v>
      </c>
      <c r="G502" s="1">
        <v>10348.15161612167</v>
      </c>
      <c r="H502" s="2">
        <v>8278.521292897336</v>
      </c>
      <c r="I502" s="11" t="str">
        <f>VLOOKUP(BasePIs[[#This Row],[Produto]],DePara_Produto[],2,0)</f>
        <v>Outros</v>
      </c>
      <c r="J502" s="13">
        <f>1</f>
        <v>1</v>
      </c>
    </row>
    <row r="503" spans="1:10" x14ac:dyDescent="0.25">
      <c r="A503" s="3">
        <v>44075</v>
      </c>
      <c r="B503">
        <v>237886</v>
      </c>
      <c r="C503">
        <v>643213</v>
      </c>
      <c r="D503" t="s">
        <v>54</v>
      </c>
      <c r="E503" t="s">
        <v>55</v>
      </c>
      <c r="F503" t="s">
        <v>28</v>
      </c>
      <c r="G503" s="1">
        <v>604221.09655027383</v>
      </c>
      <c r="H503" s="2">
        <v>483376.8772402191</v>
      </c>
      <c r="I503" s="11" t="str">
        <f>VLOOKUP(BasePIs[[#This Row],[Produto]],DePara_Produto[],2,0)</f>
        <v>Varejo</v>
      </c>
      <c r="J503" s="13">
        <f>1</f>
        <v>1</v>
      </c>
    </row>
    <row r="504" spans="1:10" x14ac:dyDescent="0.25">
      <c r="A504" s="3">
        <v>43922</v>
      </c>
      <c r="B504">
        <v>237889</v>
      </c>
      <c r="C504">
        <v>643216</v>
      </c>
      <c r="D504" t="s">
        <v>54</v>
      </c>
      <c r="E504" t="s">
        <v>55</v>
      </c>
      <c r="F504" t="s">
        <v>25</v>
      </c>
      <c r="G504" s="1">
        <v>3163669.2789308256</v>
      </c>
      <c r="H504" s="2">
        <v>2530935.4231446609</v>
      </c>
      <c r="I504" s="11" t="str">
        <f>VLOOKUP(BasePIs[[#This Row],[Produto]],DePara_Produto[],2,0)</f>
        <v>Varejo</v>
      </c>
      <c r="J504" s="13">
        <f>1</f>
        <v>1</v>
      </c>
    </row>
    <row r="505" spans="1:10" x14ac:dyDescent="0.25">
      <c r="A505" s="3">
        <v>43922</v>
      </c>
      <c r="B505">
        <v>237890</v>
      </c>
      <c r="C505">
        <v>643217</v>
      </c>
      <c r="D505" t="s">
        <v>54</v>
      </c>
      <c r="E505" t="s">
        <v>55</v>
      </c>
      <c r="F505" t="s">
        <v>35</v>
      </c>
      <c r="G505" s="1">
        <v>63603.703571445723</v>
      </c>
      <c r="H505" s="2">
        <v>50882.962857156585</v>
      </c>
      <c r="I505" s="11" t="str">
        <f>VLOOKUP(BasePIs[[#This Row],[Produto]],DePara_Produto[],2,0)</f>
        <v>Varejo</v>
      </c>
      <c r="J505" s="13">
        <f>1</f>
        <v>1</v>
      </c>
    </row>
    <row r="506" spans="1:10" x14ac:dyDescent="0.25">
      <c r="A506" s="3">
        <v>43922</v>
      </c>
      <c r="B506">
        <v>237891</v>
      </c>
      <c r="C506">
        <v>643218</v>
      </c>
      <c r="D506" t="s">
        <v>54</v>
      </c>
      <c r="E506" t="s">
        <v>55</v>
      </c>
      <c r="F506" t="s">
        <v>34</v>
      </c>
      <c r="G506" s="1">
        <v>119572.84502700869</v>
      </c>
      <c r="H506" s="2">
        <v>95658.276021606958</v>
      </c>
      <c r="I506" s="11" t="str">
        <f>VLOOKUP(BasePIs[[#This Row],[Produto]],DePara_Produto[],2,0)</f>
        <v>Varejo</v>
      </c>
      <c r="J506" s="13">
        <f>1</f>
        <v>1</v>
      </c>
    </row>
    <row r="507" spans="1:10" x14ac:dyDescent="0.25">
      <c r="A507" s="3">
        <v>43922</v>
      </c>
      <c r="B507">
        <v>237892</v>
      </c>
      <c r="C507">
        <v>643219</v>
      </c>
      <c r="D507" t="s">
        <v>54</v>
      </c>
      <c r="E507" t="s">
        <v>55</v>
      </c>
      <c r="F507" t="s">
        <v>34</v>
      </c>
      <c r="G507" s="1">
        <v>13698.23290086726</v>
      </c>
      <c r="H507" s="2">
        <v>10958.586320693808</v>
      </c>
      <c r="I507" s="11" t="str">
        <f>VLOOKUP(BasePIs[[#This Row],[Produto]],DePara_Produto[],2,0)</f>
        <v>Varejo</v>
      </c>
      <c r="J507" s="13">
        <f>1</f>
        <v>1</v>
      </c>
    </row>
    <row r="508" spans="1:10" x14ac:dyDescent="0.25">
      <c r="A508" s="3">
        <v>43922</v>
      </c>
      <c r="B508">
        <v>237907</v>
      </c>
      <c r="C508">
        <v>643241</v>
      </c>
      <c r="D508" t="s">
        <v>56</v>
      </c>
      <c r="E508" t="s">
        <v>38</v>
      </c>
      <c r="F508" t="s">
        <v>28</v>
      </c>
      <c r="G508" s="1">
        <v>29530.166045426176</v>
      </c>
      <c r="H508" s="2">
        <v>23624.132836340941</v>
      </c>
      <c r="I508" s="11" t="str">
        <f>VLOOKUP(BasePIs[[#This Row],[Produto]],DePara_Produto[],2,0)</f>
        <v>Varejo</v>
      </c>
      <c r="J508" s="13">
        <f>1</f>
        <v>1</v>
      </c>
    </row>
    <row r="509" spans="1:10" x14ac:dyDescent="0.25">
      <c r="A509" s="3">
        <v>43922</v>
      </c>
      <c r="B509">
        <v>237908</v>
      </c>
      <c r="C509">
        <v>643242</v>
      </c>
      <c r="D509" t="s">
        <v>56</v>
      </c>
      <c r="E509" t="s">
        <v>38</v>
      </c>
      <c r="F509" t="s">
        <v>35</v>
      </c>
      <c r="G509" s="1">
        <v>34.614447612281452</v>
      </c>
      <c r="H509" s="2">
        <v>27.691558089825165</v>
      </c>
      <c r="I509" s="11" t="str">
        <f>VLOOKUP(BasePIs[[#This Row],[Produto]],DePara_Produto[],2,0)</f>
        <v>Varejo</v>
      </c>
      <c r="J509" s="13">
        <f>1</f>
        <v>1</v>
      </c>
    </row>
    <row r="510" spans="1:10" x14ac:dyDescent="0.25">
      <c r="A510" s="3">
        <v>43922</v>
      </c>
      <c r="B510">
        <v>237969</v>
      </c>
      <c r="C510">
        <v>643473</v>
      </c>
      <c r="D510" t="s">
        <v>54</v>
      </c>
      <c r="E510" t="s">
        <v>55</v>
      </c>
      <c r="F510" t="s">
        <v>29</v>
      </c>
      <c r="G510" s="1">
        <v>315050.18842920545</v>
      </c>
      <c r="H510" s="2">
        <v>252040.15074336436</v>
      </c>
      <c r="I510" s="11" t="str">
        <f>VLOOKUP(BasePIs[[#This Row],[Produto]],DePara_Produto[],2,0)</f>
        <v>Varejo</v>
      </c>
      <c r="J510" s="13">
        <f>1</f>
        <v>1</v>
      </c>
    </row>
    <row r="511" spans="1:10" x14ac:dyDescent="0.25">
      <c r="A511" s="3">
        <v>43922</v>
      </c>
      <c r="B511">
        <v>237972</v>
      </c>
      <c r="C511">
        <v>643476</v>
      </c>
      <c r="D511" t="s">
        <v>57</v>
      </c>
      <c r="E511" t="s">
        <v>58</v>
      </c>
      <c r="F511" t="s">
        <v>33</v>
      </c>
      <c r="G511" s="1">
        <v>21510.118585024047</v>
      </c>
      <c r="H511" s="2">
        <v>17208.094868019238</v>
      </c>
      <c r="I511" s="11" t="str">
        <f>VLOOKUP(BasePIs[[#This Row],[Produto]],DePara_Produto[],2,0)</f>
        <v>Outros</v>
      </c>
      <c r="J511" s="13">
        <f>1</f>
        <v>1</v>
      </c>
    </row>
    <row r="512" spans="1:10" x14ac:dyDescent="0.25">
      <c r="A512" s="3">
        <v>43922</v>
      </c>
      <c r="B512">
        <v>237973</v>
      </c>
      <c r="C512">
        <v>643477</v>
      </c>
      <c r="D512" t="s">
        <v>57</v>
      </c>
      <c r="E512" t="s">
        <v>58</v>
      </c>
      <c r="F512" t="s">
        <v>28</v>
      </c>
      <c r="G512" s="1">
        <v>305931.45383134676</v>
      </c>
      <c r="H512" s="2">
        <v>244745.16306507742</v>
      </c>
      <c r="I512" s="11" t="str">
        <f>VLOOKUP(BasePIs[[#This Row],[Produto]],DePara_Produto[],2,0)</f>
        <v>Outros</v>
      </c>
      <c r="J512" s="13">
        <f>1</f>
        <v>1</v>
      </c>
    </row>
    <row r="513" spans="1:10" x14ac:dyDescent="0.25">
      <c r="A513" s="3">
        <v>43922</v>
      </c>
      <c r="B513">
        <v>237974</v>
      </c>
      <c r="C513">
        <v>643478</v>
      </c>
      <c r="D513" t="s">
        <v>57</v>
      </c>
      <c r="E513" t="s">
        <v>58</v>
      </c>
      <c r="F513" t="s">
        <v>35</v>
      </c>
      <c r="G513" s="1">
        <v>8113.5671024324738</v>
      </c>
      <c r="H513" s="2">
        <v>6490.8536819459796</v>
      </c>
      <c r="I513" s="11" t="str">
        <f>VLOOKUP(BasePIs[[#This Row],[Produto]],DePara_Produto[],2,0)</f>
        <v>Outros</v>
      </c>
      <c r="J513" s="13">
        <f>1</f>
        <v>1</v>
      </c>
    </row>
    <row r="514" spans="1:10" x14ac:dyDescent="0.25">
      <c r="A514" s="3">
        <v>43922</v>
      </c>
      <c r="B514">
        <v>237980</v>
      </c>
      <c r="C514">
        <v>643484</v>
      </c>
      <c r="D514" t="s">
        <v>57</v>
      </c>
      <c r="E514" t="s">
        <v>58</v>
      </c>
      <c r="F514" t="s">
        <v>36</v>
      </c>
      <c r="G514" s="1">
        <v>39.140868902416123</v>
      </c>
      <c r="H514" s="2">
        <v>31.312695121932901</v>
      </c>
      <c r="I514" s="11" t="str">
        <f>VLOOKUP(BasePIs[[#This Row],[Produto]],DePara_Produto[],2,0)</f>
        <v>Outros</v>
      </c>
      <c r="J514" s="13">
        <f>1</f>
        <v>1</v>
      </c>
    </row>
    <row r="515" spans="1:10" x14ac:dyDescent="0.25">
      <c r="A515" s="3">
        <v>43922</v>
      </c>
      <c r="B515">
        <v>238001</v>
      </c>
      <c r="C515">
        <v>643511</v>
      </c>
      <c r="D515" t="s">
        <v>51</v>
      </c>
      <c r="E515" t="s">
        <v>52</v>
      </c>
      <c r="F515" t="s">
        <v>59</v>
      </c>
      <c r="G515" s="1">
        <v>199531.7763570082</v>
      </c>
      <c r="H515" s="2">
        <v>159625.42108560656</v>
      </c>
      <c r="I515" s="11" t="str">
        <f>VLOOKUP(BasePIs[[#This Row],[Produto]],DePara_Produto[],2,0)</f>
        <v>Outros</v>
      </c>
      <c r="J515" s="13">
        <f>1</f>
        <v>1</v>
      </c>
    </row>
    <row r="516" spans="1:10" x14ac:dyDescent="0.25">
      <c r="A516" s="3">
        <v>43922</v>
      </c>
      <c r="B516">
        <v>237886</v>
      </c>
      <c r="C516">
        <v>643213</v>
      </c>
      <c r="D516" t="s">
        <v>54</v>
      </c>
      <c r="E516" t="s">
        <v>55</v>
      </c>
      <c r="F516" t="s">
        <v>28</v>
      </c>
      <c r="G516" s="1">
        <v>327786.42759446474</v>
      </c>
      <c r="H516" s="2">
        <v>262229.14207557181</v>
      </c>
      <c r="I516" s="11" t="str">
        <f>VLOOKUP(BasePIs[[#This Row],[Produto]],DePara_Produto[],2,0)</f>
        <v>Varejo</v>
      </c>
      <c r="J516" s="13">
        <f>1</f>
        <v>1</v>
      </c>
    </row>
    <row r="517" spans="1:10" x14ac:dyDescent="0.25">
      <c r="A517" s="3">
        <v>43922</v>
      </c>
      <c r="B517">
        <v>237889</v>
      </c>
      <c r="C517">
        <v>643216</v>
      </c>
      <c r="D517" t="s">
        <v>54</v>
      </c>
      <c r="E517" t="s">
        <v>55</v>
      </c>
      <c r="F517" t="s">
        <v>25</v>
      </c>
      <c r="G517" s="1">
        <v>1414576.8006386256</v>
      </c>
      <c r="H517" s="2">
        <v>1131661.4405109005</v>
      </c>
      <c r="I517" s="11" t="str">
        <f>VLOOKUP(BasePIs[[#This Row],[Produto]],DePara_Produto[],2,0)</f>
        <v>Varejo</v>
      </c>
      <c r="J517" s="13">
        <f>1</f>
        <v>1</v>
      </c>
    </row>
    <row r="518" spans="1:10" x14ac:dyDescent="0.25">
      <c r="A518" s="3">
        <v>43922</v>
      </c>
      <c r="B518">
        <v>237890</v>
      </c>
      <c r="C518">
        <v>643217</v>
      </c>
      <c r="D518" t="s">
        <v>54</v>
      </c>
      <c r="E518" t="s">
        <v>55</v>
      </c>
      <c r="F518" t="s">
        <v>35</v>
      </c>
      <c r="G518" s="1">
        <v>209488.6890660983</v>
      </c>
      <c r="H518" s="2">
        <v>167590.95125287864</v>
      </c>
      <c r="I518" s="11" t="str">
        <f>VLOOKUP(BasePIs[[#This Row],[Produto]],DePara_Produto[],2,0)</f>
        <v>Varejo</v>
      </c>
      <c r="J518" s="13">
        <f>1</f>
        <v>1</v>
      </c>
    </row>
    <row r="519" spans="1:10" x14ac:dyDescent="0.25">
      <c r="A519" s="3">
        <v>43922</v>
      </c>
      <c r="B519">
        <v>237891</v>
      </c>
      <c r="C519">
        <v>643218</v>
      </c>
      <c r="D519" t="s">
        <v>54</v>
      </c>
      <c r="E519" t="s">
        <v>55</v>
      </c>
      <c r="F519" t="s">
        <v>34</v>
      </c>
      <c r="G519" s="1">
        <v>87298.502862165289</v>
      </c>
      <c r="H519" s="2">
        <v>69838.802289732237</v>
      </c>
      <c r="I519" s="11" t="str">
        <f>VLOOKUP(BasePIs[[#This Row],[Produto]],DePara_Produto[],2,0)</f>
        <v>Varejo</v>
      </c>
      <c r="J519" s="13">
        <f>1</f>
        <v>1</v>
      </c>
    </row>
    <row r="520" spans="1:10" x14ac:dyDescent="0.25">
      <c r="A520" s="3">
        <v>43922</v>
      </c>
      <c r="B520">
        <v>237892</v>
      </c>
      <c r="C520">
        <v>643219</v>
      </c>
      <c r="D520" t="s">
        <v>54</v>
      </c>
      <c r="E520" t="s">
        <v>55</v>
      </c>
      <c r="F520" t="s">
        <v>34</v>
      </c>
      <c r="G520" s="1">
        <v>25023.432068524733</v>
      </c>
      <c r="H520" s="2">
        <v>20018.745654819788</v>
      </c>
      <c r="I520" s="11" t="str">
        <f>VLOOKUP(BasePIs[[#This Row],[Produto]],DePara_Produto[],2,0)</f>
        <v>Varejo</v>
      </c>
      <c r="J520" s="13">
        <f>1</f>
        <v>1</v>
      </c>
    </row>
    <row r="521" spans="1:10" x14ac:dyDescent="0.25">
      <c r="A521" s="3">
        <v>43922</v>
      </c>
      <c r="B521">
        <v>237907</v>
      </c>
      <c r="C521">
        <v>643241</v>
      </c>
      <c r="D521" t="s">
        <v>56</v>
      </c>
      <c r="E521" t="s">
        <v>38</v>
      </c>
      <c r="F521" t="s">
        <v>28</v>
      </c>
      <c r="G521" s="1">
        <v>22925.431229965514</v>
      </c>
      <c r="H521" s="2">
        <v>18340.344983972413</v>
      </c>
      <c r="I521" s="11" t="str">
        <f>VLOOKUP(BasePIs[[#This Row],[Produto]],DePara_Produto[],2,0)</f>
        <v>Varejo</v>
      </c>
      <c r="J521" s="13">
        <f>1</f>
        <v>1</v>
      </c>
    </row>
    <row r="522" spans="1:10" x14ac:dyDescent="0.25">
      <c r="A522" s="3">
        <v>43922</v>
      </c>
      <c r="B522">
        <v>237908</v>
      </c>
      <c r="C522">
        <v>643242</v>
      </c>
      <c r="D522" t="s">
        <v>56</v>
      </c>
      <c r="E522" t="s">
        <v>38</v>
      </c>
      <c r="F522" t="s">
        <v>35</v>
      </c>
      <c r="G522" s="1">
        <v>23.434095286276122</v>
      </c>
      <c r="H522" s="2">
        <v>18.747276229020898</v>
      </c>
      <c r="I522" s="11" t="str">
        <f>VLOOKUP(BasePIs[[#This Row],[Produto]],DePara_Produto[],2,0)</f>
        <v>Varejo</v>
      </c>
      <c r="J522" s="13">
        <f>1</f>
        <v>1</v>
      </c>
    </row>
    <row r="523" spans="1:10" x14ac:dyDescent="0.25">
      <c r="A523" s="3">
        <v>43922</v>
      </c>
      <c r="B523">
        <v>237969</v>
      </c>
      <c r="C523">
        <v>643473</v>
      </c>
      <c r="D523" t="s">
        <v>54</v>
      </c>
      <c r="E523" t="s">
        <v>55</v>
      </c>
      <c r="F523" t="s">
        <v>29</v>
      </c>
      <c r="G523" s="1">
        <v>168353.85902594653</v>
      </c>
      <c r="H523" s="2">
        <v>134683.08722075724</v>
      </c>
      <c r="I523" s="11" t="str">
        <f>VLOOKUP(BasePIs[[#This Row],[Produto]],DePara_Produto[],2,0)</f>
        <v>Varejo</v>
      </c>
      <c r="J523" s="13">
        <f>1</f>
        <v>1</v>
      </c>
    </row>
    <row r="524" spans="1:10" x14ac:dyDescent="0.25">
      <c r="A524" s="3">
        <v>43922</v>
      </c>
      <c r="B524">
        <v>237972</v>
      </c>
      <c r="C524">
        <v>643476</v>
      </c>
      <c r="D524" t="s">
        <v>57</v>
      </c>
      <c r="E524" t="s">
        <v>58</v>
      </c>
      <c r="F524" t="s">
        <v>33</v>
      </c>
      <c r="G524" s="1">
        <v>7754.9999062877623</v>
      </c>
      <c r="H524" s="2">
        <v>6203.9999250302099</v>
      </c>
      <c r="I524" s="11" t="str">
        <f>VLOOKUP(BasePIs[[#This Row],[Produto]],DePara_Produto[],2,0)</f>
        <v>Outros</v>
      </c>
      <c r="J524" s="13">
        <f>1</f>
        <v>1</v>
      </c>
    </row>
    <row r="525" spans="1:10" x14ac:dyDescent="0.25">
      <c r="A525" s="3">
        <v>43922</v>
      </c>
      <c r="B525">
        <v>237973</v>
      </c>
      <c r="C525">
        <v>643477</v>
      </c>
      <c r="D525" t="s">
        <v>57</v>
      </c>
      <c r="E525" t="s">
        <v>58</v>
      </c>
      <c r="F525" t="s">
        <v>28</v>
      </c>
      <c r="G525" s="1">
        <v>254689.41792394489</v>
      </c>
      <c r="H525" s="2">
        <v>203751.53433915591</v>
      </c>
      <c r="I525" s="11" t="str">
        <f>VLOOKUP(BasePIs[[#This Row],[Produto]],DePara_Produto[],2,0)</f>
        <v>Outros</v>
      </c>
      <c r="J525" s="13">
        <f>1</f>
        <v>1</v>
      </c>
    </row>
    <row r="526" spans="1:10" x14ac:dyDescent="0.25">
      <c r="A526" s="3">
        <v>43922</v>
      </c>
      <c r="B526">
        <v>237974</v>
      </c>
      <c r="C526">
        <v>643478</v>
      </c>
      <c r="D526" t="s">
        <v>57</v>
      </c>
      <c r="E526" t="s">
        <v>58</v>
      </c>
      <c r="F526" t="s">
        <v>35</v>
      </c>
      <c r="G526" s="1">
        <v>41073.325253286566</v>
      </c>
      <c r="H526" s="2">
        <v>32858.660202629253</v>
      </c>
      <c r="I526" s="11" t="str">
        <f>VLOOKUP(BasePIs[[#This Row],[Produto]],DePara_Produto[],2,0)</f>
        <v>Outros</v>
      </c>
      <c r="J526" s="13">
        <f>1</f>
        <v>1</v>
      </c>
    </row>
    <row r="527" spans="1:10" x14ac:dyDescent="0.25">
      <c r="A527" s="3">
        <v>43922</v>
      </c>
      <c r="B527">
        <v>237980</v>
      </c>
      <c r="C527">
        <v>643484</v>
      </c>
      <c r="D527" t="s">
        <v>57</v>
      </c>
      <c r="E527" t="s">
        <v>58</v>
      </c>
      <c r="F527" t="s">
        <v>36</v>
      </c>
      <c r="G527" s="1">
        <v>73.918586547337341</v>
      </c>
      <c r="H527" s="2">
        <v>59.134869237869879</v>
      </c>
      <c r="I527" s="11" t="str">
        <f>VLOOKUP(BasePIs[[#This Row],[Produto]],DePara_Produto[],2,0)</f>
        <v>Outros</v>
      </c>
      <c r="J527" s="13">
        <f>1</f>
        <v>1</v>
      </c>
    </row>
    <row r="528" spans="1:10" x14ac:dyDescent="0.25">
      <c r="A528" s="3">
        <v>43922</v>
      </c>
      <c r="B528">
        <v>238001</v>
      </c>
      <c r="C528">
        <v>643511</v>
      </c>
      <c r="D528" t="s">
        <v>51</v>
      </c>
      <c r="E528" t="s">
        <v>52</v>
      </c>
      <c r="F528" t="s">
        <v>59</v>
      </c>
      <c r="G528" s="1">
        <v>228462.23380612556</v>
      </c>
      <c r="H528" s="2">
        <v>182769.78704490047</v>
      </c>
      <c r="I528" s="11" t="str">
        <f>VLOOKUP(BasePIs[[#This Row],[Produto]],DePara_Produto[],2,0)</f>
        <v>Outros</v>
      </c>
      <c r="J528" s="13">
        <f>1</f>
        <v>1</v>
      </c>
    </row>
    <row r="529" spans="1:10" x14ac:dyDescent="0.25">
      <c r="A529" s="3">
        <v>43922</v>
      </c>
      <c r="B529">
        <v>237736</v>
      </c>
      <c r="C529">
        <v>643033</v>
      </c>
      <c r="D529" t="s">
        <v>49</v>
      </c>
      <c r="E529" t="s">
        <v>49</v>
      </c>
      <c r="F529" t="s">
        <v>33</v>
      </c>
      <c r="G529" s="1">
        <v>339528.15612510033</v>
      </c>
      <c r="H529" s="2">
        <v>271622.52490008029</v>
      </c>
      <c r="I529" s="11" t="str">
        <f>VLOOKUP(BasePIs[[#This Row],[Produto]],DePara_Produto[],2,0)</f>
        <v>Outros</v>
      </c>
      <c r="J529" s="13">
        <f>1</f>
        <v>1</v>
      </c>
    </row>
    <row r="530" spans="1:10" x14ac:dyDescent="0.25">
      <c r="A530" s="3">
        <v>43922</v>
      </c>
      <c r="B530">
        <v>237738</v>
      </c>
      <c r="C530">
        <v>643039</v>
      </c>
      <c r="D530" t="s">
        <v>49</v>
      </c>
      <c r="E530" t="s">
        <v>49</v>
      </c>
      <c r="F530" t="s">
        <v>50</v>
      </c>
      <c r="G530" s="1">
        <v>133778.86526118056</v>
      </c>
      <c r="H530" s="2">
        <v>107023.09220894445</v>
      </c>
      <c r="I530" s="11" t="str">
        <f>VLOOKUP(BasePIs[[#This Row],[Produto]],DePara_Produto[],2,0)</f>
        <v>Outros</v>
      </c>
      <c r="J530" s="13">
        <f>1</f>
        <v>1</v>
      </c>
    </row>
    <row r="531" spans="1:10" x14ac:dyDescent="0.25">
      <c r="A531" s="3">
        <v>43922</v>
      </c>
      <c r="B531">
        <v>237739</v>
      </c>
      <c r="C531">
        <v>643035</v>
      </c>
      <c r="D531" t="s">
        <v>49</v>
      </c>
      <c r="E531" t="s">
        <v>49</v>
      </c>
      <c r="F531" t="s">
        <v>25</v>
      </c>
      <c r="G531" s="1">
        <v>107937.45051157575</v>
      </c>
      <c r="H531" s="2">
        <v>86349.960409260602</v>
      </c>
      <c r="I531" s="11" t="str">
        <f>VLOOKUP(BasePIs[[#This Row],[Produto]],DePara_Produto[],2,0)</f>
        <v>Outros</v>
      </c>
      <c r="J531" s="13">
        <f>1</f>
        <v>1</v>
      </c>
    </row>
    <row r="532" spans="1:10" x14ac:dyDescent="0.25">
      <c r="A532" s="3">
        <v>43922</v>
      </c>
      <c r="B532">
        <v>237743</v>
      </c>
      <c r="C532">
        <v>643042</v>
      </c>
      <c r="D532" t="s">
        <v>49</v>
      </c>
      <c r="E532" t="s">
        <v>49</v>
      </c>
      <c r="F532" t="s">
        <v>35</v>
      </c>
      <c r="G532" s="1">
        <v>435.70029631520396</v>
      </c>
      <c r="H532" s="2">
        <v>348.56023705216319</v>
      </c>
      <c r="I532" s="11" t="str">
        <f>VLOOKUP(BasePIs[[#This Row],[Produto]],DePara_Produto[],2,0)</f>
        <v>Outros</v>
      </c>
      <c r="J532" s="13">
        <f>1</f>
        <v>1</v>
      </c>
    </row>
    <row r="533" spans="1:10" x14ac:dyDescent="0.25">
      <c r="A533" s="3">
        <v>43922</v>
      </c>
      <c r="B533">
        <v>237744</v>
      </c>
      <c r="C533">
        <v>643043</v>
      </c>
      <c r="D533" t="s">
        <v>49</v>
      </c>
      <c r="E533" t="s">
        <v>49</v>
      </c>
      <c r="F533" t="s">
        <v>34</v>
      </c>
      <c r="G533" s="1">
        <v>9107.6634193670361</v>
      </c>
      <c r="H533" s="2">
        <v>7286.1307354936289</v>
      </c>
      <c r="I533" s="11" t="str">
        <f>VLOOKUP(BasePIs[[#This Row],[Produto]],DePara_Produto[],2,0)</f>
        <v>Outros</v>
      </c>
      <c r="J533" s="13">
        <f>1</f>
        <v>1</v>
      </c>
    </row>
    <row r="534" spans="1:10" x14ac:dyDescent="0.25">
      <c r="A534" s="3">
        <v>43922</v>
      </c>
      <c r="B534">
        <v>237745</v>
      </c>
      <c r="C534">
        <v>643045</v>
      </c>
      <c r="D534" t="s">
        <v>49</v>
      </c>
      <c r="E534" t="s">
        <v>49</v>
      </c>
      <c r="F534" t="s">
        <v>28</v>
      </c>
      <c r="G534" s="1">
        <v>72059.077909441417</v>
      </c>
      <c r="H534" s="2">
        <v>57647.262327553137</v>
      </c>
      <c r="I534" s="11" t="str">
        <f>VLOOKUP(BasePIs[[#This Row],[Produto]],DePara_Produto[],2,0)</f>
        <v>Outros</v>
      </c>
      <c r="J534" s="13">
        <f>1</f>
        <v>1</v>
      </c>
    </row>
    <row r="535" spans="1:10" x14ac:dyDescent="0.25">
      <c r="A535" s="3">
        <v>43922</v>
      </c>
      <c r="B535">
        <v>237746</v>
      </c>
      <c r="C535">
        <v>643046</v>
      </c>
      <c r="D535" t="s">
        <v>49</v>
      </c>
      <c r="E535" t="s">
        <v>49</v>
      </c>
      <c r="F535" t="s">
        <v>34</v>
      </c>
      <c r="G535" s="1">
        <v>209.2540678555238</v>
      </c>
      <c r="H535" s="2">
        <v>167.40325428441906</v>
      </c>
      <c r="I535" s="11" t="str">
        <f>VLOOKUP(BasePIs[[#This Row],[Produto]],DePara_Produto[],2,0)</f>
        <v>Outros</v>
      </c>
      <c r="J535" s="13">
        <f>1</f>
        <v>1</v>
      </c>
    </row>
    <row r="536" spans="1:10" x14ac:dyDescent="0.25">
      <c r="A536" s="3">
        <v>43922</v>
      </c>
      <c r="B536">
        <v>237747</v>
      </c>
      <c r="C536">
        <v>643047</v>
      </c>
      <c r="D536" t="s">
        <v>49</v>
      </c>
      <c r="E536" t="s">
        <v>49</v>
      </c>
      <c r="F536" t="s">
        <v>36</v>
      </c>
      <c r="G536" s="1">
        <v>1637.3863313619752</v>
      </c>
      <c r="H536" s="2">
        <v>1309.9090650895803</v>
      </c>
      <c r="I536" s="11" t="str">
        <f>VLOOKUP(BasePIs[[#This Row],[Produto]],DePara_Produto[],2,0)</f>
        <v>Outros</v>
      </c>
      <c r="J536" s="13">
        <f>1</f>
        <v>1</v>
      </c>
    </row>
    <row r="537" spans="1:10" x14ac:dyDescent="0.25">
      <c r="A537" s="3">
        <v>43922</v>
      </c>
      <c r="B537">
        <v>237835</v>
      </c>
      <c r="C537">
        <v>643138</v>
      </c>
      <c r="D537" t="s">
        <v>44</v>
      </c>
      <c r="E537" t="s">
        <v>44</v>
      </c>
      <c r="F537" t="s">
        <v>29</v>
      </c>
      <c r="G537" s="1">
        <v>459571.828455346</v>
      </c>
      <c r="H537" s="2">
        <v>367657.46276427683</v>
      </c>
      <c r="I537" s="11" t="str">
        <f>VLOOKUP(BasePIs[[#This Row],[Produto]],DePara_Produto[],2,0)</f>
        <v>Amarok</v>
      </c>
      <c r="J537" s="13">
        <f>1</f>
        <v>1</v>
      </c>
    </row>
    <row r="538" spans="1:10" x14ac:dyDescent="0.25">
      <c r="A538" s="3">
        <v>43922</v>
      </c>
      <c r="B538">
        <v>237874</v>
      </c>
      <c r="C538">
        <v>643197</v>
      </c>
      <c r="D538" t="s">
        <v>51</v>
      </c>
      <c r="E538" t="s">
        <v>52</v>
      </c>
      <c r="F538" t="s">
        <v>53</v>
      </c>
      <c r="G538" s="1">
        <v>52333.893702197813</v>
      </c>
      <c r="H538" s="2">
        <v>41867.114961758256</v>
      </c>
      <c r="I538" s="11" t="str">
        <f>VLOOKUP(BasePIs[[#This Row],[Produto]],DePara_Produto[],2,0)</f>
        <v>Outros</v>
      </c>
      <c r="J538" s="13">
        <f>1</f>
        <v>1</v>
      </c>
    </row>
    <row r="539" spans="1:10" x14ac:dyDescent="0.25">
      <c r="A539" s="3">
        <v>43922</v>
      </c>
      <c r="B539">
        <v>237875</v>
      </c>
      <c r="C539">
        <v>643198</v>
      </c>
      <c r="D539" t="s">
        <v>51</v>
      </c>
      <c r="E539" t="s">
        <v>52</v>
      </c>
      <c r="F539" t="s">
        <v>33</v>
      </c>
      <c r="G539" s="1">
        <v>3190400.4224024052</v>
      </c>
      <c r="H539" s="2">
        <v>2552320.3379219244</v>
      </c>
      <c r="I539" s="11" t="str">
        <f>VLOOKUP(BasePIs[[#This Row],[Produto]],DePara_Produto[],2,0)</f>
        <v>Outros</v>
      </c>
      <c r="J539" s="13">
        <f>1</f>
        <v>1</v>
      </c>
    </row>
    <row r="540" spans="1:10" x14ac:dyDescent="0.25">
      <c r="A540" s="3">
        <v>43922</v>
      </c>
      <c r="B540">
        <v>237877</v>
      </c>
      <c r="C540">
        <v>643200</v>
      </c>
      <c r="D540" t="s">
        <v>51</v>
      </c>
      <c r="E540" t="s">
        <v>52</v>
      </c>
      <c r="F540" t="s">
        <v>28</v>
      </c>
      <c r="G540" s="1">
        <v>984323.41217893688</v>
      </c>
      <c r="H540" s="2">
        <v>787458.7297431496</v>
      </c>
      <c r="I540" s="11" t="str">
        <f>VLOOKUP(BasePIs[[#This Row],[Produto]],DePara_Produto[],2,0)</f>
        <v>Outros</v>
      </c>
      <c r="J540" s="13">
        <f>1</f>
        <v>1</v>
      </c>
    </row>
    <row r="541" spans="1:10" x14ac:dyDescent="0.25">
      <c r="A541" s="3">
        <v>43922</v>
      </c>
      <c r="B541">
        <v>237879</v>
      </c>
      <c r="C541">
        <v>643202</v>
      </c>
      <c r="D541" t="s">
        <v>51</v>
      </c>
      <c r="E541" t="s">
        <v>52</v>
      </c>
      <c r="F541" t="s">
        <v>32</v>
      </c>
      <c r="G541" s="1">
        <v>746810.94225285586</v>
      </c>
      <c r="H541" s="2">
        <v>597448.75380228471</v>
      </c>
      <c r="I541" s="11" t="str">
        <f>VLOOKUP(BasePIs[[#This Row],[Produto]],DePara_Produto[],2,0)</f>
        <v>Outros</v>
      </c>
      <c r="J541" s="13">
        <f>1</f>
        <v>1</v>
      </c>
    </row>
    <row r="542" spans="1:10" x14ac:dyDescent="0.25">
      <c r="A542" s="3">
        <v>43922</v>
      </c>
      <c r="B542">
        <v>237880</v>
      </c>
      <c r="C542">
        <v>643203</v>
      </c>
      <c r="D542" t="s">
        <v>51</v>
      </c>
      <c r="E542" t="s">
        <v>52</v>
      </c>
      <c r="F542" t="s">
        <v>25</v>
      </c>
      <c r="G542" s="1">
        <v>1242978.3241403524</v>
      </c>
      <c r="H542" s="2">
        <v>994382.65931228199</v>
      </c>
      <c r="I542" s="11" t="str">
        <f>VLOOKUP(BasePIs[[#This Row],[Produto]],DePara_Produto[],2,0)</f>
        <v>Outros</v>
      </c>
      <c r="J542" s="13">
        <f>1</f>
        <v>1</v>
      </c>
    </row>
    <row r="543" spans="1:10" x14ac:dyDescent="0.25">
      <c r="A543" s="3">
        <v>43922</v>
      </c>
      <c r="B543">
        <v>237881</v>
      </c>
      <c r="C543">
        <v>643205</v>
      </c>
      <c r="D543" t="s">
        <v>51</v>
      </c>
      <c r="E543" t="s">
        <v>52</v>
      </c>
      <c r="F543" t="s">
        <v>35</v>
      </c>
      <c r="G543" s="1">
        <v>41080.24724601378</v>
      </c>
      <c r="H543" s="2">
        <v>32864.197796811022</v>
      </c>
      <c r="I543" s="11" t="str">
        <f>VLOOKUP(BasePIs[[#This Row],[Produto]],DePara_Produto[],2,0)</f>
        <v>Outros</v>
      </c>
      <c r="J543" s="13">
        <f>1</f>
        <v>1</v>
      </c>
    </row>
    <row r="544" spans="1:10" x14ac:dyDescent="0.25">
      <c r="A544" s="3">
        <v>43922</v>
      </c>
      <c r="B544">
        <v>237882</v>
      </c>
      <c r="C544">
        <v>643206</v>
      </c>
      <c r="D544" t="s">
        <v>51</v>
      </c>
      <c r="E544" t="s">
        <v>52</v>
      </c>
      <c r="F544" t="s">
        <v>34</v>
      </c>
      <c r="G544" s="1">
        <v>47755.301576873346</v>
      </c>
      <c r="H544" s="2">
        <v>38204.241261498675</v>
      </c>
      <c r="I544" s="11" t="str">
        <f>VLOOKUP(BasePIs[[#This Row],[Produto]],DePara_Produto[],2,0)</f>
        <v>Outros</v>
      </c>
      <c r="J544" s="13">
        <f>1</f>
        <v>1</v>
      </c>
    </row>
    <row r="545" spans="1:10" x14ac:dyDescent="0.25">
      <c r="A545" s="3">
        <v>43922</v>
      </c>
      <c r="B545">
        <v>237883</v>
      </c>
      <c r="C545">
        <v>643207</v>
      </c>
      <c r="D545" t="s">
        <v>51</v>
      </c>
      <c r="E545" t="s">
        <v>52</v>
      </c>
      <c r="F545" t="s">
        <v>34</v>
      </c>
      <c r="G545" s="1">
        <v>40708.401390592095</v>
      </c>
      <c r="H545" s="2">
        <v>32566.721112473679</v>
      </c>
      <c r="I545" s="11" t="str">
        <f>VLOOKUP(BasePIs[[#This Row],[Produto]],DePara_Produto[],2,0)</f>
        <v>Outros</v>
      </c>
      <c r="J545" s="13">
        <f>1</f>
        <v>1</v>
      </c>
    </row>
    <row r="546" spans="1:10" x14ac:dyDescent="0.25">
      <c r="A546" s="3">
        <v>43922</v>
      </c>
      <c r="B546">
        <v>237884</v>
      </c>
      <c r="C546">
        <v>643208</v>
      </c>
      <c r="D546" t="s">
        <v>51</v>
      </c>
      <c r="E546" t="s">
        <v>52</v>
      </c>
      <c r="F546" t="s">
        <v>36</v>
      </c>
      <c r="G546" s="1">
        <v>5710.3982889155468</v>
      </c>
      <c r="H546" s="2">
        <v>4568.318631132438</v>
      </c>
      <c r="I546" s="11" t="str">
        <f>VLOOKUP(BasePIs[[#This Row],[Produto]],DePara_Produto[],2,0)</f>
        <v>Outros</v>
      </c>
      <c r="J546" s="13">
        <f>1</f>
        <v>1</v>
      </c>
    </row>
    <row r="547" spans="1:10" x14ac:dyDescent="0.25">
      <c r="A547" s="3">
        <v>43922</v>
      </c>
      <c r="B547">
        <v>237886</v>
      </c>
      <c r="C547">
        <v>643213</v>
      </c>
      <c r="D547" t="s">
        <v>54</v>
      </c>
      <c r="E547" t="s">
        <v>55</v>
      </c>
      <c r="F547" t="s">
        <v>28</v>
      </c>
      <c r="G547" s="1">
        <v>265698.89067856182</v>
      </c>
      <c r="H547" s="2">
        <v>212559.11254284947</v>
      </c>
      <c r="I547" s="11" t="str">
        <f>VLOOKUP(BasePIs[[#This Row],[Produto]],DePara_Produto[],2,0)</f>
        <v>Varejo</v>
      </c>
      <c r="J547" s="13">
        <f>1</f>
        <v>1</v>
      </c>
    </row>
    <row r="548" spans="1:10" x14ac:dyDescent="0.25">
      <c r="A548" s="3">
        <v>44136</v>
      </c>
      <c r="B548">
        <v>237889</v>
      </c>
      <c r="C548">
        <v>643216</v>
      </c>
      <c r="D548" t="s">
        <v>54</v>
      </c>
      <c r="E548" t="s">
        <v>55</v>
      </c>
      <c r="F548" t="s">
        <v>25</v>
      </c>
      <c r="G548" s="1">
        <v>1229925.5350188341</v>
      </c>
      <c r="H548" s="2">
        <v>983940.42801506724</v>
      </c>
      <c r="I548" s="11" t="str">
        <f>VLOOKUP(BasePIs[[#This Row],[Produto]],DePara_Produto[],2,0)</f>
        <v>Varejo</v>
      </c>
      <c r="J548" s="13">
        <f>1</f>
        <v>1</v>
      </c>
    </row>
    <row r="549" spans="1:10" x14ac:dyDescent="0.25">
      <c r="A549" s="3">
        <v>44136</v>
      </c>
      <c r="B549">
        <v>237890</v>
      </c>
      <c r="C549">
        <v>643217</v>
      </c>
      <c r="D549" t="s">
        <v>54</v>
      </c>
      <c r="E549" t="s">
        <v>55</v>
      </c>
      <c r="F549" t="s">
        <v>35</v>
      </c>
      <c r="G549" s="1">
        <v>43992.067699819141</v>
      </c>
      <c r="H549" s="2">
        <v>35193.654159855316</v>
      </c>
      <c r="I549" s="11" t="str">
        <f>VLOOKUP(BasePIs[[#This Row],[Produto]],DePara_Produto[],2,0)</f>
        <v>Varejo</v>
      </c>
      <c r="J549" s="13">
        <f>1</f>
        <v>1</v>
      </c>
    </row>
    <row r="550" spans="1:10" x14ac:dyDescent="0.25">
      <c r="A550" s="3">
        <v>44136</v>
      </c>
      <c r="B550">
        <v>237891</v>
      </c>
      <c r="C550">
        <v>643218</v>
      </c>
      <c r="D550" t="s">
        <v>54</v>
      </c>
      <c r="E550" t="s">
        <v>55</v>
      </c>
      <c r="F550" t="s">
        <v>34</v>
      </c>
      <c r="G550" s="1">
        <v>127096.5668323665</v>
      </c>
      <c r="H550" s="2">
        <v>101677.25346589321</v>
      </c>
      <c r="I550" s="11" t="str">
        <f>VLOOKUP(BasePIs[[#This Row],[Produto]],DePara_Produto[],2,0)</f>
        <v>Varejo</v>
      </c>
      <c r="J550" s="13">
        <f>1</f>
        <v>1</v>
      </c>
    </row>
    <row r="551" spans="1:10" x14ac:dyDescent="0.25">
      <c r="A551" s="3">
        <v>44136</v>
      </c>
      <c r="B551">
        <v>237892</v>
      </c>
      <c r="C551">
        <v>643219</v>
      </c>
      <c r="D551" t="s">
        <v>54</v>
      </c>
      <c r="E551" t="s">
        <v>55</v>
      </c>
      <c r="F551" t="s">
        <v>34</v>
      </c>
      <c r="G551" s="1">
        <v>37127.646573947335</v>
      </c>
      <c r="H551" s="2">
        <v>29702.117259157869</v>
      </c>
      <c r="I551" s="11" t="str">
        <f>VLOOKUP(BasePIs[[#This Row],[Produto]],DePara_Produto[],2,0)</f>
        <v>Varejo</v>
      </c>
      <c r="J551" s="13">
        <f>1</f>
        <v>1</v>
      </c>
    </row>
    <row r="552" spans="1:10" x14ac:dyDescent="0.25">
      <c r="A552" s="3">
        <v>44136</v>
      </c>
      <c r="B552">
        <v>237907</v>
      </c>
      <c r="C552">
        <v>643241</v>
      </c>
      <c r="D552" t="s">
        <v>56</v>
      </c>
      <c r="E552" t="s">
        <v>38</v>
      </c>
      <c r="F552" t="s">
        <v>28</v>
      </c>
      <c r="G552" s="1">
        <v>13484.491554987802</v>
      </c>
      <c r="H552" s="2">
        <v>10787.593243990243</v>
      </c>
      <c r="I552" s="11" t="str">
        <f>VLOOKUP(BasePIs[[#This Row],[Produto]],DePara_Produto[],2,0)</f>
        <v>Varejo</v>
      </c>
      <c r="J552" s="13">
        <f>1</f>
        <v>1</v>
      </c>
    </row>
    <row r="553" spans="1:10" x14ac:dyDescent="0.25">
      <c r="A553" s="3">
        <v>44136</v>
      </c>
      <c r="B553">
        <v>237908</v>
      </c>
      <c r="C553">
        <v>643242</v>
      </c>
      <c r="D553" t="s">
        <v>56</v>
      </c>
      <c r="E553" t="s">
        <v>38</v>
      </c>
      <c r="F553" t="s">
        <v>35</v>
      </c>
      <c r="G553" s="1">
        <v>50.082655650747355</v>
      </c>
      <c r="H553" s="2">
        <v>40.066124520597889</v>
      </c>
      <c r="I553" s="11" t="str">
        <f>VLOOKUP(BasePIs[[#This Row],[Produto]],DePara_Produto[],2,0)</f>
        <v>Varejo</v>
      </c>
      <c r="J553" s="13">
        <f>1</f>
        <v>1</v>
      </c>
    </row>
    <row r="554" spans="1:10" x14ac:dyDescent="0.25">
      <c r="A554" s="3">
        <v>44136</v>
      </c>
      <c r="B554">
        <v>237969</v>
      </c>
      <c r="C554">
        <v>643473</v>
      </c>
      <c r="D554" t="s">
        <v>54</v>
      </c>
      <c r="E554" t="s">
        <v>55</v>
      </c>
      <c r="F554" t="s">
        <v>29</v>
      </c>
      <c r="G554" s="1">
        <v>198244.9727925967</v>
      </c>
      <c r="H554" s="2">
        <v>158595.97823407737</v>
      </c>
      <c r="I554" s="11" t="str">
        <f>VLOOKUP(BasePIs[[#This Row],[Produto]],DePara_Produto[],2,0)</f>
        <v>Varejo</v>
      </c>
      <c r="J554" s="13">
        <f>1</f>
        <v>1</v>
      </c>
    </row>
    <row r="555" spans="1:10" x14ac:dyDescent="0.25">
      <c r="A555" s="3">
        <v>44136</v>
      </c>
      <c r="B555">
        <v>237972</v>
      </c>
      <c r="C555">
        <v>643476</v>
      </c>
      <c r="D555" t="s">
        <v>57</v>
      </c>
      <c r="E555" t="s">
        <v>58</v>
      </c>
      <c r="F555" t="s">
        <v>33</v>
      </c>
      <c r="G555" s="1">
        <v>5267.1495563549825</v>
      </c>
      <c r="H555" s="2">
        <v>4213.7196450839865</v>
      </c>
      <c r="I555" s="11" t="str">
        <f>VLOOKUP(BasePIs[[#This Row],[Produto]],DePara_Produto[],2,0)</f>
        <v>Outros</v>
      </c>
      <c r="J555" s="13">
        <f>1</f>
        <v>1</v>
      </c>
    </row>
    <row r="556" spans="1:10" x14ac:dyDescent="0.25">
      <c r="A556" s="3">
        <v>44136</v>
      </c>
      <c r="B556">
        <v>237973</v>
      </c>
      <c r="C556">
        <v>643477</v>
      </c>
      <c r="D556" t="s">
        <v>57</v>
      </c>
      <c r="E556" t="s">
        <v>58</v>
      </c>
      <c r="F556" t="s">
        <v>28</v>
      </c>
      <c r="G556" s="1">
        <v>338565.16302348161</v>
      </c>
      <c r="H556" s="2">
        <v>270852.13041878532</v>
      </c>
      <c r="I556" s="11" t="str">
        <f>VLOOKUP(BasePIs[[#This Row],[Produto]],DePara_Produto[],2,0)</f>
        <v>Outros</v>
      </c>
      <c r="J556" s="13">
        <f>1</f>
        <v>1</v>
      </c>
    </row>
    <row r="557" spans="1:10" x14ac:dyDescent="0.25">
      <c r="A557" s="3">
        <v>44136</v>
      </c>
      <c r="B557">
        <v>237974</v>
      </c>
      <c r="C557">
        <v>643478</v>
      </c>
      <c r="D557" t="s">
        <v>57</v>
      </c>
      <c r="E557" t="s">
        <v>58</v>
      </c>
      <c r="F557" t="s">
        <v>35</v>
      </c>
      <c r="G557" s="1">
        <v>15075.785903004526</v>
      </c>
      <c r="H557" s="2">
        <v>12060.62872240362</v>
      </c>
      <c r="I557" s="11" t="str">
        <f>VLOOKUP(BasePIs[[#This Row],[Produto]],DePara_Produto[],2,0)</f>
        <v>Outros</v>
      </c>
      <c r="J557" s="13">
        <f>1</f>
        <v>1</v>
      </c>
    </row>
    <row r="558" spans="1:10" x14ac:dyDescent="0.25">
      <c r="A558" s="3">
        <v>44136</v>
      </c>
      <c r="B558">
        <v>237980</v>
      </c>
      <c r="C558">
        <v>643484</v>
      </c>
      <c r="D558" t="s">
        <v>57</v>
      </c>
      <c r="E558" t="s">
        <v>58</v>
      </c>
      <c r="F558" t="s">
        <v>36</v>
      </c>
      <c r="G558" s="1">
        <v>40.026709032111626</v>
      </c>
      <c r="H558" s="2">
        <v>32.021367225689303</v>
      </c>
      <c r="I558" s="11" t="str">
        <f>VLOOKUP(BasePIs[[#This Row],[Produto]],DePara_Produto[],2,0)</f>
        <v>Outros</v>
      </c>
      <c r="J558" s="13">
        <f>1</f>
        <v>1</v>
      </c>
    </row>
    <row r="559" spans="1:10" x14ac:dyDescent="0.25">
      <c r="A559" s="3">
        <v>44136</v>
      </c>
      <c r="B559">
        <v>238001</v>
      </c>
      <c r="C559">
        <v>643511</v>
      </c>
      <c r="D559" t="s">
        <v>51</v>
      </c>
      <c r="E559" t="s">
        <v>52</v>
      </c>
      <c r="F559" t="s">
        <v>59</v>
      </c>
      <c r="G559" s="1">
        <v>326461.42591236328</v>
      </c>
      <c r="H559" s="2">
        <v>261169.14072989064</v>
      </c>
      <c r="I559" s="11" t="str">
        <f>VLOOKUP(BasePIs[[#This Row],[Produto]],DePara_Produto[],2,0)</f>
        <v>Outros</v>
      </c>
      <c r="J559" s="13">
        <f>1</f>
        <v>1</v>
      </c>
    </row>
    <row r="560" spans="1:10" x14ac:dyDescent="0.25">
      <c r="A560" s="3">
        <v>44136</v>
      </c>
      <c r="B560">
        <v>237746</v>
      </c>
      <c r="C560">
        <v>643046</v>
      </c>
      <c r="D560" t="s">
        <v>49</v>
      </c>
      <c r="E560" t="s">
        <v>49</v>
      </c>
      <c r="F560" t="s">
        <v>34</v>
      </c>
      <c r="G560" s="1">
        <v>126.96473981093384</v>
      </c>
      <c r="H560" s="2">
        <v>101.57179184874707</v>
      </c>
      <c r="I560" s="11" t="str">
        <f>VLOOKUP(BasePIs[[#This Row],[Produto]],DePara_Produto[],2,0)</f>
        <v>Outros</v>
      </c>
      <c r="J560" s="13">
        <f>1</f>
        <v>1</v>
      </c>
    </row>
    <row r="561" spans="1:10" x14ac:dyDescent="0.25">
      <c r="A561" s="3">
        <v>44136</v>
      </c>
      <c r="B561">
        <v>237747</v>
      </c>
      <c r="C561">
        <v>643047</v>
      </c>
      <c r="D561" t="s">
        <v>49</v>
      </c>
      <c r="E561" t="s">
        <v>49</v>
      </c>
      <c r="F561" t="s">
        <v>36</v>
      </c>
      <c r="G561" s="1">
        <v>17941.288558975448</v>
      </c>
      <c r="H561" s="2">
        <v>14353.030847180358</v>
      </c>
      <c r="I561" s="11" t="str">
        <f>VLOOKUP(BasePIs[[#This Row],[Produto]],DePara_Produto[],2,0)</f>
        <v>Outros</v>
      </c>
      <c r="J561" s="13">
        <f>1</f>
        <v>1</v>
      </c>
    </row>
    <row r="562" spans="1:10" x14ac:dyDescent="0.25">
      <c r="A562" s="3">
        <v>44136</v>
      </c>
      <c r="B562">
        <v>237835</v>
      </c>
      <c r="C562">
        <v>643138</v>
      </c>
      <c r="D562" t="s">
        <v>44</v>
      </c>
      <c r="E562" t="s">
        <v>44</v>
      </c>
      <c r="F562" t="s">
        <v>29</v>
      </c>
      <c r="G562" s="1">
        <v>296501.75981703622</v>
      </c>
      <c r="H562" s="2">
        <v>237201.40785362897</v>
      </c>
      <c r="I562" s="11" t="str">
        <f>VLOOKUP(BasePIs[[#This Row],[Produto]],DePara_Produto[],2,0)</f>
        <v>Amarok</v>
      </c>
      <c r="J562" s="13">
        <f>1</f>
        <v>1</v>
      </c>
    </row>
    <row r="563" spans="1:10" x14ac:dyDescent="0.25">
      <c r="A563" s="3">
        <v>44136</v>
      </c>
      <c r="B563">
        <v>237874</v>
      </c>
      <c r="C563">
        <v>643197</v>
      </c>
      <c r="D563" t="s">
        <v>51</v>
      </c>
      <c r="E563" t="s">
        <v>52</v>
      </c>
      <c r="F563" t="s">
        <v>53</v>
      </c>
      <c r="G563" s="1">
        <v>70367.169181749545</v>
      </c>
      <c r="H563" s="2">
        <v>56293.73534539964</v>
      </c>
      <c r="I563" s="11" t="str">
        <f>VLOOKUP(BasePIs[[#This Row],[Produto]],DePara_Produto[],2,0)</f>
        <v>Outros</v>
      </c>
      <c r="J563" s="13">
        <f>1</f>
        <v>1</v>
      </c>
    </row>
    <row r="564" spans="1:10" x14ac:dyDescent="0.25">
      <c r="A564" s="3">
        <v>44136</v>
      </c>
      <c r="B564">
        <v>237875</v>
      </c>
      <c r="C564">
        <v>643198</v>
      </c>
      <c r="D564" t="s">
        <v>51</v>
      </c>
      <c r="E564" t="s">
        <v>52</v>
      </c>
      <c r="F564" t="s">
        <v>33</v>
      </c>
      <c r="G564" s="1">
        <v>1856587.7412640967</v>
      </c>
      <c r="H564" s="2">
        <v>1485270.1930112774</v>
      </c>
      <c r="I564" s="11" t="str">
        <f>VLOOKUP(BasePIs[[#This Row],[Produto]],DePara_Produto[],2,0)</f>
        <v>Outros</v>
      </c>
      <c r="J564" s="13">
        <f>1</f>
        <v>1</v>
      </c>
    </row>
    <row r="565" spans="1:10" x14ac:dyDescent="0.25">
      <c r="A565" s="3">
        <v>44136</v>
      </c>
      <c r="B565">
        <v>237877</v>
      </c>
      <c r="C565">
        <v>643200</v>
      </c>
      <c r="D565" t="s">
        <v>51</v>
      </c>
      <c r="E565" t="s">
        <v>52</v>
      </c>
      <c r="F565" t="s">
        <v>28</v>
      </c>
      <c r="G565" s="1">
        <v>1033747.0637652978</v>
      </c>
      <c r="H565" s="2">
        <v>826997.65101223823</v>
      </c>
      <c r="I565" s="11" t="str">
        <f>VLOOKUP(BasePIs[[#This Row],[Produto]],DePara_Produto[],2,0)</f>
        <v>Outros</v>
      </c>
      <c r="J565" s="13">
        <f>1</f>
        <v>1</v>
      </c>
    </row>
    <row r="566" spans="1:10" x14ac:dyDescent="0.25">
      <c r="A566" s="3">
        <v>44136</v>
      </c>
      <c r="B566">
        <v>237879</v>
      </c>
      <c r="C566">
        <v>643202</v>
      </c>
      <c r="D566" t="s">
        <v>51</v>
      </c>
      <c r="E566" t="s">
        <v>52</v>
      </c>
      <c r="F566" t="s">
        <v>32</v>
      </c>
      <c r="G566" s="1">
        <v>760655.78530037182</v>
      </c>
      <c r="H566" s="2">
        <v>608524.62824029743</v>
      </c>
      <c r="I566" s="11" t="str">
        <f>VLOOKUP(BasePIs[[#This Row],[Produto]],DePara_Produto[],2,0)</f>
        <v>Outros</v>
      </c>
      <c r="J566" s="13">
        <f>1</f>
        <v>1</v>
      </c>
    </row>
    <row r="567" spans="1:10" x14ac:dyDescent="0.25">
      <c r="A567" s="3">
        <v>44136</v>
      </c>
      <c r="B567">
        <v>237880</v>
      </c>
      <c r="C567">
        <v>643203</v>
      </c>
      <c r="D567" t="s">
        <v>51</v>
      </c>
      <c r="E567" t="s">
        <v>52</v>
      </c>
      <c r="F567" t="s">
        <v>25</v>
      </c>
      <c r="G567" s="1">
        <v>6090052.7533745887</v>
      </c>
      <c r="H567" s="2">
        <v>4872042.2026996715</v>
      </c>
      <c r="I567" s="11" t="str">
        <f>VLOOKUP(BasePIs[[#This Row],[Produto]],DePara_Produto[],2,0)</f>
        <v>Outros</v>
      </c>
      <c r="J567" s="13">
        <f>1</f>
        <v>1</v>
      </c>
    </row>
    <row r="568" spans="1:10" x14ac:dyDescent="0.25">
      <c r="A568" s="3">
        <v>44136</v>
      </c>
      <c r="B568">
        <v>237881</v>
      </c>
      <c r="C568">
        <v>643205</v>
      </c>
      <c r="D568" t="s">
        <v>51</v>
      </c>
      <c r="E568" t="s">
        <v>52</v>
      </c>
      <c r="F568" t="s">
        <v>35</v>
      </c>
      <c r="G568" s="1">
        <v>543727.22909014428</v>
      </c>
      <c r="H568" s="2">
        <v>434981.78327211546</v>
      </c>
      <c r="I568" s="11" t="str">
        <f>VLOOKUP(BasePIs[[#This Row],[Produto]],DePara_Produto[],2,0)</f>
        <v>Outros</v>
      </c>
      <c r="J568" s="13">
        <f>1</f>
        <v>1</v>
      </c>
    </row>
    <row r="569" spans="1:10" x14ac:dyDescent="0.25">
      <c r="A569" s="3">
        <v>44136</v>
      </c>
      <c r="B569">
        <v>237882</v>
      </c>
      <c r="C569">
        <v>643206</v>
      </c>
      <c r="D569" t="s">
        <v>51</v>
      </c>
      <c r="E569" t="s">
        <v>52</v>
      </c>
      <c r="F569" t="s">
        <v>34</v>
      </c>
      <c r="G569" s="1">
        <v>127709.14717348822</v>
      </c>
      <c r="H569" s="2">
        <v>102167.31773879059</v>
      </c>
      <c r="I569" s="11" t="str">
        <f>VLOOKUP(BasePIs[[#This Row],[Produto]],DePara_Produto[],2,0)</f>
        <v>Outros</v>
      </c>
      <c r="J569" s="13">
        <f>1</f>
        <v>1</v>
      </c>
    </row>
    <row r="570" spans="1:10" x14ac:dyDescent="0.25">
      <c r="A570" s="3">
        <v>44136</v>
      </c>
      <c r="B570">
        <v>237883</v>
      </c>
      <c r="C570">
        <v>643207</v>
      </c>
      <c r="D570" t="s">
        <v>51</v>
      </c>
      <c r="E570" t="s">
        <v>52</v>
      </c>
      <c r="F570" t="s">
        <v>34</v>
      </c>
      <c r="G570" s="1">
        <v>84892.91847503891</v>
      </c>
      <c r="H570" s="2">
        <v>67914.334780031131</v>
      </c>
      <c r="I570" s="11" t="str">
        <f>VLOOKUP(BasePIs[[#This Row],[Produto]],DePara_Produto[],2,0)</f>
        <v>Outros</v>
      </c>
      <c r="J570" s="13">
        <f>1</f>
        <v>1</v>
      </c>
    </row>
    <row r="571" spans="1:10" x14ac:dyDescent="0.25">
      <c r="A571" s="3">
        <v>44136</v>
      </c>
      <c r="B571">
        <v>237884</v>
      </c>
      <c r="C571">
        <v>643208</v>
      </c>
      <c r="D571" t="s">
        <v>51</v>
      </c>
      <c r="E571" t="s">
        <v>52</v>
      </c>
      <c r="F571" t="s">
        <v>36</v>
      </c>
      <c r="G571" s="1">
        <v>8037.2795919849023</v>
      </c>
      <c r="H571" s="2">
        <v>6429.8236735879218</v>
      </c>
      <c r="I571" s="11" t="str">
        <f>VLOOKUP(BasePIs[[#This Row],[Produto]],DePara_Produto[],2,0)</f>
        <v>Outros</v>
      </c>
      <c r="J571" s="13">
        <f>1</f>
        <v>1</v>
      </c>
    </row>
    <row r="572" spans="1:10" x14ac:dyDescent="0.25">
      <c r="A572" s="3">
        <v>44136</v>
      </c>
      <c r="B572">
        <v>237886</v>
      </c>
      <c r="C572">
        <v>643213</v>
      </c>
      <c r="D572" t="s">
        <v>54</v>
      </c>
      <c r="E572" t="s">
        <v>55</v>
      </c>
      <c r="F572" t="s">
        <v>28</v>
      </c>
      <c r="G572" s="1">
        <v>659889.93005271489</v>
      </c>
      <c r="H572" s="2">
        <v>527911.94404217193</v>
      </c>
      <c r="I572" s="11" t="str">
        <f>VLOOKUP(BasePIs[[#This Row],[Produto]],DePara_Produto[],2,0)</f>
        <v>Varejo</v>
      </c>
      <c r="J572" s="13">
        <f>1</f>
        <v>1</v>
      </c>
    </row>
    <row r="573" spans="1:10" x14ac:dyDescent="0.25">
      <c r="A573" s="3">
        <v>44136</v>
      </c>
      <c r="B573">
        <v>237889</v>
      </c>
      <c r="C573">
        <v>643216</v>
      </c>
      <c r="D573" t="s">
        <v>54</v>
      </c>
      <c r="E573" t="s">
        <v>55</v>
      </c>
      <c r="F573" t="s">
        <v>25</v>
      </c>
      <c r="G573" s="1">
        <v>3393961.3734336309</v>
      </c>
      <c r="H573" s="2">
        <v>2715169.0987469051</v>
      </c>
      <c r="I573" s="11" t="str">
        <f>VLOOKUP(BasePIs[[#This Row],[Produto]],DePara_Produto[],2,0)</f>
        <v>Varejo</v>
      </c>
      <c r="J573" s="13">
        <f>1</f>
        <v>1</v>
      </c>
    </row>
    <row r="574" spans="1:10" x14ac:dyDescent="0.25">
      <c r="A574" s="3">
        <v>44136</v>
      </c>
      <c r="B574">
        <v>237890</v>
      </c>
      <c r="C574">
        <v>643217</v>
      </c>
      <c r="D574" t="s">
        <v>54</v>
      </c>
      <c r="E574" t="s">
        <v>55</v>
      </c>
      <c r="F574" t="s">
        <v>35</v>
      </c>
      <c r="G574" s="1">
        <v>169715.69168344498</v>
      </c>
      <c r="H574" s="2">
        <v>135772.553346756</v>
      </c>
      <c r="I574" s="11" t="str">
        <f>VLOOKUP(BasePIs[[#This Row],[Produto]],DePara_Produto[],2,0)</f>
        <v>Varejo</v>
      </c>
      <c r="J574" s="13">
        <f>1</f>
        <v>1</v>
      </c>
    </row>
    <row r="575" spans="1:10" x14ac:dyDescent="0.25">
      <c r="A575" s="3">
        <v>44136</v>
      </c>
      <c r="B575">
        <v>237891</v>
      </c>
      <c r="C575">
        <v>643218</v>
      </c>
      <c r="D575" t="s">
        <v>54</v>
      </c>
      <c r="E575" t="s">
        <v>55</v>
      </c>
      <c r="F575" t="s">
        <v>34</v>
      </c>
      <c r="G575" s="1">
        <v>235052.77160327372</v>
      </c>
      <c r="H575" s="2">
        <v>188042.21728261898</v>
      </c>
      <c r="I575" s="11" t="str">
        <f>VLOOKUP(BasePIs[[#This Row],[Produto]],DePara_Produto[],2,0)</f>
        <v>Varejo</v>
      </c>
      <c r="J575" s="13">
        <f>1</f>
        <v>1</v>
      </c>
    </row>
    <row r="576" spans="1:10" x14ac:dyDescent="0.25">
      <c r="A576" s="3">
        <v>43922</v>
      </c>
      <c r="B576">
        <v>237892</v>
      </c>
      <c r="C576">
        <v>643219</v>
      </c>
      <c r="D576" t="s">
        <v>54</v>
      </c>
      <c r="E576" t="s">
        <v>55</v>
      </c>
      <c r="F576" t="s">
        <v>34</v>
      </c>
      <c r="G576" s="1">
        <v>1894096.6124509152</v>
      </c>
      <c r="H576" s="2">
        <v>1515277.2899607322</v>
      </c>
      <c r="I576" s="11" t="str">
        <f>VLOOKUP(BasePIs[[#This Row],[Produto]],DePara_Produto[],2,0)</f>
        <v>Varejo</v>
      </c>
      <c r="J576" s="13">
        <f>1</f>
        <v>1</v>
      </c>
    </row>
    <row r="577" spans="1:10" x14ac:dyDescent="0.25">
      <c r="A577" s="3">
        <v>43922</v>
      </c>
      <c r="B577">
        <v>237907</v>
      </c>
      <c r="C577">
        <v>643241</v>
      </c>
      <c r="D577" t="s">
        <v>56</v>
      </c>
      <c r="E577" t="s">
        <v>38</v>
      </c>
      <c r="F577" t="s">
        <v>28</v>
      </c>
      <c r="G577" s="1">
        <v>14742.85661200665</v>
      </c>
      <c r="H577" s="2">
        <v>11794.285289605321</v>
      </c>
      <c r="I577" s="11" t="str">
        <f>VLOOKUP(BasePIs[[#This Row],[Produto]],DePara_Produto[],2,0)</f>
        <v>Varejo</v>
      </c>
      <c r="J577" s="13">
        <f>1</f>
        <v>1</v>
      </c>
    </row>
    <row r="578" spans="1:10" x14ac:dyDescent="0.25">
      <c r="A578" s="3">
        <v>43922</v>
      </c>
      <c r="B578">
        <v>237908</v>
      </c>
      <c r="C578">
        <v>643242</v>
      </c>
      <c r="D578" t="s">
        <v>56</v>
      </c>
      <c r="E578" t="s">
        <v>38</v>
      </c>
      <c r="F578" t="s">
        <v>35</v>
      </c>
      <c r="G578" s="1">
        <v>30.971179515724071</v>
      </c>
      <c r="H578" s="2">
        <v>24.776943612579259</v>
      </c>
      <c r="I578" s="11" t="str">
        <f>VLOOKUP(BasePIs[[#This Row],[Produto]],DePara_Produto[],2,0)</f>
        <v>Varejo</v>
      </c>
      <c r="J578" s="13">
        <f>1</f>
        <v>1</v>
      </c>
    </row>
    <row r="579" spans="1:10" x14ac:dyDescent="0.25">
      <c r="A579" s="3">
        <v>43952</v>
      </c>
      <c r="B579">
        <v>237969</v>
      </c>
      <c r="C579">
        <v>643473</v>
      </c>
      <c r="D579" t="s">
        <v>54</v>
      </c>
      <c r="E579" t="s">
        <v>55</v>
      </c>
      <c r="F579" t="s">
        <v>29</v>
      </c>
      <c r="G579" s="1">
        <v>191170.57897695052</v>
      </c>
      <c r="H579" s="2">
        <v>152936.46318156042</v>
      </c>
      <c r="I579" s="11" t="str">
        <f>VLOOKUP(BasePIs[[#This Row],[Produto]],DePara_Produto[],2,0)</f>
        <v>Varejo</v>
      </c>
      <c r="J579" s="13">
        <f>1</f>
        <v>1</v>
      </c>
    </row>
    <row r="580" spans="1:10" x14ac:dyDescent="0.25">
      <c r="A580" s="3">
        <v>43952</v>
      </c>
      <c r="B580">
        <v>237972</v>
      </c>
      <c r="C580">
        <v>643476</v>
      </c>
      <c r="D580" t="s">
        <v>57</v>
      </c>
      <c r="E580" t="s">
        <v>58</v>
      </c>
      <c r="F580" t="s">
        <v>33</v>
      </c>
      <c r="G580" s="1">
        <v>7143.5320375401589</v>
      </c>
      <c r="H580" s="2">
        <v>5714.8256300321273</v>
      </c>
      <c r="I580" s="11" t="str">
        <f>VLOOKUP(BasePIs[[#This Row],[Produto]],DePara_Produto[],2,0)</f>
        <v>Outros</v>
      </c>
      <c r="J580" s="13">
        <f>1</f>
        <v>1</v>
      </c>
    </row>
    <row r="581" spans="1:10" x14ac:dyDescent="0.25">
      <c r="A581" s="3">
        <v>43952</v>
      </c>
      <c r="B581">
        <v>237973</v>
      </c>
      <c r="C581">
        <v>643477</v>
      </c>
      <c r="D581" t="s">
        <v>57</v>
      </c>
      <c r="E581" t="s">
        <v>58</v>
      </c>
      <c r="F581" t="s">
        <v>28</v>
      </c>
      <c r="G581" s="1">
        <v>318285.8235704425</v>
      </c>
      <c r="H581" s="2">
        <v>254628.65885635401</v>
      </c>
      <c r="I581" s="11" t="str">
        <f>VLOOKUP(BasePIs[[#This Row],[Produto]],DePara_Produto[],2,0)</f>
        <v>Outros</v>
      </c>
      <c r="J581" s="13">
        <f>1</f>
        <v>1</v>
      </c>
    </row>
    <row r="582" spans="1:10" x14ac:dyDescent="0.25">
      <c r="A582" s="3">
        <v>43952</v>
      </c>
      <c r="B582">
        <v>237974</v>
      </c>
      <c r="C582">
        <v>643478</v>
      </c>
      <c r="D582" t="s">
        <v>57</v>
      </c>
      <c r="E582" t="s">
        <v>58</v>
      </c>
      <c r="F582" t="s">
        <v>35</v>
      </c>
      <c r="G582" s="1">
        <v>43826.140992585963</v>
      </c>
      <c r="H582" s="2">
        <v>35060.912794068769</v>
      </c>
      <c r="I582" s="11" t="str">
        <f>VLOOKUP(BasePIs[[#This Row],[Produto]],DePara_Produto[],2,0)</f>
        <v>Outros</v>
      </c>
      <c r="J582" s="13">
        <f>1</f>
        <v>1</v>
      </c>
    </row>
    <row r="583" spans="1:10" x14ac:dyDescent="0.25">
      <c r="A583" s="3">
        <v>43952</v>
      </c>
      <c r="B583">
        <v>237980</v>
      </c>
      <c r="C583">
        <v>643484</v>
      </c>
      <c r="D583" t="s">
        <v>57</v>
      </c>
      <c r="E583" t="s">
        <v>58</v>
      </c>
      <c r="F583" t="s">
        <v>36</v>
      </c>
      <c r="G583" s="1">
        <v>23.04876844530142</v>
      </c>
      <c r="H583" s="2">
        <v>18.439014756241136</v>
      </c>
      <c r="I583" s="11" t="str">
        <f>VLOOKUP(BasePIs[[#This Row],[Produto]],DePara_Produto[],2,0)</f>
        <v>Outros</v>
      </c>
      <c r="J583" s="13">
        <f>1</f>
        <v>1</v>
      </c>
    </row>
    <row r="584" spans="1:10" x14ac:dyDescent="0.25">
      <c r="A584" s="3">
        <v>43952</v>
      </c>
      <c r="B584">
        <v>238001</v>
      </c>
      <c r="C584">
        <v>643511</v>
      </c>
      <c r="D584" t="s">
        <v>51</v>
      </c>
      <c r="E584" t="s">
        <v>52</v>
      </c>
      <c r="F584" t="s">
        <v>59</v>
      </c>
      <c r="G584" s="1">
        <v>427880.7191541557</v>
      </c>
      <c r="H584" s="2">
        <v>342304.57532332459</v>
      </c>
      <c r="I584" s="11" t="str">
        <f>VLOOKUP(BasePIs[[#This Row],[Produto]],DePara_Produto[],2,0)</f>
        <v>Outros</v>
      </c>
      <c r="J584" s="13">
        <f>1</f>
        <v>1</v>
      </c>
    </row>
    <row r="585" spans="1:10" x14ac:dyDescent="0.25">
      <c r="A585" s="3">
        <v>43952</v>
      </c>
      <c r="B585">
        <v>229491</v>
      </c>
      <c r="C585">
        <v>624844</v>
      </c>
      <c r="D585" t="s">
        <v>8</v>
      </c>
      <c r="E585" t="s">
        <v>9</v>
      </c>
      <c r="F585" t="s">
        <v>10</v>
      </c>
      <c r="G585" s="1">
        <v>1435.0519362340644</v>
      </c>
      <c r="H585" s="2">
        <v>1148.0415489872516</v>
      </c>
      <c r="I585" s="11" t="str">
        <f>VLOOKUP(BasePIs[[#This Row],[Produto]],DePara_Produto[],2,0)</f>
        <v>Outros</v>
      </c>
      <c r="J585" s="13">
        <f>1</f>
        <v>1</v>
      </c>
    </row>
    <row r="586" spans="1:10" x14ac:dyDescent="0.25">
      <c r="A586" s="3">
        <v>43952</v>
      </c>
      <c r="B586">
        <v>232042</v>
      </c>
      <c r="C586">
        <v>630473</v>
      </c>
      <c r="D586" t="s">
        <v>11</v>
      </c>
      <c r="E586" t="s">
        <v>12</v>
      </c>
      <c r="F586" t="s">
        <v>13</v>
      </c>
      <c r="G586" s="1">
        <v>126534.22043296281</v>
      </c>
      <c r="H586" s="2">
        <v>101227.37634637026</v>
      </c>
      <c r="I586" s="11" t="str">
        <f>VLOOKUP(BasePIs[[#This Row],[Produto]],DePara_Produto[],2,0)</f>
        <v>Outros</v>
      </c>
      <c r="J586" s="13">
        <f>1</f>
        <v>1</v>
      </c>
    </row>
    <row r="587" spans="1:10" x14ac:dyDescent="0.25">
      <c r="A587" s="3">
        <v>43952</v>
      </c>
      <c r="B587">
        <v>233123</v>
      </c>
      <c r="C587">
        <v>632974</v>
      </c>
      <c r="D587" t="s">
        <v>11</v>
      </c>
      <c r="E587" t="s">
        <v>14</v>
      </c>
      <c r="F587" t="s">
        <v>15</v>
      </c>
      <c r="G587" s="1">
        <v>6022.3790556749072</v>
      </c>
      <c r="H587" s="2">
        <v>4817.9032445399262</v>
      </c>
      <c r="I587" s="11" t="str">
        <f>VLOOKUP(BasePIs[[#This Row],[Produto]],DePara_Produto[],2,0)</f>
        <v>Outros</v>
      </c>
      <c r="J587" s="13">
        <f>1</f>
        <v>1</v>
      </c>
    </row>
    <row r="588" spans="1:10" x14ac:dyDescent="0.25">
      <c r="A588" s="3">
        <v>43952</v>
      </c>
      <c r="B588">
        <v>236414</v>
      </c>
      <c r="C588">
        <v>640323</v>
      </c>
      <c r="D588" t="s">
        <v>16</v>
      </c>
      <c r="E588" t="s">
        <v>17</v>
      </c>
      <c r="F588" t="s">
        <v>18</v>
      </c>
      <c r="G588" s="1">
        <v>211085.37042013981</v>
      </c>
      <c r="H588" s="2">
        <v>168868.29633611185</v>
      </c>
      <c r="I588" s="11" t="str">
        <f>VLOOKUP(BasePIs[[#This Row],[Produto]],DePara_Produto[],2,0)</f>
        <v>T-Cross</v>
      </c>
      <c r="J588" s="13">
        <f>1</f>
        <v>1</v>
      </c>
    </row>
    <row r="589" spans="1:10" x14ac:dyDescent="0.25">
      <c r="A589" s="3">
        <v>43952</v>
      </c>
      <c r="B589">
        <v>236882</v>
      </c>
      <c r="C589">
        <v>641246</v>
      </c>
      <c r="D589" t="s">
        <v>11</v>
      </c>
      <c r="E589" t="s">
        <v>14</v>
      </c>
      <c r="F589" t="s">
        <v>19</v>
      </c>
      <c r="G589" s="1">
        <v>1827.6942860184893</v>
      </c>
      <c r="H589" s="2">
        <v>1462.1554288147915</v>
      </c>
      <c r="I589" s="11" t="str">
        <f>VLOOKUP(BasePIs[[#This Row],[Produto]],DePara_Produto[],2,0)</f>
        <v>Outros</v>
      </c>
      <c r="J589" s="13">
        <f>1</f>
        <v>1</v>
      </c>
    </row>
    <row r="590" spans="1:10" x14ac:dyDescent="0.25">
      <c r="A590" s="3">
        <v>43952</v>
      </c>
      <c r="B590">
        <v>237146</v>
      </c>
      <c r="C590">
        <v>641815</v>
      </c>
      <c r="D590" t="s">
        <v>20</v>
      </c>
      <c r="E590" t="s">
        <v>21</v>
      </c>
      <c r="F590" t="s">
        <v>18</v>
      </c>
      <c r="G590" s="1">
        <v>1276213.8584935477</v>
      </c>
      <c r="H590" s="2">
        <v>1020971.0867948382</v>
      </c>
      <c r="I590" s="11" t="str">
        <f>VLOOKUP(BasePIs[[#This Row],[Produto]],DePara_Produto[],2,0)</f>
        <v>Amarok</v>
      </c>
      <c r="J590" s="13">
        <f>1</f>
        <v>1</v>
      </c>
    </row>
    <row r="591" spans="1:10" x14ac:dyDescent="0.25">
      <c r="A591" s="3">
        <v>43952</v>
      </c>
      <c r="B591">
        <v>237146</v>
      </c>
      <c r="C591">
        <v>641816</v>
      </c>
      <c r="D591" t="s">
        <v>20</v>
      </c>
      <c r="E591" t="s">
        <v>21</v>
      </c>
      <c r="F591" t="s">
        <v>18</v>
      </c>
      <c r="G591" s="1">
        <v>4168.4111575666966</v>
      </c>
      <c r="H591" s="2">
        <v>3334.7289260533576</v>
      </c>
      <c r="I591" s="11" t="str">
        <f>VLOOKUP(BasePIs[[#This Row],[Produto]],DePara_Produto[],2,0)</f>
        <v>Amarok</v>
      </c>
      <c r="J591" s="13">
        <f>1</f>
        <v>1</v>
      </c>
    </row>
    <row r="592" spans="1:10" x14ac:dyDescent="0.25">
      <c r="A592" s="3">
        <v>43952</v>
      </c>
      <c r="B592">
        <v>237535</v>
      </c>
      <c r="C592">
        <v>642718</v>
      </c>
      <c r="D592" t="s">
        <v>22</v>
      </c>
      <c r="E592" t="s">
        <v>23</v>
      </c>
      <c r="F592" t="s">
        <v>24</v>
      </c>
      <c r="G592" s="1">
        <v>568736.95043764764</v>
      </c>
      <c r="H592" s="2">
        <v>454989.56035011815</v>
      </c>
      <c r="I592" s="11" t="str">
        <f>VLOOKUP(BasePIs[[#This Row],[Produto]],DePara_Produto[],2,0)</f>
        <v>Golf</v>
      </c>
      <c r="J592" s="13">
        <f>1</f>
        <v>1</v>
      </c>
    </row>
    <row r="593" spans="1:10" x14ac:dyDescent="0.25">
      <c r="A593" s="3">
        <v>43952</v>
      </c>
      <c r="B593">
        <v>237537</v>
      </c>
      <c r="C593">
        <v>642724</v>
      </c>
      <c r="D593" t="s">
        <v>22</v>
      </c>
      <c r="E593" t="s">
        <v>23</v>
      </c>
      <c r="F593" t="s">
        <v>25</v>
      </c>
      <c r="G593" s="1">
        <v>90552.468094621639</v>
      </c>
      <c r="H593" s="2">
        <v>72441.974475697309</v>
      </c>
      <c r="I593" s="11" t="str">
        <f>VLOOKUP(BasePIs[[#This Row],[Produto]],DePara_Produto[],2,0)</f>
        <v>Golf</v>
      </c>
      <c r="J593" s="13">
        <f>1</f>
        <v>1</v>
      </c>
    </row>
    <row r="594" spans="1:10" x14ac:dyDescent="0.25">
      <c r="A594" s="3">
        <v>43952</v>
      </c>
      <c r="B594">
        <v>237541</v>
      </c>
      <c r="C594">
        <v>642728</v>
      </c>
      <c r="D594" t="s">
        <v>22</v>
      </c>
      <c r="E594" t="s">
        <v>23</v>
      </c>
      <c r="F594" t="s">
        <v>26</v>
      </c>
      <c r="G594" s="1">
        <v>28008.452767931554</v>
      </c>
      <c r="H594" s="2">
        <v>22406.762214345246</v>
      </c>
      <c r="I594" s="11" t="str">
        <f>VLOOKUP(BasePIs[[#This Row],[Produto]],DePara_Produto[],2,0)</f>
        <v>Golf</v>
      </c>
      <c r="J594" s="13">
        <f>1</f>
        <v>1</v>
      </c>
    </row>
    <row r="595" spans="1:10" x14ac:dyDescent="0.25">
      <c r="A595" s="3">
        <v>43952</v>
      </c>
      <c r="B595">
        <v>237543</v>
      </c>
      <c r="C595">
        <v>642731</v>
      </c>
      <c r="D595" t="s">
        <v>22</v>
      </c>
      <c r="E595" t="s">
        <v>23</v>
      </c>
      <c r="F595" t="s">
        <v>27</v>
      </c>
      <c r="G595" s="1">
        <v>32875.819735390694</v>
      </c>
      <c r="H595" s="2">
        <v>26300.655788312557</v>
      </c>
      <c r="I595" s="11" t="str">
        <f>VLOOKUP(BasePIs[[#This Row],[Produto]],DePara_Produto[],2,0)</f>
        <v>Golf</v>
      </c>
      <c r="J595" s="13">
        <f>1</f>
        <v>1</v>
      </c>
    </row>
    <row r="596" spans="1:10" x14ac:dyDescent="0.25">
      <c r="A596" s="3">
        <v>43952</v>
      </c>
      <c r="B596">
        <v>237546</v>
      </c>
      <c r="C596">
        <v>642735</v>
      </c>
      <c r="D596" t="s">
        <v>22</v>
      </c>
      <c r="E596" t="s">
        <v>23</v>
      </c>
      <c r="F596" t="s">
        <v>28</v>
      </c>
      <c r="G596" s="1">
        <v>231853.78164507562</v>
      </c>
      <c r="H596" s="2">
        <v>185483.02531606052</v>
      </c>
      <c r="I596" s="11" t="str">
        <f>VLOOKUP(BasePIs[[#This Row],[Produto]],DePara_Produto[],2,0)</f>
        <v>Golf</v>
      </c>
      <c r="J596" s="13">
        <f>1</f>
        <v>1</v>
      </c>
    </row>
    <row r="597" spans="1:10" x14ac:dyDescent="0.25">
      <c r="A597" s="3">
        <v>43952</v>
      </c>
      <c r="B597">
        <v>237548</v>
      </c>
      <c r="C597">
        <v>642741</v>
      </c>
      <c r="D597" t="s">
        <v>22</v>
      </c>
      <c r="E597" t="s">
        <v>23</v>
      </c>
      <c r="F597" t="s">
        <v>29</v>
      </c>
      <c r="G597" s="1">
        <v>92814.934353979814</v>
      </c>
      <c r="H597" s="2">
        <v>74251.94748318386</v>
      </c>
      <c r="I597" s="11" t="str">
        <f>VLOOKUP(BasePIs[[#This Row],[Produto]],DePara_Produto[],2,0)</f>
        <v>Golf</v>
      </c>
      <c r="J597" s="13">
        <f>1</f>
        <v>1</v>
      </c>
    </row>
    <row r="598" spans="1:10" x14ac:dyDescent="0.25">
      <c r="A598" s="3">
        <v>43952</v>
      </c>
      <c r="B598">
        <v>237550</v>
      </c>
      <c r="C598">
        <v>642744</v>
      </c>
      <c r="D598" t="s">
        <v>22</v>
      </c>
      <c r="E598" t="s">
        <v>23</v>
      </c>
      <c r="F598" t="s">
        <v>29</v>
      </c>
      <c r="G598" s="1">
        <v>14461.023563789637</v>
      </c>
      <c r="H598" s="2">
        <v>11568.81885103171</v>
      </c>
      <c r="I598" s="11" t="str">
        <f>VLOOKUP(BasePIs[[#This Row],[Produto]],DePara_Produto[],2,0)</f>
        <v>Golf</v>
      </c>
      <c r="J598" s="13">
        <f>1</f>
        <v>1</v>
      </c>
    </row>
    <row r="599" spans="1:10" x14ac:dyDescent="0.25">
      <c r="A599" s="3">
        <v>43952</v>
      </c>
      <c r="B599">
        <v>237551</v>
      </c>
      <c r="C599">
        <v>642745</v>
      </c>
      <c r="D599" t="s">
        <v>22</v>
      </c>
      <c r="E599" t="s">
        <v>23</v>
      </c>
      <c r="F599" t="s">
        <v>25</v>
      </c>
      <c r="G599" s="1">
        <v>151071.88836383942</v>
      </c>
      <c r="H599" s="2">
        <v>120857.51069107154</v>
      </c>
      <c r="I599" s="11" t="str">
        <f>VLOOKUP(BasePIs[[#This Row],[Produto]],DePara_Produto[],2,0)</f>
        <v>Golf</v>
      </c>
      <c r="J599" s="13">
        <f>1</f>
        <v>1</v>
      </c>
    </row>
    <row r="600" spans="1:10" x14ac:dyDescent="0.25">
      <c r="A600" s="3">
        <v>43891</v>
      </c>
      <c r="B600">
        <v>237553</v>
      </c>
      <c r="C600">
        <v>642747</v>
      </c>
      <c r="D600" t="s">
        <v>22</v>
      </c>
      <c r="E600" t="s">
        <v>23</v>
      </c>
      <c r="F600" t="s">
        <v>25</v>
      </c>
      <c r="G600" s="1">
        <v>66379.941536555416</v>
      </c>
      <c r="H600" s="2">
        <v>53103.953229244333</v>
      </c>
      <c r="I600" s="11" t="str">
        <f>VLOOKUP(BasePIs[[#This Row],[Produto]],DePara_Produto[],2,0)</f>
        <v>Golf</v>
      </c>
      <c r="J600" s="13">
        <f>1</f>
        <v>1</v>
      </c>
    </row>
    <row r="601" spans="1:10" x14ac:dyDescent="0.25">
      <c r="A601" s="3">
        <v>43891</v>
      </c>
      <c r="B601">
        <v>237555</v>
      </c>
      <c r="C601">
        <v>642749</v>
      </c>
      <c r="D601" t="s">
        <v>22</v>
      </c>
      <c r="E601" t="s">
        <v>23</v>
      </c>
      <c r="F601" t="s">
        <v>30</v>
      </c>
      <c r="G601" s="1">
        <v>49464.278175347012</v>
      </c>
      <c r="H601" s="2">
        <v>39571.422540277614</v>
      </c>
      <c r="I601" s="11" t="str">
        <f>VLOOKUP(BasePIs[[#This Row],[Produto]],DePara_Produto[],2,0)</f>
        <v>Golf</v>
      </c>
      <c r="J601" s="13">
        <f>1</f>
        <v>1</v>
      </c>
    </row>
    <row r="602" spans="1:10" x14ac:dyDescent="0.25">
      <c r="A602" s="3">
        <v>43891</v>
      </c>
      <c r="B602">
        <v>237556</v>
      </c>
      <c r="C602">
        <v>642751</v>
      </c>
      <c r="D602" t="s">
        <v>22</v>
      </c>
      <c r="E602" t="s">
        <v>23</v>
      </c>
      <c r="F602" t="s">
        <v>31</v>
      </c>
      <c r="G602" s="1">
        <v>2913695.5337963728</v>
      </c>
      <c r="H602" s="2">
        <v>2330956.4270370984</v>
      </c>
      <c r="I602" s="11" t="str">
        <f>VLOOKUP(BasePIs[[#This Row],[Produto]],DePara_Produto[],2,0)</f>
        <v>Golf</v>
      </c>
      <c r="J602" s="13">
        <f>1</f>
        <v>1</v>
      </c>
    </row>
    <row r="603" spans="1:10" x14ac:dyDescent="0.25">
      <c r="A603" s="3">
        <v>43891</v>
      </c>
      <c r="B603">
        <v>237557</v>
      </c>
      <c r="C603">
        <v>642752</v>
      </c>
      <c r="D603" t="s">
        <v>22</v>
      </c>
      <c r="E603" t="s">
        <v>23</v>
      </c>
      <c r="F603" t="s">
        <v>32</v>
      </c>
      <c r="G603" s="1">
        <v>102023.82197675582</v>
      </c>
      <c r="H603" s="2">
        <v>81619.057581404661</v>
      </c>
      <c r="I603" s="11" t="str">
        <f>VLOOKUP(BasePIs[[#This Row],[Produto]],DePara_Produto[],2,0)</f>
        <v>Golf</v>
      </c>
      <c r="J603" s="13">
        <f>1</f>
        <v>1</v>
      </c>
    </row>
    <row r="604" spans="1:10" x14ac:dyDescent="0.25">
      <c r="A604" s="3">
        <v>43891</v>
      </c>
      <c r="B604">
        <v>237558</v>
      </c>
      <c r="C604">
        <v>642753</v>
      </c>
      <c r="D604" t="s">
        <v>22</v>
      </c>
      <c r="E604" t="s">
        <v>23</v>
      </c>
      <c r="F604" t="s">
        <v>33</v>
      </c>
      <c r="G604" s="1">
        <v>35912.135331950347</v>
      </c>
      <c r="H604" s="2">
        <v>28729.708265560279</v>
      </c>
      <c r="I604" s="11" t="str">
        <f>VLOOKUP(BasePIs[[#This Row],[Produto]],DePara_Produto[],2,0)</f>
        <v>Golf</v>
      </c>
      <c r="J604" s="13">
        <f>1</f>
        <v>1</v>
      </c>
    </row>
    <row r="605" spans="1:10" x14ac:dyDescent="0.25">
      <c r="A605" s="3">
        <v>43891</v>
      </c>
      <c r="B605">
        <v>237559</v>
      </c>
      <c r="C605">
        <v>642754</v>
      </c>
      <c r="D605" t="s">
        <v>22</v>
      </c>
      <c r="E605" t="s">
        <v>23</v>
      </c>
      <c r="F605" t="s">
        <v>34</v>
      </c>
      <c r="G605" s="1">
        <v>163688.91280368267</v>
      </c>
      <c r="H605" s="2">
        <v>130951.13024294615</v>
      </c>
      <c r="I605" s="11" t="str">
        <f>VLOOKUP(BasePIs[[#This Row],[Produto]],DePara_Produto[],2,0)</f>
        <v>Golf</v>
      </c>
      <c r="J605" s="13">
        <f>1</f>
        <v>1</v>
      </c>
    </row>
    <row r="606" spans="1:10" x14ac:dyDescent="0.25">
      <c r="A606" s="3">
        <v>43891</v>
      </c>
      <c r="B606">
        <v>237560</v>
      </c>
      <c r="C606">
        <v>642755</v>
      </c>
      <c r="D606" t="s">
        <v>22</v>
      </c>
      <c r="E606" t="s">
        <v>23</v>
      </c>
      <c r="F606" t="s">
        <v>35</v>
      </c>
      <c r="G606" s="1">
        <v>13280.818401412203</v>
      </c>
      <c r="H606" s="2">
        <v>10624.654721129764</v>
      </c>
      <c r="I606" s="11" t="str">
        <f>VLOOKUP(BasePIs[[#This Row],[Produto]],DePara_Produto[],2,0)</f>
        <v>Golf</v>
      </c>
      <c r="J606" s="13">
        <f>1</f>
        <v>1</v>
      </c>
    </row>
    <row r="607" spans="1:10" x14ac:dyDescent="0.25">
      <c r="A607" s="3">
        <v>43891</v>
      </c>
      <c r="B607">
        <v>237562</v>
      </c>
      <c r="C607">
        <v>642757</v>
      </c>
      <c r="D607" t="s">
        <v>22</v>
      </c>
      <c r="E607" t="s">
        <v>23</v>
      </c>
      <c r="F607" t="s">
        <v>36</v>
      </c>
      <c r="G607" s="1">
        <v>169.15501903283888</v>
      </c>
      <c r="H607" s="2">
        <v>135.32401522627111</v>
      </c>
      <c r="I607" s="11" t="str">
        <f>VLOOKUP(BasePIs[[#This Row],[Produto]],DePara_Produto[],2,0)</f>
        <v>Golf</v>
      </c>
      <c r="J607" s="13">
        <f>1</f>
        <v>1</v>
      </c>
    </row>
    <row r="608" spans="1:10" x14ac:dyDescent="0.25">
      <c r="A608" s="3">
        <v>43891</v>
      </c>
      <c r="B608">
        <v>237606</v>
      </c>
      <c r="C608">
        <v>642818</v>
      </c>
      <c r="D608" t="s">
        <v>37</v>
      </c>
      <c r="E608" t="s">
        <v>38</v>
      </c>
      <c r="F608" t="s">
        <v>39</v>
      </c>
      <c r="G608" s="1">
        <v>162875.02468549879</v>
      </c>
      <c r="H608" s="2">
        <v>130300.01974839903</v>
      </c>
      <c r="I608" s="11" t="str">
        <f>VLOOKUP(BasePIs[[#This Row],[Produto]],DePara_Produto[],2,0)</f>
        <v>Varejo</v>
      </c>
      <c r="J608" s="13">
        <f>1</f>
        <v>1</v>
      </c>
    </row>
    <row r="609" spans="1:10" x14ac:dyDescent="0.25">
      <c r="A609" s="3">
        <v>43891</v>
      </c>
      <c r="B609">
        <v>237660</v>
      </c>
      <c r="C609">
        <v>642920</v>
      </c>
      <c r="D609" t="s">
        <v>16</v>
      </c>
      <c r="E609" t="s">
        <v>17</v>
      </c>
      <c r="F609" t="s">
        <v>40</v>
      </c>
      <c r="G609" s="1">
        <v>172565.69474343446</v>
      </c>
      <c r="H609" s="2">
        <v>138052.55579474758</v>
      </c>
      <c r="I609" s="11" t="str">
        <f>VLOOKUP(BasePIs[[#This Row],[Produto]],DePara_Produto[],2,0)</f>
        <v>T-Cross</v>
      </c>
      <c r="J609" s="13">
        <f>1</f>
        <v>1</v>
      </c>
    </row>
    <row r="610" spans="1:10" x14ac:dyDescent="0.25">
      <c r="A610" s="3">
        <v>43891</v>
      </c>
      <c r="B610">
        <v>237663</v>
      </c>
      <c r="C610">
        <v>642934</v>
      </c>
      <c r="D610" t="s">
        <v>8</v>
      </c>
      <c r="E610" t="s">
        <v>9</v>
      </c>
      <c r="F610" t="s">
        <v>41</v>
      </c>
      <c r="G610" s="1">
        <v>27894.711514259328</v>
      </c>
      <c r="H610" s="2">
        <v>22315.769211407463</v>
      </c>
      <c r="I610" s="11" t="str">
        <f>VLOOKUP(BasePIs[[#This Row],[Produto]],DePara_Produto[],2,0)</f>
        <v>Outros</v>
      </c>
      <c r="J610" s="13">
        <f>1</f>
        <v>1</v>
      </c>
    </row>
    <row r="611" spans="1:10" x14ac:dyDescent="0.25">
      <c r="A611" s="3">
        <v>43891</v>
      </c>
      <c r="B611">
        <v>237682</v>
      </c>
      <c r="C611">
        <v>642961</v>
      </c>
      <c r="D611" t="s">
        <v>42</v>
      </c>
      <c r="E611" t="s">
        <v>43</v>
      </c>
      <c r="F611" t="s">
        <v>28</v>
      </c>
      <c r="G611" s="1">
        <v>1216607.2092781584</v>
      </c>
      <c r="H611" s="2">
        <v>973285.76742252673</v>
      </c>
      <c r="I611" s="11" t="str">
        <f>VLOOKUP(BasePIs[[#This Row],[Produto]],DePara_Produto[],2,0)</f>
        <v>Amarok</v>
      </c>
      <c r="J611" s="13">
        <f>1</f>
        <v>1</v>
      </c>
    </row>
    <row r="612" spans="1:10" x14ac:dyDescent="0.25">
      <c r="A612" s="3">
        <v>43891</v>
      </c>
      <c r="B612">
        <v>237683</v>
      </c>
      <c r="C612">
        <v>642962</v>
      </c>
      <c r="D612" t="s">
        <v>42</v>
      </c>
      <c r="E612" t="s">
        <v>43</v>
      </c>
      <c r="F612" t="s">
        <v>25</v>
      </c>
      <c r="G612" s="1">
        <v>69604.840923721466</v>
      </c>
      <c r="H612" s="2">
        <v>55683.872738977174</v>
      </c>
      <c r="I612" s="11" t="str">
        <f>VLOOKUP(BasePIs[[#This Row],[Produto]],DePara_Produto[],2,0)</f>
        <v>Amarok</v>
      </c>
      <c r="J612" s="13">
        <f>1</f>
        <v>1</v>
      </c>
    </row>
    <row r="613" spans="1:10" x14ac:dyDescent="0.25">
      <c r="A613" s="3">
        <v>43891</v>
      </c>
      <c r="B613">
        <v>237684</v>
      </c>
      <c r="C613">
        <v>642963</v>
      </c>
      <c r="D613" t="s">
        <v>42</v>
      </c>
      <c r="E613" t="s">
        <v>43</v>
      </c>
      <c r="F613" t="s">
        <v>24</v>
      </c>
      <c r="G613" s="1">
        <v>531083.59633441095</v>
      </c>
      <c r="H613" s="2">
        <v>424866.87706752878</v>
      </c>
      <c r="I613" s="11" t="str">
        <f>VLOOKUP(BasePIs[[#This Row],[Produto]],DePara_Produto[],2,0)</f>
        <v>Amarok</v>
      </c>
      <c r="J613" s="13">
        <f>1</f>
        <v>1</v>
      </c>
    </row>
    <row r="614" spans="1:10" x14ac:dyDescent="0.25">
      <c r="A614" s="3">
        <v>43891</v>
      </c>
      <c r="B614">
        <v>237685</v>
      </c>
      <c r="C614">
        <v>642964</v>
      </c>
      <c r="D614" t="s">
        <v>42</v>
      </c>
      <c r="E614" t="s">
        <v>43</v>
      </c>
      <c r="F614" t="s">
        <v>35</v>
      </c>
      <c r="G614" s="1">
        <v>8656.6619196895517</v>
      </c>
      <c r="H614" s="2">
        <v>6925.3295357516417</v>
      </c>
      <c r="I614" s="11" t="str">
        <f>VLOOKUP(BasePIs[[#This Row],[Produto]],DePara_Produto[],2,0)</f>
        <v>Amarok</v>
      </c>
      <c r="J614" s="13">
        <f>1</f>
        <v>1</v>
      </c>
    </row>
    <row r="615" spans="1:10" x14ac:dyDescent="0.25">
      <c r="A615" s="3">
        <v>43891</v>
      </c>
      <c r="B615">
        <v>237686</v>
      </c>
      <c r="C615">
        <v>642965</v>
      </c>
      <c r="D615" t="s">
        <v>42</v>
      </c>
      <c r="E615" t="s">
        <v>43</v>
      </c>
      <c r="F615" t="s">
        <v>34</v>
      </c>
      <c r="G615" s="1">
        <v>24611.244475431733</v>
      </c>
      <c r="H615" s="2">
        <v>19688.995580345389</v>
      </c>
      <c r="I615" s="11" t="str">
        <f>VLOOKUP(BasePIs[[#This Row],[Produto]],DePara_Produto[],2,0)</f>
        <v>Amarok</v>
      </c>
      <c r="J615" s="13">
        <f>1</f>
        <v>1</v>
      </c>
    </row>
    <row r="616" spans="1:10" x14ac:dyDescent="0.25">
      <c r="A616" s="3">
        <v>43891</v>
      </c>
      <c r="B616">
        <v>237687</v>
      </c>
      <c r="C616">
        <v>642966</v>
      </c>
      <c r="D616" t="s">
        <v>44</v>
      </c>
      <c r="E616" t="s">
        <v>44</v>
      </c>
      <c r="F616" t="s">
        <v>25</v>
      </c>
      <c r="G616" s="1">
        <v>490298.5036598458</v>
      </c>
      <c r="H616" s="2">
        <v>392238.80292787665</v>
      </c>
      <c r="I616" s="11" t="str">
        <f>VLOOKUP(BasePIs[[#This Row],[Produto]],DePara_Produto[],2,0)</f>
        <v>Amarok</v>
      </c>
      <c r="J616" s="13">
        <f>1</f>
        <v>1</v>
      </c>
    </row>
    <row r="617" spans="1:10" x14ac:dyDescent="0.25">
      <c r="A617" s="3">
        <v>43891</v>
      </c>
      <c r="B617">
        <v>237688</v>
      </c>
      <c r="C617">
        <v>642967</v>
      </c>
      <c r="D617" t="s">
        <v>44</v>
      </c>
      <c r="E617" t="s">
        <v>44</v>
      </c>
      <c r="F617" t="s">
        <v>28</v>
      </c>
      <c r="G617" s="1">
        <v>686587.71009693365</v>
      </c>
      <c r="H617" s="2">
        <v>549270.16807754699</v>
      </c>
      <c r="I617" s="11" t="str">
        <f>VLOOKUP(BasePIs[[#This Row],[Produto]],DePara_Produto[],2,0)</f>
        <v>Amarok</v>
      </c>
      <c r="J617" s="13">
        <f>1</f>
        <v>1</v>
      </c>
    </row>
    <row r="618" spans="1:10" x14ac:dyDescent="0.25">
      <c r="A618" s="3">
        <v>43891</v>
      </c>
      <c r="B618">
        <v>237689</v>
      </c>
      <c r="C618">
        <v>642968</v>
      </c>
      <c r="D618" t="s">
        <v>44</v>
      </c>
      <c r="E618" t="s">
        <v>44</v>
      </c>
      <c r="F618" t="s">
        <v>32</v>
      </c>
      <c r="G618" s="1">
        <v>126179.94475251998</v>
      </c>
      <c r="H618" s="2">
        <v>100943.95580201599</v>
      </c>
      <c r="I618" s="11" t="str">
        <f>VLOOKUP(BasePIs[[#This Row],[Produto]],DePara_Produto[],2,0)</f>
        <v>Amarok</v>
      </c>
      <c r="J618" s="13">
        <f>1</f>
        <v>1</v>
      </c>
    </row>
    <row r="619" spans="1:10" x14ac:dyDescent="0.25">
      <c r="A619" s="3">
        <v>43891</v>
      </c>
      <c r="B619">
        <v>237690</v>
      </c>
      <c r="C619">
        <v>642969</v>
      </c>
      <c r="D619" t="s">
        <v>44</v>
      </c>
      <c r="E619" t="s">
        <v>44</v>
      </c>
      <c r="F619" t="s">
        <v>45</v>
      </c>
      <c r="G619" s="1">
        <v>462391.56102181127</v>
      </c>
      <c r="H619" s="2">
        <v>369913.24881744903</v>
      </c>
      <c r="I619" s="11" t="str">
        <f>VLOOKUP(BasePIs[[#This Row],[Produto]],DePara_Produto[],2,0)</f>
        <v>Amarok</v>
      </c>
      <c r="J619" s="13">
        <f>1</f>
        <v>1</v>
      </c>
    </row>
    <row r="620" spans="1:10" x14ac:dyDescent="0.25">
      <c r="A620" s="3">
        <v>43891</v>
      </c>
      <c r="B620">
        <v>237691</v>
      </c>
      <c r="C620">
        <v>642970</v>
      </c>
      <c r="D620" t="s">
        <v>44</v>
      </c>
      <c r="E620" t="s">
        <v>44</v>
      </c>
      <c r="F620" t="s">
        <v>35</v>
      </c>
      <c r="G620" s="1">
        <v>12323.602037875298</v>
      </c>
      <c r="H620" s="2">
        <v>9858.8816303002386</v>
      </c>
      <c r="I620" s="11" t="str">
        <f>VLOOKUP(BasePIs[[#This Row],[Produto]],DePara_Produto[],2,0)</f>
        <v>Amarok</v>
      </c>
      <c r="J620" s="13">
        <f>1</f>
        <v>1</v>
      </c>
    </row>
    <row r="621" spans="1:10" x14ac:dyDescent="0.25">
      <c r="A621" s="3">
        <v>43891</v>
      </c>
      <c r="B621">
        <v>237692</v>
      </c>
      <c r="C621">
        <v>642971</v>
      </c>
      <c r="D621" t="s">
        <v>44</v>
      </c>
      <c r="E621" t="s">
        <v>44</v>
      </c>
      <c r="F621" t="s">
        <v>34</v>
      </c>
      <c r="G621" s="1">
        <v>41982.976389637326</v>
      </c>
      <c r="H621" s="2">
        <v>33586.381111709859</v>
      </c>
      <c r="I621" s="11" t="str">
        <f>VLOOKUP(BasePIs[[#This Row],[Produto]],DePara_Produto[],2,0)</f>
        <v>Amarok</v>
      </c>
      <c r="J621" s="13">
        <f>1</f>
        <v>1</v>
      </c>
    </row>
    <row r="622" spans="1:10" x14ac:dyDescent="0.25">
      <c r="A622" s="3">
        <v>43891</v>
      </c>
      <c r="B622">
        <v>237698</v>
      </c>
      <c r="C622">
        <v>642980</v>
      </c>
      <c r="D622" t="s">
        <v>11</v>
      </c>
      <c r="E622" t="s">
        <v>14</v>
      </c>
      <c r="F622" t="s">
        <v>46</v>
      </c>
      <c r="G622" s="1">
        <v>32305.461530629655</v>
      </c>
      <c r="H622" s="2">
        <v>25844.369224503724</v>
      </c>
      <c r="I622" s="11" t="str">
        <f>VLOOKUP(BasePIs[[#This Row],[Produto]],DePara_Produto[],2,0)</f>
        <v>Outros</v>
      </c>
      <c r="J622" s="13">
        <f>1</f>
        <v>1</v>
      </c>
    </row>
    <row r="623" spans="1:10" x14ac:dyDescent="0.25">
      <c r="A623" s="3">
        <v>43891</v>
      </c>
      <c r="B623">
        <v>237700</v>
      </c>
      <c r="C623">
        <v>642982</v>
      </c>
      <c r="D623" t="s">
        <v>11</v>
      </c>
      <c r="E623" t="s">
        <v>14</v>
      </c>
      <c r="F623" t="s">
        <v>47</v>
      </c>
      <c r="G623" s="1">
        <v>20470.19360361193</v>
      </c>
      <c r="H623" s="2">
        <v>16376.154882889545</v>
      </c>
      <c r="I623" s="11" t="str">
        <f>VLOOKUP(BasePIs[[#This Row],[Produto]],DePara_Produto[],2,0)</f>
        <v>Outros</v>
      </c>
      <c r="J623" s="13">
        <f>1</f>
        <v>1</v>
      </c>
    </row>
    <row r="624" spans="1:10" x14ac:dyDescent="0.25">
      <c r="A624" s="3">
        <v>43891</v>
      </c>
      <c r="B624">
        <v>237701</v>
      </c>
      <c r="C624">
        <v>642983</v>
      </c>
      <c r="D624" t="s">
        <v>11</v>
      </c>
      <c r="E624" t="s">
        <v>14</v>
      </c>
      <c r="F624" t="s">
        <v>48</v>
      </c>
      <c r="G624" s="1">
        <v>20695.819317322694</v>
      </c>
      <c r="H624" s="2">
        <v>16556.655453858155</v>
      </c>
      <c r="I624" s="11" t="str">
        <f>VLOOKUP(BasePIs[[#This Row],[Produto]],DePara_Produto[],2,0)</f>
        <v>Outros</v>
      </c>
      <c r="J624" s="13">
        <f>1</f>
        <v>1</v>
      </c>
    </row>
    <row r="625" spans="1:10" x14ac:dyDescent="0.25">
      <c r="A625" s="3">
        <v>43891</v>
      </c>
      <c r="B625">
        <v>237729</v>
      </c>
      <c r="C625">
        <v>643022</v>
      </c>
      <c r="D625" t="s">
        <v>8</v>
      </c>
      <c r="E625" t="s">
        <v>9</v>
      </c>
      <c r="F625" t="s">
        <v>33</v>
      </c>
      <c r="G625" s="1">
        <v>404876.82093427697</v>
      </c>
      <c r="H625" s="2">
        <v>323901.45674742159</v>
      </c>
      <c r="I625" s="11" t="str">
        <f>VLOOKUP(BasePIs[[#This Row],[Produto]],DePara_Produto[],2,0)</f>
        <v>Outros</v>
      </c>
      <c r="J625" s="13">
        <f>1</f>
        <v>1</v>
      </c>
    </row>
    <row r="626" spans="1:10" x14ac:dyDescent="0.25">
      <c r="A626" s="3">
        <v>43891</v>
      </c>
      <c r="B626">
        <v>237731</v>
      </c>
      <c r="C626">
        <v>643024</v>
      </c>
      <c r="D626" t="s">
        <v>8</v>
      </c>
      <c r="E626" t="s">
        <v>9</v>
      </c>
      <c r="F626" t="s">
        <v>28</v>
      </c>
      <c r="G626" s="1">
        <v>53811.691564103421</v>
      </c>
      <c r="H626" s="2">
        <v>43049.353251282737</v>
      </c>
      <c r="I626" s="11" t="str">
        <f>VLOOKUP(BasePIs[[#This Row],[Produto]],DePara_Produto[],2,0)</f>
        <v>Outros</v>
      </c>
      <c r="J626" s="13">
        <f>1</f>
        <v>1</v>
      </c>
    </row>
    <row r="627" spans="1:10" x14ac:dyDescent="0.25">
      <c r="A627" s="3">
        <v>43891</v>
      </c>
      <c r="B627">
        <v>237735</v>
      </c>
      <c r="C627">
        <v>643031</v>
      </c>
      <c r="D627" t="s">
        <v>8</v>
      </c>
      <c r="E627" t="s">
        <v>9</v>
      </c>
      <c r="F627" t="s">
        <v>35</v>
      </c>
      <c r="G627" s="1">
        <v>161.3305798207117</v>
      </c>
      <c r="H627" s="2">
        <v>129.06446385656938</v>
      </c>
      <c r="I627" s="11" t="str">
        <f>VLOOKUP(BasePIs[[#This Row],[Produto]],DePara_Produto[],2,0)</f>
        <v>Outros</v>
      </c>
      <c r="J627" s="13">
        <f>1</f>
        <v>1</v>
      </c>
    </row>
    <row r="628" spans="1:10" x14ac:dyDescent="0.25">
      <c r="A628" s="3">
        <v>43891</v>
      </c>
      <c r="B628">
        <v>237736</v>
      </c>
      <c r="C628">
        <v>643033</v>
      </c>
      <c r="D628" t="s">
        <v>49</v>
      </c>
      <c r="E628" t="s">
        <v>49</v>
      </c>
      <c r="F628" t="s">
        <v>33</v>
      </c>
      <c r="G628" s="1">
        <v>297122.67976929614</v>
      </c>
      <c r="H628" s="2">
        <v>237698.14381543692</v>
      </c>
      <c r="I628" s="11" t="str">
        <f>VLOOKUP(BasePIs[[#This Row],[Produto]],DePara_Produto[],2,0)</f>
        <v>Outros</v>
      </c>
      <c r="J628" s="13">
        <f>1</f>
        <v>1</v>
      </c>
    </row>
    <row r="629" spans="1:10" x14ac:dyDescent="0.25">
      <c r="A629" s="3">
        <v>43891</v>
      </c>
      <c r="B629">
        <v>237738</v>
      </c>
      <c r="C629">
        <v>643039</v>
      </c>
      <c r="D629" t="s">
        <v>49</v>
      </c>
      <c r="E629" t="s">
        <v>49</v>
      </c>
      <c r="F629" t="s">
        <v>50</v>
      </c>
      <c r="G629" s="1">
        <v>1546567.8957110851</v>
      </c>
      <c r="H629" s="2">
        <v>1237254.316568868</v>
      </c>
      <c r="I629" s="11" t="str">
        <f>VLOOKUP(BasePIs[[#This Row],[Produto]],DePara_Produto[],2,0)</f>
        <v>Outros</v>
      </c>
      <c r="J629" s="13">
        <f>1</f>
        <v>1</v>
      </c>
    </row>
    <row r="630" spans="1:10" x14ac:dyDescent="0.25">
      <c r="A630" s="3">
        <v>43891</v>
      </c>
      <c r="B630">
        <v>237739</v>
      </c>
      <c r="C630">
        <v>643035</v>
      </c>
      <c r="D630" t="s">
        <v>49</v>
      </c>
      <c r="E630" t="s">
        <v>49</v>
      </c>
      <c r="F630" t="s">
        <v>25</v>
      </c>
      <c r="G630" s="1">
        <v>11804949.005825445</v>
      </c>
      <c r="H630" s="2">
        <v>9443959.204660356</v>
      </c>
      <c r="I630" s="11" t="str">
        <f>VLOOKUP(BasePIs[[#This Row],[Produto]],DePara_Produto[],2,0)</f>
        <v>Outros</v>
      </c>
      <c r="J630" s="13">
        <f>1</f>
        <v>1</v>
      </c>
    </row>
    <row r="631" spans="1:10" x14ac:dyDescent="0.25">
      <c r="A631" s="3">
        <v>43891</v>
      </c>
      <c r="B631">
        <v>237743</v>
      </c>
      <c r="C631">
        <v>643042</v>
      </c>
      <c r="D631" t="s">
        <v>49</v>
      </c>
      <c r="E631" t="s">
        <v>49</v>
      </c>
      <c r="F631" t="s">
        <v>35</v>
      </c>
      <c r="G631" s="1">
        <v>576.17654352595503</v>
      </c>
      <c r="H631" s="2">
        <v>460.94123482076407</v>
      </c>
      <c r="I631" s="11" t="str">
        <f>VLOOKUP(BasePIs[[#This Row],[Produto]],DePara_Produto[],2,0)</f>
        <v>Outros</v>
      </c>
      <c r="J631" s="13">
        <f>1</f>
        <v>1</v>
      </c>
    </row>
    <row r="632" spans="1:10" x14ac:dyDescent="0.25">
      <c r="A632" s="3">
        <v>43862</v>
      </c>
      <c r="B632">
        <v>237744</v>
      </c>
      <c r="C632">
        <v>643043</v>
      </c>
      <c r="D632" t="s">
        <v>49</v>
      </c>
      <c r="E632" t="s">
        <v>49</v>
      </c>
      <c r="F632" t="s">
        <v>34</v>
      </c>
      <c r="G632" s="1">
        <v>3716.8761469920923</v>
      </c>
      <c r="H632" s="2">
        <v>2973.5009175936739</v>
      </c>
      <c r="I632" s="11" t="str">
        <f>VLOOKUP(BasePIs[[#This Row],[Produto]],DePara_Produto[],2,0)</f>
        <v>Outros</v>
      </c>
      <c r="J632" s="13">
        <f>1</f>
        <v>1</v>
      </c>
    </row>
    <row r="633" spans="1:10" x14ac:dyDescent="0.25">
      <c r="A633" s="3">
        <v>43862</v>
      </c>
      <c r="B633">
        <v>237745</v>
      </c>
      <c r="C633">
        <v>643045</v>
      </c>
      <c r="D633" t="s">
        <v>49</v>
      </c>
      <c r="E633" t="s">
        <v>49</v>
      </c>
      <c r="F633" t="s">
        <v>28</v>
      </c>
      <c r="G633" s="1">
        <v>90220.096231163538</v>
      </c>
      <c r="H633" s="2">
        <v>72176.076984930827</v>
      </c>
      <c r="I633" s="11" t="str">
        <f>VLOOKUP(BasePIs[[#This Row],[Produto]],DePara_Produto[],2,0)</f>
        <v>Outros</v>
      </c>
      <c r="J633" s="13">
        <f>1</f>
        <v>1</v>
      </c>
    </row>
    <row r="634" spans="1:10" x14ac:dyDescent="0.25">
      <c r="A634" s="3">
        <v>43862</v>
      </c>
      <c r="B634">
        <v>237746</v>
      </c>
      <c r="C634">
        <v>643046</v>
      </c>
      <c r="D634" t="s">
        <v>49</v>
      </c>
      <c r="E634" t="s">
        <v>49</v>
      </c>
      <c r="F634" t="s">
        <v>34</v>
      </c>
      <c r="G634" s="1">
        <v>145.39109415873466</v>
      </c>
      <c r="H634" s="2">
        <v>116.31287532698774</v>
      </c>
      <c r="I634" s="11" t="str">
        <f>VLOOKUP(BasePIs[[#This Row],[Produto]],DePara_Produto[],2,0)</f>
        <v>Outros</v>
      </c>
      <c r="J634" s="13">
        <f>1</f>
        <v>1</v>
      </c>
    </row>
    <row r="635" spans="1:10" x14ac:dyDescent="0.25">
      <c r="A635" s="3">
        <v>43862</v>
      </c>
      <c r="B635">
        <v>237747</v>
      </c>
      <c r="C635">
        <v>643047</v>
      </c>
      <c r="D635" t="s">
        <v>49</v>
      </c>
      <c r="E635" t="s">
        <v>49</v>
      </c>
      <c r="F635" t="s">
        <v>36</v>
      </c>
      <c r="G635" s="1">
        <v>681.75703916045757</v>
      </c>
      <c r="H635" s="2">
        <v>545.4056313283661</v>
      </c>
      <c r="I635" s="11" t="str">
        <f>VLOOKUP(BasePIs[[#This Row],[Produto]],DePara_Produto[],2,0)</f>
        <v>Outros</v>
      </c>
      <c r="J635" s="13">
        <f>1</f>
        <v>1</v>
      </c>
    </row>
    <row r="636" spans="1:10" x14ac:dyDescent="0.25">
      <c r="A636" s="3">
        <v>43862</v>
      </c>
      <c r="B636">
        <v>237835</v>
      </c>
      <c r="C636">
        <v>643138</v>
      </c>
      <c r="D636" t="s">
        <v>44</v>
      </c>
      <c r="E636" t="s">
        <v>44</v>
      </c>
      <c r="F636" t="s">
        <v>29</v>
      </c>
      <c r="G636" s="1">
        <v>232696.82952193994</v>
      </c>
      <c r="H636" s="2">
        <v>186157.46361755196</v>
      </c>
      <c r="I636" s="11" t="str">
        <f>VLOOKUP(BasePIs[[#This Row],[Produto]],DePara_Produto[],2,0)</f>
        <v>Amarok</v>
      </c>
      <c r="J636" s="13">
        <f>1</f>
        <v>1</v>
      </c>
    </row>
    <row r="637" spans="1:10" x14ac:dyDescent="0.25">
      <c r="A637" s="3">
        <v>43862</v>
      </c>
      <c r="B637">
        <v>237874</v>
      </c>
      <c r="C637">
        <v>643197</v>
      </c>
      <c r="D637" t="s">
        <v>51</v>
      </c>
      <c r="E637" t="s">
        <v>52</v>
      </c>
      <c r="F637" t="s">
        <v>53</v>
      </c>
      <c r="G637" s="1">
        <v>53517.202647905055</v>
      </c>
      <c r="H637" s="2">
        <v>42813.762118324048</v>
      </c>
      <c r="I637" s="11" t="str">
        <f>VLOOKUP(BasePIs[[#This Row],[Produto]],DePara_Produto[],2,0)</f>
        <v>Outros</v>
      </c>
      <c r="J637" s="13">
        <f>1</f>
        <v>1</v>
      </c>
    </row>
    <row r="638" spans="1:10" x14ac:dyDescent="0.25">
      <c r="A638" s="3">
        <v>43862</v>
      </c>
      <c r="B638">
        <v>237875</v>
      </c>
      <c r="C638">
        <v>643198</v>
      </c>
      <c r="D638" t="s">
        <v>51</v>
      </c>
      <c r="E638" t="s">
        <v>52</v>
      </c>
      <c r="F638" t="s">
        <v>33</v>
      </c>
      <c r="G638" s="1">
        <v>1852510.2949641119</v>
      </c>
      <c r="H638" s="2">
        <v>1482008.2359712897</v>
      </c>
      <c r="I638" s="11" t="str">
        <f>VLOOKUP(BasePIs[[#This Row],[Produto]],DePara_Produto[],2,0)</f>
        <v>Outros</v>
      </c>
      <c r="J638" s="13">
        <f>1</f>
        <v>1</v>
      </c>
    </row>
    <row r="639" spans="1:10" x14ac:dyDescent="0.25">
      <c r="A639" s="3">
        <v>43862</v>
      </c>
      <c r="B639">
        <v>237877</v>
      </c>
      <c r="C639">
        <v>643200</v>
      </c>
      <c r="D639" t="s">
        <v>51</v>
      </c>
      <c r="E639" t="s">
        <v>52</v>
      </c>
      <c r="F639" t="s">
        <v>28</v>
      </c>
      <c r="G639" s="1">
        <v>25330722.019003026</v>
      </c>
      <c r="H639" s="2">
        <v>20264577.615202423</v>
      </c>
      <c r="I639" s="11" t="str">
        <f>VLOOKUP(BasePIs[[#This Row],[Produto]],DePara_Produto[],2,0)</f>
        <v>Outros</v>
      </c>
      <c r="J639" s="13">
        <f>1</f>
        <v>1</v>
      </c>
    </row>
    <row r="640" spans="1:10" x14ac:dyDescent="0.25">
      <c r="A640" s="3">
        <v>43862</v>
      </c>
      <c r="B640">
        <v>237879</v>
      </c>
      <c r="C640">
        <v>643202</v>
      </c>
      <c r="D640" t="s">
        <v>51</v>
      </c>
      <c r="E640" t="s">
        <v>52</v>
      </c>
      <c r="F640" t="s">
        <v>32</v>
      </c>
      <c r="G640" s="1">
        <v>6477228.5745862257</v>
      </c>
      <c r="H640" s="2">
        <v>5181782.8596689813</v>
      </c>
      <c r="I640" s="11" t="str">
        <f>VLOOKUP(BasePIs[[#This Row],[Produto]],DePara_Produto[],2,0)</f>
        <v>Outros</v>
      </c>
      <c r="J640" s="13">
        <f>1</f>
        <v>1</v>
      </c>
    </row>
    <row r="641" spans="1:10" x14ac:dyDescent="0.25">
      <c r="A641" s="3">
        <v>43862</v>
      </c>
      <c r="B641">
        <v>237880</v>
      </c>
      <c r="C641">
        <v>643203</v>
      </c>
      <c r="D641" t="s">
        <v>51</v>
      </c>
      <c r="E641" t="s">
        <v>52</v>
      </c>
      <c r="F641" t="s">
        <v>25</v>
      </c>
      <c r="G641" s="1">
        <v>1232170.8843027723</v>
      </c>
      <c r="H641" s="2">
        <v>985736.70744221797</v>
      </c>
      <c r="I641" s="11" t="str">
        <f>VLOOKUP(BasePIs[[#This Row],[Produto]],DePara_Produto[],2,0)</f>
        <v>Outros</v>
      </c>
      <c r="J641" s="13">
        <f>1</f>
        <v>1</v>
      </c>
    </row>
    <row r="642" spans="1:10" x14ac:dyDescent="0.25">
      <c r="A642" s="3">
        <v>43862</v>
      </c>
      <c r="B642">
        <v>237881</v>
      </c>
      <c r="C642">
        <v>643205</v>
      </c>
      <c r="D642" t="s">
        <v>51</v>
      </c>
      <c r="E642" t="s">
        <v>52</v>
      </c>
      <c r="F642" t="s">
        <v>35</v>
      </c>
      <c r="G642" s="1">
        <v>49276.098581047154</v>
      </c>
      <c r="H642" s="2">
        <v>39420.878864837723</v>
      </c>
      <c r="I642" s="11" t="str">
        <f>VLOOKUP(BasePIs[[#This Row],[Produto]],DePara_Produto[],2,0)</f>
        <v>Outros</v>
      </c>
      <c r="J642" s="13">
        <f>1</f>
        <v>1</v>
      </c>
    </row>
    <row r="643" spans="1:10" x14ac:dyDescent="0.25">
      <c r="A643" s="3">
        <v>43862</v>
      </c>
      <c r="B643">
        <v>237882</v>
      </c>
      <c r="C643">
        <v>643206</v>
      </c>
      <c r="D643" t="s">
        <v>51</v>
      </c>
      <c r="E643" t="s">
        <v>52</v>
      </c>
      <c r="F643" t="s">
        <v>34</v>
      </c>
      <c r="G643" s="1">
        <v>57559.460050023088</v>
      </c>
      <c r="H643" s="2">
        <v>46047.568040018472</v>
      </c>
      <c r="I643" s="11" t="str">
        <f>VLOOKUP(BasePIs[[#This Row],[Produto]],DePara_Produto[],2,0)</f>
        <v>Outros</v>
      </c>
      <c r="J643" s="13">
        <f>1</f>
        <v>1</v>
      </c>
    </row>
    <row r="644" spans="1:10" x14ac:dyDescent="0.25">
      <c r="A644" s="3">
        <v>43862</v>
      </c>
      <c r="B644">
        <v>237883</v>
      </c>
      <c r="C644">
        <v>643207</v>
      </c>
      <c r="D644" t="s">
        <v>51</v>
      </c>
      <c r="E644" t="s">
        <v>52</v>
      </c>
      <c r="F644" t="s">
        <v>34</v>
      </c>
      <c r="G644" s="1">
        <v>54162.394868294548</v>
      </c>
      <c r="H644" s="2">
        <v>43329.91589463564</v>
      </c>
      <c r="I644" s="11" t="str">
        <f>VLOOKUP(BasePIs[[#This Row],[Produto]],DePara_Produto[],2,0)</f>
        <v>Outros</v>
      </c>
      <c r="J644" s="13">
        <f>1</f>
        <v>1</v>
      </c>
    </row>
    <row r="645" spans="1:10" x14ac:dyDescent="0.25">
      <c r="A645" s="3">
        <v>43862</v>
      </c>
      <c r="B645">
        <v>237884</v>
      </c>
      <c r="C645">
        <v>643208</v>
      </c>
      <c r="D645" t="s">
        <v>51</v>
      </c>
      <c r="E645" t="s">
        <v>52</v>
      </c>
      <c r="F645" t="s">
        <v>36</v>
      </c>
      <c r="G645" s="1">
        <v>66641.90540220312</v>
      </c>
      <c r="H645" s="2">
        <v>53313.524321762496</v>
      </c>
      <c r="I645" s="11" t="str">
        <f>VLOOKUP(BasePIs[[#This Row],[Produto]],DePara_Produto[],2,0)</f>
        <v>Outros</v>
      </c>
      <c r="J645" s="13">
        <f>1</f>
        <v>1</v>
      </c>
    </row>
    <row r="646" spans="1:10" x14ac:dyDescent="0.25">
      <c r="A646" s="3">
        <v>43862</v>
      </c>
      <c r="B646">
        <v>237886</v>
      </c>
      <c r="C646">
        <v>643213</v>
      </c>
      <c r="D646" t="s">
        <v>54</v>
      </c>
      <c r="E646" t="s">
        <v>55</v>
      </c>
      <c r="F646" t="s">
        <v>28</v>
      </c>
      <c r="G646" s="1">
        <v>379531.04914119776</v>
      </c>
      <c r="H646" s="2">
        <v>303624.83931295824</v>
      </c>
      <c r="I646" s="11" t="str">
        <f>VLOOKUP(BasePIs[[#This Row],[Produto]],DePara_Produto[],2,0)</f>
        <v>Varejo</v>
      </c>
      <c r="J646" s="13">
        <f>1</f>
        <v>1</v>
      </c>
    </row>
    <row r="647" spans="1:10" x14ac:dyDescent="0.25">
      <c r="A647" s="3">
        <v>43862</v>
      </c>
      <c r="B647">
        <v>237889</v>
      </c>
      <c r="C647">
        <v>643216</v>
      </c>
      <c r="D647" t="s">
        <v>54</v>
      </c>
      <c r="E647" t="s">
        <v>55</v>
      </c>
      <c r="F647" t="s">
        <v>25</v>
      </c>
      <c r="G647" s="1">
        <v>2228301.7106819679</v>
      </c>
      <c r="H647" s="2">
        <v>1782641.3685455744</v>
      </c>
      <c r="I647" s="11" t="str">
        <f>VLOOKUP(BasePIs[[#This Row],[Produto]],DePara_Produto[],2,0)</f>
        <v>Varejo</v>
      </c>
      <c r="J647" s="13">
        <f>1</f>
        <v>1</v>
      </c>
    </row>
    <row r="648" spans="1:10" x14ac:dyDescent="0.25">
      <c r="A648" s="3">
        <v>43862</v>
      </c>
      <c r="B648">
        <v>237890</v>
      </c>
      <c r="C648">
        <v>643217</v>
      </c>
      <c r="D648" t="s">
        <v>54</v>
      </c>
      <c r="E648" t="s">
        <v>55</v>
      </c>
      <c r="F648" t="s">
        <v>35</v>
      </c>
      <c r="G648" s="1">
        <v>59973.607459173698</v>
      </c>
      <c r="H648" s="2">
        <v>47978.88596733896</v>
      </c>
      <c r="I648" s="11" t="str">
        <f>VLOOKUP(BasePIs[[#This Row],[Produto]],DePara_Produto[],2,0)</f>
        <v>Varejo</v>
      </c>
      <c r="J648" s="13">
        <f>1</f>
        <v>1</v>
      </c>
    </row>
    <row r="649" spans="1:10" x14ac:dyDescent="0.25">
      <c r="A649" s="3">
        <v>43862</v>
      </c>
      <c r="B649">
        <v>237891</v>
      </c>
      <c r="C649">
        <v>643218</v>
      </c>
      <c r="D649" t="s">
        <v>54</v>
      </c>
      <c r="E649" t="s">
        <v>55</v>
      </c>
      <c r="F649" t="s">
        <v>34</v>
      </c>
      <c r="G649" s="1">
        <v>91164.905252077413</v>
      </c>
      <c r="H649" s="2">
        <v>72931.924201661939</v>
      </c>
      <c r="I649" s="11" t="str">
        <f>VLOOKUP(BasePIs[[#This Row],[Produto]],DePara_Produto[],2,0)</f>
        <v>Varejo</v>
      </c>
      <c r="J649" s="13">
        <f>1</f>
        <v>1</v>
      </c>
    </row>
    <row r="650" spans="1:10" x14ac:dyDescent="0.25">
      <c r="A650" s="3">
        <v>43862</v>
      </c>
      <c r="B650">
        <v>237892</v>
      </c>
      <c r="C650">
        <v>643219</v>
      </c>
      <c r="D650" t="s">
        <v>54</v>
      </c>
      <c r="E650" t="s">
        <v>55</v>
      </c>
      <c r="F650" t="s">
        <v>34</v>
      </c>
      <c r="G650" s="1">
        <v>14036.913562842799</v>
      </c>
      <c r="H650" s="2">
        <v>11229.530850274241</v>
      </c>
      <c r="I650" s="11" t="str">
        <f>VLOOKUP(BasePIs[[#This Row],[Produto]],DePara_Produto[],2,0)</f>
        <v>Varejo</v>
      </c>
      <c r="J650" s="13">
        <f>1</f>
        <v>1</v>
      </c>
    </row>
    <row r="651" spans="1:10" x14ac:dyDescent="0.25">
      <c r="A651" s="3">
        <v>43862</v>
      </c>
      <c r="B651">
        <v>237907</v>
      </c>
      <c r="C651">
        <v>643241</v>
      </c>
      <c r="D651" t="s">
        <v>56</v>
      </c>
      <c r="E651" t="s">
        <v>38</v>
      </c>
      <c r="F651" t="s">
        <v>28</v>
      </c>
      <c r="G651" s="1">
        <v>409420.64974787453</v>
      </c>
      <c r="H651" s="2">
        <v>327536.51979829965</v>
      </c>
      <c r="I651" s="11" t="str">
        <f>VLOOKUP(BasePIs[[#This Row],[Produto]],DePara_Produto[],2,0)</f>
        <v>Varejo</v>
      </c>
      <c r="J651" s="13">
        <f>1</f>
        <v>1</v>
      </c>
    </row>
    <row r="652" spans="1:10" x14ac:dyDescent="0.25">
      <c r="A652" s="3">
        <v>43862</v>
      </c>
      <c r="B652">
        <v>237908</v>
      </c>
      <c r="C652">
        <v>643242</v>
      </c>
      <c r="D652" t="s">
        <v>56</v>
      </c>
      <c r="E652" t="s">
        <v>38</v>
      </c>
      <c r="F652" t="s">
        <v>35</v>
      </c>
      <c r="G652" s="1">
        <v>225.49652592583345</v>
      </c>
      <c r="H652" s="2">
        <v>180.39722074066677</v>
      </c>
      <c r="I652" s="11" t="str">
        <f>VLOOKUP(BasePIs[[#This Row],[Produto]],DePara_Produto[],2,0)</f>
        <v>Varejo</v>
      </c>
      <c r="J652" s="13">
        <f>1</f>
        <v>1</v>
      </c>
    </row>
    <row r="653" spans="1:10" x14ac:dyDescent="0.25">
      <c r="A653" s="3">
        <v>43983</v>
      </c>
      <c r="B653">
        <v>237969</v>
      </c>
      <c r="C653">
        <v>643473</v>
      </c>
      <c r="D653" t="s">
        <v>54</v>
      </c>
      <c r="E653" t="s">
        <v>55</v>
      </c>
      <c r="F653" t="s">
        <v>29</v>
      </c>
      <c r="G653" s="1">
        <v>1325384.1390240733</v>
      </c>
      <c r="H653" s="2">
        <v>1060307.3112192587</v>
      </c>
      <c r="I653" s="11" t="str">
        <f>VLOOKUP(BasePIs[[#This Row],[Produto]],DePara_Produto[],2,0)</f>
        <v>Varejo</v>
      </c>
      <c r="J653" s="13">
        <f>1</f>
        <v>1</v>
      </c>
    </row>
    <row r="654" spans="1:10" x14ac:dyDescent="0.25">
      <c r="A654" s="3">
        <v>43983</v>
      </c>
      <c r="B654">
        <v>237972</v>
      </c>
      <c r="C654">
        <v>643476</v>
      </c>
      <c r="D654" t="s">
        <v>57</v>
      </c>
      <c r="E654" t="s">
        <v>58</v>
      </c>
      <c r="F654" t="s">
        <v>33</v>
      </c>
      <c r="G654" s="1">
        <v>5049.6146115213724</v>
      </c>
      <c r="H654" s="2">
        <v>4039.691689217098</v>
      </c>
      <c r="I654" s="11" t="str">
        <f>VLOOKUP(BasePIs[[#This Row],[Produto]],DePara_Produto[],2,0)</f>
        <v>Outros</v>
      </c>
      <c r="J654" s="13">
        <f>1</f>
        <v>1</v>
      </c>
    </row>
    <row r="655" spans="1:10" x14ac:dyDescent="0.25">
      <c r="A655" s="3">
        <v>43983</v>
      </c>
      <c r="B655">
        <v>237973</v>
      </c>
      <c r="C655">
        <v>643477</v>
      </c>
      <c r="D655" t="s">
        <v>57</v>
      </c>
      <c r="E655" t="s">
        <v>58</v>
      </c>
      <c r="F655" t="s">
        <v>28</v>
      </c>
      <c r="G655" s="1">
        <v>1314646.488299774</v>
      </c>
      <c r="H655" s="2">
        <v>1051717.1906398193</v>
      </c>
      <c r="I655" s="11" t="str">
        <f>VLOOKUP(BasePIs[[#This Row],[Produto]],DePara_Produto[],2,0)</f>
        <v>Outros</v>
      </c>
      <c r="J655" s="13">
        <f>1</f>
        <v>1</v>
      </c>
    </row>
    <row r="656" spans="1:10" x14ac:dyDescent="0.25">
      <c r="A656" s="3">
        <v>43983</v>
      </c>
      <c r="B656">
        <v>237974</v>
      </c>
      <c r="C656">
        <v>643478</v>
      </c>
      <c r="D656" t="s">
        <v>57</v>
      </c>
      <c r="E656" t="s">
        <v>58</v>
      </c>
      <c r="F656" t="s">
        <v>35</v>
      </c>
      <c r="G656" s="1">
        <v>11701.340219478441</v>
      </c>
      <c r="H656" s="2">
        <v>9361.0721755827526</v>
      </c>
      <c r="I656" s="11" t="str">
        <f>VLOOKUP(BasePIs[[#This Row],[Produto]],DePara_Produto[],2,0)</f>
        <v>Outros</v>
      </c>
      <c r="J656" s="13">
        <f>1</f>
        <v>1</v>
      </c>
    </row>
    <row r="657" spans="1:10" x14ac:dyDescent="0.25">
      <c r="A657" s="3">
        <v>43983</v>
      </c>
      <c r="B657">
        <v>237980</v>
      </c>
      <c r="C657">
        <v>643484</v>
      </c>
      <c r="D657" t="s">
        <v>57</v>
      </c>
      <c r="E657" t="s">
        <v>58</v>
      </c>
      <c r="F657" t="s">
        <v>36</v>
      </c>
      <c r="G657" s="1">
        <v>16.470852388612805</v>
      </c>
      <c r="H657" s="2">
        <v>13.176681910890245</v>
      </c>
      <c r="I657" s="11" t="str">
        <f>VLOOKUP(BasePIs[[#This Row],[Produto]],DePara_Produto[],2,0)</f>
        <v>Outros</v>
      </c>
      <c r="J657" s="13">
        <f>1</f>
        <v>1</v>
      </c>
    </row>
    <row r="658" spans="1:10" x14ac:dyDescent="0.25">
      <c r="A658" s="3">
        <v>43983</v>
      </c>
      <c r="B658">
        <v>238001</v>
      </c>
      <c r="C658">
        <v>643511</v>
      </c>
      <c r="D658" t="s">
        <v>51</v>
      </c>
      <c r="E658" t="s">
        <v>52</v>
      </c>
      <c r="F658" t="s">
        <v>59</v>
      </c>
      <c r="G658" s="1">
        <v>142487.61032697404</v>
      </c>
      <c r="H658" s="2">
        <v>113990.08826157924</v>
      </c>
      <c r="I658" s="11" t="str">
        <f>VLOOKUP(BasePIs[[#This Row],[Produto]],DePara_Produto[],2,0)</f>
        <v>Outros</v>
      </c>
      <c r="J658" s="13">
        <f>1</f>
        <v>1</v>
      </c>
    </row>
    <row r="659" spans="1:10" x14ac:dyDescent="0.25">
      <c r="A659" s="3">
        <v>43983</v>
      </c>
      <c r="B659">
        <v>237736</v>
      </c>
      <c r="C659">
        <v>643033</v>
      </c>
      <c r="D659" t="s">
        <v>49</v>
      </c>
      <c r="E659" t="s">
        <v>49</v>
      </c>
      <c r="F659" t="s">
        <v>33</v>
      </c>
      <c r="G659" s="1">
        <v>124504.40503924264</v>
      </c>
      <c r="H659" s="2">
        <v>99603.524031394118</v>
      </c>
      <c r="I659" s="11" t="str">
        <f>VLOOKUP(BasePIs[[#This Row],[Produto]],DePara_Produto[],2,0)</f>
        <v>Outros</v>
      </c>
      <c r="J659" s="13">
        <f>1</f>
        <v>1</v>
      </c>
    </row>
    <row r="660" spans="1:10" x14ac:dyDescent="0.25">
      <c r="A660" s="3">
        <v>43983</v>
      </c>
      <c r="B660">
        <v>237738</v>
      </c>
      <c r="C660">
        <v>643039</v>
      </c>
      <c r="D660" t="s">
        <v>49</v>
      </c>
      <c r="E660" t="s">
        <v>49</v>
      </c>
      <c r="F660" t="s">
        <v>50</v>
      </c>
      <c r="G660" s="1">
        <v>140159.67049027563</v>
      </c>
      <c r="H660" s="2">
        <v>112127.73639222051</v>
      </c>
      <c r="I660" s="11" t="str">
        <f>VLOOKUP(BasePIs[[#This Row],[Produto]],DePara_Produto[],2,0)</f>
        <v>Outros</v>
      </c>
      <c r="J660" s="13">
        <f>1</f>
        <v>1</v>
      </c>
    </row>
    <row r="661" spans="1:10" x14ac:dyDescent="0.25">
      <c r="A661" s="3">
        <v>43983</v>
      </c>
      <c r="B661">
        <v>237739</v>
      </c>
      <c r="C661">
        <v>643035</v>
      </c>
      <c r="D661" t="s">
        <v>49</v>
      </c>
      <c r="E661" t="s">
        <v>49</v>
      </c>
      <c r="F661" t="s">
        <v>25</v>
      </c>
      <c r="G661" s="1">
        <v>157817.83257275322</v>
      </c>
      <c r="H661" s="2">
        <v>126254.26605820259</v>
      </c>
      <c r="I661" s="11" t="str">
        <f>VLOOKUP(BasePIs[[#This Row],[Produto]],DePara_Produto[],2,0)</f>
        <v>Outros</v>
      </c>
      <c r="J661" s="13">
        <f>1</f>
        <v>1</v>
      </c>
    </row>
    <row r="662" spans="1:10" x14ac:dyDescent="0.25">
      <c r="A662" s="3">
        <v>43983</v>
      </c>
      <c r="B662">
        <v>237743</v>
      </c>
      <c r="C662">
        <v>643042</v>
      </c>
      <c r="D662" t="s">
        <v>49</v>
      </c>
      <c r="E662" t="s">
        <v>49</v>
      </c>
      <c r="F662" t="s">
        <v>35</v>
      </c>
      <c r="G662" s="1">
        <v>152.79572717739185</v>
      </c>
      <c r="H662" s="2">
        <v>122.23658174191348</v>
      </c>
      <c r="I662" s="11" t="str">
        <f>VLOOKUP(BasePIs[[#This Row],[Produto]],DePara_Produto[],2,0)</f>
        <v>Outros</v>
      </c>
      <c r="J662" s="13">
        <f>1</f>
        <v>1</v>
      </c>
    </row>
    <row r="663" spans="1:10" x14ac:dyDescent="0.25">
      <c r="A663" s="3">
        <v>43983</v>
      </c>
      <c r="B663">
        <v>237744</v>
      </c>
      <c r="C663">
        <v>643043</v>
      </c>
      <c r="D663" t="s">
        <v>49</v>
      </c>
      <c r="E663" t="s">
        <v>49</v>
      </c>
      <c r="F663" t="s">
        <v>34</v>
      </c>
      <c r="G663" s="1">
        <v>2422.5535168931506</v>
      </c>
      <c r="H663" s="2">
        <v>1938.0428135145205</v>
      </c>
      <c r="I663" s="11" t="str">
        <f>VLOOKUP(BasePIs[[#This Row],[Produto]],DePara_Produto[],2,0)</f>
        <v>Outros</v>
      </c>
      <c r="J663" s="13">
        <f>1</f>
        <v>1</v>
      </c>
    </row>
    <row r="664" spans="1:10" x14ac:dyDescent="0.25">
      <c r="A664" s="3">
        <v>43983</v>
      </c>
      <c r="B664">
        <v>237745</v>
      </c>
      <c r="C664">
        <v>643045</v>
      </c>
      <c r="D664" t="s">
        <v>49</v>
      </c>
      <c r="E664" t="s">
        <v>49</v>
      </c>
      <c r="F664" t="s">
        <v>28</v>
      </c>
      <c r="G664" s="1">
        <v>203058.94517026088</v>
      </c>
      <c r="H664" s="2">
        <v>162447.15613620871</v>
      </c>
      <c r="I664" s="11" t="str">
        <f>VLOOKUP(BasePIs[[#This Row],[Produto]],DePara_Produto[],2,0)</f>
        <v>Outros</v>
      </c>
      <c r="J664" s="13">
        <f>1</f>
        <v>1</v>
      </c>
    </row>
    <row r="665" spans="1:10" x14ac:dyDescent="0.25">
      <c r="A665" s="3">
        <v>43983</v>
      </c>
      <c r="B665">
        <v>237746</v>
      </c>
      <c r="C665">
        <v>643046</v>
      </c>
      <c r="D665" t="s">
        <v>49</v>
      </c>
      <c r="E665" t="s">
        <v>49</v>
      </c>
      <c r="F665" t="s">
        <v>34</v>
      </c>
      <c r="G665" s="1">
        <v>57.975305414353443</v>
      </c>
      <c r="H665" s="2">
        <v>46.380244331482757</v>
      </c>
      <c r="I665" s="11" t="str">
        <f>VLOOKUP(BasePIs[[#This Row],[Produto]],DePara_Produto[],2,0)</f>
        <v>Outros</v>
      </c>
      <c r="J665" s="13">
        <f>1</f>
        <v>1</v>
      </c>
    </row>
    <row r="666" spans="1:10" x14ac:dyDescent="0.25">
      <c r="A666" s="3">
        <v>43983</v>
      </c>
      <c r="B666">
        <v>237747</v>
      </c>
      <c r="C666">
        <v>643047</v>
      </c>
      <c r="D666" t="s">
        <v>49</v>
      </c>
      <c r="E666" t="s">
        <v>49</v>
      </c>
      <c r="F666" t="s">
        <v>36</v>
      </c>
      <c r="G666" s="1">
        <v>575.43173124672035</v>
      </c>
      <c r="H666" s="2">
        <v>460.3453849973763</v>
      </c>
      <c r="I666" s="11" t="str">
        <f>VLOOKUP(BasePIs[[#This Row],[Produto]],DePara_Produto[],2,0)</f>
        <v>Outros</v>
      </c>
      <c r="J666" s="13">
        <f>1</f>
        <v>1</v>
      </c>
    </row>
    <row r="667" spans="1:10" x14ac:dyDescent="0.25">
      <c r="A667" s="3">
        <v>43983</v>
      </c>
      <c r="B667">
        <v>237835</v>
      </c>
      <c r="C667">
        <v>643138</v>
      </c>
      <c r="D667" t="s">
        <v>44</v>
      </c>
      <c r="E667" t="s">
        <v>44</v>
      </c>
      <c r="F667" t="s">
        <v>29</v>
      </c>
      <c r="G667" s="1">
        <v>387502.16680061055</v>
      </c>
      <c r="H667" s="2">
        <v>310001.73344048846</v>
      </c>
      <c r="I667" s="11" t="str">
        <f>VLOOKUP(BasePIs[[#This Row],[Produto]],DePara_Produto[],2,0)</f>
        <v>Amarok</v>
      </c>
      <c r="J667" s="13">
        <f>1</f>
        <v>1</v>
      </c>
    </row>
    <row r="668" spans="1:10" x14ac:dyDescent="0.25">
      <c r="A668" s="3">
        <v>43983</v>
      </c>
      <c r="B668">
        <v>237874</v>
      </c>
      <c r="C668">
        <v>643197</v>
      </c>
      <c r="D668" t="s">
        <v>51</v>
      </c>
      <c r="E668" t="s">
        <v>52</v>
      </c>
      <c r="F668" t="s">
        <v>53</v>
      </c>
      <c r="G668" s="1">
        <v>77021.19408865225</v>
      </c>
      <c r="H668" s="2">
        <v>61616.955270921804</v>
      </c>
      <c r="I668" s="11" t="str">
        <f>VLOOKUP(BasePIs[[#This Row],[Produto]],DePara_Produto[],2,0)</f>
        <v>Outros</v>
      </c>
      <c r="J668" s="13">
        <f>1</f>
        <v>1</v>
      </c>
    </row>
    <row r="669" spans="1:10" x14ac:dyDescent="0.25">
      <c r="A669" s="3">
        <v>43983</v>
      </c>
      <c r="B669">
        <v>237875</v>
      </c>
      <c r="C669">
        <v>643198</v>
      </c>
      <c r="D669" t="s">
        <v>51</v>
      </c>
      <c r="E669" t="s">
        <v>52</v>
      </c>
      <c r="F669" t="s">
        <v>33</v>
      </c>
      <c r="G669" s="1">
        <v>2659388.5729103475</v>
      </c>
      <c r="H669" s="2">
        <v>2127510.8583282782</v>
      </c>
      <c r="I669" s="11" t="str">
        <f>VLOOKUP(BasePIs[[#This Row],[Produto]],DePara_Produto[],2,0)</f>
        <v>Outros</v>
      </c>
      <c r="J669" s="13">
        <f>1</f>
        <v>1</v>
      </c>
    </row>
    <row r="670" spans="1:10" x14ac:dyDescent="0.25">
      <c r="A670" s="3">
        <v>43983</v>
      </c>
      <c r="B670">
        <v>237877</v>
      </c>
      <c r="C670">
        <v>643200</v>
      </c>
      <c r="D670" t="s">
        <v>51</v>
      </c>
      <c r="E670" t="s">
        <v>52</v>
      </c>
      <c r="F670" t="s">
        <v>28</v>
      </c>
      <c r="G670" s="1">
        <v>1585307.6431689414</v>
      </c>
      <c r="H670" s="2">
        <v>1268246.1145351531</v>
      </c>
      <c r="I670" s="11" t="str">
        <f>VLOOKUP(BasePIs[[#This Row],[Produto]],DePara_Produto[],2,0)</f>
        <v>Outros</v>
      </c>
      <c r="J670" s="13">
        <f>1</f>
        <v>1</v>
      </c>
    </row>
    <row r="671" spans="1:10" x14ac:dyDescent="0.25">
      <c r="A671" s="3">
        <v>43983</v>
      </c>
      <c r="B671">
        <v>237879</v>
      </c>
      <c r="C671">
        <v>643202</v>
      </c>
      <c r="D671" t="s">
        <v>51</v>
      </c>
      <c r="E671" t="s">
        <v>52</v>
      </c>
      <c r="F671" t="s">
        <v>32</v>
      </c>
      <c r="G671" s="1">
        <v>805272.10009048518</v>
      </c>
      <c r="H671" s="2">
        <v>644217.68007238815</v>
      </c>
      <c r="I671" s="11" t="str">
        <f>VLOOKUP(BasePIs[[#This Row],[Produto]],DePara_Produto[],2,0)</f>
        <v>Outros</v>
      </c>
      <c r="J671" s="13">
        <f>1</f>
        <v>1</v>
      </c>
    </row>
    <row r="672" spans="1:10" x14ac:dyDescent="0.25">
      <c r="A672" s="3">
        <v>43983</v>
      </c>
      <c r="B672">
        <v>237880</v>
      </c>
      <c r="C672">
        <v>643203</v>
      </c>
      <c r="D672" t="s">
        <v>51</v>
      </c>
      <c r="E672" t="s">
        <v>52</v>
      </c>
      <c r="F672" t="s">
        <v>25</v>
      </c>
      <c r="G672" s="1">
        <v>66781846.111107849</v>
      </c>
      <c r="H672" s="2">
        <v>53425476.88888628</v>
      </c>
      <c r="I672" s="11" t="str">
        <f>VLOOKUP(BasePIs[[#This Row],[Produto]],DePara_Produto[],2,0)</f>
        <v>Outros</v>
      </c>
      <c r="J672" s="13">
        <f>1</f>
        <v>1</v>
      </c>
    </row>
    <row r="673" spans="1:10" x14ac:dyDescent="0.25">
      <c r="A673" s="3">
        <v>43983</v>
      </c>
      <c r="B673">
        <v>237881</v>
      </c>
      <c r="C673">
        <v>643205</v>
      </c>
      <c r="D673" t="s">
        <v>51</v>
      </c>
      <c r="E673" t="s">
        <v>52</v>
      </c>
      <c r="F673" t="s">
        <v>35</v>
      </c>
      <c r="G673" s="1">
        <v>62650.8711937021</v>
      </c>
      <c r="H673" s="2">
        <v>50120.696954961684</v>
      </c>
      <c r="I673" s="11" t="str">
        <f>VLOOKUP(BasePIs[[#This Row],[Produto]],DePara_Produto[],2,0)</f>
        <v>Outros</v>
      </c>
      <c r="J673" s="13">
        <f>1</f>
        <v>1</v>
      </c>
    </row>
    <row r="674" spans="1:10" x14ac:dyDescent="0.25">
      <c r="A674" s="3">
        <v>43983</v>
      </c>
      <c r="B674">
        <v>237882</v>
      </c>
      <c r="C674">
        <v>643206</v>
      </c>
      <c r="D674" t="s">
        <v>51</v>
      </c>
      <c r="E674" t="s">
        <v>52</v>
      </c>
      <c r="F674" t="s">
        <v>34</v>
      </c>
      <c r="G674" s="1">
        <v>59769.757099439375</v>
      </c>
      <c r="H674" s="2">
        <v>47815.8056795515</v>
      </c>
      <c r="I674" s="11" t="str">
        <f>VLOOKUP(BasePIs[[#This Row],[Produto]],DePara_Produto[],2,0)</f>
        <v>Outros</v>
      </c>
      <c r="J674" s="13">
        <f>1</f>
        <v>1</v>
      </c>
    </row>
    <row r="675" spans="1:10" x14ac:dyDescent="0.25">
      <c r="A675" s="3">
        <v>43983</v>
      </c>
      <c r="B675">
        <v>237883</v>
      </c>
      <c r="C675">
        <v>643207</v>
      </c>
      <c r="D675" t="s">
        <v>51</v>
      </c>
      <c r="E675" t="s">
        <v>52</v>
      </c>
      <c r="F675" t="s">
        <v>34</v>
      </c>
      <c r="G675" s="1">
        <v>84129.427604667173</v>
      </c>
      <c r="H675" s="2">
        <v>67303.542083733744</v>
      </c>
      <c r="I675" s="11" t="str">
        <f>VLOOKUP(BasePIs[[#This Row],[Produto]],DePara_Produto[],2,0)</f>
        <v>Outros</v>
      </c>
      <c r="J675" s="13">
        <f>1</f>
        <v>1</v>
      </c>
    </row>
    <row r="676" spans="1:10" x14ac:dyDescent="0.25">
      <c r="A676" s="3">
        <v>43983</v>
      </c>
      <c r="B676">
        <v>237884</v>
      </c>
      <c r="C676">
        <v>643208</v>
      </c>
      <c r="D676" t="s">
        <v>51</v>
      </c>
      <c r="E676" t="s">
        <v>52</v>
      </c>
      <c r="F676" t="s">
        <v>36</v>
      </c>
      <c r="G676" s="1">
        <v>37334.445824444294</v>
      </c>
      <c r="H676" s="2">
        <v>29867.556659555437</v>
      </c>
      <c r="I676" s="11" t="str">
        <f>VLOOKUP(BasePIs[[#This Row],[Produto]],DePara_Produto[],2,0)</f>
        <v>Outros</v>
      </c>
      <c r="J676" s="13">
        <f>1</f>
        <v>1</v>
      </c>
    </row>
    <row r="677" spans="1:10" x14ac:dyDescent="0.25">
      <c r="A677" s="3">
        <v>43983</v>
      </c>
      <c r="B677">
        <v>237886</v>
      </c>
      <c r="C677">
        <v>643213</v>
      </c>
      <c r="D677" t="s">
        <v>54</v>
      </c>
      <c r="E677" t="s">
        <v>55</v>
      </c>
      <c r="F677" t="s">
        <v>28</v>
      </c>
      <c r="G677" s="1">
        <v>1781533.8651673463</v>
      </c>
      <c r="H677" s="2">
        <v>1425227.0921338771</v>
      </c>
      <c r="I677" s="11" t="str">
        <f>VLOOKUP(BasePIs[[#This Row],[Produto]],DePara_Produto[],2,0)</f>
        <v>Varejo</v>
      </c>
      <c r="J677" s="13">
        <f>1</f>
        <v>1</v>
      </c>
    </row>
    <row r="678" spans="1:10" x14ac:dyDescent="0.25">
      <c r="A678" s="3">
        <v>43983</v>
      </c>
      <c r="B678">
        <v>237889</v>
      </c>
      <c r="C678">
        <v>643216</v>
      </c>
      <c r="D678" t="s">
        <v>54</v>
      </c>
      <c r="E678" t="s">
        <v>55</v>
      </c>
      <c r="F678" t="s">
        <v>25</v>
      </c>
      <c r="G678" s="1">
        <v>1811278.0979445893</v>
      </c>
      <c r="H678" s="2">
        <v>1449022.4783556715</v>
      </c>
      <c r="I678" s="11" t="str">
        <f>VLOOKUP(BasePIs[[#This Row],[Produto]],DePara_Produto[],2,0)</f>
        <v>Varejo</v>
      </c>
      <c r="J678" s="13">
        <f>1</f>
        <v>1</v>
      </c>
    </row>
    <row r="679" spans="1:10" x14ac:dyDescent="0.25">
      <c r="A679" s="3">
        <v>43983</v>
      </c>
      <c r="B679">
        <v>237890</v>
      </c>
      <c r="C679">
        <v>643217</v>
      </c>
      <c r="D679" t="s">
        <v>54</v>
      </c>
      <c r="E679" t="s">
        <v>55</v>
      </c>
      <c r="F679" t="s">
        <v>35</v>
      </c>
      <c r="G679" s="1">
        <v>47604.210391154789</v>
      </c>
      <c r="H679" s="2">
        <v>38083.368312923834</v>
      </c>
      <c r="I679" s="11" t="str">
        <f>VLOOKUP(BasePIs[[#This Row],[Produto]],DePara_Produto[],2,0)</f>
        <v>Varejo</v>
      </c>
      <c r="J679" s="13">
        <f>1</f>
        <v>1</v>
      </c>
    </row>
    <row r="680" spans="1:10" x14ac:dyDescent="0.25">
      <c r="A680" s="3">
        <v>43983</v>
      </c>
      <c r="B680">
        <v>237891</v>
      </c>
      <c r="C680">
        <v>643218</v>
      </c>
      <c r="D680" t="s">
        <v>54</v>
      </c>
      <c r="E680" t="s">
        <v>55</v>
      </c>
      <c r="F680" t="s">
        <v>34</v>
      </c>
      <c r="G680" s="1">
        <v>170796.27242732965</v>
      </c>
      <c r="H680" s="2">
        <v>136637.01794186371</v>
      </c>
      <c r="I680" s="11" t="str">
        <f>VLOOKUP(BasePIs[[#This Row],[Produto]],DePara_Produto[],2,0)</f>
        <v>Varejo</v>
      </c>
      <c r="J680" s="13">
        <f>1</f>
        <v>1</v>
      </c>
    </row>
    <row r="681" spans="1:10" x14ac:dyDescent="0.25">
      <c r="A681" s="3">
        <v>43983</v>
      </c>
      <c r="B681">
        <v>237892</v>
      </c>
      <c r="C681">
        <v>643219</v>
      </c>
      <c r="D681" t="s">
        <v>54</v>
      </c>
      <c r="E681" t="s">
        <v>55</v>
      </c>
      <c r="F681" t="s">
        <v>34</v>
      </c>
      <c r="G681" s="1">
        <v>17897.639159652863</v>
      </c>
      <c r="H681" s="2">
        <v>14318.11132772229</v>
      </c>
      <c r="I681" s="11" t="str">
        <f>VLOOKUP(BasePIs[[#This Row],[Produto]],DePara_Produto[],2,0)</f>
        <v>Varejo</v>
      </c>
      <c r="J681" s="13">
        <f>1</f>
        <v>1</v>
      </c>
    </row>
    <row r="682" spans="1:10" x14ac:dyDescent="0.25">
      <c r="A682" s="3">
        <v>43983</v>
      </c>
      <c r="B682">
        <v>237907</v>
      </c>
      <c r="C682">
        <v>643241</v>
      </c>
      <c r="D682" t="s">
        <v>56</v>
      </c>
      <c r="E682" t="s">
        <v>38</v>
      </c>
      <c r="F682" t="s">
        <v>28</v>
      </c>
      <c r="G682" s="1">
        <v>27756.892137038387</v>
      </c>
      <c r="H682" s="2">
        <v>22205.513709630712</v>
      </c>
      <c r="I682" s="11" t="str">
        <f>VLOOKUP(BasePIs[[#This Row],[Produto]],DePara_Produto[],2,0)</f>
        <v>Varejo</v>
      </c>
      <c r="J682" s="13">
        <f>1</f>
        <v>1</v>
      </c>
    </row>
    <row r="683" spans="1:10" x14ac:dyDescent="0.25">
      <c r="A683" s="3">
        <v>43983</v>
      </c>
      <c r="B683">
        <v>237908</v>
      </c>
      <c r="C683">
        <v>643242</v>
      </c>
      <c r="D683" t="s">
        <v>56</v>
      </c>
      <c r="E683" t="s">
        <v>38</v>
      </c>
      <c r="F683" t="s">
        <v>35</v>
      </c>
      <c r="G683" s="1">
        <v>24.454561620115211</v>
      </c>
      <c r="H683" s="2">
        <v>19.563649296092169</v>
      </c>
      <c r="I683" s="11" t="str">
        <f>VLOOKUP(BasePIs[[#This Row],[Produto]],DePara_Produto[],2,0)</f>
        <v>Varejo</v>
      </c>
      <c r="J683" s="13">
        <f>1</f>
        <v>1</v>
      </c>
    </row>
    <row r="684" spans="1:10" x14ac:dyDescent="0.25">
      <c r="A684" s="3">
        <v>43983</v>
      </c>
      <c r="B684">
        <v>237969</v>
      </c>
      <c r="C684">
        <v>643473</v>
      </c>
      <c r="D684" t="s">
        <v>54</v>
      </c>
      <c r="E684" t="s">
        <v>55</v>
      </c>
      <c r="F684" t="s">
        <v>29</v>
      </c>
      <c r="G684" s="1">
        <v>204815.12963097086</v>
      </c>
      <c r="H684" s="2">
        <v>163852.1037047767</v>
      </c>
      <c r="I684" s="11" t="str">
        <f>VLOOKUP(BasePIs[[#This Row],[Produto]],DePara_Produto[],2,0)</f>
        <v>Varejo</v>
      </c>
      <c r="J684" s="13">
        <f>1</f>
        <v>1</v>
      </c>
    </row>
    <row r="685" spans="1:10" x14ac:dyDescent="0.25">
      <c r="A685" s="3">
        <v>43983</v>
      </c>
      <c r="B685">
        <v>237972</v>
      </c>
      <c r="C685">
        <v>643476</v>
      </c>
      <c r="D685" t="s">
        <v>57</v>
      </c>
      <c r="E685" t="s">
        <v>58</v>
      </c>
      <c r="F685" t="s">
        <v>33</v>
      </c>
      <c r="G685" s="1">
        <v>5192.8467127774647</v>
      </c>
      <c r="H685" s="2">
        <v>4154.277370221972</v>
      </c>
      <c r="I685" s="11" t="str">
        <f>VLOOKUP(BasePIs[[#This Row],[Produto]],DePara_Produto[],2,0)</f>
        <v>Outros</v>
      </c>
      <c r="J685" s="13">
        <f>1</f>
        <v>1</v>
      </c>
    </row>
    <row r="686" spans="1:10" x14ac:dyDescent="0.25">
      <c r="A686" s="3">
        <v>43983</v>
      </c>
      <c r="B686">
        <v>237973</v>
      </c>
      <c r="C686">
        <v>643477</v>
      </c>
      <c r="D686" t="s">
        <v>57</v>
      </c>
      <c r="E686" t="s">
        <v>58</v>
      </c>
      <c r="F686" t="s">
        <v>28</v>
      </c>
      <c r="G686" s="1">
        <v>657013.85901049606</v>
      </c>
      <c r="H686" s="2">
        <v>525611.08720839687</v>
      </c>
      <c r="I686" s="11" t="str">
        <f>VLOOKUP(BasePIs[[#This Row],[Produto]],DePara_Produto[],2,0)</f>
        <v>Outros</v>
      </c>
      <c r="J686" s="13">
        <f>1</f>
        <v>1</v>
      </c>
    </row>
    <row r="687" spans="1:10" x14ac:dyDescent="0.25">
      <c r="A687" s="3">
        <v>43983</v>
      </c>
      <c r="B687">
        <v>237974</v>
      </c>
      <c r="C687">
        <v>643478</v>
      </c>
      <c r="D687" t="s">
        <v>57</v>
      </c>
      <c r="E687" t="s">
        <v>58</v>
      </c>
      <c r="F687" t="s">
        <v>35</v>
      </c>
      <c r="G687" s="1">
        <v>14586.318914448579</v>
      </c>
      <c r="H687" s="2">
        <v>11669.055131558864</v>
      </c>
      <c r="I687" s="11" t="str">
        <f>VLOOKUP(BasePIs[[#This Row],[Produto]],DePara_Produto[],2,0)</f>
        <v>Outros</v>
      </c>
      <c r="J687" s="13">
        <f>1</f>
        <v>1</v>
      </c>
    </row>
    <row r="688" spans="1:10" x14ac:dyDescent="0.25">
      <c r="A688" s="3">
        <v>43862</v>
      </c>
      <c r="B688">
        <v>237980</v>
      </c>
      <c r="C688">
        <v>643484</v>
      </c>
      <c r="D688" t="s">
        <v>57</v>
      </c>
      <c r="E688" t="s">
        <v>58</v>
      </c>
      <c r="F688" t="s">
        <v>36</v>
      </c>
      <c r="G688" s="1">
        <v>16.148076361160825</v>
      </c>
      <c r="H688" s="2">
        <v>12.918461088928661</v>
      </c>
      <c r="I688" s="11" t="str">
        <f>VLOOKUP(BasePIs[[#This Row],[Produto]],DePara_Produto[],2,0)</f>
        <v>Outros</v>
      </c>
      <c r="J688" s="13">
        <f>1</f>
        <v>1</v>
      </c>
    </row>
    <row r="689" spans="1:10" x14ac:dyDescent="0.25">
      <c r="A689" s="3">
        <v>43862</v>
      </c>
      <c r="B689">
        <v>238001</v>
      </c>
      <c r="C689">
        <v>643511</v>
      </c>
      <c r="D689" t="s">
        <v>51</v>
      </c>
      <c r="E689" t="s">
        <v>52</v>
      </c>
      <c r="F689" t="s">
        <v>59</v>
      </c>
      <c r="G689" s="1">
        <v>2550148.208210208</v>
      </c>
      <c r="H689" s="2">
        <v>2040118.5665681665</v>
      </c>
      <c r="I689" s="11" t="str">
        <f>VLOOKUP(BasePIs[[#This Row],[Produto]],DePara_Produto[],2,0)</f>
        <v>Outros</v>
      </c>
      <c r="J689" s="13">
        <f>1</f>
        <v>1</v>
      </c>
    </row>
    <row r="690" spans="1:10" x14ac:dyDescent="0.25">
      <c r="A690" s="3">
        <v>43862</v>
      </c>
      <c r="B690">
        <v>237886</v>
      </c>
      <c r="C690">
        <v>643213</v>
      </c>
      <c r="D690" t="s">
        <v>54</v>
      </c>
      <c r="E690" t="s">
        <v>55</v>
      </c>
      <c r="F690" t="s">
        <v>28</v>
      </c>
      <c r="G690" s="1">
        <v>1016879.8698478076</v>
      </c>
      <c r="H690" s="2">
        <v>813503.89587824605</v>
      </c>
      <c r="I690" s="11" t="str">
        <f>VLOOKUP(BasePIs[[#This Row],[Produto]],DePara_Produto[],2,0)</f>
        <v>Varejo</v>
      </c>
      <c r="J690" s="13">
        <f>1</f>
        <v>1</v>
      </c>
    </row>
    <row r="691" spans="1:10" x14ac:dyDescent="0.25">
      <c r="A691" s="3">
        <v>43862</v>
      </c>
      <c r="B691">
        <v>237889</v>
      </c>
      <c r="C691">
        <v>643216</v>
      </c>
      <c r="D691" t="s">
        <v>54</v>
      </c>
      <c r="E691" t="s">
        <v>55</v>
      </c>
      <c r="F691" t="s">
        <v>25</v>
      </c>
      <c r="G691" s="1">
        <v>1841290.8780904531</v>
      </c>
      <c r="H691" s="2">
        <v>1473032.7024723627</v>
      </c>
      <c r="I691" s="11" t="str">
        <f>VLOOKUP(BasePIs[[#This Row],[Produto]],DePara_Produto[],2,0)</f>
        <v>Varejo</v>
      </c>
      <c r="J691" s="13">
        <f>1</f>
        <v>1</v>
      </c>
    </row>
    <row r="692" spans="1:10" x14ac:dyDescent="0.25">
      <c r="A692" s="3">
        <v>43862</v>
      </c>
      <c r="B692">
        <v>237890</v>
      </c>
      <c r="C692">
        <v>643217</v>
      </c>
      <c r="D692" t="s">
        <v>54</v>
      </c>
      <c r="E692" t="s">
        <v>55</v>
      </c>
      <c r="F692" t="s">
        <v>35</v>
      </c>
      <c r="G692" s="1">
        <v>75255.524180834924</v>
      </c>
      <c r="H692" s="2">
        <v>60204.419344667942</v>
      </c>
      <c r="I692" s="11" t="str">
        <f>VLOOKUP(BasePIs[[#This Row],[Produto]],DePara_Produto[],2,0)</f>
        <v>Varejo</v>
      </c>
      <c r="J692" s="13">
        <f>1</f>
        <v>1</v>
      </c>
    </row>
    <row r="693" spans="1:10" x14ac:dyDescent="0.25">
      <c r="A693" s="3">
        <v>43862</v>
      </c>
      <c r="B693">
        <v>237891</v>
      </c>
      <c r="C693">
        <v>643218</v>
      </c>
      <c r="D693" t="s">
        <v>54</v>
      </c>
      <c r="E693" t="s">
        <v>55</v>
      </c>
      <c r="F693" t="s">
        <v>34</v>
      </c>
      <c r="G693" s="1">
        <v>144406.04183718137</v>
      </c>
      <c r="H693" s="2">
        <v>115524.83346974511</v>
      </c>
      <c r="I693" s="11" t="str">
        <f>VLOOKUP(BasePIs[[#This Row],[Produto]],DePara_Produto[],2,0)</f>
        <v>Varejo</v>
      </c>
      <c r="J693" s="13">
        <f>1</f>
        <v>1</v>
      </c>
    </row>
    <row r="694" spans="1:10" x14ac:dyDescent="0.25">
      <c r="A694" s="3">
        <v>43862</v>
      </c>
      <c r="B694">
        <v>237892</v>
      </c>
      <c r="C694">
        <v>643219</v>
      </c>
      <c r="D694" t="s">
        <v>54</v>
      </c>
      <c r="E694" t="s">
        <v>55</v>
      </c>
      <c r="F694" t="s">
        <v>34</v>
      </c>
      <c r="G694" s="1">
        <v>12915.296189997838</v>
      </c>
      <c r="H694" s="2">
        <v>10332.236951998271</v>
      </c>
      <c r="I694" s="11" t="str">
        <f>VLOOKUP(BasePIs[[#This Row],[Produto]],DePara_Produto[],2,0)</f>
        <v>Varejo</v>
      </c>
      <c r="J694" s="13">
        <f>1</f>
        <v>1</v>
      </c>
    </row>
    <row r="695" spans="1:10" x14ac:dyDescent="0.25">
      <c r="A695" s="3">
        <v>43862</v>
      </c>
      <c r="B695">
        <v>237907</v>
      </c>
      <c r="C695">
        <v>643241</v>
      </c>
      <c r="D695" t="s">
        <v>56</v>
      </c>
      <c r="E695" t="s">
        <v>38</v>
      </c>
      <c r="F695" t="s">
        <v>28</v>
      </c>
      <c r="G695" s="1">
        <v>55893.624772953997</v>
      </c>
      <c r="H695" s="2">
        <v>44714.899818363199</v>
      </c>
      <c r="I695" s="11" t="str">
        <f>VLOOKUP(BasePIs[[#This Row],[Produto]],DePara_Produto[],2,0)</f>
        <v>Varejo</v>
      </c>
      <c r="J695" s="13">
        <f>1</f>
        <v>1</v>
      </c>
    </row>
    <row r="696" spans="1:10" x14ac:dyDescent="0.25">
      <c r="A696" s="3">
        <v>43862</v>
      </c>
      <c r="B696">
        <v>237908</v>
      </c>
      <c r="C696">
        <v>643242</v>
      </c>
      <c r="D696" t="s">
        <v>56</v>
      </c>
      <c r="E696" t="s">
        <v>38</v>
      </c>
      <c r="F696" t="s">
        <v>35</v>
      </c>
      <c r="G696" s="1">
        <v>62.886279085709106</v>
      </c>
      <c r="H696" s="2">
        <v>50.309023268567287</v>
      </c>
      <c r="I696" s="11" t="str">
        <f>VLOOKUP(BasePIs[[#This Row],[Produto]],DePara_Produto[],2,0)</f>
        <v>Varejo</v>
      </c>
      <c r="J696" s="13">
        <f>1</f>
        <v>1</v>
      </c>
    </row>
    <row r="697" spans="1:10" x14ac:dyDescent="0.25">
      <c r="A697" s="3">
        <v>43862</v>
      </c>
      <c r="B697">
        <v>237969</v>
      </c>
      <c r="C697">
        <v>643473</v>
      </c>
      <c r="D697" t="s">
        <v>54</v>
      </c>
      <c r="E697" t="s">
        <v>55</v>
      </c>
      <c r="F697" t="s">
        <v>29</v>
      </c>
      <c r="G697" s="1">
        <v>513398.62872167036</v>
      </c>
      <c r="H697" s="2">
        <v>410718.90297733631</v>
      </c>
      <c r="I697" s="11" t="str">
        <f>VLOOKUP(BasePIs[[#This Row],[Produto]],DePara_Produto[],2,0)</f>
        <v>Varejo</v>
      </c>
      <c r="J697" s="13">
        <f>1</f>
        <v>1</v>
      </c>
    </row>
    <row r="698" spans="1:10" x14ac:dyDescent="0.25">
      <c r="A698" s="3">
        <v>43862</v>
      </c>
      <c r="B698">
        <v>237972</v>
      </c>
      <c r="C698">
        <v>643476</v>
      </c>
      <c r="D698" t="s">
        <v>57</v>
      </c>
      <c r="E698" t="s">
        <v>58</v>
      </c>
      <c r="F698" t="s">
        <v>33</v>
      </c>
      <c r="G698" s="1">
        <v>6681.6340506692413</v>
      </c>
      <c r="H698" s="2">
        <v>5345.3072405353932</v>
      </c>
      <c r="I698" s="11" t="str">
        <f>VLOOKUP(BasePIs[[#This Row],[Produto]],DePara_Produto[],2,0)</f>
        <v>Outros</v>
      </c>
      <c r="J698" s="13">
        <f>1</f>
        <v>1</v>
      </c>
    </row>
    <row r="699" spans="1:10" x14ac:dyDescent="0.25">
      <c r="A699" s="3">
        <v>43862</v>
      </c>
      <c r="B699">
        <v>237973</v>
      </c>
      <c r="C699">
        <v>643477</v>
      </c>
      <c r="D699" t="s">
        <v>57</v>
      </c>
      <c r="E699" t="s">
        <v>58</v>
      </c>
      <c r="F699" t="s">
        <v>28</v>
      </c>
      <c r="G699" s="1">
        <v>812962.43694813689</v>
      </c>
      <c r="H699" s="2">
        <v>650369.94955850951</v>
      </c>
      <c r="I699" s="11" t="str">
        <f>VLOOKUP(BasePIs[[#This Row],[Produto]],DePara_Produto[],2,0)</f>
        <v>Outros</v>
      </c>
      <c r="J699" s="13">
        <f>1</f>
        <v>1</v>
      </c>
    </row>
    <row r="700" spans="1:10" x14ac:dyDescent="0.25">
      <c r="A700" s="3">
        <v>43862</v>
      </c>
      <c r="B700">
        <v>237974</v>
      </c>
      <c r="C700">
        <v>643478</v>
      </c>
      <c r="D700" t="s">
        <v>57</v>
      </c>
      <c r="E700" t="s">
        <v>58</v>
      </c>
      <c r="F700" t="s">
        <v>35</v>
      </c>
      <c r="G700" s="1">
        <v>32484.951538631845</v>
      </c>
      <c r="H700" s="2">
        <v>25987.961230905479</v>
      </c>
      <c r="I700" s="11" t="str">
        <f>VLOOKUP(BasePIs[[#This Row],[Produto]],DePara_Produto[],2,0)</f>
        <v>Outros</v>
      </c>
      <c r="J700" s="13">
        <f>1</f>
        <v>1</v>
      </c>
    </row>
    <row r="701" spans="1:10" x14ac:dyDescent="0.25">
      <c r="A701" s="3">
        <v>43862</v>
      </c>
      <c r="B701">
        <v>237980</v>
      </c>
      <c r="C701">
        <v>643484</v>
      </c>
      <c r="D701" t="s">
        <v>57</v>
      </c>
      <c r="E701" t="s">
        <v>58</v>
      </c>
      <c r="F701" t="s">
        <v>36</v>
      </c>
      <c r="G701" s="1">
        <v>15.95896973748834</v>
      </c>
      <c r="H701" s="2">
        <v>12.767175789990674</v>
      </c>
      <c r="I701" s="11" t="str">
        <f>VLOOKUP(BasePIs[[#This Row],[Produto]],DePara_Produto[],2,0)</f>
        <v>Outros</v>
      </c>
      <c r="J701" s="13">
        <f>1</f>
        <v>1</v>
      </c>
    </row>
    <row r="702" spans="1:10" x14ac:dyDescent="0.25">
      <c r="A702" s="3">
        <v>43862</v>
      </c>
      <c r="B702">
        <v>238001</v>
      </c>
      <c r="C702">
        <v>643511</v>
      </c>
      <c r="D702" t="s">
        <v>51</v>
      </c>
      <c r="E702" t="s">
        <v>52</v>
      </c>
      <c r="F702" t="s">
        <v>59</v>
      </c>
      <c r="G702" s="1">
        <v>451424.48740554054</v>
      </c>
      <c r="H702" s="2">
        <v>361139.58992443245</v>
      </c>
      <c r="I702" s="11" t="str">
        <f>VLOOKUP(BasePIs[[#This Row],[Produto]],DePara_Produto[],2,0)</f>
        <v>Outros</v>
      </c>
      <c r="J702" s="13">
        <f>1</f>
        <v>1</v>
      </c>
    </row>
    <row r="703" spans="1:10" x14ac:dyDescent="0.25">
      <c r="A703" s="3">
        <v>43862</v>
      </c>
      <c r="B703">
        <v>237736</v>
      </c>
      <c r="C703">
        <v>643033</v>
      </c>
      <c r="D703" t="s">
        <v>49</v>
      </c>
      <c r="E703" t="s">
        <v>49</v>
      </c>
      <c r="F703" t="s">
        <v>33</v>
      </c>
      <c r="G703" s="1">
        <v>107818.1361661772</v>
      </c>
      <c r="H703" s="2">
        <v>86254.508932941768</v>
      </c>
      <c r="I703" s="11" t="str">
        <f>VLOOKUP(BasePIs[[#This Row],[Produto]],DePara_Produto[],2,0)</f>
        <v>Outros</v>
      </c>
      <c r="J703" s="13">
        <f>1</f>
        <v>1</v>
      </c>
    </row>
    <row r="704" spans="1:10" x14ac:dyDescent="0.25">
      <c r="A704" s="3">
        <v>43862</v>
      </c>
      <c r="B704">
        <v>237738</v>
      </c>
      <c r="C704">
        <v>643039</v>
      </c>
      <c r="D704" t="s">
        <v>49</v>
      </c>
      <c r="E704" t="s">
        <v>49</v>
      </c>
      <c r="F704" t="s">
        <v>50</v>
      </c>
      <c r="G704" s="1">
        <v>151440.215179347</v>
      </c>
      <c r="H704" s="2">
        <v>121152.1721434776</v>
      </c>
      <c r="I704" s="11" t="str">
        <f>VLOOKUP(BasePIs[[#This Row],[Produto]],DePara_Produto[],2,0)</f>
        <v>Outros</v>
      </c>
      <c r="J704" s="13">
        <f>1</f>
        <v>1</v>
      </c>
    </row>
    <row r="705" spans="1:10" x14ac:dyDescent="0.25">
      <c r="A705" s="3">
        <v>43862</v>
      </c>
      <c r="B705">
        <v>237739</v>
      </c>
      <c r="C705">
        <v>643035</v>
      </c>
      <c r="D705" t="s">
        <v>49</v>
      </c>
      <c r="E705" t="s">
        <v>49</v>
      </c>
      <c r="F705" t="s">
        <v>25</v>
      </c>
      <c r="G705" s="1">
        <v>100270.66707065664</v>
      </c>
      <c r="H705" s="2">
        <v>80216.533656525309</v>
      </c>
      <c r="I705" s="11" t="str">
        <f>VLOOKUP(BasePIs[[#This Row],[Produto]],DePara_Produto[],2,0)</f>
        <v>Outros</v>
      </c>
      <c r="J705" s="13">
        <f>1</f>
        <v>1</v>
      </c>
    </row>
    <row r="706" spans="1:10" x14ac:dyDescent="0.25">
      <c r="A706" s="3">
        <v>43862</v>
      </c>
      <c r="B706">
        <v>237743</v>
      </c>
      <c r="C706">
        <v>643042</v>
      </c>
      <c r="D706" t="s">
        <v>49</v>
      </c>
      <c r="E706" t="s">
        <v>49</v>
      </c>
      <c r="F706" t="s">
        <v>35</v>
      </c>
      <c r="G706" s="1">
        <v>154.00676458094838</v>
      </c>
      <c r="H706" s="2">
        <v>123.20541166475871</v>
      </c>
      <c r="I706" s="11" t="str">
        <f>VLOOKUP(BasePIs[[#This Row],[Produto]],DePara_Produto[],2,0)</f>
        <v>Outros</v>
      </c>
      <c r="J706" s="13">
        <f>1</f>
        <v>1</v>
      </c>
    </row>
    <row r="707" spans="1:10" x14ac:dyDescent="0.25">
      <c r="A707" s="3">
        <v>43862</v>
      </c>
      <c r="B707">
        <v>237744</v>
      </c>
      <c r="C707">
        <v>643043</v>
      </c>
      <c r="D707" t="s">
        <v>49</v>
      </c>
      <c r="E707" t="s">
        <v>49</v>
      </c>
      <c r="F707" t="s">
        <v>34</v>
      </c>
      <c r="G707" s="1">
        <v>60369.07753947255</v>
      </c>
      <c r="H707" s="2">
        <v>48295.262031578044</v>
      </c>
      <c r="I707" s="11" t="str">
        <f>VLOOKUP(BasePIs[[#This Row],[Produto]],DePara_Produto[],2,0)</f>
        <v>Outros</v>
      </c>
      <c r="J707" s="13">
        <f>1</f>
        <v>1</v>
      </c>
    </row>
    <row r="708" spans="1:10" x14ac:dyDescent="0.25">
      <c r="A708" s="3">
        <v>43862</v>
      </c>
      <c r="B708">
        <v>237745</v>
      </c>
      <c r="C708">
        <v>643045</v>
      </c>
      <c r="D708" t="s">
        <v>49</v>
      </c>
      <c r="E708" t="s">
        <v>49</v>
      </c>
      <c r="F708" t="s">
        <v>28</v>
      </c>
      <c r="G708" s="1">
        <v>74382.208166558223</v>
      </c>
      <c r="H708" s="2">
        <v>59505.766533246584</v>
      </c>
      <c r="I708" s="11" t="str">
        <f>VLOOKUP(BasePIs[[#This Row],[Produto]],DePara_Produto[],2,0)</f>
        <v>Outros</v>
      </c>
      <c r="J708" s="13">
        <f>1</f>
        <v>1</v>
      </c>
    </row>
    <row r="709" spans="1:10" x14ac:dyDescent="0.25">
      <c r="A709" s="3">
        <v>43862</v>
      </c>
      <c r="B709">
        <v>237746</v>
      </c>
      <c r="C709">
        <v>643046</v>
      </c>
      <c r="D709" t="s">
        <v>49</v>
      </c>
      <c r="E709" t="s">
        <v>49</v>
      </c>
      <c r="F709" t="s">
        <v>34</v>
      </c>
      <c r="G709" s="1">
        <v>77.936826415490003</v>
      </c>
      <c r="H709" s="2">
        <v>62.349461132392008</v>
      </c>
      <c r="I709" s="11" t="str">
        <f>VLOOKUP(BasePIs[[#This Row],[Produto]],DePara_Produto[],2,0)</f>
        <v>Outros</v>
      </c>
      <c r="J709" s="13">
        <f>1</f>
        <v>1</v>
      </c>
    </row>
    <row r="710" spans="1:10" x14ac:dyDescent="0.25">
      <c r="A710" s="3">
        <v>44013</v>
      </c>
      <c r="B710">
        <v>237747</v>
      </c>
      <c r="C710">
        <v>643047</v>
      </c>
      <c r="D710" t="s">
        <v>49</v>
      </c>
      <c r="E710" t="s">
        <v>49</v>
      </c>
      <c r="F710" t="s">
        <v>36</v>
      </c>
      <c r="G710" s="1">
        <v>886.41626461160502</v>
      </c>
      <c r="H710" s="2">
        <v>709.1330116892841</v>
      </c>
      <c r="I710" s="11" t="str">
        <f>VLOOKUP(BasePIs[[#This Row],[Produto]],DePara_Produto[],2,0)</f>
        <v>Outros</v>
      </c>
      <c r="J710" s="13">
        <f>1</f>
        <v>1</v>
      </c>
    </row>
    <row r="711" spans="1:10" x14ac:dyDescent="0.25">
      <c r="A711" s="3">
        <v>44013</v>
      </c>
      <c r="B711">
        <v>237835</v>
      </c>
      <c r="C711">
        <v>643138</v>
      </c>
      <c r="D711" t="s">
        <v>44</v>
      </c>
      <c r="E711" t="s">
        <v>44</v>
      </c>
      <c r="F711" t="s">
        <v>29</v>
      </c>
      <c r="G711" s="1">
        <v>212912.67685251267</v>
      </c>
      <c r="H711" s="2">
        <v>170330.14148201013</v>
      </c>
      <c r="I711" s="11" t="str">
        <f>VLOOKUP(BasePIs[[#This Row],[Produto]],DePara_Produto[],2,0)</f>
        <v>Amarok</v>
      </c>
      <c r="J711" s="13">
        <f>1</f>
        <v>1</v>
      </c>
    </row>
    <row r="712" spans="1:10" x14ac:dyDescent="0.25">
      <c r="A712" s="3">
        <v>44013</v>
      </c>
      <c r="B712">
        <v>237874</v>
      </c>
      <c r="C712">
        <v>643197</v>
      </c>
      <c r="D712" t="s">
        <v>51</v>
      </c>
      <c r="E712" t="s">
        <v>52</v>
      </c>
      <c r="F712" t="s">
        <v>53</v>
      </c>
      <c r="G712" s="1">
        <v>486423.95164612192</v>
      </c>
      <c r="H712" s="2">
        <v>389139.16131689755</v>
      </c>
      <c r="I712" s="11" t="str">
        <f>VLOOKUP(BasePIs[[#This Row],[Produto]],DePara_Produto[],2,0)</f>
        <v>Outros</v>
      </c>
      <c r="J712" s="13">
        <f>1</f>
        <v>1</v>
      </c>
    </row>
    <row r="713" spans="1:10" x14ac:dyDescent="0.25">
      <c r="A713" s="3">
        <v>44013</v>
      </c>
      <c r="B713">
        <v>237875</v>
      </c>
      <c r="C713">
        <v>643198</v>
      </c>
      <c r="D713" t="s">
        <v>51</v>
      </c>
      <c r="E713" t="s">
        <v>52</v>
      </c>
      <c r="F713" t="s">
        <v>33</v>
      </c>
      <c r="G713" s="1">
        <v>2471799.0936005814</v>
      </c>
      <c r="H713" s="2">
        <v>1977439.2748804651</v>
      </c>
      <c r="I713" s="11" t="str">
        <f>VLOOKUP(BasePIs[[#This Row],[Produto]],DePara_Produto[],2,0)</f>
        <v>Outros</v>
      </c>
      <c r="J713" s="13">
        <f>1</f>
        <v>1</v>
      </c>
    </row>
    <row r="714" spans="1:10" x14ac:dyDescent="0.25">
      <c r="A714" s="3">
        <v>44013</v>
      </c>
      <c r="B714">
        <v>237877</v>
      </c>
      <c r="C714">
        <v>643200</v>
      </c>
      <c r="D714" t="s">
        <v>51</v>
      </c>
      <c r="E714" t="s">
        <v>52</v>
      </c>
      <c r="F714" t="s">
        <v>28</v>
      </c>
      <c r="G714" s="1">
        <v>2464716.6350887655</v>
      </c>
      <c r="H714" s="2">
        <v>1971773.3080710126</v>
      </c>
      <c r="I714" s="11" t="str">
        <f>VLOOKUP(BasePIs[[#This Row],[Produto]],DePara_Produto[],2,0)</f>
        <v>Outros</v>
      </c>
      <c r="J714" s="13">
        <f>1</f>
        <v>1</v>
      </c>
    </row>
    <row r="715" spans="1:10" x14ac:dyDescent="0.25">
      <c r="A715" s="3">
        <v>44013</v>
      </c>
      <c r="B715">
        <v>237879</v>
      </c>
      <c r="C715">
        <v>643202</v>
      </c>
      <c r="D715" t="s">
        <v>51</v>
      </c>
      <c r="E715" t="s">
        <v>52</v>
      </c>
      <c r="F715" t="s">
        <v>32</v>
      </c>
      <c r="G715" s="1">
        <v>762137.18338855228</v>
      </c>
      <c r="H715" s="2">
        <v>609709.74671084189</v>
      </c>
      <c r="I715" s="11" t="str">
        <f>VLOOKUP(BasePIs[[#This Row],[Produto]],DePara_Produto[],2,0)</f>
        <v>Outros</v>
      </c>
      <c r="J715" s="13">
        <f>1</f>
        <v>1</v>
      </c>
    </row>
    <row r="716" spans="1:10" x14ac:dyDescent="0.25">
      <c r="A716" s="3">
        <v>44013</v>
      </c>
      <c r="B716">
        <v>237880</v>
      </c>
      <c r="C716">
        <v>643203</v>
      </c>
      <c r="D716" t="s">
        <v>51</v>
      </c>
      <c r="E716" t="s">
        <v>52</v>
      </c>
      <c r="F716" t="s">
        <v>25</v>
      </c>
      <c r="G716" s="1">
        <v>2164934.5520897629</v>
      </c>
      <c r="H716" s="2">
        <v>1731947.6416718103</v>
      </c>
      <c r="I716" s="11" t="str">
        <f>VLOOKUP(BasePIs[[#This Row],[Produto]],DePara_Produto[],2,0)</f>
        <v>Outros</v>
      </c>
      <c r="J716" s="13">
        <f>1</f>
        <v>1</v>
      </c>
    </row>
    <row r="717" spans="1:10" x14ac:dyDescent="0.25">
      <c r="A717" s="3">
        <v>44013</v>
      </c>
      <c r="B717">
        <v>237881</v>
      </c>
      <c r="C717">
        <v>643205</v>
      </c>
      <c r="D717" t="s">
        <v>51</v>
      </c>
      <c r="E717" t="s">
        <v>52</v>
      </c>
      <c r="F717" t="s">
        <v>35</v>
      </c>
      <c r="G717" s="1">
        <v>261430.44149130333</v>
      </c>
      <c r="H717" s="2">
        <v>209144.35319304268</v>
      </c>
      <c r="I717" s="11" t="str">
        <f>VLOOKUP(BasePIs[[#This Row],[Produto]],DePara_Produto[],2,0)</f>
        <v>Outros</v>
      </c>
      <c r="J717" s="13">
        <f>1</f>
        <v>1</v>
      </c>
    </row>
    <row r="718" spans="1:10" x14ac:dyDescent="0.25">
      <c r="A718" s="3">
        <v>44013</v>
      </c>
      <c r="B718">
        <v>237882</v>
      </c>
      <c r="C718">
        <v>643206</v>
      </c>
      <c r="D718" t="s">
        <v>51</v>
      </c>
      <c r="E718" t="s">
        <v>52</v>
      </c>
      <c r="F718" t="s">
        <v>34</v>
      </c>
      <c r="G718" s="1">
        <v>104140.03360876664</v>
      </c>
      <c r="H718" s="2">
        <v>83312.026887013315</v>
      </c>
      <c r="I718" s="11" t="str">
        <f>VLOOKUP(BasePIs[[#This Row],[Produto]],DePara_Produto[],2,0)</f>
        <v>Outros</v>
      </c>
      <c r="J718" s="13">
        <f>1</f>
        <v>1</v>
      </c>
    </row>
    <row r="719" spans="1:10" x14ac:dyDescent="0.25">
      <c r="A719" s="3">
        <v>44013</v>
      </c>
      <c r="B719">
        <v>237883</v>
      </c>
      <c r="C719">
        <v>643207</v>
      </c>
      <c r="D719" t="s">
        <v>51</v>
      </c>
      <c r="E719" t="s">
        <v>52</v>
      </c>
      <c r="F719" t="s">
        <v>34</v>
      </c>
      <c r="G719" s="1">
        <v>36210.963670728299</v>
      </c>
      <c r="H719" s="2">
        <v>28968.770936582641</v>
      </c>
      <c r="I719" s="11" t="str">
        <f>VLOOKUP(BasePIs[[#This Row],[Produto]],DePara_Produto[],2,0)</f>
        <v>Outros</v>
      </c>
      <c r="J719" s="13">
        <f>1</f>
        <v>1</v>
      </c>
    </row>
    <row r="720" spans="1:10" x14ac:dyDescent="0.25">
      <c r="A720" s="3">
        <v>44013</v>
      </c>
      <c r="B720">
        <v>237884</v>
      </c>
      <c r="C720">
        <v>643208</v>
      </c>
      <c r="D720" t="s">
        <v>51</v>
      </c>
      <c r="E720" t="s">
        <v>52</v>
      </c>
      <c r="F720" t="s">
        <v>36</v>
      </c>
      <c r="G720" s="1">
        <v>25650.879294396364</v>
      </c>
      <c r="H720" s="2">
        <v>20520.703435517091</v>
      </c>
      <c r="I720" s="11" t="str">
        <f>VLOOKUP(BasePIs[[#This Row],[Produto]],DePara_Produto[],2,0)</f>
        <v>Outros</v>
      </c>
      <c r="J720" s="13">
        <f>1</f>
        <v>1</v>
      </c>
    </row>
    <row r="721" spans="1:10" x14ac:dyDescent="0.25">
      <c r="A721" s="3">
        <v>44013</v>
      </c>
      <c r="B721">
        <v>237886</v>
      </c>
      <c r="C721">
        <v>643213</v>
      </c>
      <c r="D721" t="s">
        <v>54</v>
      </c>
      <c r="E721" t="s">
        <v>55</v>
      </c>
      <c r="F721" t="s">
        <v>28</v>
      </c>
      <c r="G721" s="1">
        <v>298609.8678566665</v>
      </c>
      <c r="H721" s="2">
        <v>238887.89428533323</v>
      </c>
      <c r="I721" s="11" t="str">
        <f>VLOOKUP(BasePIs[[#This Row],[Produto]],DePara_Produto[],2,0)</f>
        <v>Varejo</v>
      </c>
      <c r="J721" s="13">
        <f>1</f>
        <v>1</v>
      </c>
    </row>
    <row r="722" spans="1:10" x14ac:dyDescent="0.25">
      <c r="A722" s="3">
        <v>44013</v>
      </c>
      <c r="B722">
        <v>237889</v>
      </c>
      <c r="C722">
        <v>643216</v>
      </c>
      <c r="D722" t="s">
        <v>54</v>
      </c>
      <c r="E722" t="s">
        <v>55</v>
      </c>
      <c r="F722" t="s">
        <v>25</v>
      </c>
      <c r="G722" s="1">
        <v>229221234.71914878</v>
      </c>
      <c r="H722" s="2">
        <v>183376987.77531904</v>
      </c>
      <c r="I722" s="11" t="str">
        <f>VLOOKUP(BasePIs[[#This Row],[Produto]],DePara_Produto[],2,0)</f>
        <v>Varejo</v>
      </c>
      <c r="J722" s="13">
        <f>1</f>
        <v>1</v>
      </c>
    </row>
    <row r="723" spans="1:10" x14ac:dyDescent="0.25">
      <c r="A723" s="3">
        <v>44013</v>
      </c>
      <c r="B723">
        <v>237890</v>
      </c>
      <c r="C723">
        <v>643217</v>
      </c>
      <c r="D723" t="s">
        <v>54</v>
      </c>
      <c r="E723" t="s">
        <v>55</v>
      </c>
      <c r="F723" t="s">
        <v>35</v>
      </c>
      <c r="G723" s="1">
        <v>95158.615746581621</v>
      </c>
      <c r="H723" s="2">
        <v>76126.892597265294</v>
      </c>
      <c r="I723" s="11" t="str">
        <f>VLOOKUP(BasePIs[[#This Row],[Produto]],DePara_Produto[],2,0)</f>
        <v>Varejo</v>
      </c>
      <c r="J723" s="13">
        <f>1</f>
        <v>1</v>
      </c>
    </row>
    <row r="724" spans="1:10" x14ac:dyDescent="0.25">
      <c r="A724" s="3">
        <v>44013</v>
      </c>
      <c r="B724">
        <v>237891</v>
      </c>
      <c r="C724">
        <v>643218</v>
      </c>
      <c r="D724" t="s">
        <v>54</v>
      </c>
      <c r="E724" t="s">
        <v>55</v>
      </c>
      <c r="F724" t="s">
        <v>34</v>
      </c>
      <c r="G724" s="1">
        <v>152883.30850925355</v>
      </c>
      <c r="H724" s="2">
        <v>122306.64680740284</v>
      </c>
      <c r="I724" s="11" t="str">
        <f>VLOOKUP(BasePIs[[#This Row],[Produto]],DePara_Produto[],2,0)</f>
        <v>Varejo</v>
      </c>
      <c r="J724" s="13">
        <f>1</f>
        <v>1</v>
      </c>
    </row>
    <row r="725" spans="1:10" x14ac:dyDescent="0.25">
      <c r="A725" s="3">
        <v>44013</v>
      </c>
      <c r="B725">
        <v>237892</v>
      </c>
      <c r="C725">
        <v>643219</v>
      </c>
      <c r="D725" t="s">
        <v>54</v>
      </c>
      <c r="E725" t="s">
        <v>55</v>
      </c>
      <c r="F725" t="s">
        <v>34</v>
      </c>
      <c r="G725" s="1">
        <v>14679.931081393252</v>
      </c>
      <c r="H725" s="2">
        <v>11743.944865114601</v>
      </c>
      <c r="I725" s="11" t="str">
        <f>VLOOKUP(BasePIs[[#This Row],[Produto]],DePara_Produto[],2,0)</f>
        <v>Varejo</v>
      </c>
      <c r="J725" s="13">
        <f>1</f>
        <v>1</v>
      </c>
    </row>
    <row r="726" spans="1:10" x14ac:dyDescent="0.25">
      <c r="A726" s="3">
        <v>44013</v>
      </c>
      <c r="B726">
        <v>237907</v>
      </c>
      <c r="C726">
        <v>643241</v>
      </c>
      <c r="D726" t="s">
        <v>56</v>
      </c>
      <c r="E726" t="s">
        <v>38</v>
      </c>
      <c r="F726" t="s">
        <v>28</v>
      </c>
      <c r="G726" s="1">
        <v>50184.559613595447</v>
      </c>
      <c r="H726" s="2">
        <v>40147.647690876358</v>
      </c>
      <c r="I726" s="11" t="str">
        <f>VLOOKUP(BasePIs[[#This Row],[Produto]],DePara_Produto[],2,0)</f>
        <v>Varejo</v>
      </c>
      <c r="J726" s="13">
        <f>1</f>
        <v>1</v>
      </c>
    </row>
    <row r="727" spans="1:10" x14ac:dyDescent="0.25">
      <c r="A727" s="3">
        <v>44013</v>
      </c>
      <c r="B727">
        <v>237908</v>
      </c>
      <c r="C727">
        <v>643242</v>
      </c>
      <c r="D727" t="s">
        <v>56</v>
      </c>
      <c r="E727" t="s">
        <v>38</v>
      </c>
      <c r="F727" t="s">
        <v>35</v>
      </c>
      <c r="G727" s="1">
        <v>32.69037607341113</v>
      </c>
      <c r="H727" s="2">
        <v>26.152300858728907</v>
      </c>
      <c r="I727" s="11" t="str">
        <f>VLOOKUP(BasePIs[[#This Row],[Produto]],DePara_Produto[],2,0)</f>
        <v>Varejo</v>
      </c>
      <c r="J727" s="13">
        <f>1</f>
        <v>1</v>
      </c>
    </row>
    <row r="728" spans="1:10" x14ac:dyDescent="0.25">
      <c r="A728" s="3">
        <v>44013</v>
      </c>
      <c r="B728">
        <v>237969</v>
      </c>
      <c r="C728">
        <v>643473</v>
      </c>
      <c r="D728" t="s">
        <v>54</v>
      </c>
      <c r="E728" t="s">
        <v>55</v>
      </c>
      <c r="F728" t="s">
        <v>29</v>
      </c>
      <c r="G728" s="1">
        <v>126056.27389457203</v>
      </c>
      <c r="H728" s="2">
        <v>100845.01911565763</v>
      </c>
      <c r="I728" s="11" t="str">
        <f>VLOOKUP(BasePIs[[#This Row],[Produto]],DePara_Produto[],2,0)</f>
        <v>Varejo</v>
      </c>
      <c r="J728" s="13">
        <f>1</f>
        <v>1</v>
      </c>
    </row>
    <row r="729" spans="1:10" x14ac:dyDescent="0.25">
      <c r="A729" s="3">
        <v>44013</v>
      </c>
      <c r="B729">
        <v>237972</v>
      </c>
      <c r="C729">
        <v>643476</v>
      </c>
      <c r="D729" t="s">
        <v>57</v>
      </c>
      <c r="E729" t="s">
        <v>58</v>
      </c>
      <c r="F729" t="s">
        <v>33</v>
      </c>
      <c r="G729" s="1">
        <v>6724.4239473141524</v>
      </c>
      <c r="H729" s="2">
        <v>5379.5391578513227</v>
      </c>
      <c r="I729" s="11" t="str">
        <f>VLOOKUP(BasePIs[[#This Row],[Produto]],DePara_Produto[],2,0)</f>
        <v>Outros</v>
      </c>
      <c r="J729" s="13">
        <f>1</f>
        <v>1</v>
      </c>
    </row>
    <row r="730" spans="1:10" x14ac:dyDescent="0.25">
      <c r="A730" s="3">
        <v>44013</v>
      </c>
      <c r="B730">
        <v>237973</v>
      </c>
      <c r="C730">
        <v>643477</v>
      </c>
      <c r="D730" t="s">
        <v>57</v>
      </c>
      <c r="E730" t="s">
        <v>58</v>
      </c>
      <c r="F730" t="s">
        <v>28</v>
      </c>
      <c r="G730" s="1">
        <v>1087981.9187409698</v>
      </c>
      <c r="H730" s="2">
        <v>870385.53499277588</v>
      </c>
      <c r="I730" s="11" t="str">
        <f>VLOOKUP(BasePIs[[#This Row],[Produto]],DePara_Produto[],2,0)</f>
        <v>Outros</v>
      </c>
      <c r="J730" s="13">
        <f>1</f>
        <v>1</v>
      </c>
    </row>
    <row r="731" spans="1:10" x14ac:dyDescent="0.25">
      <c r="A731" s="3">
        <v>44013</v>
      </c>
      <c r="B731">
        <v>237974</v>
      </c>
      <c r="C731">
        <v>643478</v>
      </c>
      <c r="D731" t="s">
        <v>57</v>
      </c>
      <c r="E731" t="s">
        <v>58</v>
      </c>
      <c r="F731" t="s">
        <v>35</v>
      </c>
      <c r="G731" s="1">
        <v>16833.834349722412</v>
      </c>
      <c r="H731" s="2">
        <v>13467.06747977793</v>
      </c>
      <c r="I731" s="11" t="str">
        <f>VLOOKUP(BasePIs[[#This Row],[Produto]],DePara_Produto[],2,0)</f>
        <v>Outros</v>
      </c>
      <c r="J731" s="13">
        <f>1</f>
        <v>1</v>
      </c>
    </row>
    <row r="732" spans="1:10" x14ac:dyDescent="0.25">
      <c r="A732" s="3">
        <v>44013</v>
      </c>
      <c r="B732">
        <v>237980</v>
      </c>
      <c r="C732">
        <v>643484</v>
      </c>
      <c r="D732" t="s">
        <v>57</v>
      </c>
      <c r="E732" t="s">
        <v>58</v>
      </c>
      <c r="F732" t="s">
        <v>36</v>
      </c>
      <c r="G732" s="1">
        <v>15.799822092876575</v>
      </c>
      <c r="H732" s="2">
        <v>12.639857674301261</v>
      </c>
      <c r="I732" s="11" t="str">
        <f>VLOOKUP(BasePIs[[#This Row],[Produto]],DePara_Produto[],2,0)</f>
        <v>Outros</v>
      </c>
      <c r="J732" s="13">
        <f>1</f>
        <v>1</v>
      </c>
    </row>
    <row r="733" spans="1:10" x14ac:dyDescent="0.25">
      <c r="A733" s="3">
        <v>44013</v>
      </c>
      <c r="B733">
        <v>238001</v>
      </c>
      <c r="C733">
        <v>643511</v>
      </c>
      <c r="D733" t="s">
        <v>51</v>
      </c>
      <c r="E733" t="s">
        <v>52</v>
      </c>
      <c r="F733" t="s">
        <v>59</v>
      </c>
      <c r="G733" s="1">
        <v>232880.059616477</v>
      </c>
      <c r="H733" s="2">
        <v>186304.04769318161</v>
      </c>
      <c r="I733" s="11" t="str">
        <f>VLOOKUP(BasePIs[[#This Row],[Produto]],DePara_Produto[],2,0)</f>
        <v>Outros</v>
      </c>
      <c r="J733" s="13">
        <f>1</f>
        <v>1</v>
      </c>
    </row>
    <row r="734" spans="1:10" x14ac:dyDescent="0.25">
      <c r="A734" s="3">
        <v>44013</v>
      </c>
      <c r="B734">
        <v>237746</v>
      </c>
      <c r="C734">
        <v>643046</v>
      </c>
      <c r="D734" t="s">
        <v>49</v>
      </c>
      <c r="E734" t="s">
        <v>49</v>
      </c>
      <c r="F734" t="s">
        <v>34</v>
      </c>
      <c r="G734" s="1">
        <v>63.024133134820978</v>
      </c>
      <c r="H734" s="2">
        <v>50.419306507856788</v>
      </c>
      <c r="I734" s="11" t="str">
        <f>VLOOKUP(BasePIs[[#This Row],[Produto]],DePara_Produto[],2,0)</f>
        <v>Outros</v>
      </c>
      <c r="J734" s="13">
        <f>1</f>
        <v>1</v>
      </c>
    </row>
    <row r="735" spans="1:10" x14ac:dyDescent="0.25">
      <c r="A735" s="3">
        <v>44013</v>
      </c>
      <c r="B735">
        <v>237747</v>
      </c>
      <c r="C735">
        <v>643047</v>
      </c>
      <c r="D735" t="s">
        <v>49</v>
      </c>
      <c r="E735" t="s">
        <v>49</v>
      </c>
      <c r="F735" t="s">
        <v>36</v>
      </c>
      <c r="G735" s="1">
        <v>746.64423162489902</v>
      </c>
      <c r="H735" s="2">
        <v>597.31538529991928</v>
      </c>
      <c r="I735" s="11" t="str">
        <f>VLOOKUP(BasePIs[[#This Row],[Produto]],DePara_Produto[],2,0)</f>
        <v>Outros</v>
      </c>
      <c r="J735" s="13">
        <f>1</f>
        <v>1</v>
      </c>
    </row>
    <row r="736" spans="1:10" x14ac:dyDescent="0.25">
      <c r="A736" s="3">
        <v>44013</v>
      </c>
      <c r="B736">
        <v>237835</v>
      </c>
      <c r="C736">
        <v>643138</v>
      </c>
      <c r="D736" t="s">
        <v>44</v>
      </c>
      <c r="E736" t="s">
        <v>44</v>
      </c>
      <c r="F736" t="s">
        <v>29</v>
      </c>
      <c r="G736" s="1">
        <v>485046.64767733956</v>
      </c>
      <c r="H736" s="2">
        <v>388037.31814187166</v>
      </c>
      <c r="I736" s="11" t="str">
        <f>VLOOKUP(BasePIs[[#This Row],[Produto]],DePara_Produto[],2,0)</f>
        <v>Amarok</v>
      </c>
      <c r="J736" s="13">
        <f>1</f>
        <v>1</v>
      </c>
    </row>
    <row r="737" spans="1:10" x14ac:dyDescent="0.25">
      <c r="A737" s="3">
        <v>44013</v>
      </c>
      <c r="B737">
        <v>237874</v>
      </c>
      <c r="C737">
        <v>643197</v>
      </c>
      <c r="D737" t="s">
        <v>51</v>
      </c>
      <c r="E737" t="s">
        <v>52</v>
      </c>
      <c r="F737" t="s">
        <v>53</v>
      </c>
      <c r="G737" s="1">
        <v>39094.999450960218</v>
      </c>
      <c r="H737" s="2">
        <v>31275.999560768178</v>
      </c>
      <c r="I737" s="11" t="str">
        <f>VLOOKUP(BasePIs[[#This Row],[Produto]],DePara_Produto[],2,0)</f>
        <v>Outros</v>
      </c>
      <c r="J737" s="13">
        <f>1</f>
        <v>1</v>
      </c>
    </row>
    <row r="738" spans="1:10" x14ac:dyDescent="0.25">
      <c r="A738" s="3">
        <v>44013</v>
      </c>
      <c r="B738">
        <v>237875</v>
      </c>
      <c r="C738">
        <v>643198</v>
      </c>
      <c r="D738" t="s">
        <v>51</v>
      </c>
      <c r="E738" t="s">
        <v>52</v>
      </c>
      <c r="F738" t="s">
        <v>33</v>
      </c>
      <c r="G738" s="1">
        <v>4862276.7043275116</v>
      </c>
      <c r="H738" s="2">
        <v>3889821.3634620095</v>
      </c>
      <c r="I738" s="11" t="str">
        <f>VLOOKUP(BasePIs[[#This Row],[Produto]],DePara_Produto[],2,0)</f>
        <v>Outros</v>
      </c>
      <c r="J738" s="13">
        <f>1</f>
        <v>1</v>
      </c>
    </row>
    <row r="739" spans="1:10" x14ac:dyDescent="0.25">
      <c r="A739" s="3">
        <v>44013</v>
      </c>
      <c r="B739">
        <v>237877</v>
      </c>
      <c r="C739">
        <v>643200</v>
      </c>
      <c r="D739" t="s">
        <v>51</v>
      </c>
      <c r="E739" t="s">
        <v>52</v>
      </c>
      <c r="F739" t="s">
        <v>28</v>
      </c>
      <c r="G739" s="1">
        <v>3953936.2751510483</v>
      </c>
      <c r="H739" s="2">
        <v>3163149.0201208387</v>
      </c>
      <c r="I739" s="11" t="str">
        <f>VLOOKUP(BasePIs[[#This Row],[Produto]],DePara_Produto[],2,0)</f>
        <v>Outros</v>
      </c>
      <c r="J739" s="13">
        <f>1</f>
        <v>1</v>
      </c>
    </row>
    <row r="740" spans="1:10" x14ac:dyDescent="0.25">
      <c r="A740" s="3">
        <v>44013</v>
      </c>
      <c r="B740">
        <v>237879</v>
      </c>
      <c r="C740">
        <v>643202</v>
      </c>
      <c r="D740" t="s">
        <v>51</v>
      </c>
      <c r="E740" t="s">
        <v>52</v>
      </c>
      <c r="F740" t="s">
        <v>32</v>
      </c>
      <c r="G740" s="1">
        <v>952299.14009637234</v>
      </c>
      <c r="H740" s="2">
        <v>761839.31207709794</v>
      </c>
      <c r="I740" s="11" t="str">
        <f>VLOOKUP(BasePIs[[#This Row],[Produto]],DePara_Produto[],2,0)</f>
        <v>Outros</v>
      </c>
      <c r="J740" s="13">
        <f>1</f>
        <v>1</v>
      </c>
    </row>
    <row r="741" spans="1:10" x14ac:dyDescent="0.25">
      <c r="A741" s="3">
        <v>44013</v>
      </c>
      <c r="B741">
        <v>237880</v>
      </c>
      <c r="C741">
        <v>643203</v>
      </c>
      <c r="D741" t="s">
        <v>51</v>
      </c>
      <c r="E741" t="s">
        <v>52</v>
      </c>
      <c r="F741" t="s">
        <v>25</v>
      </c>
      <c r="G741" s="1">
        <v>716163.86146019015</v>
      </c>
      <c r="H741" s="2">
        <v>572931.08916815219</v>
      </c>
      <c r="I741" s="11" t="str">
        <f>VLOOKUP(BasePIs[[#This Row],[Produto]],DePara_Produto[],2,0)</f>
        <v>Outros</v>
      </c>
      <c r="J741" s="13">
        <f>1</f>
        <v>1</v>
      </c>
    </row>
    <row r="742" spans="1:10" x14ac:dyDescent="0.25">
      <c r="A742" s="3">
        <v>44013</v>
      </c>
      <c r="B742">
        <v>237881</v>
      </c>
      <c r="C742">
        <v>643205</v>
      </c>
      <c r="D742" t="s">
        <v>51</v>
      </c>
      <c r="E742" t="s">
        <v>52</v>
      </c>
      <c r="F742" t="s">
        <v>35</v>
      </c>
      <c r="G742" s="1">
        <v>261347.43391496741</v>
      </c>
      <c r="H742" s="2">
        <v>209077.94713197392</v>
      </c>
      <c r="I742" s="11" t="str">
        <f>VLOOKUP(BasePIs[[#This Row],[Produto]],DePara_Produto[],2,0)</f>
        <v>Outros</v>
      </c>
      <c r="J742" s="13">
        <f>1</f>
        <v>1</v>
      </c>
    </row>
    <row r="743" spans="1:10" x14ac:dyDescent="0.25">
      <c r="A743" s="3">
        <v>44013</v>
      </c>
      <c r="B743">
        <v>237882</v>
      </c>
      <c r="C743">
        <v>643206</v>
      </c>
      <c r="D743" t="s">
        <v>51</v>
      </c>
      <c r="E743" t="s">
        <v>52</v>
      </c>
      <c r="F743" t="s">
        <v>34</v>
      </c>
      <c r="G743" s="1">
        <v>115199.91897759412</v>
      </c>
      <c r="H743" s="2">
        <v>92159.935182075307</v>
      </c>
      <c r="I743" s="11" t="str">
        <f>VLOOKUP(BasePIs[[#This Row],[Produto]],DePara_Produto[],2,0)</f>
        <v>Outros</v>
      </c>
      <c r="J743" s="13">
        <f>1</f>
        <v>1</v>
      </c>
    </row>
    <row r="744" spans="1:10" x14ac:dyDescent="0.25">
      <c r="A744" s="3">
        <v>44013</v>
      </c>
      <c r="B744">
        <v>237883</v>
      </c>
      <c r="C744">
        <v>643207</v>
      </c>
      <c r="D744" t="s">
        <v>51</v>
      </c>
      <c r="E744" t="s">
        <v>52</v>
      </c>
      <c r="F744" t="s">
        <v>34</v>
      </c>
      <c r="G744" s="1">
        <v>27212.452359727613</v>
      </c>
      <c r="H744" s="2">
        <v>21769.96188778209</v>
      </c>
      <c r="I744" s="11" t="str">
        <f>VLOOKUP(BasePIs[[#This Row],[Produto]],DePara_Produto[],2,0)</f>
        <v>Outros</v>
      </c>
      <c r="J744" s="13">
        <f>1</f>
        <v>1</v>
      </c>
    </row>
    <row r="745" spans="1:10" x14ac:dyDescent="0.25">
      <c r="A745" s="3">
        <v>44013</v>
      </c>
      <c r="B745">
        <v>237884</v>
      </c>
      <c r="C745">
        <v>643208</v>
      </c>
      <c r="D745" t="s">
        <v>51</v>
      </c>
      <c r="E745" t="s">
        <v>52</v>
      </c>
      <c r="F745" t="s">
        <v>36</v>
      </c>
      <c r="G745" s="1">
        <v>7496.7543107183064</v>
      </c>
      <c r="H745" s="2">
        <v>5997.4034485746452</v>
      </c>
      <c r="I745" s="11" t="str">
        <f>VLOOKUP(BasePIs[[#This Row],[Produto]],DePara_Produto[],2,0)</f>
        <v>Outros</v>
      </c>
      <c r="J745" s="13">
        <f>1</f>
        <v>1</v>
      </c>
    </row>
    <row r="746" spans="1:10" x14ac:dyDescent="0.25">
      <c r="A746" s="3">
        <v>43862</v>
      </c>
      <c r="B746">
        <v>237886</v>
      </c>
      <c r="C746">
        <v>643213</v>
      </c>
      <c r="D746" t="s">
        <v>54</v>
      </c>
      <c r="E746" t="s">
        <v>55</v>
      </c>
      <c r="F746" t="s">
        <v>28</v>
      </c>
      <c r="G746" s="1">
        <v>618538.08516340645</v>
      </c>
      <c r="H746" s="2">
        <v>494830.4681307252</v>
      </c>
      <c r="I746" s="11" t="str">
        <f>VLOOKUP(BasePIs[[#This Row],[Produto]],DePara_Produto[],2,0)</f>
        <v>Varejo</v>
      </c>
      <c r="J746" s="13">
        <f>1</f>
        <v>1</v>
      </c>
    </row>
    <row r="747" spans="1:10" x14ac:dyDescent="0.25">
      <c r="A747" s="3">
        <v>43862</v>
      </c>
      <c r="B747">
        <v>237889</v>
      </c>
      <c r="C747">
        <v>643216</v>
      </c>
      <c r="D747" t="s">
        <v>54</v>
      </c>
      <c r="E747" t="s">
        <v>55</v>
      </c>
      <c r="F747" t="s">
        <v>25</v>
      </c>
      <c r="G747" s="1">
        <v>1675089.2882391105</v>
      </c>
      <c r="H747" s="2">
        <v>1340071.4305912885</v>
      </c>
      <c r="I747" s="11" t="str">
        <f>VLOOKUP(BasePIs[[#This Row],[Produto]],DePara_Produto[],2,0)</f>
        <v>Varejo</v>
      </c>
      <c r="J747" s="13">
        <f>1</f>
        <v>1</v>
      </c>
    </row>
    <row r="748" spans="1:10" x14ac:dyDescent="0.25">
      <c r="A748" s="3">
        <v>43862</v>
      </c>
      <c r="B748">
        <v>237890</v>
      </c>
      <c r="C748">
        <v>643217</v>
      </c>
      <c r="D748" t="s">
        <v>54</v>
      </c>
      <c r="E748" t="s">
        <v>55</v>
      </c>
      <c r="F748" t="s">
        <v>35</v>
      </c>
      <c r="G748" s="1">
        <v>52205.654912097525</v>
      </c>
      <c r="H748" s="2">
        <v>41764.52392967802</v>
      </c>
      <c r="I748" s="11" t="str">
        <f>VLOOKUP(BasePIs[[#This Row],[Produto]],DePara_Produto[],2,0)</f>
        <v>Varejo</v>
      </c>
      <c r="J748" s="13">
        <f>1</f>
        <v>1</v>
      </c>
    </row>
    <row r="749" spans="1:10" x14ac:dyDescent="0.25">
      <c r="A749" s="3">
        <v>43862</v>
      </c>
      <c r="B749">
        <v>237891</v>
      </c>
      <c r="C749">
        <v>643218</v>
      </c>
      <c r="D749" t="s">
        <v>54</v>
      </c>
      <c r="E749" t="s">
        <v>55</v>
      </c>
      <c r="F749" t="s">
        <v>34</v>
      </c>
      <c r="G749" s="1">
        <v>135165.27970421291</v>
      </c>
      <c r="H749" s="2">
        <v>108132.22376337033</v>
      </c>
      <c r="I749" s="11" t="str">
        <f>VLOOKUP(BasePIs[[#This Row],[Produto]],DePara_Produto[],2,0)</f>
        <v>Varejo</v>
      </c>
      <c r="J749" s="13">
        <f>1</f>
        <v>1</v>
      </c>
    </row>
    <row r="750" spans="1:10" x14ac:dyDescent="0.25">
      <c r="A750" s="3">
        <v>43862</v>
      </c>
      <c r="B750">
        <v>237892</v>
      </c>
      <c r="C750">
        <v>643219</v>
      </c>
      <c r="D750" t="s">
        <v>54</v>
      </c>
      <c r="E750" t="s">
        <v>55</v>
      </c>
      <c r="F750" t="s">
        <v>34</v>
      </c>
      <c r="G750" s="1">
        <v>165226.03531445938</v>
      </c>
      <c r="H750" s="2">
        <v>132180.82825156752</v>
      </c>
      <c r="I750" s="11" t="str">
        <f>VLOOKUP(BasePIs[[#This Row],[Produto]],DePara_Produto[],2,0)</f>
        <v>Varejo</v>
      </c>
      <c r="J750" s="13">
        <f>1</f>
        <v>1</v>
      </c>
    </row>
    <row r="751" spans="1:10" x14ac:dyDescent="0.25">
      <c r="A751" s="3">
        <v>43862</v>
      </c>
      <c r="B751">
        <v>237907</v>
      </c>
      <c r="C751">
        <v>643241</v>
      </c>
      <c r="D751" t="s">
        <v>56</v>
      </c>
      <c r="E751" t="s">
        <v>38</v>
      </c>
      <c r="F751" t="s">
        <v>28</v>
      </c>
      <c r="G751" s="1">
        <v>21186.081830685776</v>
      </c>
      <c r="H751" s="2">
        <v>16948.86546454862</v>
      </c>
      <c r="I751" s="11" t="str">
        <f>VLOOKUP(BasePIs[[#This Row],[Produto]],DePara_Produto[],2,0)</f>
        <v>Varejo</v>
      </c>
      <c r="J751" s="13">
        <f>1</f>
        <v>1</v>
      </c>
    </row>
    <row r="752" spans="1:10" x14ac:dyDescent="0.25">
      <c r="A752" s="3">
        <v>43862</v>
      </c>
      <c r="B752">
        <v>237908</v>
      </c>
      <c r="C752">
        <v>643242</v>
      </c>
      <c r="D752" t="s">
        <v>56</v>
      </c>
      <c r="E752" t="s">
        <v>38</v>
      </c>
      <c r="F752" t="s">
        <v>35</v>
      </c>
      <c r="G752" s="1">
        <v>178.47099403723439</v>
      </c>
      <c r="H752" s="2">
        <v>142.77679522978752</v>
      </c>
      <c r="I752" s="11" t="str">
        <f>VLOOKUP(BasePIs[[#This Row],[Produto]],DePara_Produto[],2,0)</f>
        <v>Varejo</v>
      </c>
      <c r="J752" s="13">
        <f>1</f>
        <v>1</v>
      </c>
    </row>
    <row r="753" spans="1:10" x14ac:dyDescent="0.25">
      <c r="A753" s="3">
        <v>43862</v>
      </c>
      <c r="B753">
        <v>237969</v>
      </c>
      <c r="C753">
        <v>643473</v>
      </c>
      <c r="D753" t="s">
        <v>54</v>
      </c>
      <c r="E753" t="s">
        <v>55</v>
      </c>
      <c r="F753" t="s">
        <v>29</v>
      </c>
      <c r="G753" s="1">
        <v>276666.61091952317</v>
      </c>
      <c r="H753" s="2">
        <v>221333.28873561855</v>
      </c>
      <c r="I753" s="11" t="str">
        <f>VLOOKUP(BasePIs[[#This Row],[Produto]],DePara_Produto[],2,0)</f>
        <v>Varejo</v>
      </c>
      <c r="J753" s="13">
        <f>1</f>
        <v>1</v>
      </c>
    </row>
    <row r="754" spans="1:10" x14ac:dyDescent="0.25">
      <c r="A754" s="3">
        <v>43862</v>
      </c>
      <c r="B754">
        <v>237972</v>
      </c>
      <c r="C754">
        <v>643476</v>
      </c>
      <c r="D754" t="s">
        <v>57</v>
      </c>
      <c r="E754" t="s">
        <v>58</v>
      </c>
      <c r="F754" t="s">
        <v>33</v>
      </c>
      <c r="G754" s="1">
        <v>12035.755107343943</v>
      </c>
      <c r="H754" s="2">
        <v>9628.6040858751549</v>
      </c>
      <c r="I754" s="11" t="str">
        <f>VLOOKUP(BasePIs[[#This Row],[Produto]],DePara_Produto[],2,0)</f>
        <v>Outros</v>
      </c>
      <c r="J754" s="13">
        <f>1</f>
        <v>1</v>
      </c>
    </row>
    <row r="755" spans="1:10" x14ac:dyDescent="0.25">
      <c r="A755" s="3">
        <v>43862</v>
      </c>
      <c r="B755">
        <v>237973</v>
      </c>
      <c r="C755">
        <v>643477</v>
      </c>
      <c r="D755" t="s">
        <v>57</v>
      </c>
      <c r="E755" t="s">
        <v>58</v>
      </c>
      <c r="F755" t="s">
        <v>28</v>
      </c>
      <c r="G755" s="1">
        <v>395683.75895643083</v>
      </c>
      <c r="H755" s="2">
        <v>316547.00716514466</v>
      </c>
      <c r="I755" s="11" t="str">
        <f>VLOOKUP(BasePIs[[#This Row],[Produto]],DePara_Produto[],2,0)</f>
        <v>Outros</v>
      </c>
      <c r="J755" s="13">
        <f>1</f>
        <v>1</v>
      </c>
    </row>
    <row r="756" spans="1:10" x14ac:dyDescent="0.25">
      <c r="A756" s="3">
        <v>43862</v>
      </c>
      <c r="B756">
        <v>237974</v>
      </c>
      <c r="C756">
        <v>643478</v>
      </c>
      <c r="D756" t="s">
        <v>57</v>
      </c>
      <c r="E756" t="s">
        <v>58</v>
      </c>
      <c r="F756" t="s">
        <v>35</v>
      </c>
      <c r="G756" s="1">
        <v>8880.5055443404872</v>
      </c>
      <c r="H756" s="2">
        <v>7104.4044354723901</v>
      </c>
      <c r="I756" s="11" t="str">
        <f>VLOOKUP(BasePIs[[#This Row],[Produto]],DePara_Produto[],2,0)</f>
        <v>Outros</v>
      </c>
      <c r="J756" s="13">
        <f>1</f>
        <v>1</v>
      </c>
    </row>
    <row r="757" spans="1:10" x14ac:dyDescent="0.25">
      <c r="A757" s="3">
        <v>43862</v>
      </c>
      <c r="B757">
        <v>237980</v>
      </c>
      <c r="C757">
        <v>643484</v>
      </c>
      <c r="D757" t="s">
        <v>57</v>
      </c>
      <c r="E757" t="s">
        <v>58</v>
      </c>
      <c r="F757" t="s">
        <v>36</v>
      </c>
      <c r="G757" s="1">
        <v>26.039574846771078</v>
      </c>
      <c r="H757" s="2">
        <v>20.831659877416865</v>
      </c>
      <c r="I757" s="11" t="str">
        <f>VLOOKUP(BasePIs[[#This Row],[Produto]],DePara_Produto[],2,0)</f>
        <v>Outros</v>
      </c>
      <c r="J757" s="13">
        <f>1</f>
        <v>1</v>
      </c>
    </row>
    <row r="758" spans="1:10" x14ac:dyDescent="0.25">
      <c r="A758" s="3">
        <v>43862</v>
      </c>
      <c r="B758">
        <v>238001</v>
      </c>
      <c r="C758">
        <v>643511</v>
      </c>
      <c r="D758" t="s">
        <v>51</v>
      </c>
      <c r="E758" t="s">
        <v>52</v>
      </c>
      <c r="F758" t="s">
        <v>59</v>
      </c>
      <c r="G758" s="1">
        <v>261036.15874616549</v>
      </c>
      <c r="H758" s="2">
        <v>208828.92699693239</v>
      </c>
      <c r="I758" s="11" t="str">
        <f>VLOOKUP(BasePIs[[#This Row],[Produto]],DePara_Produto[],2,0)</f>
        <v>Outros</v>
      </c>
      <c r="J758" s="13">
        <f>1</f>
        <v>1</v>
      </c>
    </row>
    <row r="759" spans="1:10" x14ac:dyDescent="0.25">
      <c r="A759" s="3">
        <v>43831</v>
      </c>
      <c r="B759">
        <v>237972</v>
      </c>
      <c r="C759">
        <v>643476</v>
      </c>
      <c r="D759" t="s">
        <v>57</v>
      </c>
      <c r="E759" t="s">
        <v>58</v>
      </c>
      <c r="F759" t="s">
        <v>33</v>
      </c>
      <c r="G759" s="1">
        <v>14875.82420778177</v>
      </c>
      <c r="H759" s="2">
        <v>11900.659366225416</v>
      </c>
      <c r="I759" s="11" t="str">
        <f>VLOOKUP(BasePIs[[#This Row],[Produto]],DePara_Produto[],2,0)</f>
        <v>Outros</v>
      </c>
      <c r="J759" s="13">
        <f>1</f>
        <v>1</v>
      </c>
    </row>
    <row r="760" spans="1:10" x14ac:dyDescent="0.25">
      <c r="A760" s="3">
        <v>43831</v>
      </c>
      <c r="B760">
        <v>237973</v>
      </c>
      <c r="C760">
        <v>643477</v>
      </c>
      <c r="D760" t="s">
        <v>57</v>
      </c>
      <c r="E760" t="s">
        <v>58</v>
      </c>
      <c r="F760" t="s">
        <v>28</v>
      </c>
      <c r="G760" s="1">
        <v>1310389.5445489951</v>
      </c>
      <c r="H760" s="2">
        <v>1048311.6356391961</v>
      </c>
      <c r="I760" s="11" t="str">
        <f>VLOOKUP(BasePIs[[#This Row],[Produto]],DePara_Produto[],2,0)</f>
        <v>Outros</v>
      </c>
      <c r="J760" s="13">
        <f>1</f>
        <v>1</v>
      </c>
    </row>
    <row r="761" spans="1:10" x14ac:dyDescent="0.25">
      <c r="A761" s="3">
        <v>43831</v>
      </c>
      <c r="B761">
        <v>237974</v>
      </c>
      <c r="C761">
        <v>643478</v>
      </c>
      <c r="D761" t="s">
        <v>57</v>
      </c>
      <c r="E761" t="s">
        <v>58</v>
      </c>
      <c r="F761" t="s">
        <v>35</v>
      </c>
      <c r="G761" s="1">
        <v>10015.996121861748</v>
      </c>
      <c r="H761" s="2">
        <v>8012.7968974893993</v>
      </c>
      <c r="I761" s="11" t="str">
        <f>VLOOKUP(BasePIs[[#This Row],[Produto]],DePara_Produto[],2,0)</f>
        <v>Outros</v>
      </c>
      <c r="J761" s="13">
        <f>1</f>
        <v>1</v>
      </c>
    </row>
    <row r="762" spans="1:10" x14ac:dyDescent="0.25">
      <c r="A762" s="3">
        <v>43831</v>
      </c>
      <c r="B762">
        <v>237980</v>
      </c>
      <c r="C762">
        <v>643484</v>
      </c>
      <c r="D762" t="s">
        <v>57</v>
      </c>
      <c r="E762" t="s">
        <v>58</v>
      </c>
      <c r="F762" t="s">
        <v>36</v>
      </c>
      <c r="G762" s="1">
        <v>32.940032524945032</v>
      </c>
      <c r="H762" s="2">
        <v>26.352026019956028</v>
      </c>
      <c r="I762" s="11" t="str">
        <f>VLOOKUP(BasePIs[[#This Row],[Produto]],DePara_Produto[],2,0)</f>
        <v>Outros</v>
      </c>
      <c r="J762" s="13">
        <f>1</f>
        <v>1</v>
      </c>
    </row>
    <row r="763" spans="1:10" x14ac:dyDescent="0.25">
      <c r="A763" s="3">
        <v>43831</v>
      </c>
      <c r="B763">
        <v>238001</v>
      </c>
      <c r="C763">
        <v>643511</v>
      </c>
      <c r="D763" t="s">
        <v>51</v>
      </c>
      <c r="E763" t="s">
        <v>52</v>
      </c>
      <c r="F763" t="s">
        <v>59</v>
      </c>
      <c r="G763" s="1">
        <v>276133.3891885617</v>
      </c>
      <c r="H763" s="2">
        <v>220906.71135084936</v>
      </c>
      <c r="I763" s="11" t="str">
        <f>VLOOKUP(BasePIs[[#This Row],[Produto]],DePara_Produto[],2,0)</f>
        <v>Outros</v>
      </c>
      <c r="J763" s="13">
        <f>1</f>
        <v>1</v>
      </c>
    </row>
    <row r="764" spans="1:10" x14ac:dyDescent="0.25">
      <c r="A764" s="3">
        <v>43831</v>
      </c>
      <c r="B764">
        <v>237736</v>
      </c>
      <c r="C764">
        <v>643033</v>
      </c>
      <c r="D764" t="s">
        <v>49</v>
      </c>
      <c r="E764" t="s">
        <v>49</v>
      </c>
      <c r="F764" t="s">
        <v>33</v>
      </c>
      <c r="G764" s="1">
        <v>146531.27523710168</v>
      </c>
      <c r="H764" s="2">
        <v>117225.02018968135</v>
      </c>
      <c r="I764" s="11" t="str">
        <f>VLOOKUP(BasePIs[[#This Row],[Produto]],DePara_Produto[],2,0)</f>
        <v>Outros</v>
      </c>
      <c r="J764" s="13">
        <f>1</f>
        <v>1</v>
      </c>
    </row>
    <row r="765" spans="1:10" x14ac:dyDescent="0.25">
      <c r="A765" s="3">
        <v>43831</v>
      </c>
      <c r="B765">
        <v>237738</v>
      </c>
      <c r="C765">
        <v>643039</v>
      </c>
      <c r="D765" t="s">
        <v>49</v>
      </c>
      <c r="E765" t="s">
        <v>49</v>
      </c>
      <c r="F765" t="s">
        <v>50</v>
      </c>
      <c r="G765" s="1">
        <v>890932.84791814769</v>
      </c>
      <c r="H765" s="2">
        <v>712746.2783345182</v>
      </c>
      <c r="I765" s="11" t="str">
        <f>VLOOKUP(BasePIs[[#This Row],[Produto]],DePara_Produto[],2,0)</f>
        <v>Outros</v>
      </c>
      <c r="J765" s="13">
        <f>1</f>
        <v>1</v>
      </c>
    </row>
    <row r="766" spans="1:10" x14ac:dyDescent="0.25">
      <c r="A766" s="3">
        <v>43831</v>
      </c>
      <c r="B766">
        <v>237739</v>
      </c>
      <c r="C766">
        <v>643035</v>
      </c>
      <c r="D766" t="s">
        <v>49</v>
      </c>
      <c r="E766" t="s">
        <v>49</v>
      </c>
      <c r="F766" t="s">
        <v>25</v>
      </c>
      <c r="G766" s="1">
        <v>236062.26756851847</v>
      </c>
      <c r="H766" s="2">
        <v>188849.81405481478</v>
      </c>
      <c r="I766" s="11" t="str">
        <f>VLOOKUP(BasePIs[[#This Row],[Produto]],DePara_Produto[],2,0)</f>
        <v>Outros</v>
      </c>
      <c r="J766" s="13">
        <f>1</f>
        <v>1</v>
      </c>
    </row>
    <row r="767" spans="1:10" x14ac:dyDescent="0.25">
      <c r="A767" s="3">
        <v>43831</v>
      </c>
      <c r="B767">
        <v>237743</v>
      </c>
      <c r="C767">
        <v>643042</v>
      </c>
      <c r="D767" t="s">
        <v>49</v>
      </c>
      <c r="E767" t="s">
        <v>49</v>
      </c>
      <c r="F767" t="s">
        <v>35</v>
      </c>
      <c r="G767" s="1">
        <v>186.46726741287395</v>
      </c>
      <c r="H767" s="2">
        <v>149.17381393029916</v>
      </c>
      <c r="I767" s="11" t="str">
        <f>VLOOKUP(BasePIs[[#This Row],[Produto]],DePara_Produto[],2,0)</f>
        <v>Outros</v>
      </c>
      <c r="J767" s="13">
        <f>1</f>
        <v>1</v>
      </c>
    </row>
    <row r="768" spans="1:10" x14ac:dyDescent="0.25">
      <c r="A768" s="3">
        <v>43831</v>
      </c>
      <c r="B768">
        <v>237744</v>
      </c>
      <c r="C768">
        <v>643043</v>
      </c>
      <c r="D768" t="s">
        <v>49</v>
      </c>
      <c r="E768" t="s">
        <v>49</v>
      </c>
      <c r="F768" t="s">
        <v>34</v>
      </c>
      <c r="G768" s="1">
        <v>68233.953503473575</v>
      </c>
      <c r="H768" s="2">
        <v>54587.162802778861</v>
      </c>
      <c r="I768" s="11" t="str">
        <f>VLOOKUP(BasePIs[[#This Row],[Produto]],DePara_Produto[],2,0)</f>
        <v>Outros</v>
      </c>
      <c r="J768" s="13">
        <f>1</f>
        <v>1</v>
      </c>
    </row>
    <row r="769" spans="1:10" x14ac:dyDescent="0.25">
      <c r="A769" s="3">
        <v>43831</v>
      </c>
      <c r="B769">
        <v>237745</v>
      </c>
      <c r="C769">
        <v>643045</v>
      </c>
      <c r="D769" t="s">
        <v>49</v>
      </c>
      <c r="E769" t="s">
        <v>49</v>
      </c>
      <c r="F769" t="s">
        <v>28</v>
      </c>
      <c r="G769" s="1">
        <v>140136.70374494905</v>
      </c>
      <c r="H769" s="2">
        <v>112109.36299595924</v>
      </c>
      <c r="I769" s="11" t="str">
        <f>VLOOKUP(BasePIs[[#This Row],[Produto]],DePara_Produto[],2,0)</f>
        <v>Outros</v>
      </c>
      <c r="J769" s="13">
        <f>1</f>
        <v>1</v>
      </c>
    </row>
    <row r="770" spans="1:10" x14ac:dyDescent="0.25">
      <c r="A770" s="3">
        <v>43831</v>
      </c>
      <c r="B770">
        <v>237746</v>
      </c>
      <c r="C770">
        <v>643046</v>
      </c>
      <c r="D770" t="s">
        <v>49</v>
      </c>
      <c r="E770" t="s">
        <v>49</v>
      </c>
      <c r="F770" t="s">
        <v>34</v>
      </c>
      <c r="G770" s="1">
        <v>561.10601948167721</v>
      </c>
      <c r="H770" s="2">
        <v>448.88481558534181</v>
      </c>
      <c r="I770" s="11" t="str">
        <f>VLOOKUP(BasePIs[[#This Row],[Produto]],DePara_Produto[],2,0)</f>
        <v>Outros</v>
      </c>
      <c r="J770" s="13">
        <f>1</f>
        <v>1</v>
      </c>
    </row>
    <row r="771" spans="1:10" x14ac:dyDescent="0.25">
      <c r="A771" s="3">
        <v>43831</v>
      </c>
      <c r="B771">
        <v>237747</v>
      </c>
      <c r="C771">
        <v>643047</v>
      </c>
      <c r="D771" t="s">
        <v>49</v>
      </c>
      <c r="E771" t="s">
        <v>49</v>
      </c>
      <c r="F771" t="s">
        <v>36</v>
      </c>
      <c r="G771" s="1">
        <v>382.81078789338522</v>
      </c>
      <c r="H771" s="2">
        <v>306.24863031470818</v>
      </c>
      <c r="I771" s="11" t="str">
        <f>VLOOKUP(BasePIs[[#This Row],[Produto]],DePara_Produto[],2,0)</f>
        <v>Outros</v>
      </c>
      <c r="J771" s="13">
        <f>1</f>
        <v>1</v>
      </c>
    </row>
    <row r="772" spans="1:10" x14ac:dyDescent="0.25">
      <c r="A772" s="3">
        <v>43831</v>
      </c>
      <c r="B772">
        <v>237835</v>
      </c>
      <c r="C772">
        <v>643138</v>
      </c>
      <c r="D772" t="s">
        <v>44</v>
      </c>
      <c r="E772" t="s">
        <v>44</v>
      </c>
      <c r="F772" t="s">
        <v>29</v>
      </c>
      <c r="G772" s="1">
        <v>266877.00347745261</v>
      </c>
      <c r="H772" s="2">
        <v>213501.60278196211</v>
      </c>
      <c r="I772" s="11" t="str">
        <f>VLOOKUP(BasePIs[[#This Row],[Produto]],DePara_Produto[],2,0)</f>
        <v>Amarok</v>
      </c>
      <c r="J772" s="13">
        <f>1</f>
        <v>1</v>
      </c>
    </row>
    <row r="773" spans="1:10" x14ac:dyDescent="0.25">
      <c r="A773" s="3">
        <v>43831</v>
      </c>
      <c r="B773">
        <v>237874</v>
      </c>
      <c r="C773">
        <v>643197</v>
      </c>
      <c r="D773" t="s">
        <v>51</v>
      </c>
      <c r="E773" t="s">
        <v>52</v>
      </c>
      <c r="F773" t="s">
        <v>53</v>
      </c>
      <c r="G773" s="1">
        <v>52287.176511667996</v>
      </c>
      <c r="H773" s="2">
        <v>41829.741209334403</v>
      </c>
      <c r="I773" s="11" t="str">
        <f>VLOOKUP(BasePIs[[#This Row],[Produto]],DePara_Produto[],2,0)</f>
        <v>Outros</v>
      </c>
      <c r="J773" s="13">
        <f>1</f>
        <v>1</v>
      </c>
    </row>
    <row r="774" spans="1:10" x14ac:dyDescent="0.25">
      <c r="A774" s="3">
        <v>44044</v>
      </c>
      <c r="B774">
        <v>237875</v>
      </c>
      <c r="C774">
        <v>643198</v>
      </c>
      <c r="D774" t="s">
        <v>51</v>
      </c>
      <c r="E774" t="s">
        <v>52</v>
      </c>
      <c r="F774" t="s">
        <v>33</v>
      </c>
      <c r="G774" s="1">
        <v>2838723.1187341469</v>
      </c>
      <c r="H774" s="2">
        <v>2270978.4949873178</v>
      </c>
      <c r="I774" s="11" t="str">
        <f>VLOOKUP(BasePIs[[#This Row],[Produto]],DePara_Produto[],2,0)</f>
        <v>Outros</v>
      </c>
      <c r="J774" s="13">
        <f>1</f>
        <v>1</v>
      </c>
    </row>
    <row r="775" spans="1:10" x14ac:dyDescent="0.25">
      <c r="A775" s="3">
        <v>44044</v>
      </c>
      <c r="B775">
        <v>237877</v>
      </c>
      <c r="C775">
        <v>643200</v>
      </c>
      <c r="D775" t="s">
        <v>51</v>
      </c>
      <c r="E775" t="s">
        <v>52</v>
      </c>
      <c r="F775" t="s">
        <v>28</v>
      </c>
      <c r="G775" s="1">
        <v>2502402.3806269169</v>
      </c>
      <c r="H775" s="2">
        <v>2001921.9045015336</v>
      </c>
      <c r="I775" s="11" t="str">
        <f>VLOOKUP(BasePIs[[#This Row],[Produto]],DePara_Produto[],2,0)</f>
        <v>Outros</v>
      </c>
      <c r="J775" s="13">
        <f>1</f>
        <v>1</v>
      </c>
    </row>
    <row r="776" spans="1:10" x14ac:dyDescent="0.25">
      <c r="A776" s="3">
        <v>44044</v>
      </c>
      <c r="B776">
        <v>237879</v>
      </c>
      <c r="C776">
        <v>643202</v>
      </c>
      <c r="D776" t="s">
        <v>51</v>
      </c>
      <c r="E776" t="s">
        <v>52</v>
      </c>
      <c r="F776" t="s">
        <v>32</v>
      </c>
      <c r="G776" s="1">
        <v>3368769.623216738</v>
      </c>
      <c r="H776" s="2">
        <v>2695015.6985733905</v>
      </c>
      <c r="I776" s="11" t="str">
        <f>VLOOKUP(BasePIs[[#This Row],[Produto]],DePara_Produto[],2,0)</f>
        <v>Outros</v>
      </c>
      <c r="J776" s="13">
        <f>1</f>
        <v>1</v>
      </c>
    </row>
    <row r="777" spans="1:10" x14ac:dyDescent="0.25">
      <c r="A777" s="3">
        <v>44044</v>
      </c>
      <c r="B777">
        <v>237880</v>
      </c>
      <c r="C777">
        <v>643203</v>
      </c>
      <c r="D777" t="s">
        <v>51</v>
      </c>
      <c r="E777" t="s">
        <v>52</v>
      </c>
      <c r="F777" t="s">
        <v>25</v>
      </c>
      <c r="G777" s="1">
        <v>564504.92516493925</v>
      </c>
      <c r="H777" s="2">
        <v>451603.94013195141</v>
      </c>
      <c r="I777" s="11" t="str">
        <f>VLOOKUP(BasePIs[[#This Row],[Produto]],DePara_Produto[],2,0)</f>
        <v>Outros</v>
      </c>
      <c r="J777" s="13">
        <f>1</f>
        <v>1</v>
      </c>
    </row>
    <row r="778" spans="1:10" x14ac:dyDescent="0.25">
      <c r="A778" s="3">
        <v>44044</v>
      </c>
      <c r="B778">
        <v>237881</v>
      </c>
      <c r="C778">
        <v>643205</v>
      </c>
      <c r="D778" t="s">
        <v>51</v>
      </c>
      <c r="E778" t="s">
        <v>52</v>
      </c>
      <c r="F778" t="s">
        <v>35</v>
      </c>
      <c r="G778" s="1">
        <v>200092.88683014916</v>
      </c>
      <c r="H778" s="2">
        <v>160074.30946411935</v>
      </c>
      <c r="I778" s="11" t="str">
        <f>VLOOKUP(BasePIs[[#This Row],[Produto]],DePara_Produto[],2,0)</f>
        <v>Outros</v>
      </c>
      <c r="J778" s="13">
        <f>1</f>
        <v>1</v>
      </c>
    </row>
    <row r="779" spans="1:10" x14ac:dyDescent="0.25">
      <c r="A779" s="3">
        <v>44044</v>
      </c>
      <c r="B779">
        <v>237882</v>
      </c>
      <c r="C779">
        <v>643206</v>
      </c>
      <c r="D779" t="s">
        <v>51</v>
      </c>
      <c r="E779" t="s">
        <v>52</v>
      </c>
      <c r="F779" t="s">
        <v>34</v>
      </c>
      <c r="G779" s="1">
        <v>57988.526147207507</v>
      </c>
      <c r="H779" s="2">
        <v>46390.82091776601</v>
      </c>
      <c r="I779" s="11" t="str">
        <f>VLOOKUP(BasePIs[[#This Row],[Produto]],DePara_Produto[],2,0)</f>
        <v>Outros</v>
      </c>
      <c r="J779" s="13">
        <f>1</f>
        <v>1</v>
      </c>
    </row>
    <row r="780" spans="1:10" x14ac:dyDescent="0.25">
      <c r="A780" s="3">
        <v>44044</v>
      </c>
      <c r="B780">
        <v>237883</v>
      </c>
      <c r="C780">
        <v>643207</v>
      </c>
      <c r="D780" t="s">
        <v>51</v>
      </c>
      <c r="E780" t="s">
        <v>52</v>
      </c>
      <c r="F780" t="s">
        <v>34</v>
      </c>
      <c r="G780" s="1">
        <v>64262.0641232091</v>
      </c>
      <c r="H780" s="2">
        <v>51409.651298567282</v>
      </c>
      <c r="I780" s="11" t="str">
        <f>VLOOKUP(BasePIs[[#This Row],[Produto]],DePara_Produto[],2,0)</f>
        <v>Outros</v>
      </c>
      <c r="J780" s="13">
        <f>1</f>
        <v>1</v>
      </c>
    </row>
    <row r="781" spans="1:10" x14ac:dyDescent="0.25">
      <c r="A781" s="3">
        <v>44044</v>
      </c>
      <c r="B781">
        <v>237884</v>
      </c>
      <c r="C781">
        <v>643208</v>
      </c>
      <c r="D781" t="s">
        <v>51</v>
      </c>
      <c r="E781" t="s">
        <v>52</v>
      </c>
      <c r="F781" t="s">
        <v>36</v>
      </c>
      <c r="G781" s="1">
        <v>22606.415874664435</v>
      </c>
      <c r="H781" s="2">
        <v>18085.132699731548</v>
      </c>
      <c r="I781" s="11" t="str">
        <f>VLOOKUP(BasePIs[[#This Row],[Produto]],DePara_Produto[],2,0)</f>
        <v>Outros</v>
      </c>
      <c r="J781" s="13">
        <f>1</f>
        <v>1</v>
      </c>
    </row>
    <row r="782" spans="1:10" x14ac:dyDescent="0.25">
      <c r="A782" s="3">
        <v>44044</v>
      </c>
      <c r="B782">
        <v>237886</v>
      </c>
      <c r="C782">
        <v>643213</v>
      </c>
      <c r="D782" t="s">
        <v>54</v>
      </c>
      <c r="E782" t="s">
        <v>55</v>
      </c>
      <c r="F782" t="s">
        <v>28</v>
      </c>
      <c r="G782" s="1">
        <v>277360.13255301892</v>
      </c>
      <c r="H782" s="2">
        <v>221888.10604241514</v>
      </c>
      <c r="I782" s="11" t="str">
        <f>VLOOKUP(BasePIs[[#This Row],[Produto]],DePara_Produto[],2,0)</f>
        <v>Varejo</v>
      </c>
      <c r="J782" s="13">
        <f>1</f>
        <v>1</v>
      </c>
    </row>
    <row r="783" spans="1:10" x14ac:dyDescent="0.25">
      <c r="A783" s="3">
        <v>44044</v>
      </c>
      <c r="B783">
        <v>237889</v>
      </c>
      <c r="C783">
        <v>643216</v>
      </c>
      <c r="D783" t="s">
        <v>54</v>
      </c>
      <c r="E783" t="s">
        <v>55</v>
      </c>
      <c r="F783" t="s">
        <v>25</v>
      </c>
      <c r="G783" s="1">
        <v>2950698.0571848117</v>
      </c>
      <c r="H783" s="2">
        <v>2360558.4457478495</v>
      </c>
      <c r="I783" s="11" t="str">
        <f>VLOOKUP(BasePIs[[#This Row],[Produto]],DePara_Produto[],2,0)</f>
        <v>Varejo</v>
      </c>
      <c r="J783" s="13">
        <f>1</f>
        <v>1</v>
      </c>
    </row>
    <row r="784" spans="1:10" x14ac:dyDescent="0.25">
      <c r="A784" s="3">
        <v>44044</v>
      </c>
      <c r="B784">
        <v>237890</v>
      </c>
      <c r="C784">
        <v>643217</v>
      </c>
      <c r="D784" t="s">
        <v>54</v>
      </c>
      <c r="E784" t="s">
        <v>55</v>
      </c>
      <c r="F784" t="s">
        <v>35</v>
      </c>
      <c r="G784" s="1">
        <v>95208.209351922371</v>
      </c>
      <c r="H784" s="2">
        <v>76166.567481537902</v>
      </c>
      <c r="I784" s="11" t="str">
        <f>VLOOKUP(BasePIs[[#This Row],[Produto]],DePara_Produto[],2,0)</f>
        <v>Varejo</v>
      </c>
      <c r="J784" s="13">
        <f>1</f>
        <v>1</v>
      </c>
    </row>
    <row r="785" spans="1:10" x14ac:dyDescent="0.25">
      <c r="A785" s="3">
        <v>44044</v>
      </c>
      <c r="B785">
        <v>237891</v>
      </c>
      <c r="C785">
        <v>643218</v>
      </c>
      <c r="D785" t="s">
        <v>54</v>
      </c>
      <c r="E785" t="s">
        <v>55</v>
      </c>
      <c r="F785" t="s">
        <v>34</v>
      </c>
      <c r="G785" s="1">
        <v>97264.243585125543</v>
      </c>
      <c r="H785" s="2">
        <v>77811.39486810044</v>
      </c>
      <c r="I785" s="11" t="str">
        <f>VLOOKUP(BasePIs[[#This Row],[Produto]],DePara_Produto[],2,0)</f>
        <v>Varejo</v>
      </c>
      <c r="J785" s="13">
        <f>1</f>
        <v>1</v>
      </c>
    </row>
    <row r="786" spans="1:10" x14ac:dyDescent="0.25">
      <c r="A786" s="3">
        <v>44044</v>
      </c>
      <c r="B786">
        <v>237892</v>
      </c>
      <c r="C786">
        <v>643219</v>
      </c>
      <c r="D786" t="s">
        <v>54</v>
      </c>
      <c r="E786" t="s">
        <v>55</v>
      </c>
      <c r="F786" t="s">
        <v>34</v>
      </c>
      <c r="G786" s="1">
        <v>129707.8302085873</v>
      </c>
      <c r="H786" s="2">
        <v>103766.26416686985</v>
      </c>
      <c r="I786" s="11" t="str">
        <f>VLOOKUP(BasePIs[[#This Row],[Produto]],DePara_Produto[],2,0)</f>
        <v>Varejo</v>
      </c>
      <c r="J786" s="13">
        <f>1</f>
        <v>1</v>
      </c>
    </row>
    <row r="787" spans="1:10" x14ac:dyDescent="0.25">
      <c r="A787" s="3">
        <v>44044</v>
      </c>
      <c r="B787">
        <v>237907</v>
      </c>
      <c r="C787">
        <v>643241</v>
      </c>
      <c r="D787" t="s">
        <v>56</v>
      </c>
      <c r="E787" t="s">
        <v>38</v>
      </c>
      <c r="F787" t="s">
        <v>28</v>
      </c>
      <c r="G787" s="1">
        <v>23749.923628491262</v>
      </c>
      <c r="H787" s="2">
        <v>18999.938902793012</v>
      </c>
      <c r="I787" s="11" t="str">
        <f>VLOOKUP(BasePIs[[#This Row],[Produto]],DePara_Produto[],2,0)</f>
        <v>Varejo</v>
      </c>
      <c r="J787" s="13">
        <f>1</f>
        <v>1</v>
      </c>
    </row>
    <row r="788" spans="1:10" x14ac:dyDescent="0.25">
      <c r="A788" s="3">
        <v>44044</v>
      </c>
      <c r="B788">
        <v>237908</v>
      </c>
      <c r="C788">
        <v>643242</v>
      </c>
      <c r="D788" t="s">
        <v>56</v>
      </c>
      <c r="E788" t="s">
        <v>38</v>
      </c>
      <c r="F788" t="s">
        <v>35</v>
      </c>
      <c r="G788" s="1">
        <v>50.030339945323448</v>
      </c>
      <c r="H788" s="2">
        <v>40.024271956258758</v>
      </c>
      <c r="I788" s="11" t="str">
        <f>VLOOKUP(BasePIs[[#This Row],[Produto]],DePara_Produto[],2,0)</f>
        <v>Varejo</v>
      </c>
      <c r="J788" s="13">
        <f>1</f>
        <v>1</v>
      </c>
    </row>
    <row r="789" spans="1:10" x14ac:dyDescent="0.25">
      <c r="A789" s="3">
        <v>44044</v>
      </c>
      <c r="B789">
        <v>237969</v>
      </c>
      <c r="C789">
        <v>643473</v>
      </c>
      <c r="D789" t="s">
        <v>54</v>
      </c>
      <c r="E789" t="s">
        <v>55</v>
      </c>
      <c r="F789" t="s">
        <v>29</v>
      </c>
      <c r="G789" s="1">
        <v>187055.58679104017</v>
      </c>
      <c r="H789" s="2">
        <v>149644.46943283215</v>
      </c>
      <c r="I789" s="11" t="str">
        <f>VLOOKUP(BasePIs[[#This Row],[Produto]],DePara_Produto[],2,0)</f>
        <v>Varejo</v>
      </c>
      <c r="J789" s="13">
        <f>1</f>
        <v>1</v>
      </c>
    </row>
    <row r="790" spans="1:10" x14ac:dyDescent="0.25">
      <c r="A790" s="3">
        <v>44044</v>
      </c>
      <c r="B790">
        <v>237972</v>
      </c>
      <c r="C790">
        <v>643476</v>
      </c>
      <c r="D790" t="s">
        <v>57</v>
      </c>
      <c r="E790" t="s">
        <v>58</v>
      </c>
      <c r="F790" t="s">
        <v>33</v>
      </c>
      <c r="G790" s="1">
        <v>5333.0755573826773</v>
      </c>
      <c r="H790" s="2">
        <v>4266.460445906142</v>
      </c>
      <c r="I790" s="11" t="str">
        <f>VLOOKUP(BasePIs[[#This Row],[Produto]],DePara_Produto[],2,0)</f>
        <v>Outros</v>
      </c>
      <c r="J790" s="13">
        <f>1</f>
        <v>1</v>
      </c>
    </row>
    <row r="791" spans="1:10" x14ac:dyDescent="0.25">
      <c r="A791" s="3">
        <v>44044</v>
      </c>
      <c r="B791">
        <v>237973</v>
      </c>
      <c r="C791">
        <v>643477</v>
      </c>
      <c r="D791" t="s">
        <v>57</v>
      </c>
      <c r="E791" t="s">
        <v>58</v>
      </c>
      <c r="F791" t="s">
        <v>28</v>
      </c>
      <c r="G791" s="1">
        <v>359014.69507398817</v>
      </c>
      <c r="H791" s="2">
        <v>287211.75605919055</v>
      </c>
      <c r="I791" s="11" t="str">
        <f>VLOOKUP(BasePIs[[#This Row],[Produto]],DePara_Produto[],2,0)</f>
        <v>Outros</v>
      </c>
      <c r="J791" s="13">
        <f>1</f>
        <v>1</v>
      </c>
    </row>
    <row r="792" spans="1:10" x14ac:dyDescent="0.25">
      <c r="A792" s="3">
        <v>44044</v>
      </c>
      <c r="B792">
        <v>237974</v>
      </c>
      <c r="C792">
        <v>643478</v>
      </c>
      <c r="D792" t="s">
        <v>57</v>
      </c>
      <c r="E792" t="s">
        <v>58</v>
      </c>
      <c r="F792" t="s">
        <v>35</v>
      </c>
      <c r="G792" s="1">
        <v>17638.732812428174</v>
      </c>
      <c r="H792" s="2">
        <v>14110.98624994254</v>
      </c>
      <c r="I792" s="11" t="str">
        <f>VLOOKUP(BasePIs[[#This Row],[Produto]],DePara_Produto[],2,0)</f>
        <v>Outros</v>
      </c>
      <c r="J792" s="13">
        <f>1</f>
        <v>1</v>
      </c>
    </row>
    <row r="793" spans="1:10" x14ac:dyDescent="0.25">
      <c r="A793" s="3">
        <v>44044</v>
      </c>
      <c r="B793">
        <v>237980</v>
      </c>
      <c r="C793">
        <v>643484</v>
      </c>
      <c r="D793" t="s">
        <v>57</v>
      </c>
      <c r="E793" t="s">
        <v>58</v>
      </c>
      <c r="F793" t="s">
        <v>36</v>
      </c>
      <c r="G793" s="1">
        <v>36.298864133912488</v>
      </c>
      <c r="H793" s="2">
        <v>29.039091307129993</v>
      </c>
      <c r="I793" s="11" t="str">
        <f>VLOOKUP(BasePIs[[#This Row],[Produto]],DePara_Produto[],2,0)</f>
        <v>Outros</v>
      </c>
      <c r="J793" s="13">
        <f>1</f>
        <v>1</v>
      </c>
    </row>
    <row r="794" spans="1:10" x14ac:dyDescent="0.25">
      <c r="A794" s="3">
        <v>44044</v>
      </c>
      <c r="B794">
        <v>238001</v>
      </c>
      <c r="C794">
        <v>643511</v>
      </c>
      <c r="D794" t="s">
        <v>51</v>
      </c>
      <c r="E794" t="s">
        <v>52</v>
      </c>
      <c r="F794" t="s">
        <v>59</v>
      </c>
      <c r="G794" s="1">
        <v>193580.09437538165</v>
      </c>
      <c r="H794" s="2">
        <v>154864.07550030533</v>
      </c>
      <c r="I794" s="11" t="str">
        <f>VLOOKUP(BasePIs[[#This Row],[Produto]],DePara_Produto[],2,0)</f>
        <v>Outros</v>
      </c>
      <c r="J794" s="13">
        <f>1</f>
        <v>1</v>
      </c>
    </row>
    <row r="795" spans="1:10" x14ac:dyDescent="0.25">
      <c r="A795" s="3">
        <v>44044</v>
      </c>
      <c r="B795">
        <v>237746</v>
      </c>
      <c r="C795">
        <v>643046</v>
      </c>
      <c r="D795" t="s">
        <v>49</v>
      </c>
      <c r="E795" t="s">
        <v>49</v>
      </c>
      <c r="F795" t="s">
        <v>34</v>
      </c>
      <c r="G795" s="1">
        <v>110.14235956888685</v>
      </c>
      <c r="H795" s="2">
        <v>88.11388765510948</v>
      </c>
      <c r="I795" s="11" t="str">
        <f>VLOOKUP(BasePIs[[#This Row],[Produto]],DePara_Produto[],2,0)</f>
        <v>Outros</v>
      </c>
      <c r="J795" s="13">
        <f>1</f>
        <v>1</v>
      </c>
    </row>
    <row r="796" spans="1:10" x14ac:dyDescent="0.25">
      <c r="A796" s="3">
        <v>44044</v>
      </c>
      <c r="B796">
        <v>237747</v>
      </c>
      <c r="C796">
        <v>643047</v>
      </c>
      <c r="D796" t="s">
        <v>49</v>
      </c>
      <c r="E796" t="s">
        <v>49</v>
      </c>
      <c r="F796" t="s">
        <v>36</v>
      </c>
      <c r="G796" s="1">
        <v>397.60717406053965</v>
      </c>
      <c r="H796" s="2">
        <v>318.08573924843176</v>
      </c>
      <c r="I796" s="11" t="str">
        <f>VLOOKUP(BasePIs[[#This Row],[Produto]],DePara_Produto[],2,0)</f>
        <v>Outros</v>
      </c>
      <c r="J796" s="13">
        <f>1</f>
        <v>1</v>
      </c>
    </row>
    <row r="797" spans="1:10" x14ac:dyDescent="0.25">
      <c r="A797" s="3">
        <v>44044</v>
      </c>
      <c r="B797">
        <v>237835</v>
      </c>
      <c r="C797">
        <v>643138</v>
      </c>
      <c r="D797" t="s">
        <v>44</v>
      </c>
      <c r="E797" t="s">
        <v>44</v>
      </c>
      <c r="F797" t="s">
        <v>29</v>
      </c>
      <c r="G797" s="1">
        <v>205747.67421926037</v>
      </c>
      <c r="H797" s="2">
        <v>164598.1393754083</v>
      </c>
      <c r="I797" s="11" t="str">
        <f>VLOOKUP(BasePIs[[#This Row],[Produto]],DePara_Produto[],2,0)</f>
        <v>Amarok</v>
      </c>
      <c r="J797" s="13">
        <f>1</f>
        <v>1</v>
      </c>
    </row>
    <row r="798" spans="1:10" x14ac:dyDescent="0.25">
      <c r="A798" s="3">
        <v>44044</v>
      </c>
      <c r="B798">
        <v>237874</v>
      </c>
      <c r="C798">
        <v>643197</v>
      </c>
      <c r="D798" t="s">
        <v>51</v>
      </c>
      <c r="E798" t="s">
        <v>52</v>
      </c>
      <c r="F798" t="s">
        <v>53</v>
      </c>
      <c r="G798" s="1">
        <v>1023712.5462492985</v>
      </c>
      <c r="H798" s="2">
        <v>818970.03699943889</v>
      </c>
      <c r="I798" s="11" t="str">
        <f>VLOOKUP(BasePIs[[#This Row],[Produto]],DePara_Produto[],2,0)</f>
        <v>Outros</v>
      </c>
      <c r="J798" s="13">
        <f>1</f>
        <v>1</v>
      </c>
    </row>
    <row r="799" spans="1:10" x14ac:dyDescent="0.25">
      <c r="A799" s="3">
        <v>44044</v>
      </c>
      <c r="B799">
        <v>237875</v>
      </c>
      <c r="C799">
        <v>643198</v>
      </c>
      <c r="D799" t="s">
        <v>51</v>
      </c>
      <c r="E799" t="s">
        <v>52</v>
      </c>
      <c r="F799" t="s">
        <v>33</v>
      </c>
      <c r="G799" s="1">
        <v>1712966.4909581367</v>
      </c>
      <c r="H799" s="2">
        <v>1370373.1927665095</v>
      </c>
      <c r="I799" s="11" t="str">
        <f>VLOOKUP(BasePIs[[#This Row],[Produto]],DePara_Produto[],2,0)</f>
        <v>Outros</v>
      </c>
      <c r="J799" s="13">
        <f>1</f>
        <v>1</v>
      </c>
    </row>
    <row r="800" spans="1:10" x14ac:dyDescent="0.25">
      <c r="A800" s="3">
        <v>44044</v>
      </c>
      <c r="B800">
        <v>237877</v>
      </c>
      <c r="C800">
        <v>643200</v>
      </c>
      <c r="D800" t="s">
        <v>51</v>
      </c>
      <c r="E800" t="s">
        <v>52</v>
      </c>
      <c r="F800" t="s">
        <v>28</v>
      </c>
      <c r="G800" s="1">
        <v>8778390.9510604497</v>
      </c>
      <c r="H800" s="2">
        <v>7022712.7608483601</v>
      </c>
      <c r="I800" s="11" t="str">
        <f>VLOOKUP(BasePIs[[#This Row],[Produto]],DePara_Produto[],2,0)</f>
        <v>Outros</v>
      </c>
      <c r="J800" s="13">
        <f>1</f>
        <v>1</v>
      </c>
    </row>
    <row r="801" spans="1:10" x14ac:dyDescent="0.25">
      <c r="A801" s="3">
        <v>44044</v>
      </c>
      <c r="B801">
        <v>237879</v>
      </c>
      <c r="C801">
        <v>643202</v>
      </c>
      <c r="D801" t="s">
        <v>51</v>
      </c>
      <c r="E801" t="s">
        <v>52</v>
      </c>
      <c r="F801" t="s">
        <v>32</v>
      </c>
      <c r="G801" s="1">
        <v>1508486.8987683582</v>
      </c>
      <c r="H801" s="2">
        <v>1206789.5190146866</v>
      </c>
      <c r="I801" s="11" t="str">
        <f>VLOOKUP(BasePIs[[#This Row],[Produto]],DePara_Produto[],2,0)</f>
        <v>Outros</v>
      </c>
      <c r="J801" s="13">
        <f>1</f>
        <v>1</v>
      </c>
    </row>
    <row r="802" spans="1:10" x14ac:dyDescent="0.25">
      <c r="A802" s="3">
        <v>44044</v>
      </c>
      <c r="B802">
        <v>237880</v>
      </c>
      <c r="C802">
        <v>643203</v>
      </c>
      <c r="D802" t="s">
        <v>51</v>
      </c>
      <c r="E802" t="s">
        <v>52</v>
      </c>
      <c r="F802" t="s">
        <v>25</v>
      </c>
      <c r="G802" s="1">
        <v>539895.94778794574</v>
      </c>
      <c r="H802" s="2">
        <v>431916.75823035662</v>
      </c>
      <c r="I802" s="11" t="str">
        <f>VLOOKUP(BasePIs[[#This Row],[Produto]],DePara_Produto[],2,0)</f>
        <v>Outros</v>
      </c>
      <c r="J802" s="13">
        <f>1</f>
        <v>1</v>
      </c>
    </row>
    <row r="803" spans="1:10" x14ac:dyDescent="0.25">
      <c r="A803" s="3">
        <v>43831</v>
      </c>
      <c r="B803">
        <v>237881</v>
      </c>
      <c r="C803">
        <v>643205</v>
      </c>
      <c r="D803" t="s">
        <v>51</v>
      </c>
      <c r="E803" t="s">
        <v>52</v>
      </c>
      <c r="F803" t="s">
        <v>35</v>
      </c>
      <c r="G803" s="1">
        <v>46444.884098036964</v>
      </c>
      <c r="H803" s="2">
        <v>37155.907278429571</v>
      </c>
      <c r="I803" s="11" t="str">
        <f>VLOOKUP(BasePIs[[#This Row],[Produto]],DePara_Produto[],2,0)</f>
        <v>Outros</v>
      </c>
      <c r="J803" s="13">
        <f>1</f>
        <v>1</v>
      </c>
    </row>
    <row r="804" spans="1:10" x14ac:dyDescent="0.25">
      <c r="A804" s="3">
        <v>43831</v>
      </c>
      <c r="B804">
        <v>237882</v>
      </c>
      <c r="C804">
        <v>643206</v>
      </c>
      <c r="D804" t="s">
        <v>51</v>
      </c>
      <c r="E804" t="s">
        <v>52</v>
      </c>
      <c r="F804" t="s">
        <v>34</v>
      </c>
      <c r="G804" s="1">
        <v>301208.27298058255</v>
      </c>
      <c r="H804" s="2">
        <v>240966.61838446604</v>
      </c>
      <c r="I804" s="11" t="str">
        <f>VLOOKUP(BasePIs[[#This Row],[Produto]],DePara_Produto[],2,0)</f>
        <v>Outros</v>
      </c>
      <c r="J804" s="13">
        <f>1</f>
        <v>1</v>
      </c>
    </row>
    <row r="805" spans="1:10" x14ac:dyDescent="0.25">
      <c r="A805" s="3">
        <v>43831</v>
      </c>
      <c r="B805">
        <v>237883</v>
      </c>
      <c r="C805">
        <v>643207</v>
      </c>
      <c r="D805" t="s">
        <v>51</v>
      </c>
      <c r="E805" t="s">
        <v>52</v>
      </c>
      <c r="F805" t="s">
        <v>34</v>
      </c>
      <c r="G805" s="1">
        <v>30932.173923062146</v>
      </c>
      <c r="H805" s="2">
        <v>24745.739138449717</v>
      </c>
      <c r="I805" s="11" t="str">
        <f>VLOOKUP(BasePIs[[#This Row],[Produto]],DePara_Produto[],2,0)</f>
        <v>Outros</v>
      </c>
      <c r="J805" s="13">
        <f>1</f>
        <v>1</v>
      </c>
    </row>
    <row r="806" spans="1:10" x14ac:dyDescent="0.25">
      <c r="A806" s="3">
        <v>43831</v>
      </c>
      <c r="B806">
        <v>237884</v>
      </c>
      <c r="C806">
        <v>643208</v>
      </c>
      <c r="D806" t="s">
        <v>51</v>
      </c>
      <c r="E806" t="s">
        <v>52</v>
      </c>
      <c r="F806" t="s">
        <v>36</v>
      </c>
      <c r="G806" s="1">
        <v>69560.204544558306</v>
      </c>
      <c r="H806" s="2">
        <v>55648.163635646648</v>
      </c>
      <c r="I806" s="11" t="str">
        <f>VLOOKUP(BasePIs[[#This Row],[Produto]],DePara_Produto[],2,0)</f>
        <v>Outros</v>
      </c>
      <c r="J806" s="13">
        <f>1</f>
        <v>1</v>
      </c>
    </row>
    <row r="807" spans="1:10" x14ac:dyDescent="0.25">
      <c r="A807" s="3">
        <v>43831</v>
      </c>
      <c r="B807">
        <v>237886</v>
      </c>
      <c r="C807">
        <v>643213</v>
      </c>
      <c r="D807" t="s">
        <v>54</v>
      </c>
      <c r="E807" t="s">
        <v>55</v>
      </c>
      <c r="F807" t="s">
        <v>28</v>
      </c>
      <c r="G807" s="1">
        <v>584245.32406431995</v>
      </c>
      <c r="H807" s="2">
        <v>467396.25925145601</v>
      </c>
      <c r="I807" s="11" t="str">
        <f>VLOOKUP(BasePIs[[#This Row],[Produto]],DePara_Produto[],2,0)</f>
        <v>Varejo</v>
      </c>
      <c r="J807" s="13">
        <f>1</f>
        <v>1</v>
      </c>
    </row>
    <row r="808" spans="1:10" x14ac:dyDescent="0.25">
      <c r="A808" s="3">
        <v>43831</v>
      </c>
      <c r="B808">
        <v>237889</v>
      </c>
      <c r="C808">
        <v>643216</v>
      </c>
      <c r="D808" t="s">
        <v>54</v>
      </c>
      <c r="E808" t="s">
        <v>55</v>
      </c>
      <c r="F808" t="s">
        <v>25</v>
      </c>
      <c r="G808" s="1">
        <v>1583685.367441809</v>
      </c>
      <c r="H808" s="2">
        <v>1266948.2939534474</v>
      </c>
      <c r="I808" s="11" t="str">
        <f>VLOOKUP(BasePIs[[#This Row],[Produto]],DePara_Produto[],2,0)</f>
        <v>Varejo</v>
      </c>
      <c r="J808" s="13">
        <f>1</f>
        <v>1</v>
      </c>
    </row>
    <row r="809" spans="1:10" x14ac:dyDescent="0.25">
      <c r="A809" s="3">
        <v>43831</v>
      </c>
      <c r="B809">
        <v>237890</v>
      </c>
      <c r="C809">
        <v>643217</v>
      </c>
      <c r="D809" t="s">
        <v>54</v>
      </c>
      <c r="E809" t="s">
        <v>55</v>
      </c>
      <c r="F809" t="s">
        <v>35</v>
      </c>
      <c r="G809" s="1">
        <v>189445.40817064024</v>
      </c>
      <c r="H809" s="2">
        <v>151556.32653651221</v>
      </c>
      <c r="I809" s="11" t="str">
        <f>VLOOKUP(BasePIs[[#This Row],[Produto]],DePara_Produto[],2,0)</f>
        <v>Varejo</v>
      </c>
      <c r="J809" s="13">
        <f>1</f>
        <v>1</v>
      </c>
    </row>
    <row r="810" spans="1:10" x14ac:dyDescent="0.25">
      <c r="A810" s="3">
        <v>43831</v>
      </c>
      <c r="B810">
        <v>237891</v>
      </c>
      <c r="C810">
        <v>643218</v>
      </c>
      <c r="D810" t="s">
        <v>54</v>
      </c>
      <c r="E810" t="s">
        <v>55</v>
      </c>
      <c r="F810" t="s">
        <v>34</v>
      </c>
      <c r="G810" s="1">
        <v>281840.80413628923</v>
      </c>
      <c r="H810" s="2">
        <v>225472.64330903138</v>
      </c>
      <c r="I810" s="11" t="str">
        <f>VLOOKUP(BasePIs[[#This Row],[Produto]],DePara_Produto[],2,0)</f>
        <v>Varejo</v>
      </c>
      <c r="J810" s="13">
        <f>1</f>
        <v>1</v>
      </c>
    </row>
    <row r="811" spans="1:10" x14ac:dyDescent="0.25">
      <c r="A811" s="3">
        <v>43831</v>
      </c>
      <c r="B811">
        <v>237892</v>
      </c>
      <c r="C811">
        <v>643219</v>
      </c>
      <c r="D811" t="s">
        <v>54</v>
      </c>
      <c r="E811" t="s">
        <v>55</v>
      </c>
      <c r="F811" t="s">
        <v>34</v>
      </c>
      <c r="G811" s="1">
        <v>175046.96322911861</v>
      </c>
      <c r="H811" s="2">
        <v>140037.5705832949</v>
      </c>
      <c r="I811" s="11" t="str">
        <f>VLOOKUP(BasePIs[[#This Row],[Produto]],DePara_Produto[],2,0)</f>
        <v>Varejo</v>
      </c>
      <c r="J811" s="13">
        <f>1</f>
        <v>1</v>
      </c>
    </row>
    <row r="812" spans="1:10" x14ac:dyDescent="0.25">
      <c r="A812" s="3">
        <v>43831</v>
      </c>
      <c r="B812">
        <v>237907</v>
      </c>
      <c r="C812">
        <v>643241</v>
      </c>
      <c r="D812" t="s">
        <v>56</v>
      </c>
      <c r="E812" t="s">
        <v>38</v>
      </c>
      <c r="F812" t="s">
        <v>28</v>
      </c>
      <c r="G812" s="1">
        <v>24253.976945613937</v>
      </c>
      <c r="H812" s="2">
        <v>19403.181556491149</v>
      </c>
      <c r="I812" s="11" t="str">
        <f>VLOOKUP(BasePIs[[#This Row],[Produto]],DePara_Produto[],2,0)</f>
        <v>Varejo</v>
      </c>
      <c r="J812" s="13">
        <f>1</f>
        <v>1</v>
      </c>
    </row>
    <row r="813" spans="1:10" x14ac:dyDescent="0.25">
      <c r="A813" s="3">
        <v>43831</v>
      </c>
      <c r="B813">
        <v>237908</v>
      </c>
      <c r="C813">
        <v>643242</v>
      </c>
      <c r="D813" t="s">
        <v>56</v>
      </c>
      <c r="E813" t="s">
        <v>38</v>
      </c>
      <c r="F813" t="s">
        <v>35</v>
      </c>
      <c r="G813" s="1">
        <v>29.779662358532718</v>
      </c>
      <c r="H813" s="2">
        <v>23.823729886826175</v>
      </c>
      <c r="I813" s="11" t="str">
        <f>VLOOKUP(BasePIs[[#This Row],[Produto]],DePara_Produto[],2,0)</f>
        <v>Varejo</v>
      </c>
      <c r="J813" s="13">
        <f>1</f>
        <v>1</v>
      </c>
    </row>
    <row r="814" spans="1:10" x14ac:dyDescent="0.25">
      <c r="A814" s="3">
        <v>43831</v>
      </c>
      <c r="B814">
        <v>237969</v>
      </c>
      <c r="C814">
        <v>643473</v>
      </c>
      <c r="D814" t="s">
        <v>54</v>
      </c>
      <c r="E814" t="s">
        <v>55</v>
      </c>
      <c r="F814" t="s">
        <v>29</v>
      </c>
      <c r="G814" s="1">
        <v>627197.02647054312</v>
      </c>
      <c r="H814" s="2">
        <v>501757.62117643451</v>
      </c>
      <c r="I814" s="11" t="str">
        <f>VLOOKUP(BasePIs[[#This Row],[Produto]],DePara_Produto[],2,0)</f>
        <v>Varejo</v>
      </c>
      <c r="J814" s="13">
        <f>1</f>
        <v>1</v>
      </c>
    </row>
    <row r="815" spans="1:10" x14ac:dyDescent="0.25">
      <c r="A815" s="3">
        <v>43831</v>
      </c>
      <c r="B815">
        <v>237972</v>
      </c>
      <c r="C815">
        <v>643476</v>
      </c>
      <c r="D815" t="s">
        <v>57</v>
      </c>
      <c r="E815" t="s">
        <v>58</v>
      </c>
      <c r="F815" t="s">
        <v>33</v>
      </c>
      <c r="G815" s="1">
        <v>12710.30263950882</v>
      </c>
      <c r="H815" s="2">
        <v>10168.242111607056</v>
      </c>
      <c r="I815" s="11" t="str">
        <f>VLOOKUP(BasePIs[[#This Row],[Produto]],DePara_Produto[],2,0)</f>
        <v>Outros</v>
      </c>
      <c r="J815" s="13">
        <f>1</f>
        <v>1</v>
      </c>
    </row>
    <row r="816" spans="1:10" x14ac:dyDescent="0.25">
      <c r="A816" s="3">
        <v>43831</v>
      </c>
      <c r="B816">
        <v>237973</v>
      </c>
      <c r="C816">
        <v>643477</v>
      </c>
      <c r="D816" t="s">
        <v>57</v>
      </c>
      <c r="E816" t="s">
        <v>58</v>
      </c>
      <c r="F816" t="s">
        <v>28</v>
      </c>
      <c r="G816" s="1">
        <v>808736.27482778474</v>
      </c>
      <c r="H816" s="2">
        <v>646989.01986222784</v>
      </c>
      <c r="I816" s="11" t="str">
        <f>VLOOKUP(BasePIs[[#This Row],[Produto]],DePara_Produto[],2,0)</f>
        <v>Outros</v>
      </c>
      <c r="J816" s="13">
        <f>1</f>
        <v>1</v>
      </c>
    </row>
    <row r="817" spans="1:10" x14ac:dyDescent="0.25">
      <c r="A817" s="3">
        <v>43831</v>
      </c>
      <c r="B817">
        <v>237974</v>
      </c>
      <c r="C817">
        <v>643478</v>
      </c>
      <c r="D817" t="s">
        <v>57</v>
      </c>
      <c r="E817" t="s">
        <v>58</v>
      </c>
      <c r="F817" t="s">
        <v>35</v>
      </c>
      <c r="G817" s="1">
        <v>14507.477098010901</v>
      </c>
      <c r="H817" s="2">
        <v>11605.981678408722</v>
      </c>
      <c r="I817" s="11" t="str">
        <f>VLOOKUP(BasePIs[[#This Row],[Produto]],DePara_Produto[],2,0)</f>
        <v>Outros</v>
      </c>
      <c r="J817" s="13">
        <f>1</f>
        <v>1</v>
      </c>
    </row>
    <row r="818" spans="1:10" x14ac:dyDescent="0.25">
      <c r="A818" s="3">
        <v>43831</v>
      </c>
      <c r="B818">
        <v>237980</v>
      </c>
      <c r="C818">
        <v>643484</v>
      </c>
      <c r="D818" t="s">
        <v>57</v>
      </c>
      <c r="E818" t="s">
        <v>58</v>
      </c>
      <c r="F818" t="s">
        <v>36</v>
      </c>
      <c r="G818" s="1">
        <v>422.293518057021</v>
      </c>
      <c r="H818" s="2">
        <v>337.83481444561681</v>
      </c>
      <c r="I818" s="11" t="str">
        <f>VLOOKUP(BasePIs[[#This Row],[Produto]],DePara_Produto[],2,0)</f>
        <v>Outros</v>
      </c>
      <c r="J818" s="13">
        <f>1</f>
        <v>1</v>
      </c>
    </row>
    <row r="819" spans="1:10" x14ac:dyDescent="0.25">
      <c r="A819" s="3">
        <v>43831</v>
      </c>
      <c r="B819">
        <v>238001</v>
      </c>
      <c r="C819">
        <v>643511</v>
      </c>
      <c r="D819" t="s">
        <v>51</v>
      </c>
      <c r="E819" t="s">
        <v>52</v>
      </c>
      <c r="F819" t="s">
        <v>59</v>
      </c>
      <c r="G819" s="1">
        <v>131386.42437567792</v>
      </c>
      <c r="H819" s="2">
        <v>105109.13950054234</v>
      </c>
      <c r="I819" s="11" t="str">
        <f>VLOOKUP(BasePIs[[#This Row],[Produto]],DePara_Produto[],2,0)</f>
        <v>Outros</v>
      </c>
      <c r="J819" s="13">
        <f>1</f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5A73-BDD9-4C08-B742-C5C9756AFE0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8432-5CF3-48B8-87B5-28CFA777EBD8}">
  <dimension ref="A1:P13"/>
  <sheetViews>
    <sheetView showGridLines="0" tabSelected="1" workbookViewId="0">
      <selection activeCell="C1" sqref="C1"/>
    </sheetView>
  </sheetViews>
  <sheetFormatPr defaultRowHeight="15" x14ac:dyDescent="0.25"/>
  <cols>
    <col min="1" max="1" width="23.42578125" bestFit="1" customWidth="1"/>
    <col min="2" max="2" width="19.5703125" bestFit="1" customWidth="1"/>
    <col min="3" max="13" width="11.85546875" customWidth="1"/>
    <col min="14" max="14" width="14.28515625" customWidth="1"/>
    <col min="15" max="15" width="10.7109375" bestFit="1" customWidth="1"/>
    <col min="16" max="16" width="40.42578125" bestFit="1" customWidth="1"/>
    <col min="17" max="25" width="9.5703125" bestFit="1" customWidth="1"/>
    <col min="26" max="26" width="10.7109375" bestFit="1" customWidth="1"/>
    <col min="27" max="27" width="28" bestFit="1" customWidth="1"/>
    <col min="28" max="28" width="10.7109375" bestFit="1" customWidth="1"/>
  </cols>
  <sheetData>
    <row r="1" spans="1:16" x14ac:dyDescent="0.25">
      <c r="A1" s="6" t="s">
        <v>83</v>
      </c>
      <c r="B1" t="s">
        <v>84</v>
      </c>
    </row>
    <row r="2" spans="1:16" x14ac:dyDescent="0.25">
      <c r="P2" t="s">
        <v>85</v>
      </c>
    </row>
    <row r="3" spans="1:16" x14ac:dyDescent="0.25">
      <c r="A3" s="6" t="s">
        <v>72</v>
      </c>
      <c r="B3" s="6" t="s">
        <v>71</v>
      </c>
      <c r="P3" t="s">
        <v>86</v>
      </c>
    </row>
    <row r="4" spans="1:16" x14ac:dyDescent="0.25">
      <c r="A4" s="6" t="s">
        <v>69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70</v>
      </c>
      <c r="P4" s="3" t="s">
        <v>125</v>
      </c>
    </row>
    <row r="5" spans="1:16" x14ac:dyDescent="0.25">
      <c r="A5" s="7" t="s">
        <v>64</v>
      </c>
      <c r="B5" s="10">
        <v>266877.00347745261</v>
      </c>
      <c r="C5" s="10">
        <v>232696.82952193994</v>
      </c>
      <c r="D5" s="10">
        <v>123750</v>
      </c>
      <c r="E5" s="10">
        <v>100000</v>
      </c>
      <c r="F5" s="10">
        <v>200000</v>
      </c>
      <c r="G5" s="10">
        <v>100000</v>
      </c>
      <c r="H5" s="10">
        <v>100000</v>
      </c>
      <c r="I5" s="10">
        <v>100000</v>
      </c>
      <c r="J5" s="10">
        <v>100000</v>
      </c>
      <c r="K5" s="10">
        <v>1600735.21</v>
      </c>
      <c r="L5" s="10">
        <v>2924059.0429993924</v>
      </c>
      <c r="P5" s="3" t="s">
        <v>89</v>
      </c>
    </row>
    <row r="6" spans="1:16" x14ac:dyDescent="0.25">
      <c r="A6" s="8" t="s">
        <v>43</v>
      </c>
      <c r="B6" s="10"/>
      <c r="C6" s="10"/>
      <c r="D6" s="10"/>
      <c r="E6" s="10"/>
      <c r="F6" s="10"/>
      <c r="G6" s="10"/>
      <c r="H6" s="10"/>
      <c r="I6" s="10"/>
      <c r="J6" s="10"/>
      <c r="K6" s="10">
        <v>508219.66</v>
      </c>
      <c r="L6" s="10">
        <v>508219.66</v>
      </c>
      <c r="P6" s="3" t="s">
        <v>87</v>
      </c>
    </row>
    <row r="7" spans="1:16" x14ac:dyDescent="0.25">
      <c r="A7" s="8" t="s">
        <v>21</v>
      </c>
      <c r="B7" s="10"/>
      <c r="C7" s="10"/>
      <c r="D7" s="10">
        <v>123750</v>
      </c>
      <c r="E7" s="10"/>
      <c r="F7" s="10"/>
      <c r="G7" s="10"/>
      <c r="H7" s="10"/>
      <c r="I7" s="10"/>
      <c r="J7" s="10"/>
      <c r="K7" s="10">
        <v>123750</v>
      </c>
      <c r="L7" s="10">
        <v>247500</v>
      </c>
      <c r="P7" t="s">
        <v>88</v>
      </c>
    </row>
    <row r="8" spans="1:16" x14ac:dyDescent="0.25">
      <c r="A8" s="8" t="s">
        <v>44</v>
      </c>
      <c r="B8" s="10">
        <v>266877.00347745261</v>
      </c>
      <c r="C8" s="10">
        <v>232696.82952193994</v>
      </c>
      <c r="D8" s="10"/>
      <c r="E8" s="10">
        <v>100000</v>
      </c>
      <c r="F8" s="10">
        <v>200000</v>
      </c>
      <c r="G8" s="10">
        <v>100000</v>
      </c>
      <c r="H8" s="10">
        <v>100000</v>
      </c>
      <c r="I8" s="10">
        <v>100000</v>
      </c>
      <c r="J8" s="10">
        <v>100000</v>
      </c>
      <c r="K8" s="10">
        <v>968765.55</v>
      </c>
      <c r="L8" s="10">
        <v>2168339.3829993922</v>
      </c>
      <c r="P8" t="s">
        <v>90</v>
      </c>
    </row>
    <row r="9" spans="1:16" x14ac:dyDescent="0.25">
      <c r="A9" s="7" t="s">
        <v>65</v>
      </c>
      <c r="B9" s="10"/>
      <c r="C9" s="10"/>
      <c r="D9" s="10">
        <v>495212.72</v>
      </c>
      <c r="E9" s="10"/>
      <c r="F9" s="10"/>
      <c r="G9" s="10"/>
      <c r="H9" s="10"/>
      <c r="I9" s="10"/>
      <c r="J9" s="10"/>
      <c r="K9" s="10">
        <v>707496.42999999993</v>
      </c>
      <c r="L9" s="10">
        <v>1202709.1499999999</v>
      </c>
      <c r="P9" t="s">
        <v>127</v>
      </c>
    </row>
    <row r="10" spans="1:16" x14ac:dyDescent="0.25">
      <c r="A10" s="7" t="s">
        <v>63</v>
      </c>
      <c r="B10" s="10">
        <v>4965614.513941111</v>
      </c>
      <c r="C10" s="10">
        <v>40294461.245758697</v>
      </c>
      <c r="D10" s="10">
        <v>522350.48</v>
      </c>
      <c r="E10" s="10">
        <v>4925033.42</v>
      </c>
      <c r="F10" s="10">
        <v>8215551.8099999996</v>
      </c>
      <c r="G10" s="10">
        <v>8078087.6600000001</v>
      </c>
      <c r="H10" s="10">
        <v>4408904.8000000007</v>
      </c>
      <c r="I10" s="10">
        <v>4687147.4400000004</v>
      </c>
      <c r="J10" s="10">
        <v>4302462.66</v>
      </c>
      <c r="K10" s="10">
        <v>191986.99999999997</v>
      </c>
      <c r="L10" s="10">
        <v>80591601.029699802</v>
      </c>
      <c r="P10" t="s">
        <v>128</v>
      </c>
    </row>
    <row r="11" spans="1:16" x14ac:dyDescent="0.25">
      <c r="A11" s="7" t="s">
        <v>67</v>
      </c>
      <c r="B11" s="10"/>
      <c r="C11" s="10"/>
      <c r="D11" s="10">
        <v>200000</v>
      </c>
      <c r="E11" s="10"/>
      <c r="F11" s="10"/>
      <c r="G11" s="10"/>
      <c r="H11" s="10"/>
      <c r="I11" s="10"/>
      <c r="J11" s="10"/>
      <c r="K11" s="10">
        <v>324831.13</v>
      </c>
      <c r="L11" s="10">
        <v>524831.13</v>
      </c>
      <c r="P11" t="s">
        <v>129</v>
      </c>
    </row>
    <row r="12" spans="1:16" x14ac:dyDescent="0.25">
      <c r="A12" s="7" t="s">
        <v>66</v>
      </c>
      <c r="B12" s="10">
        <v>3465744.6501206928</v>
      </c>
      <c r="C12" s="10">
        <v>9787012.589368578</v>
      </c>
      <c r="D12" s="10">
        <v>125000</v>
      </c>
      <c r="E12" s="10">
        <v>1821517.93</v>
      </c>
      <c r="F12" s="10">
        <v>1696517.93</v>
      </c>
      <c r="G12" s="10">
        <v>1696517.93</v>
      </c>
      <c r="H12" s="10">
        <v>218750</v>
      </c>
      <c r="I12" s="10">
        <v>1696517.93</v>
      </c>
      <c r="J12" s="10">
        <v>3026762.9299999997</v>
      </c>
      <c r="K12" s="10">
        <v>16000</v>
      </c>
      <c r="L12" s="10">
        <v>23550341.889489271</v>
      </c>
      <c r="P12" t="s">
        <v>126</v>
      </c>
    </row>
    <row r="13" spans="1:16" x14ac:dyDescent="0.25">
      <c r="A13" s="7" t="s">
        <v>70</v>
      </c>
      <c r="B13" s="10">
        <v>8698236.1675392557</v>
      </c>
      <c r="C13" s="10">
        <v>50314170.664649218</v>
      </c>
      <c r="D13" s="10">
        <v>1466313.2</v>
      </c>
      <c r="E13" s="10">
        <v>6846551.3499999996</v>
      </c>
      <c r="F13" s="10">
        <v>10112069.739999998</v>
      </c>
      <c r="G13" s="10">
        <v>9874605.5899999999</v>
      </c>
      <c r="H13" s="10">
        <v>4727654.8000000007</v>
      </c>
      <c r="I13" s="10">
        <v>6483665.3700000001</v>
      </c>
      <c r="J13" s="10">
        <v>7429225.5899999999</v>
      </c>
      <c r="K13" s="10">
        <v>2841049.7699999996</v>
      </c>
      <c r="L13" s="10">
        <v>108793542.24218845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35120-49FA-40A9-A9C9-FFA969AC116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4014-0E7C-42FF-AD05-29D312A8E11B}">
  <dimension ref="A1:G50"/>
  <sheetViews>
    <sheetView showGridLines="0" workbookViewId="0">
      <selection activeCell="G7" sqref="G7"/>
    </sheetView>
  </sheetViews>
  <sheetFormatPr defaultRowHeight="15" x14ac:dyDescent="0.25"/>
  <cols>
    <col min="1" max="1" width="17.7109375" customWidth="1"/>
    <col min="2" max="2" width="25.28515625" bestFit="1" customWidth="1"/>
    <col min="3" max="3" width="23.42578125" bestFit="1" customWidth="1"/>
    <col min="4" max="4" width="21" bestFit="1" customWidth="1"/>
    <col min="5" max="5" width="18" bestFit="1" customWidth="1"/>
  </cols>
  <sheetData>
    <row r="1" spans="1:7" x14ac:dyDescent="0.25">
      <c r="A1" s="6" t="s">
        <v>68</v>
      </c>
      <c r="B1" s="6" t="s">
        <v>5</v>
      </c>
      <c r="C1" t="s">
        <v>72</v>
      </c>
      <c r="D1" t="s">
        <v>91</v>
      </c>
      <c r="E1" t="s">
        <v>98</v>
      </c>
      <c r="G1" t="s">
        <v>93</v>
      </c>
    </row>
    <row r="2" spans="1:7" x14ac:dyDescent="0.25">
      <c r="A2" t="s">
        <v>66</v>
      </c>
      <c r="B2" t="s">
        <v>25</v>
      </c>
      <c r="C2" s="10">
        <v>276722634.57829303</v>
      </c>
      <c r="D2" s="10">
        <v>221378107.66263437</v>
      </c>
      <c r="E2" s="9">
        <v>24</v>
      </c>
      <c r="G2" t="s">
        <v>92</v>
      </c>
    </row>
    <row r="3" spans="1:7" x14ac:dyDescent="0.25">
      <c r="A3" t="s">
        <v>66</v>
      </c>
      <c r="B3" t="s">
        <v>28</v>
      </c>
      <c r="C3" s="10">
        <v>10628310.645374514</v>
      </c>
      <c r="D3" s="10">
        <v>8502648.516299611</v>
      </c>
      <c r="E3" s="9">
        <v>48</v>
      </c>
      <c r="G3" t="s">
        <v>94</v>
      </c>
    </row>
    <row r="4" spans="1:7" x14ac:dyDescent="0.25">
      <c r="A4" t="s">
        <v>66</v>
      </c>
      <c r="B4" t="s">
        <v>34</v>
      </c>
      <c r="C4" s="10">
        <v>7668149.7078339253</v>
      </c>
      <c r="D4" s="10">
        <v>6134519.7662671395</v>
      </c>
      <c r="E4" s="9">
        <v>48</v>
      </c>
      <c r="G4" t="s">
        <v>95</v>
      </c>
    </row>
    <row r="5" spans="1:7" x14ac:dyDescent="0.25">
      <c r="A5" t="s">
        <v>66</v>
      </c>
      <c r="B5" t="s">
        <v>29</v>
      </c>
      <c r="C5" s="10">
        <v>6152485.8510147957</v>
      </c>
      <c r="D5" s="10">
        <v>4921988.6808118373</v>
      </c>
      <c r="E5" s="9">
        <v>24</v>
      </c>
      <c r="G5" t="s">
        <v>96</v>
      </c>
    </row>
    <row r="6" spans="1:7" x14ac:dyDescent="0.25">
      <c r="A6" t="s">
        <v>66</v>
      </c>
      <c r="B6" t="s">
        <v>35</v>
      </c>
      <c r="C6" s="10">
        <v>1822899.6935992446</v>
      </c>
      <c r="D6" s="10">
        <v>1458319.7548793955</v>
      </c>
      <c r="E6" s="9">
        <v>48</v>
      </c>
      <c r="G6" t="s">
        <v>97</v>
      </c>
    </row>
    <row r="7" spans="1:7" x14ac:dyDescent="0.25">
      <c r="A7" t="s">
        <v>66</v>
      </c>
      <c r="B7" t="s">
        <v>39</v>
      </c>
      <c r="C7" s="10">
        <v>214122.49631991665</v>
      </c>
      <c r="D7" s="10">
        <v>171297.99705593335</v>
      </c>
      <c r="E7" s="9">
        <v>4</v>
      </c>
      <c r="G7" t="s">
        <v>99</v>
      </c>
    </row>
    <row r="8" spans="1:7" x14ac:dyDescent="0.25">
      <c r="A8" t="s">
        <v>67</v>
      </c>
      <c r="B8" t="s">
        <v>18</v>
      </c>
      <c r="C8" s="10">
        <v>885123.82530335756</v>
      </c>
      <c r="D8" s="10">
        <v>708099.06024268619</v>
      </c>
      <c r="E8" s="9">
        <v>4</v>
      </c>
    </row>
    <row r="9" spans="1:7" x14ac:dyDescent="0.25">
      <c r="A9" t="s">
        <v>67</v>
      </c>
      <c r="B9" t="s">
        <v>40</v>
      </c>
      <c r="C9" s="10">
        <v>549720.95134812896</v>
      </c>
      <c r="D9" s="10">
        <v>439776.7610785031</v>
      </c>
      <c r="E9" s="9">
        <v>4</v>
      </c>
    </row>
    <row r="10" spans="1:7" x14ac:dyDescent="0.25">
      <c r="A10" t="s">
        <v>63</v>
      </c>
      <c r="B10" t="s">
        <v>25</v>
      </c>
      <c r="C10" s="10">
        <v>214535465.58814561</v>
      </c>
      <c r="D10" s="10">
        <v>171628372.47051656</v>
      </c>
      <c r="E10" s="9">
        <v>34</v>
      </c>
    </row>
    <row r="11" spans="1:7" x14ac:dyDescent="0.25">
      <c r="A11" t="s">
        <v>63</v>
      </c>
      <c r="B11" t="s">
        <v>28</v>
      </c>
      <c r="C11" s="10">
        <v>73014170.033281222</v>
      </c>
      <c r="D11" s="10">
        <v>58411336.026624985</v>
      </c>
      <c r="E11" s="9">
        <v>64</v>
      </c>
    </row>
    <row r="12" spans="1:7" x14ac:dyDescent="0.25">
      <c r="A12" t="s">
        <v>63</v>
      </c>
      <c r="B12" t="s">
        <v>33</v>
      </c>
      <c r="C12" s="10">
        <v>50017613.394934297</v>
      </c>
      <c r="D12" s="10">
        <v>40014090.715947457</v>
      </c>
      <c r="E12" s="9">
        <v>64</v>
      </c>
    </row>
    <row r="13" spans="1:7" x14ac:dyDescent="0.25">
      <c r="A13" t="s">
        <v>63</v>
      </c>
      <c r="B13" t="s">
        <v>32</v>
      </c>
      <c r="C13" s="10">
        <v>23845987.086723454</v>
      </c>
      <c r="D13" s="10">
        <v>19076789.669378761</v>
      </c>
      <c r="E13" s="9">
        <v>20</v>
      </c>
    </row>
    <row r="14" spans="1:7" x14ac:dyDescent="0.25">
      <c r="A14" t="s">
        <v>63</v>
      </c>
      <c r="B14" t="s">
        <v>59</v>
      </c>
      <c r="C14" s="10">
        <v>7823809.2323108111</v>
      </c>
      <c r="D14" s="10">
        <v>6259047.3858486498</v>
      </c>
      <c r="E14" s="9">
        <v>26</v>
      </c>
    </row>
    <row r="15" spans="1:7" x14ac:dyDescent="0.25">
      <c r="A15" t="s">
        <v>63</v>
      </c>
      <c r="B15" t="s">
        <v>50</v>
      </c>
      <c r="C15" s="10">
        <v>3891769.5263896235</v>
      </c>
      <c r="D15" s="10">
        <v>3113415.6211116984</v>
      </c>
      <c r="E15" s="9">
        <v>14</v>
      </c>
    </row>
    <row r="16" spans="1:7" x14ac:dyDescent="0.25">
      <c r="A16" t="s">
        <v>63</v>
      </c>
      <c r="B16" t="s">
        <v>34</v>
      </c>
      <c r="C16" s="10">
        <v>3048088.8343240409</v>
      </c>
      <c r="D16" s="10">
        <v>2438471.0674592331</v>
      </c>
      <c r="E16" s="9">
        <v>74</v>
      </c>
    </row>
    <row r="17" spans="1:5" x14ac:dyDescent="0.25">
      <c r="A17" t="s">
        <v>63</v>
      </c>
      <c r="B17" t="s">
        <v>35</v>
      </c>
      <c r="C17" s="10">
        <v>2882677.4784139274</v>
      </c>
      <c r="D17" s="10">
        <v>2306141.9827311402</v>
      </c>
      <c r="E17" s="9">
        <v>64</v>
      </c>
    </row>
    <row r="18" spans="1:5" x14ac:dyDescent="0.25">
      <c r="A18" t="s">
        <v>63</v>
      </c>
      <c r="B18" t="s">
        <v>53</v>
      </c>
      <c r="C18" s="10">
        <v>2404196.4496464548</v>
      </c>
      <c r="D18" s="10">
        <v>1923357.159717164</v>
      </c>
      <c r="E18" s="9">
        <v>20</v>
      </c>
    </row>
    <row r="19" spans="1:5" x14ac:dyDescent="0.25">
      <c r="A19" t="s">
        <v>63</v>
      </c>
      <c r="B19" t="s">
        <v>13</v>
      </c>
      <c r="C19" s="10">
        <v>607539.82773633697</v>
      </c>
      <c r="D19" s="10">
        <v>486031.86218906956</v>
      </c>
      <c r="E19" s="9">
        <v>4</v>
      </c>
    </row>
    <row r="20" spans="1:5" x14ac:dyDescent="0.25">
      <c r="A20" t="s">
        <v>63</v>
      </c>
      <c r="B20" t="s">
        <v>15</v>
      </c>
      <c r="C20" s="10">
        <v>429454.55082935985</v>
      </c>
      <c r="D20" s="10">
        <v>343563.64066348795</v>
      </c>
      <c r="E20" s="9">
        <v>4</v>
      </c>
    </row>
    <row r="21" spans="1:5" x14ac:dyDescent="0.25">
      <c r="A21" t="s">
        <v>63</v>
      </c>
      <c r="B21" t="s">
        <v>36</v>
      </c>
      <c r="C21" s="10">
        <v>345369.9596198143</v>
      </c>
      <c r="D21" s="10">
        <v>276295.96769585146</v>
      </c>
      <c r="E21" s="9">
        <v>66</v>
      </c>
    </row>
    <row r="22" spans="1:5" x14ac:dyDescent="0.25">
      <c r="A22" t="s">
        <v>63</v>
      </c>
      <c r="B22" t="s">
        <v>41</v>
      </c>
      <c r="C22" s="10">
        <v>179820.93505216736</v>
      </c>
      <c r="D22" s="10">
        <v>143856.7480417339</v>
      </c>
      <c r="E22" s="9">
        <v>4</v>
      </c>
    </row>
    <row r="23" spans="1:5" x14ac:dyDescent="0.25">
      <c r="A23" t="s">
        <v>63</v>
      </c>
      <c r="B23" t="s">
        <v>46</v>
      </c>
      <c r="C23" s="10">
        <v>80008.958243103087</v>
      </c>
      <c r="D23" s="10">
        <v>64007.166594482464</v>
      </c>
      <c r="E23" s="9">
        <v>4</v>
      </c>
    </row>
    <row r="24" spans="1:5" x14ac:dyDescent="0.25">
      <c r="A24" t="s">
        <v>63</v>
      </c>
      <c r="B24" t="s">
        <v>47</v>
      </c>
      <c r="C24" s="10">
        <v>65752.124204493841</v>
      </c>
      <c r="D24" s="10">
        <v>52601.699363595078</v>
      </c>
      <c r="E24" s="9">
        <v>4</v>
      </c>
    </row>
    <row r="25" spans="1:5" x14ac:dyDescent="0.25">
      <c r="A25" t="s">
        <v>63</v>
      </c>
      <c r="B25" t="s">
        <v>48</v>
      </c>
      <c r="C25" s="10">
        <v>46027.032938214703</v>
      </c>
      <c r="D25" s="10">
        <v>36821.626350571765</v>
      </c>
      <c r="E25" s="9">
        <v>4</v>
      </c>
    </row>
    <row r="26" spans="1:5" x14ac:dyDescent="0.25">
      <c r="A26" t="s">
        <v>63</v>
      </c>
      <c r="B26" t="s">
        <v>10</v>
      </c>
      <c r="C26" s="10">
        <v>6777.8543599755494</v>
      </c>
      <c r="D26" s="10">
        <v>5422.2834879804395</v>
      </c>
      <c r="E26" s="9">
        <v>4</v>
      </c>
    </row>
    <row r="27" spans="1:5" x14ac:dyDescent="0.25">
      <c r="A27" t="s">
        <v>63</v>
      </c>
      <c r="B27" t="s">
        <v>19</v>
      </c>
      <c r="C27" s="10">
        <v>6232.2495317432013</v>
      </c>
      <c r="D27" s="10">
        <v>4985.7996253945621</v>
      </c>
      <c r="E27" s="9">
        <v>4</v>
      </c>
    </row>
    <row r="28" spans="1:5" x14ac:dyDescent="0.25">
      <c r="A28" t="s">
        <v>65</v>
      </c>
      <c r="B28" t="s">
        <v>31</v>
      </c>
      <c r="C28" s="10">
        <v>3100155.6738909157</v>
      </c>
      <c r="D28" s="10">
        <v>2480124.5391127327</v>
      </c>
      <c r="E28" s="9">
        <v>4</v>
      </c>
    </row>
    <row r="29" spans="1:5" x14ac:dyDescent="0.25">
      <c r="A29" t="s">
        <v>65</v>
      </c>
      <c r="B29" t="s">
        <v>24</v>
      </c>
      <c r="C29" s="10">
        <v>915602.35725427838</v>
      </c>
      <c r="D29" s="10">
        <v>732481.88580342289</v>
      </c>
      <c r="E29" s="9">
        <v>4</v>
      </c>
    </row>
    <row r="30" spans="1:5" x14ac:dyDescent="0.25">
      <c r="A30" t="s">
        <v>65</v>
      </c>
      <c r="B30" t="s">
        <v>25</v>
      </c>
      <c r="C30" s="10">
        <v>807500.10042103461</v>
      </c>
      <c r="D30" s="10">
        <v>646000.08033682767</v>
      </c>
      <c r="E30" s="9">
        <v>12</v>
      </c>
    </row>
    <row r="31" spans="1:5" x14ac:dyDescent="0.25">
      <c r="A31" t="s">
        <v>65</v>
      </c>
      <c r="B31" t="s">
        <v>28</v>
      </c>
      <c r="C31" s="10">
        <v>796568.8164266065</v>
      </c>
      <c r="D31" s="10">
        <v>637255.0531412852</v>
      </c>
      <c r="E31" s="9">
        <v>4</v>
      </c>
    </row>
    <row r="32" spans="1:5" x14ac:dyDescent="0.25">
      <c r="A32" t="s">
        <v>65</v>
      </c>
      <c r="B32" t="s">
        <v>32</v>
      </c>
      <c r="C32" s="10">
        <v>389831.5792171986</v>
      </c>
      <c r="D32" s="10">
        <v>311865.26337375888</v>
      </c>
      <c r="E32" s="9">
        <v>4</v>
      </c>
    </row>
    <row r="33" spans="1:5" x14ac:dyDescent="0.25">
      <c r="A33" t="s">
        <v>65</v>
      </c>
      <c r="B33" t="s">
        <v>29</v>
      </c>
      <c r="C33" s="10">
        <v>356535.50465938071</v>
      </c>
      <c r="D33" s="10">
        <v>285228.4037275046</v>
      </c>
      <c r="E33" s="9">
        <v>8</v>
      </c>
    </row>
    <row r="34" spans="1:5" x14ac:dyDescent="0.25">
      <c r="A34" t="s">
        <v>65</v>
      </c>
      <c r="B34" t="s">
        <v>34</v>
      </c>
      <c r="C34" s="10">
        <v>302951.36548519344</v>
      </c>
      <c r="D34" s="10">
        <v>242361.09238815476</v>
      </c>
      <c r="E34" s="9">
        <v>4</v>
      </c>
    </row>
    <row r="35" spans="1:5" x14ac:dyDescent="0.25">
      <c r="A35" t="s">
        <v>65</v>
      </c>
      <c r="B35" t="s">
        <v>30</v>
      </c>
      <c r="C35" s="10">
        <v>133786.42599425867</v>
      </c>
      <c r="D35" s="10">
        <v>107029.14079540694</v>
      </c>
      <c r="E35" s="9">
        <v>4</v>
      </c>
    </row>
    <row r="36" spans="1:5" x14ac:dyDescent="0.25">
      <c r="A36" t="s">
        <v>65</v>
      </c>
      <c r="B36" t="s">
        <v>26</v>
      </c>
      <c r="C36" s="10">
        <v>99986.947450506719</v>
      </c>
      <c r="D36" s="10">
        <v>79989.557960405393</v>
      </c>
      <c r="E36" s="9">
        <v>4</v>
      </c>
    </row>
    <row r="37" spans="1:5" x14ac:dyDescent="0.25">
      <c r="A37" t="s">
        <v>65</v>
      </c>
      <c r="B37" t="s">
        <v>33</v>
      </c>
      <c r="C37" s="10">
        <v>96124.916904663289</v>
      </c>
      <c r="D37" s="10">
        <v>76899.933523730637</v>
      </c>
      <c r="E37" s="9">
        <v>4</v>
      </c>
    </row>
    <row r="38" spans="1:5" x14ac:dyDescent="0.25">
      <c r="A38" t="s">
        <v>65</v>
      </c>
      <c r="B38" t="s">
        <v>27</v>
      </c>
      <c r="C38" s="10">
        <v>71066.821027158527</v>
      </c>
      <c r="D38" s="10">
        <v>56853.456821726817</v>
      </c>
      <c r="E38" s="9">
        <v>4</v>
      </c>
    </row>
    <row r="39" spans="1:5" x14ac:dyDescent="0.25">
      <c r="A39" t="s">
        <v>65</v>
      </c>
      <c r="B39" t="s">
        <v>35</v>
      </c>
      <c r="C39" s="10">
        <v>32521.603302009709</v>
      </c>
      <c r="D39" s="10">
        <v>26017.282641607773</v>
      </c>
      <c r="E39" s="9">
        <v>4</v>
      </c>
    </row>
    <row r="40" spans="1:5" x14ac:dyDescent="0.25">
      <c r="A40" t="s">
        <v>65</v>
      </c>
      <c r="B40" t="s">
        <v>36</v>
      </c>
      <c r="C40" s="10">
        <v>376.93579685672557</v>
      </c>
      <c r="D40" s="10">
        <v>301.54863748538048</v>
      </c>
      <c r="E40" s="9">
        <v>4</v>
      </c>
    </row>
    <row r="41" spans="1:5" x14ac:dyDescent="0.25">
      <c r="A41" t="s">
        <v>64</v>
      </c>
      <c r="B41" t="s">
        <v>28</v>
      </c>
      <c r="C41" s="10">
        <v>8836143.0650423318</v>
      </c>
      <c r="D41" s="10">
        <v>7068914.4520338671</v>
      </c>
      <c r="E41" s="9">
        <v>8</v>
      </c>
    </row>
    <row r="42" spans="1:5" x14ac:dyDescent="0.25">
      <c r="A42" t="s">
        <v>64</v>
      </c>
      <c r="B42" t="s">
        <v>29</v>
      </c>
      <c r="C42" s="10">
        <v>4287409.0585626196</v>
      </c>
      <c r="D42" s="10">
        <v>3429927.2468500952</v>
      </c>
      <c r="E42" s="9">
        <v>20</v>
      </c>
    </row>
    <row r="43" spans="1:5" x14ac:dyDescent="0.25">
      <c r="A43" t="s">
        <v>64</v>
      </c>
      <c r="B43" t="s">
        <v>25</v>
      </c>
      <c r="C43" s="10">
        <v>2258076.4305569278</v>
      </c>
      <c r="D43" s="10">
        <v>1806461.1444455425</v>
      </c>
      <c r="E43" s="9">
        <v>8</v>
      </c>
    </row>
    <row r="44" spans="1:5" x14ac:dyDescent="0.25">
      <c r="A44" t="s">
        <v>64</v>
      </c>
      <c r="B44" t="s">
        <v>18</v>
      </c>
      <c r="C44" s="10">
        <v>1720891.9954737574</v>
      </c>
      <c r="D44" s="10">
        <v>1376713.596379006</v>
      </c>
      <c r="E44" s="9">
        <v>8</v>
      </c>
    </row>
    <row r="45" spans="1:5" x14ac:dyDescent="0.25">
      <c r="A45" t="s">
        <v>64</v>
      </c>
      <c r="B45" t="s">
        <v>24</v>
      </c>
      <c r="C45" s="10">
        <v>1464195.4725503628</v>
      </c>
      <c r="D45" s="10">
        <v>1171356.3780402904</v>
      </c>
      <c r="E45" s="9">
        <v>4</v>
      </c>
    </row>
    <row r="46" spans="1:5" x14ac:dyDescent="0.25">
      <c r="A46" t="s">
        <v>64</v>
      </c>
      <c r="B46" t="s">
        <v>45</v>
      </c>
      <c r="C46" s="10">
        <v>885919.46941490774</v>
      </c>
      <c r="D46" s="10">
        <v>708735.57553192624</v>
      </c>
      <c r="E46" s="9">
        <v>4</v>
      </c>
    </row>
    <row r="47" spans="1:5" x14ac:dyDescent="0.25">
      <c r="A47" t="s">
        <v>64</v>
      </c>
      <c r="B47" t="s">
        <v>32</v>
      </c>
      <c r="C47" s="10">
        <v>387460.65734346479</v>
      </c>
      <c r="D47" s="10">
        <v>309968.52587477176</v>
      </c>
      <c r="E47" s="9">
        <v>4</v>
      </c>
    </row>
    <row r="48" spans="1:5" x14ac:dyDescent="0.25">
      <c r="A48" t="s">
        <v>64</v>
      </c>
      <c r="B48" t="s">
        <v>34</v>
      </c>
      <c r="C48" s="10">
        <v>361085.08459384571</v>
      </c>
      <c r="D48" s="10">
        <v>288868.06767507654</v>
      </c>
      <c r="E48" s="9">
        <v>8</v>
      </c>
    </row>
    <row r="49" spans="1:5" x14ac:dyDescent="0.25">
      <c r="A49" t="s">
        <v>64</v>
      </c>
      <c r="B49" t="s">
        <v>35</v>
      </c>
      <c r="C49" s="10">
        <v>113105.6111399638</v>
      </c>
      <c r="D49" s="10">
        <v>90484.488911971042</v>
      </c>
      <c r="E49" s="9">
        <v>8</v>
      </c>
    </row>
    <row r="50" spans="1:5" x14ac:dyDescent="0.25">
      <c r="A50" t="s">
        <v>70</v>
      </c>
      <c r="C50" s="10">
        <v>715291504.7582792</v>
      </c>
      <c r="D50" s="10">
        <v>572233203.80662477</v>
      </c>
      <c r="E50" s="9">
        <v>818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A17D-13BE-498E-A088-644EED2168BC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764E5-AB16-436E-BF91-9A8E462DA60D}">
  <dimension ref="A1:L29"/>
  <sheetViews>
    <sheetView showGridLines="0" workbookViewId="0">
      <selection activeCell="H5" sqref="H5"/>
    </sheetView>
  </sheetViews>
  <sheetFormatPr defaultRowHeight="15" x14ac:dyDescent="0.25"/>
  <cols>
    <col min="1" max="1" width="18" bestFit="1" customWidth="1"/>
    <col min="2" max="2" width="23.42578125" bestFit="1" customWidth="1"/>
    <col min="3" max="3" width="17.7109375" bestFit="1" customWidth="1"/>
    <col min="5" max="5" width="12" bestFit="1" customWidth="1"/>
    <col min="7" max="7" width="18" bestFit="1" customWidth="1"/>
    <col min="8" max="8" width="23.42578125" bestFit="1" customWidth="1"/>
    <col min="9" max="9" width="17.7109375" bestFit="1" customWidth="1"/>
    <col min="10" max="10" width="25.28515625" bestFit="1" customWidth="1"/>
  </cols>
  <sheetData>
    <row r="1" spans="1:12" x14ac:dyDescent="0.25">
      <c r="A1" s="6" t="s">
        <v>69</v>
      </c>
      <c r="B1" t="s">
        <v>72</v>
      </c>
      <c r="C1" t="s">
        <v>103</v>
      </c>
      <c r="E1" t="s">
        <v>100</v>
      </c>
      <c r="G1" s="6" t="s">
        <v>69</v>
      </c>
      <c r="H1" t="s">
        <v>72</v>
      </c>
      <c r="I1" t="s">
        <v>103</v>
      </c>
      <c r="J1" t="s">
        <v>101</v>
      </c>
      <c r="L1" t="s">
        <v>104</v>
      </c>
    </row>
    <row r="2" spans="1:12" x14ac:dyDescent="0.25">
      <c r="A2" s="7" t="s">
        <v>63</v>
      </c>
      <c r="B2" s="10">
        <v>383230761.11668462</v>
      </c>
      <c r="C2" s="9">
        <v>478</v>
      </c>
      <c r="E2" s="10">
        <f>B2/C2</f>
        <v>801737.99396795942</v>
      </c>
      <c r="G2" s="7" t="s">
        <v>63</v>
      </c>
      <c r="H2" s="10">
        <v>383230761.11668462</v>
      </c>
      <c r="I2" s="10">
        <v>478</v>
      </c>
      <c r="J2" s="12">
        <v>801737.99396795942</v>
      </c>
      <c r="L2" t="s">
        <v>105</v>
      </c>
    </row>
    <row r="3" spans="1:12" x14ac:dyDescent="0.25">
      <c r="A3" s="7" t="s">
        <v>66</v>
      </c>
      <c r="B3" s="10">
        <v>303208602.97243541</v>
      </c>
      <c r="C3" s="9">
        <v>196</v>
      </c>
      <c r="E3" s="10">
        <f t="shared" ref="E3:E29" si="0">B3/C3</f>
        <v>1546982.6682267112</v>
      </c>
      <c r="G3" s="7" t="s">
        <v>66</v>
      </c>
      <c r="H3" s="10">
        <v>303208602.97243541</v>
      </c>
      <c r="I3" s="10">
        <v>196</v>
      </c>
      <c r="J3" s="12">
        <v>1546982.6682267112</v>
      </c>
      <c r="L3" t="s">
        <v>106</v>
      </c>
    </row>
    <row r="4" spans="1:12" x14ac:dyDescent="0.25">
      <c r="A4" s="7" t="s">
        <v>64</v>
      </c>
      <c r="B4" s="10">
        <v>20314286.84467819</v>
      </c>
      <c r="C4" s="9">
        <v>72</v>
      </c>
      <c r="E4" s="10">
        <f t="shared" si="0"/>
        <v>282142.87284275261</v>
      </c>
      <c r="G4" s="7" t="s">
        <v>64</v>
      </c>
      <c r="H4" s="10">
        <v>20314286.84467819</v>
      </c>
      <c r="I4" s="10">
        <v>72</v>
      </c>
      <c r="J4" s="12">
        <v>282142.87284275261</v>
      </c>
      <c r="L4" t="s">
        <v>107</v>
      </c>
    </row>
    <row r="5" spans="1:12" x14ac:dyDescent="0.25">
      <c r="A5" s="7" t="s">
        <v>65</v>
      </c>
      <c r="B5" s="10">
        <v>7103009.0478300611</v>
      </c>
      <c r="C5" s="9">
        <v>64</v>
      </c>
      <c r="E5" s="10">
        <f t="shared" si="0"/>
        <v>110984.5163723447</v>
      </c>
      <c r="G5" s="7" t="s">
        <v>65</v>
      </c>
      <c r="H5" s="10">
        <v>7103009.0478300611</v>
      </c>
      <c r="I5" s="10">
        <v>64</v>
      </c>
      <c r="J5" s="12">
        <v>110984.5163723447</v>
      </c>
      <c r="L5" t="s">
        <v>108</v>
      </c>
    </row>
    <row r="6" spans="1:12" x14ac:dyDescent="0.25">
      <c r="A6" s="7" t="s">
        <v>67</v>
      </c>
      <c r="B6" s="10">
        <v>1434844.7766514865</v>
      </c>
      <c r="C6" s="9">
        <v>8</v>
      </c>
      <c r="E6" s="10">
        <f t="shared" si="0"/>
        <v>179355.59708143582</v>
      </c>
      <c r="G6" s="7" t="s">
        <v>67</v>
      </c>
      <c r="H6" s="10">
        <v>1434844.7766514865</v>
      </c>
      <c r="I6" s="10">
        <v>8</v>
      </c>
      <c r="J6" s="12">
        <v>179355.59708143582</v>
      </c>
      <c r="L6" t="s">
        <v>109</v>
      </c>
    </row>
    <row r="7" spans="1:12" x14ac:dyDescent="0.25">
      <c r="A7" s="7" t="s">
        <v>70</v>
      </c>
      <c r="B7" s="10">
        <v>715291504.7582798</v>
      </c>
      <c r="C7" s="9">
        <v>818</v>
      </c>
      <c r="E7" s="10">
        <f t="shared" si="0"/>
        <v>874439.49236953526</v>
      </c>
      <c r="G7" s="7" t="s">
        <v>70</v>
      </c>
      <c r="H7" s="10">
        <v>715291504.7582798</v>
      </c>
      <c r="I7" s="10">
        <v>818</v>
      </c>
      <c r="J7" s="12">
        <v>874439.49236953538</v>
      </c>
      <c r="L7" t="s">
        <v>110</v>
      </c>
    </row>
    <row r="8" spans="1:12" x14ac:dyDescent="0.25">
      <c r="E8" s="10" t="e">
        <f t="shared" si="0"/>
        <v>#DIV/0!</v>
      </c>
    </row>
    <row r="9" spans="1:12" x14ac:dyDescent="0.25">
      <c r="E9" s="10" t="e">
        <f t="shared" si="0"/>
        <v>#DIV/0!</v>
      </c>
    </row>
    <row r="10" spans="1:12" x14ac:dyDescent="0.25">
      <c r="E10" s="10" t="e">
        <f t="shared" si="0"/>
        <v>#DIV/0!</v>
      </c>
    </row>
    <row r="11" spans="1:12" x14ac:dyDescent="0.25">
      <c r="D11" s="6"/>
      <c r="E11" s="10" t="e">
        <f t="shared" si="0"/>
        <v>#DIV/0!</v>
      </c>
    </row>
    <row r="12" spans="1:12" x14ac:dyDescent="0.25">
      <c r="E12" s="10" t="e">
        <f t="shared" si="0"/>
        <v>#DIV/0!</v>
      </c>
    </row>
    <row r="13" spans="1:12" x14ac:dyDescent="0.25">
      <c r="E13" s="10" t="e">
        <f t="shared" si="0"/>
        <v>#DIV/0!</v>
      </c>
    </row>
    <row r="14" spans="1:12" x14ac:dyDescent="0.25">
      <c r="E14" s="10" t="e">
        <f t="shared" si="0"/>
        <v>#DIV/0!</v>
      </c>
    </row>
    <row r="15" spans="1:12" x14ac:dyDescent="0.25">
      <c r="E15" s="10" t="e">
        <f t="shared" si="0"/>
        <v>#DIV/0!</v>
      </c>
    </row>
    <row r="16" spans="1:12" x14ac:dyDescent="0.25">
      <c r="E16" s="10" t="e">
        <f t="shared" si="0"/>
        <v>#DIV/0!</v>
      </c>
    </row>
    <row r="17" spans="5:5" x14ac:dyDescent="0.25">
      <c r="E17" s="10" t="e">
        <f t="shared" si="0"/>
        <v>#DIV/0!</v>
      </c>
    </row>
    <row r="18" spans="5:5" x14ac:dyDescent="0.25">
      <c r="E18" s="10" t="e">
        <f t="shared" si="0"/>
        <v>#DIV/0!</v>
      </c>
    </row>
    <row r="19" spans="5:5" x14ac:dyDescent="0.25">
      <c r="E19" s="10" t="e">
        <f t="shared" si="0"/>
        <v>#DIV/0!</v>
      </c>
    </row>
    <row r="20" spans="5:5" x14ac:dyDescent="0.25">
      <c r="E20" s="10" t="e">
        <f t="shared" si="0"/>
        <v>#DIV/0!</v>
      </c>
    </row>
    <row r="21" spans="5:5" x14ac:dyDescent="0.25">
      <c r="E21" s="10" t="e">
        <f t="shared" si="0"/>
        <v>#DIV/0!</v>
      </c>
    </row>
    <row r="22" spans="5:5" x14ac:dyDescent="0.25">
      <c r="E22" s="10" t="e">
        <f t="shared" si="0"/>
        <v>#DIV/0!</v>
      </c>
    </row>
    <row r="23" spans="5:5" x14ac:dyDescent="0.25">
      <c r="E23" s="10" t="e">
        <f t="shared" si="0"/>
        <v>#DIV/0!</v>
      </c>
    </row>
    <row r="24" spans="5:5" x14ac:dyDescent="0.25">
      <c r="E24" s="10" t="e">
        <f t="shared" si="0"/>
        <v>#DIV/0!</v>
      </c>
    </row>
    <row r="25" spans="5:5" x14ac:dyDescent="0.25">
      <c r="E25" s="10" t="e">
        <f t="shared" si="0"/>
        <v>#DIV/0!</v>
      </c>
    </row>
    <row r="26" spans="5:5" x14ac:dyDescent="0.25">
      <c r="E26" s="10" t="e">
        <f t="shared" si="0"/>
        <v>#DIV/0!</v>
      </c>
    </row>
    <row r="27" spans="5:5" x14ac:dyDescent="0.25">
      <c r="E27" s="10" t="e">
        <f t="shared" si="0"/>
        <v>#DIV/0!</v>
      </c>
    </row>
    <row r="28" spans="5:5" x14ac:dyDescent="0.25">
      <c r="E28" s="10" t="e">
        <f t="shared" si="0"/>
        <v>#DIV/0!</v>
      </c>
    </row>
    <row r="29" spans="5:5" x14ac:dyDescent="0.25">
      <c r="E29" s="10" t="e">
        <f t="shared" si="0"/>
        <v>#DIV/0!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68112-4179-4441-B852-DF94D51495D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4321-569A-4CDF-AD0C-7E196767B96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961E-9A69-45F7-B419-83A65A8971C8}">
  <dimension ref="D1:I33"/>
  <sheetViews>
    <sheetView showGridLines="0" workbookViewId="0">
      <selection activeCell="I13" sqref="I13"/>
    </sheetView>
  </sheetViews>
  <sheetFormatPr defaultRowHeight="15" x14ac:dyDescent="0.25"/>
  <cols>
    <col min="1" max="1" width="31.5703125" customWidth="1"/>
    <col min="2" max="2" width="2.42578125" customWidth="1"/>
    <col min="3" max="3" width="27.5703125" bestFit="1" customWidth="1"/>
    <col min="4" max="4" width="23.42578125" bestFit="1" customWidth="1"/>
    <col min="5" max="5" width="25.28515625" bestFit="1" customWidth="1"/>
    <col min="6" max="6" width="23.42578125" bestFit="1" customWidth="1"/>
  </cols>
  <sheetData>
    <row r="1" spans="9:9" ht="134.25" customHeight="1" x14ac:dyDescent="0.25"/>
    <row r="2" spans="9:9" x14ac:dyDescent="0.25">
      <c r="I2" t="s">
        <v>114</v>
      </c>
    </row>
    <row r="3" spans="9:9" x14ac:dyDescent="0.25">
      <c r="I3" t="s">
        <v>115</v>
      </c>
    </row>
    <row r="4" spans="9:9" x14ac:dyDescent="0.25">
      <c r="I4" t="s">
        <v>117</v>
      </c>
    </row>
    <row r="5" spans="9:9" x14ac:dyDescent="0.25">
      <c r="I5" t="s">
        <v>116</v>
      </c>
    </row>
    <row r="6" spans="9:9" x14ac:dyDescent="0.25">
      <c r="I6" t="s">
        <v>118</v>
      </c>
    </row>
    <row r="7" spans="9:9" x14ac:dyDescent="0.25">
      <c r="I7" t="s">
        <v>119</v>
      </c>
    </row>
    <row r="8" spans="9:9" x14ac:dyDescent="0.25">
      <c r="I8" t="s">
        <v>120</v>
      </c>
    </row>
    <row r="9" spans="9:9" x14ac:dyDescent="0.25">
      <c r="I9" t="s">
        <v>121</v>
      </c>
    </row>
    <row r="10" spans="9:9" x14ac:dyDescent="0.25">
      <c r="I10" t="s">
        <v>122</v>
      </c>
    </row>
    <row r="11" spans="9:9" x14ac:dyDescent="0.25">
      <c r="I11" t="s">
        <v>123</v>
      </c>
    </row>
    <row r="12" spans="9:9" x14ac:dyDescent="0.25">
      <c r="I12" t="s">
        <v>124</v>
      </c>
    </row>
    <row r="21" spans="4:6" x14ac:dyDescent="0.25">
      <c r="E21" s="6"/>
      <c r="F21" s="6"/>
    </row>
    <row r="23" spans="4:6" x14ac:dyDescent="0.25">
      <c r="D23" s="6" t="s">
        <v>69</v>
      </c>
      <c r="E23" t="s">
        <v>72</v>
      </c>
    </row>
    <row r="24" spans="4:6" x14ac:dyDescent="0.25">
      <c r="D24" s="7" t="s">
        <v>28</v>
      </c>
      <c r="E24" s="10">
        <v>8836143.0650423318</v>
      </c>
    </row>
    <row r="25" spans="4:6" x14ac:dyDescent="0.25">
      <c r="D25" s="7" t="s">
        <v>29</v>
      </c>
      <c r="E25" s="10">
        <v>4287409.0585626187</v>
      </c>
    </row>
    <row r="26" spans="4:6" x14ac:dyDescent="0.25">
      <c r="D26" s="7" t="s">
        <v>25</v>
      </c>
      <c r="E26" s="10">
        <v>2258076.4305569278</v>
      </c>
    </row>
    <row r="27" spans="4:6" x14ac:dyDescent="0.25">
      <c r="D27" s="7" t="s">
        <v>18</v>
      </c>
      <c r="E27" s="10">
        <v>1720891.9954737576</v>
      </c>
    </row>
    <row r="28" spans="4:6" x14ac:dyDescent="0.25">
      <c r="D28" s="7" t="s">
        <v>24</v>
      </c>
      <c r="E28" s="10">
        <v>1464195.4725503628</v>
      </c>
    </row>
    <row r="29" spans="4:6" x14ac:dyDescent="0.25">
      <c r="D29" s="7" t="s">
        <v>45</v>
      </c>
      <c r="E29" s="10">
        <v>885919.46941490774</v>
      </c>
    </row>
    <row r="30" spans="4:6" x14ac:dyDescent="0.25">
      <c r="D30" s="7" t="s">
        <v>32</v>
      </c>
      <c r="E30" s="10">
        <v>387460.65734346473</v>
      </c>
    </row>
    <row r="31" spans="4:6" x14ac:dyDescent="0.25">
      <c r="D31" s="7" t="s">
        <v>34</v>
      </c>
      <c r="E31" s="10">
        <v>361085.08459384571</v>
      </c>
    </row>
    <row r="32" spans="4:6" x14ac:dyDescent="0.25">
      <c r="D32" s="7" t="s">
        <v>35</v>
      </c>
      <c r="E32" s="10">
        <v>113105.6111399638</v>
      </c>
    </row>
    <row r="33" spans="4:5" x14ac:dyDescent="0.25">
      <c r="D33" s="7" t="s">
        <v>70</v>
      </c>
      <c r="E33" s="10">
        <v>20314286.844678182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62909-0AB4-471C-B633-00C95A84D7D5}">
  <dimension ref="B2:K6"/>
  <sheetViews>
    <sheetView showGridLines="0" workbookViewId="0">
      <selection activeCell="G11" sqref="G11"/>
    </sheetView>
  </sheetViews>
  <sheetFormatPr defaultRowHeight="15" x14ac:dyDescent="0.25"/>
  <cols>
    <col min="2" max="2" width="26.7109375" bestFit="1" customWidth="1"/>
    <col min="3" max="3" width="23.42578125" bestFit="1" customWidth="1"/>
    <col min="7" max="7" width="34.140625" customWidth="1"/>
    <col min="8" max="8" width="1.5703125" customWidth="1"/>
    <col min="9" max="9" width="26.5703125" customWidth="1"/>
    <col min="10" max="10" width="1.5703125" customWidth="1"/>
    <col min="11" max="11" width="27.7109375" customWidth="1"/>
  </cols>
  <sheetData>
    <row r="2" spans="2:11" ht="15.75" x14ac:dyDescent="0.25">
      <c r="B2" s="6" t="s">
        <v>69</v>
      </c>
      <c r="C2" t="s">
        <v>72</v>
      </c>
      <c r="G2" s="17" t="s">
        <v>111</v>
      </c>
      <c r="I2" s="17" t="s">
        <v>112</v>
      </c>
      <c r="K2" s="17" t="s">
        <v>113</v>
      </c>
    </row>
    <row r="3" spans="2:11" ht="23.25" x14ac:dyDescent="0.35">
      <c r="B3" s="7" t="s">
        <v>44</v>
      </c>
      <c r="C3" s="10">
        <v>14531448.07013501</v>
      </c>
      <c r="G3" s="16">
        <v>20314286.844678182</v>
      </c>
      <c r="H3" s="15"/>
      <c r="I3" s="18">
        <v>72</v>
      </c>
      <c r="J3" s="15"/>
      <c r="K3" s="19">
        <v>282142.87284275255</v>
      </c>
    </row>
    <row r="4" spans="2:11" x14ac:dyDescent="0.25">
      <c r="B4" s="7" t="s">
        <v>43</v>
      </c>
      <c r="C4" s="10">
        <v>4061946.7790694153</v>
      </c>
    </row>
    <row r="5" spans="2:11" x14ac:dyDescent="0.25">
      <c r="B5" s="7" t="s">
        <v>21</v>
      </c>
      <c r="C5" s="10">
        <v>1720891.9954737576</v>
      </c>
    </row>
    <row r="6" spans="2:11" x14ac:dyDescent="0.25">
      <c r="B6" s="7" t="s">
        <v>70</v>
      </c>
      <c r="C6" s="10">
        <v>20314286.844678182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DePara</vt:lpstr>
      <vt:lpstr>Base</vt:lpstr>
      <vt:lpstr>TD-Base - Aula</vt:lpstr>
      <vt:lpstr>TD-Base - Final</vt:lpstr>
      <vt:lpstr>TD-Layout Tabela - Aula</vt:lpstr>
      <vt:lpstr>TD-Layout Tabela - Final</vt:lpstr>
      <vt:lpstr>TD-Campo Calculado - Aula</vt:lpstr>
      <vt:lpstr>TD-Campo Calculado - Final</vt:lpstr>
      <vt:lpstr>TD-Dash - Aula</vt:lpstr>
      <vt:lpstr>TD-Dash - Aula - Suporte</vt:lpstr>
      <vt:lpstr>TD-Dash - Final</vt:lpstr>
      <vt:lpstr>TD-Dash - Final - Suporte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2020-01-29T23:32:18Z</dcterms:modified>
</cp:coreProperties>
</file>