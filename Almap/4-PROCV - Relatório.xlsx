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Excel - Analisar e Automatizar Planilhas\Arquivos Originais\"/>
    </mc:Choice>
  </mc:AlternateContent>
  <xr:revisionPtr revIDLastSave="0" documentId="13_ncr:1_{97E12867-9AC4-440B-9876-D4DE298E8538}" xr6:coauthVersionLast="44" xr6:coauthVersionMax="44" xr10:uidLastSave="{00000000-0000-0000-0000-000000000000}"/>
  <bookViews>
    <workbookView xWindow="-120" yWindow="-120" windowWidth="29040" windowHeight="17640" activeTab="2" xr2:uid="{B0135298-5F00-45F5-BE24-4669B5BA0799}"/>
  </bookViews>
  <sheets>
    <sheet name="Base" sheetId="2" r:id="rId1"/>
    <sheet name="Relatório - Aula" sheetId="3" r:id="rId2"/>
    <sheet name="Relatório - Final" sheetId="1" r:id="rId3"/>
  </sheets>
  <definedNames>
    <definedName name="_xlnm.Print_Area" localSheetId="2">'Relatório - Final'!$C$3:$E$12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  <c r="D12" i="1"/>
  <c r="D11" i="1"/>
  <c r="D8" i="1"/>
  <c r="E8" i="1"/>
  <c r="E4" i="1"/>
  <c r="D4" i="1"/>
  <c r="C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75921-06B6-47E8-9885-5F974E7C6990}" keepAlive="1" name="Consulta - Nota de 2020" description="Conexão com a consulta 'Nota de 2020' na pasta de trabalho." type="5" refreshedVersion="6" background="1" saveData="1">
    <dbPr connection="Provider=Microsoft.Mashup.OleDb.1;Data Source=$Workbook$;Location=Nota de 2020;Extended Properties=&quot;&quot;" command="SELECT * FROM [Nota de 2020]"/>
  </connection>
</connections>
</file>

<file path=xl/sharedStrings.xml><?xml version="1.0" encoding="utf-8"?>
<sst xmlns="http://schemas.openxmlformats.org/spreadsheetml/2006/main" count="39" uniqueCount="21">
  <si>
    <t>Data da Inclusão no VBS</t>
  </si>
  <si>
    <t>Data de Cancelamento</t>
  </si>
  <si>
    <t>Cancelado</t>
  </si>
  <si>
    <t>Data do Status</t>
  </si>
  <si>
    <t>Linha do Tempo</t>
  </si>
  <si>
    <t>Cliente A</t>
  </si>
  <si>
    <t>Cliente B</t>
  </si>
  <si>
    <t>Cliente C</t>
  </si>
  <si>
    <t>Código do Cliente</t>
  </si>
  <si>
    <t>Nome do Cliente</t>
  </si>
  <si>
    <t>Status do Cliente</t>
  </si>
  <si>
    <t>Status</t>
  </si>
  <si>
    <t>Nome:</t>
  </si>
  <si>
    <t>Data da Emissão da Última nota</t>
  </si>
  <si>
    <t>Ativo</t>
  </si>
  <si>
    <t>Qtd PIs em 2019</t>
  </si>
  <si>
    <t>Qtd de PIs em 2019</t>
  </si>
  <si>
    <t>Valor Faturado em 2019</t>
  </si>
  <si>
    <t>Qtd de linhas com o código</t>
  </si>
  <si>
    <t>Cliente D - Linha 1</t>
  </si>
  <si>
    <t>Cliente D - Linha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</si>
</sst>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\ h:mm;@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4" fontId="0" fillId="0" borderId="0" xfId="1" applyNumberFormat="1" applyFont="1" applyAlignment="1">
      <alignment horizont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4" xfId="0" applyFont="1" applyBorder="1"/>
    <xf numFmtId="0" fontId="0" fillId="0" borderId="5" xfId="0" applyNumberFormat="1" applyFont="1" applyBorder="1"/>
    <xf numFmtId="22" fontId="0" fillId="0" borderId="5" xfId="0" applyNumberFormat="1" applyFont="1" applyBorder="1"/>
    <xf numFmtId="14" fontId="0" fillId="0" borderId="5" xfId="0" applyNumberFormat="1" applyFont="1" applyBorder="1"/>
    <xf numFmtId="22" fontId="0" fillId="0" borderId="6" xfId="0" applyNumberFormat="1" applyFont="1" applyBorder="1"/>
    <xf numFmtId="165" fontId="0" fillId="0" borderId="5" xfId="1" applyNumberFormat="1" applyFont="1" applyBorder="1"/>
    <xf numFmtId="3" fontId="0" fillId="0" borderId="0" xfId="1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NumberFormat="1" applyFont="1" applyBorder="1"/>
    <xf numFmtId="0" fontId="4" fillId="2" borderId="8" xfId="0" applyFont="1" applyFill="1" applyBorder="1"/>
    <xf numFmtId="0" fontId="4" fillId="2" borderId="7" xfId="0" applyFont="1" applyFill="1" applyBorder="1"/>
    <xf numFmtId="0" fontId="4" fillId="2" borderId="9" xfId="0" applyFont="1" applyFill="1" applyBorder="1"/>
    <xf numFmtId="0" fontId="0" fillId="0" borderId="8" xfId="0" applyFont="1" applyBorder="1"/>
    <xf numFmtId="165" fontId="0" fillId="0" borderId="7" xfId="1" applyNumberFormat="1" applyFont="1" applyBorder="1"/>
    <xf numFmtId="22" fontId="0" fillId="0" borderId="7" xfId="0" applyNumberFormat="1" applyFont="1" applyBorder="1"/>
    <xf numFmtId="14" fontId="0" fillId="0" borderId="7" xfId="0" applyNumberFormat="1" applyFont="1" applyBorder="1"/>
    <xf numFmtId="22" fontId="0" fillId="0" borderId="9" xfId="0" applyNumberFormat="1" applyFont="1" applyBorder="1"/>
    <xf numFmtId="0" fontId="0" fillId="3" borderId="0" xfId="0" applyFill="1"/>
    <xf numFmtId="3" fontId="0" fillId="3" borderId="0" xfId="1" applyNumberFormat="1" applyFont="1" applyFill="1" applyAlignment="1">
      <alignment horizontal="center"/>
    </xf>
    <xf numFmtId="4" fontId="0" fillId="3" borderId="0" xfId="1" applyNumberFormat="1" applyFont="1" applyFill="1" applyAlignment="1">
      <alignment horizontal="center"/>
    </xf>
    <xf numFmtId="164" fontId="0" fillId="3" borderId="2" xfId="0" applyNumberFormat="1" applyFill="1" applyBorder="1" applyAlignment="1">
      <alignment horizontal="left" vertical="center"/>
    </xf>
    <xf numFmtId="14" fontId="0" fillId="3" borderId="3" xfId="0" applyNumberForma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ill>
        <patternFill>
          <bgColor rgb="FF00B050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DCEE-CDC3-4FAC-AD30-4930ABF6865C}">
  <dimension ref="A1:I6"/>
  <sheetViews>
    <sheetView showGridLines="0" workbookViewId="0">
      <selection activeCell="E23" sqref="E23"/>
    </sheetView>
  </sheetViews>
  <sheetFormatPr defaultRowHeight="15" x14ac:dyDescent="0.25"/>
  <cols>
    <col min="1" max="1" width="19.140625" bestFit="1" customWidth="1"/>
    <col min="2" max="2" width="18.42578125" bestFit="1" customWidth="1"/>
    <col min="3" max="3" width="18.42578125" customWidth="1"/>
    <col min="4" max="4" width="24.42578125" bestFit="1" customWidth="1"/>
    <col min="5" max="5" width="18.42578125" bestFit="1" customWidth="1"/>
    <col min="6" max="6" width="27.140625" customWidth="1"/>
    <col min="7" max="7" width="31.42578125" bestFit="1" customWidth="1"/>
    <col min="8" max="8" width="23.42578125" bestFit="1" customWidth="1"/>
    <col min="9" max="9" width="16" bestFit="1" customWidth="1"/>
  </cols>
  <sheetData>
    <row r="1" spans="1:9" x14ac:dyDescent="0.25">
      <c r="A1" s="20" t="s">
        <v>8</v>
      </c>
      <c r="B1" s="21" t="s">
        <v>9</v>
      </c>
      <c r="C1" s="21" t="s">
        <v>15</v>
      </c>
      <c r="D1" s="21" t="s">
        <v>17</v>
      </c>
      <c r="E1" s="21" t="s">
        <v>10</v>
      </c>
      <c r="F1" s="21" t="s">
        <v>0</v>
      </c>
      <c r="G1" s="21" t="s">
        <v>13</v>
      </c>
      <c r="H1" s="21" t="s">
        <v>1</v>
      </c>
      <c r="I1" s="22" t="s">
        <v>3</v>
      </c>
    </row>
    <row r="2" spans="1:9" x14ac:dyDescent="0.25">
      <c r="A2" s="23">
        <v>1</v>
      </c>
      <c r="B2" s="19" t="s">
        <v>5</v>
      </c>
      <c r="C2" s="19">
        <v>12839</v>
      </c>
      <c r="D2" s="24">
        <v>56009445</v>
      </c>
      <c r="E2" s="19" t="s">
        <v>14</v>
      </c>
      <c r="F2" s="25">
        <v>38375.667233796295</v>
      </c>
      <c r="G2" s="26">
        <v>43852</v>
      </c>
      <c r="H2" s="26"/>
      <c r="I2" s="27">
        <v>43856.667592592596</v>
      </c>
    </row>
    <row r="3" spans="1:9" x14ac:dyDescent="0.25">
      <c r="A3" s="23">
        <v>2</v>
      </c>
      <c r="B3" s="19" t="s">
        <v>6</v>
      </c>
      <c r="C3" s="19">
        <v>11663</v>
      </c>
      <c r="D3" s="24">
        <v>34990874</v>
      </c>
      <c r="E3" s="19" t="s">
        <v>14</v>
      </c>
      <c r="F3" s="25">
        <v>41194.475173611114</v>
      </c>
      <c r="G3" s="26">
        <v>43854</v>
      </c>
      <c r="H3" s="26"/>
      <c r="I3" s="27">
        <v>43856.667592592596</v>
      </c>
    </row>
    <row r="4" spans="1:9" x14ac:dyDescent="0.25">
      <c r="A4" s="23">
        <v>3</v>
      </c>
      <c r="B4" s="19" t="s">
        <v>7</v>
      </c>
      <c r="C4" s="19">
        <v>908</v>
      </c>
      <c r="D4" s="24">
        <v>1876221</v>
      </c>
      <c r="E4" s="19" t="s">
        <v>14</v>
      </c>
      <c r="F4" s="25">
        <v>42832.355370370373</v>
      </c>
      <c r="G4" s="26">
        <v>43817</v>
      </c>
      <c r="H4" s="26"/>
      <c r="I4" s="27">
        <v>43856.667592592596</v>
      </c>
    </row>
    <row r="5" spans="1:9" x14ac:dyDescent="0.25">
      <c r="A5" s="23">
        <v>4</v>
      </c>
      <c r="B5" s="19" t="s">
        <v>19</v>
      </c>
      <c r="C5" s="19">
        <v>0</v>
      </c>
      <c r="D5" s="24">
        <v>0</v>
      </c>
      <c r="E5" s="19" t="s">
        <v>2</v>
      </c>
      <c r="F5" s="25">
        <v>37484.646203703705</v>
      </c>
      <c r="G5" s="26">
        <v>42369</v>
      </c>
      <c r="H5" s="26">
        <v>42370</v>
      </c>
      <c r="I5" s="27">
        <v>43856.667592592596</v>
      </c>
    </row>
    <row r="6" spans="1:9" x14ac:dyDescent="0.25">
      <c r="A6" s="11">
        <v>4</v>
      </c>
      <c r="B6" s="12" t="s">
        <v>20</v>
      </c>
      <c r="C6" s="12">
        <v>0</v>
      </c>
      <c r="D6" s="16">
        <v>0</v>
      </c>
      <c r="E6" s="12" t="s">
        <v>2</v>
      </c>
      <c r="F6" s="13">
        <v>37484.646203703705</v>
      </c>
      <c r="G6" s="14">
        <v>42369</v>
      </c>
      <c r="H6" s="14">
        <v>42370</v>
      </c>
      <c r="I6" s="15">
        <v>43856.667592592596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CFB5-31E4-4368-9F87-F5106C426E89}">
  <dimension ref="A1:E12"/>
  <sheetViews>
    <sheetView showGridLines="0" workbookViewId="0">
      <selection activeCell="B15" sqref="B15"/>
    </sheetView>
  </sheetViews>
  <sheetFormatPr defaultRowHeight="15" x14ac:dyDescent="0.25"/>
  <cols>
    <col min="1" max="1" width="21.42578125" customWidth="1"/>
    <col min="3" max="3" width="35.140625" customWidth="1"/>
    <col min="4" max="4" width="32" customWidth="1"/>
    <col min="5" max="5" width="24.7109375" customWidth="1"/>
  </cols>
  <sheetData>
    <row r="1" spans="1:5" ht="30" x14ac:dyDescent="0.25">
      <c r="A1" s="18" t="s">
        <v>18</v>
      </c>
    </row>
    <row r="2" spans="1:5" x14ac:dyDescent="0.25">
      <c r="A2" s="33"/>
    </row>
    <row r="3" spans="1:5" ht="18.75" x14ac:dyDescent="0.3">
      <c r="C3" s="10" t="s">
        <v>8</v>
      </c>
      <c r="D3" s="1" t="s">
        <v>11</v>
      </c>
      <c r="E3" s="1" t="s">
        <v>3</v>
      </c>
    </row>
    <row r="4" spans="1:5" ht="23.25" x14ac:dyDescent="0.35">
      <c r="C4" s="2">
        <v>2</v>
      </c>
      <c r="D4" s="33"/>
      <c r="E4" s="34"/>
    </row>
    <row r="6" spans="1:5" x14ac:dyDescent="0.25">
      <c r="C6" s="4"/>
      <c r="D6" s="4"/>
      <c r="E6" s="4"/>
    </row>
    <row r="7" spans="1:5" x14ac:dyDescent="0.25">
      <c r="C7" t="s">
        <v>12</v>
      </c>
      <c r="D7" s="1" t="s">
        <v>16</v>
      </c>
      <c r="E7" s="1" t="s">
        <v>17</v>
      </c>
    </row>
    <row r="8" spans="1:5" x14ac:dyDescent="0.25">
      <c r="C8" s="28"/>
      <c r="D8" s="29"/>
      <c r="E8" s="30"/>
    </row>
    <row r="10" spans="1:5" ht="18.75" x14ac:dyDescent="0.25">
      <c r="C10" s="35" t="s">
        <v>4</v>
      </c>
      <c r="D10" s="35"/>
      <c r="E10" s="35"/>
    </row>
    <row r="11" spans="1:5" x14ac:dyDescent="0.25">
      <c r="C11" s="6" t="s">
        <v>0</v>
      </c>
      <c r="D11" s="31"/>
    </row>
    <row r="12" spans="1:5" x14ac:dyDescent="0.25">
      <c r="C12" s="8" t="s">
        <v>13</v>
      </c>
      <c r="D12" s="32"/>
    </row>
  </sheetData>
  <mergeCells count="1">
    <mergeCell ref="C10:E10"/>
  </mergeCells>
  <conditionalFormatting sqref="A2">
    <cfRule type="cellIs" dxfId="3" priority="1" operator="greaterThan">
      <formula>1</formula>
    </cfRule>
    <cfRule type="cellIs" dxfId="2" priority="2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1D20-EB36-4D61-8EF2-C5114B8F862D}">
  <dimension ref="A1:E12"/>
  <sheetViews>
    <sheetView showGridLines="0" tabSelected="1" zoomScaleNormal="100" zoomScaleSheetLayoutView="145" workbookViewId="0">
      <selection activeCell="C4" sqref="C4"/>
    </sheetView>
  </sheetViews>
  <sheetFormatPr defaultRowHeight="15" x14ac:dyDescent="0.25"/>
  <cols>
    <col min="1" max="1" width="21.42578125" customWidth="1"/>
    <col min="3" max="3" width="35.140625" customWidth="1"/>
    <col min="4" max="4" width="32" customWidth="1"/>
    <col min="5" max="5" width="24.7109375" customWidth="1"/>
  </cols>
  <sheetData>
    <row r="1" spans="1:5" ht="30" x14ac:dyDescent="0.25">
      <c r="A1" s="18" t="s">
        <v>18</v>
      </c>
    </row>
    <row r="2" spans="1:5" x14ac:dyDescent="0.25">
      <c r="A2" s="1">
        <f>COUNTIF(Base!A:A,'Relatório - Final'!C4)</f>
        <v>1</v>
      </c>
    </row>
    <row r="3" spans="1:5" ht="18.75" x14ac:dyDescent="0.3">
      <c r="C3" s="10" t="s">
        <v>8</v>
      </c>
      <c r="D3" s="1" t="s">
        <v>11</v>
      </c>
      <c r="E3" s="1" t="s">
        <v>3</v>
      </c>
    </row>
    <row r="4" spans="1:5" ht="23.25" x14ac:dyDescent="0.35">
      <c r="C4" s="2">
        <v>2</v>
      </c>
      <c r="D4" s="1" t="str">
        <f>VLOOKUP($C$4,Base!A:I,5,0) &amp; IF(VLOOKUP($C$4,Base!A:I,5,0)="Cancelado"," em " &amp; TEXT(VLOOKUP($C$4,Base!A:I,8,0),"dd/MM/aaaa" ),"")</f>
        <v>Ativo</v>
      </c>
      <c r="E4" s="3">
        <f>VLOOKUP($C$4,Base!A:I,9,0)</f>
        <v>43856.667592592596</v>
      </c>
    </row>
    <row r="6" spans="1:5" x14ac:dyDescent="0.25">
      <c r="C6" s="4"/>
      <c r="D6" s="4"/>
      <c r="E6" s="4"/>
    </row>
    <row r="7" spans="1:5" x14ac:dyDescent="0.25">
      <c r="C7" t="s">
        <v>12</v>
      </c>
      <c r="D7" s="1" t="s">
        <v>16</v>
      </c>
      <c r="E7" s="1" t="s">
        <v>17</v>
      </c>
    </row>
    <row r="8" spans="1:5" x14ac:dyDescent="0.25">
      <c r="C8" t="str">
        <f>VLOOKUP($C$4,Base!A:I,2,0)</f>
        <v>Cliente B</v>
      </c>
      <c r="D8" s="17">
        <f>VLOOKUP($C$4,Base!A:I,3,0)</f>
        <v>11663</v>
      </c>
      <c r="E8" s="5">
        <f>VLOOKUP($C$4,Base!A:I,4,0)</f>
        <v>34990874</v>
      </c>
    </row>
    <row r="10" spans="1:5" ht="37.5" customHeight="1" x14ac:dyDescent="0.25">
      <c r="C10" s="35" t="s">
        <v>4</v>
      </c>
      <c r="D10" s="35"/>
      <c r="E10" s="35"/>
    </row>
    <row r="11" spans="1:5" ht="24.75" customHeight="1" x14ac:dyDescent="0.25">
      <c r="C11" s="6" t="s">
        <v>0</v>
      </c>
      <c r="D11" s="7">
        <f>VLOOKUP($C$4,Base!A:I,6,0)</f>
        <v>41194.475173611114</v>
      </c>
    </row>
    <row r="12" spans="1:5" ht="21.75" customHeight="1" x14ac:dyDescent="0.25">
      <c r="C12" s="8" t="s">
        <v>13</v>
      </c>
      <c r="D12" s="9">
        <f>VLOOKUP($C$4,Base!A:I,7,0)</f>
        <v>43854</v>
      </c>
    </row>
  </sheetData>
  <mergeCells count="1">
    <mergeCell ref="C10:E10"/>
  </mergeCells>
  <conditionalFormatting sqref="A2">
    <cfRule type="cellIs" dxfId="1" priority="1" operator="greaterThan">
      <formula>1</formula>
    </cfRule>
    <cfRule type="cellIs" dxfId="0" priority="2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21F72-7E78-4EC6-B8FB-A5AF1D8034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Base</vt:lpstr>
      <vt:lpstr>Relatório - Aula</vt:lpstr>
      <vt:lpstr>Relatório - Final</vt:lpstr>
      <vt:lpstr>'Relatório - Final'!Area_de_impressao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cp:lastPrinted>2020-01-27T00:56:42Z</cp:lastPrinted>
  <dcterms:created xsi:type="dcterms:W3CDTF">2020-01-23T18:15:40Z</dcterms:created>
  <dcterms:modified xsi:type="dcterms:W3CDTF">2020-01-29T22:53:53Z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